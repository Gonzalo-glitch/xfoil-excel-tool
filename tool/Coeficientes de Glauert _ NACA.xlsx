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onve\Documents\UPM\Grado\ASIGNATURAS\ETSIAE\TERCERO\AERODINAMICA Y AEROELASTICIDAD\CLASE\Aerodinámica\Trabajitos\Perfiles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1" l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6" i="1"/>
  <c r="I17" i="1"/>
  <c r="I18" i="1"/>
  <c r="I19" i="1"/>
  <c r="I20" i="1"/>
  <c r="I21" i="1"/>
  <c r="I22" i="1"/>
  <c r="I23" i="1"/>
  <c r="I24" i="1"/>
  <c r="I25" i="1"/>
  <c r="I26" i="1"/>
  <c r="I27" i="1"/>
  <c r="I11" i="1"/>
  <c r="I12" i="1"/>
  <c r="I13" i="1"/>
  <c r="I14" i="1"/>
  <c r="I15" i="1"/>
  <c r="I10" i="1"/>
  <c r="M4" i="1"/>
  <c r="O4" i="1" l="1"/>
  <c r="O5" i="1" l="1"/>
  <c r="O3" i="1"/>
  <c r="I8" i="1" s="1"/>
  <c r="H8" i="1" l="1"/>
  <c r="H59" i="1"/>
  <c r="H28" i="1"/>
  <c r="H60" i="1"/>
  <c r="H108" i="1"/>
  <c r="H21" i="1"/>
  <c r="H29" i="1"/>
  <c r="H37" i="1"/>
  <c r="H45" i="1"/>
  <c r="H53" i="1"/>
  <c r="H61" i="1"/>
  <c r="H69" i="1"/>
  <c r="H77" i="1"/>
  <c r="H85" i="1"/>
  <c r="H93" i="1"/>
  <c r="H101" i="1"/>
  <c r="H11" i="1"/>
  <c r="H15" i="1"/>
  <c r="H31" i="1"/>
  <c r="H47" i="1"/>
  <c r="H63" i="1"/>
  <c r="H79" i="1"/>
  <c r="H95" i="1"/>
  <c r="H13" i="1"/>
  <c r="H89" i="1"/>
  <c r="H42" i="1"/>
  <c r="H66" i="1"/>
  <c r="H98" i="1"/>
  <c r="H27" i="1"/>
  <c r="H67" i="1"/>
  <c r="H99" i="1"/>
  <c r="H20" i="1"/>
  <c r="H52" i="1"/>
  <c r="H84" i="1"/>
  <c r="H14" i="1"/>
  <c r="H22" i="1"/>
  <c r="H30" i="1"/>
  <c r="H38" i="1"/>
  <c r="H46" i="1"/>
  <c r="H54" i="1"/>
  <c r="H62" i="1"/>
  <c r="H70" i="1"/>
  <c r="H78" i="1"/>
  <c r="H86" i="1"/>
  <c r="H94" i="1"/>
  <c r="H102" i="1"/>
  <c r="H12" i="1"/>
  <c r="H23" i="1"/>
  <c r="H39" i="1"/>
  <c r="H55" i="1"/>
  <c r="H71" i="1"/>
  <c r="H87" i="1"/>
  <c r="H103" i="1"/>
  <c r="H81" i="1"/>
  <c r="H105" i="1"/>
  <c r="H26" i="1"/>
  <c r="H58" i="1"/>
  <c r="H90" i="1"/>
  <c r="H19" i="1"/>
  <c r="H51" i="1"/>
  <c r="H83" i="1"/>
  <c r="H92" i="1"/>
  <c r="H82" i="1"/>
  <c r="H91" i="1"/>
  <c r="H36" i="1"/>
  <c r="H76" i="1"/>
  <c r="H16" i="1"/>
  <c r="H24" i="1"/>
  <c r="H32" i="1"/>
  <c r="H40" i="1"/>
  <c r="H48" i="1"/>
  <c r="H56" i="1"/>
  <c r="H64" i="1"/>
  <c r="H72" i="1"/>
  <c r="H80" i="1"/>
  <c r="H88" i="1"/>
  <c r="H96" i="1"/>
  <c r="H104" i="1"/>
  <c r="H10" i="1"/>
  <c r="H17" i="1"/>
  <c r="H25" i="1"/>
  <c r="H33" i="1"/>
  <c r="H41" i="1"/>
  <c r="H49" i="1"/>
  <c r="H57" i="1"/>
  <c r="H65" i="1"/>
  <c r="H73" i="1"/>
  <c r="H97" i="1"/>
  <c r="H18" i="1"/>
  <c r="H34" i="1"/>
  <c r="H50" i="1"/>
  <c r="H74" i="1"/>
  <c r="H106" i="1"/>
  <c r="H35" i="1"/>
  <c r="H43" i="1"/>
  <c r="H75" i="1"/>
  <c r="H107" i="1"/>
  <c r="H44" i="1"/>
  <c r="H68" i="1"/>
  <c r="H100" i="1"/>
  <c r="H9" i="1"/>
  <c r="I9" i="1"/>
  <c r="O2" i="1"/>
</calcChain>
</file>

<file path=xl/sharedStrings.xml><?xml version="1.0" encoding="utf-8"?>
<sst xmlns="http://schemas.openxmlformats.org/spreadsheetml/2006/main" count="20" uniqueCount="16">
  <si>
    <t>f</t>
  </si>
  <si>
    <t>Xf</t>
  </si>
  <si>
    <t>NACA</t>
  </si>
  <si>
    <t>Ca</t>
  </si>
  <si>
    <t>N</t>
  </si>
  <si>
    <t>INPUT</t>
  </si>
  <si>
    <t>c</t>
  </si>
  <si>
    <t>delta_e(º)</t>
  </si>
  <si>
    <t>θf(rad)</t>
  </si>
  <si>
    <t>θf(grad)</t>
  </si>
  <si>
    <t>θa(rad)</t>
  </si>
  <si>
    <t>θa(grad)</t>
  </si>
  <si>
    <t>SIN_ALERÓN</t>
  </si>
  <si>
    <t>CON_ALERÓN</t>
  </si>
  <si>
    <t>4 DIGITOS</t>
  </si>
  <si>
    <t>delta_e(rad)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</si>
</sst>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171"/>
  <sheetViews>
    <sheetView tabSelected="1" workbookViewId="0">
      <selection activeCell="I82" sqref="I82"/>
    </sheetView>
  </sheetViews>
  <sheetFormatPr baseColWidth="10" defaultRowHeight="15" x14ac:dyDescent="0.25"/>
  <cols>
    <col min="3" max="3" width="13.140625" bestFit="1" customWidth="1"/>
    <col min="6" max="6" width="11.28515625" bestFit="1" customWidth="1"/>
    <col min="7" max="7" width="12.28515625" bestFit="1" customWidth="1"/>
    <col min="8" max="8" width="12.7109375" bestFit="1" customWidth="1"/>
    <col min="9" max="9" width="13.140625" bestFit="1" customWidth="1"/>
    <col min="18" max="18" width="14.7109375" customWidth="1"/>
    <col min="19" max="19" width="9.140625" customWidth="1"/>
    <col min="20" max="20" width="14.5703125" customWidth="1"/>
    <col min="21" max="21" width="12.7109375" bestFit="1" customWidth="1"/>
    <col min="22" max="22" width="12" bestFit="1" customWidth="1"/>
  </cols>
  <sheetData>
    <row r="2" spans="4:22" x14ac:dyDescent="0.25">
      <c r="D2" s="5"/>
      <c r="E2" s="5" t="s">
        <v>5</v>
      </c>
      <c r="F2" s="5"/>
      <c r="G2" s="5" t="s">
        <v>5</v>
      </c>
      <c r="H2" s="5"/>
      <c r="I2" s="5" t="s">
        <v>5</v>
      </c>
      <c r="J2" s="5"/>
      <c r="K2" s="5" t="s">
        <v>5</v>
      </c>
      <c r="L2" s="5"/>
      <c r="M2" s="5" t="s">
        <v>5</v>
      </c>
      <c r="N2" s="5" t="s">
        <v>9</v>
      </c>
      <c r="O2" s="5">
        <f>(O3/PI())*180</f>
        <v>126.86989764584402</v>
      </c>
    </row>
    <row r="3" spans="4:22" x14ac:dyDescent="0.25">
      <c r="D3" s="5" t="s">
        <v>3</v>
      </c>
      <c r="E3" s="6">
        <v>0.3</v>
      </c>
      <c r="F3" s="5" t="s">
        <v>0</v>
      </c>
      <c r="G3" s="6">
        <v>0.04</v>
      </c>
      <c r="H3" s="5" t="s">
        <v>1</v>
      </c>
      <c r="I3" s="6">
        <v>0.2</v>
      </c>
      <c r="J3" s="5" t="s">
        <v>6</v>
      </c>
      <c r="K3" s="6">
        <v>1</v>
      </c>
      <c r="L3" s="5" t="s">
        <v>7</v>
      </c>
      <c r="M3" s="6">
        <v>10</v>
      </c>
      <c r="N3" s="7" t="s">
        <v>8</v>
      </c>
      <c r="O3" s="5">
        <f>ACOS(2*(I3/K3)-1)</f>
        <v>2.2142974355881808</v>
      </c>
    </row>
    <row r="4" spans="4:22" x14ac:dyDescent="0.25">
      <c r="L4" s="5" t="s">
        <v>15</v>
      </c>
      <c r="M4" s="6">
        <f>PI()*(M3/180)</f>
        <v>0.17453292519943295</v>
      </c>
      <c r="N4" s="5" t="s">
        <v>10</v>
      </c>
      <c r="O4" s="5">
        <f>ACOS(1-2*(E3/K3))</f>
        <v>1.1592794807274085</v>
      </c>
    </row>
    <row r="5" spans="4:22" x14ac:dyDescent="0.25">
      <c r="N5" s="5" t="s">
        <v>11</v>
      </c>
      <c r="O5" s="5">
        <f>180*(O4/PI())</f>
        <v>66.421821521798165</v>
      </c>
    </row>
    <row r="6" spans="4:22" x14ac:dyDescent="0.25">
      <c r="D6" s="4"/>
      <c r="E6" s="4"/>
      <c r="F6" s="4"/>
      <c r="H6" s="3" t="s">
        <v>2</v>
      </c>
      <c r="I6" s="3" t="s">
        <v>14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4:22" x14ac:dyDescent="0.25">
      <c r="D7" s="4"/>
      <c r="E7" s="4"/>
      <c r="F7" s="4"/>
      <c r="G7" s="1" t="s">
        <v>4</v>
      </c>
      <c r="H7" s="1" t="s">
        <v>12</v>
      </c>
      <c r="I7" s="1" t="s">
        <v>13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4:22" x14ac:dyDescent="0.25">
      <c r="D8" s="4"/>
      <c r="E8" s="4"/>
      <c r="F8" s="4"/>
      <c r="G8" s="1">
        <v>0</v>
      </c>
      <c r="H8" s="2">
        <f>(-1/PI())*((PI()-O3)*((2*I3*G3-G3)/(I3^2))+(G3*SIN(O3))/(I3^2)+(2*G3*I3*O3)/(1-I3)^2-((G3*O3)/(1-I3)^2)-(G3*SIN(O3))/(1-I3)^2)</f>
        <v>-3.520084478110562E-2</v>
      </c>
      <c r="I8" s="2">
        <f>(-1/PI())*((((2*G3*I3-G3)/(1-I3)^2)-M4)*O4-(G3*SIN(O4))/(1-I3)^2+(O3-O4)*((2*I3*G3-G3)/(1-I3)^2)-G3*((SIN(O3)-SIN(O4))/(1-I3)^2)+(PI()-O3)*(2*G3*I3-G3)/(I3^2)+(G3*SIN(O3))/I3^2)</f>
        <v>2.9203570814861548E-2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4:22" x14ac:dyDescent="0.25">
      <c r="D9" s="4"/>
      <c r="E9" s="4"/>
      <c r="F9" s="4"/>
      <c r="G9" s="1">
        <v>1</v>
      </c>
      <c r="H9" s="2">
        <f>(-2/PI())*(((2*I3*G3-G3)/(1-I3)^2)*SIN(O3)-(0.5*G3/(1-I3)^2)*(O3+0.5*SIN(2*O3))-SIN(O3)*((2*G3*I3-G3)/(I3^2))-(0.5*G3/I3^2)*(PI()-O3-0.5*SIN(2*O3)))</f>
        <v>0.19597983431185653</v>
      </c>
      <c r="I9" s="2">
        <f>(-2/PI())*(SIN(O4)*(((2*I3*G3-G3)/(1-I3)^2)-M4)-(O4+0.5*SIN(2*O4))*(0.5*G3/(1-I3)^2)+(SIN(O3)-SIN(O4))*((2*I3*G3-G3)/(1-I3)^2)-(0.5*G3/(1-I3)^2)*(O3-O4+0.5*(SIN(2*O3)-SIN(2*O4)))-SIN(O3)*((2*G3*I3-G3)/(I3^2))-(0.5*G3/(I3^2))*(PI()-O3-0.5*SIN(2*O3)))</f>
        <v>0.29781484975531963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4:22" x14ac:dyDescent="0.25">
      <c r="D10" s="4"/>
      <c r="E10" s="4"/>
      <c r="F10" s="4"/>
      <c r="G10" s="1">
        <v>2</v>
      </c>
      <c r="H10" s="2">
        <f>(-2/PI())*((-2*$G$3*SIN(G10*$O$3))/(G10*$I$3)+($G$3*SIN(G10*$O$3))/(G10*$I$3^2)+($G$3/(2*$I$3^2))*(((SIN($O$3*(1+G10)))/(G10+1))+(SIN($O$3*(G10-1)))/(G10-1))+(2*$G$3*$I$3*SIN($O$3*G10))/(G10*(1-$I$3)^2)-($G$3*SIN(G10*$O$3))/(G10*(1-$I$3)^2)-((0.5*$G$3)/(1-$I$3)^2)*((SIN((1+G10)*$O$3))/(1+G10)+(SIN($O$3*(G10-1)))/(G10-1)))</f>
        <v>-0.101859163578813</v>
      </c>
      <c r="I10" s="2">
        <f>(-2/PI())*((((2*$I$3*$G$3-$G$3)/(1-$I$3)^2)-$M$4)*(SIN(G10*$O$4)/G10)-(0.5*$G$3/(1-$I$3)^2)*((SIN($O$4*(G10+1))/(G10+1))+(SIN($O$4*(G10-1))/(G10-1)))+(SIN(G10*$O$3)-SIN(G10*$O$4))*((2*$I$3*$G$3-$G$3)/(G10*(1-$I$3)^2))-0.5*($G$3/(1-$I$3)^2)*((SIN($O$3*(G10+1))-SIN($O$4*(G10+1)))/(G10+1)+((SIN($O$3*(G10-1)-SIN($O$4*(G10-1)))/(G10-1)))-SIN(G10*$O$3)*((2*$G$3*$I$3-$G$3)/(G10*($I$3^2)))+(($G$3*0.5)/($I$3^2))*((SIN($O$3*(G10+1)))/(G10+1)+(SIN($O$3*(G10-1))/(G10-1)))))</f>
        <v>7.2395449468827103E-2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4:22" x14ac:dyDescent="0.25">
      <c r="D11" s="4"/>
      <c r="E11" s="4"/>
      <c r="F11" s="4"/>
      <c r="G11" s="1">
        <v>3</v>
      </c>
      <c r="H11" s="2">
        <f>(-2/PI())*((-2*$G$3*SIN(G11*$O$3))/(G11*$I$3)+($G$3*SIN(G11*$O$3))/(G11*$I$3^2)+($G$3/(2*$I$3^2))*(((SIN($O$3*(1+G11)))/(G11+1))+(SIN($O$3*(G11-1)))/(G11-1))+(2*$G$3*$I$3*SIN($O$3*G11))/(G11*(1-$I$3)^2)-($G$3*SIN(G11*$O$3))/(G11*(1-$I$3)^2)-((0.5*$G$3)/(1-$I$3)^2)*((SIN((1+G11)*$O$3))/(1+G11)+(SIN($O$3*(G11-1)))/(G11-1)))</f>
        <v>6.1115498147287804E-2</v>
      </c>
      <c r="I11" s="2">
        <f>(-2/PI())*((((2*$I$3*$G$3-$G$3)/(1-$I$3)^2)-$M$4)*(SIN(G11*$O$4)/G11)-(0.5*$G$3/(1-$I$3)^2)*((SIN($O$4*(G11+1))/(G11+1))+(SIN($O$4*(G11-1))/(G11-1)))+(SIN(G11*$O$3)-SIN(G11*$O$4))*((2*$I$3*$G$3-$G$3)/(G11*(1-$I$3)^2))-0.5*($G$3/(1-$I$3)^2)*((SIN($O$3*(G11+1))-SIN($O$4*(G11+1)))/(G11+1)+((SIN($O$3*(G11-1)-SIN($O$4*(G11-1)))/(G11-1)))-SIN(G11*$O$3)*((2*$G$3*$I$3-$G$3)/(G11*($I$3^2)))+(($G$3*0.5)/($I$3^2))*((SIN($O$3*(G11+1)))/(G11+1)+(SIN($O$3*(G11-1))/(G11-1)))))</f>
        <v>-6.7204288629072765E-3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4:22" x14ac:dyDescent="0.25">
      <c r="D12" s="4"/>
      <c r="E12" s="4"/>
      <c r="F12" s="4"/>
      <c r="G12" s="1">
        <v>4</v>
      </c>
      <c r="H12" s="2">
        <f>(-2/PI())*((-2*$G$3*SIN(G12*$O$3))/(G12*$I$3)+($G$3*SIN(G12*$O$3))/(G12*$I$3^2)+($G$3/(2*$I$3^2))*(((SIN($O$3*(1+G12)))/(G12+1))+(SIN($O$3*(G12-1)))/(G12-1))+(2*$G$3*$I$3*SIN($O$3*G12))/(G12*(1-$I$3)^2)-($G$3*SIN(G12*$O$3))/(G12*(1-$I$3)^2)-((0.5*$G$3)/(1-$I$3)^2)*((SIN((1+G12)*$O$3))/(1+G12)+(SIN($O$3*(G12-1)))/(G12-1)))</f>
        <v>-2.3631325950284613E-2</v>
      </c>
      <c r="I12" s="2">
        <f>(-2/PI())*((((2*$I$3*$G$3-$G$3)/(1-$I$3)^2)-$M$4)*(SIN(G12*$O$4)/G12)-(0.5*$G$3/(1-$I$3)^2)*((SIN($O$4*(G12+1))/(G12+1))+(SIN($O$4*(G12-1))/(G12-1)))+(SIN(G12*$O$3)-SIN(G12*$O$4))*((2*$I$3*$G$3-$G$3)/(G12*(1-$I$3)^2))-0.5*($G$3/(1-$I$3)^2)*((SIN($O$3*(G12+1))-SIN($O$4*(G12+1)))/(G12+1)+((SIN($O$3*(G12-1)-SIN($O$4*(G12-1)))/(G12-1)))-SIN(G12*$O$3)*((2*$G$3*$I$3-$G$3)/(G12*($I$3^2)))+(($G$3*0.5)/($I$3^2))*((SIN($O$3*(G12+1)))/(G12+1)+(SIN($O$3*(G12-1))/(G12-1)))))</f>
        <v>-2.563889232967332E-2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4:22" x14ac:dyDescent="0.25">
      <c r="D13" s="4"/>
      <c r="E13" s="4"/>
      <c r="F13" s="4"/>
      <c r="G13" s="1">
        <v>5</v>
      </c>
      <c r="H13" s="2">
        <f>(-2/PI())*((-2*$G$3*SIN(G13*$O$3))/(G13*$I$3)+($G$3*SIN(G13*$O$3))/(G13*$I$3^2)+($G$3/(2*$I$3^2))*(((SIN($O$3*(1+G13)))/(G13+1))+(SIN($O$3*(G13-1)))/(G13-1))+(2*$G$3*$I$3*SIN($O$3*G13))/(G13*(1-$I$3)^2)-($G$3*SIN(G13*$O$3))/(G13*(1-$I$3)^2)-((0.5*$G$3)/(1-$I$3)^2)*((SIN((1+G13)*$O$3))/(1+G13)+(SIN($O$3*(G13-1)))/(G13-1)))</f>
        <v>-1.4667719555349105E-3</v>
      </c>
      <c r="I13" s="2">
        <f>(-2/PI())*((((2*$I$3*$G$3-$G$3)/(1-$I$3)^2)-$M$4)*(SIN(G13*$O$4)/G13)-(0.5*$G$3/(1-$I$3)^2)*((SIN($O$4*(G13+1))/(G13+1))+(SIN($O$4*(G13-1))/(G13-1)))+(SIN(G13*$O$3)-SIN(G13*$O$4))*((2*$I$3*$G$3-$G$3)/(G13*(1-$I$3)^2))-0.5*($G$3/(1-$I$3)^2)*((SIN($O$3*(G13+1))-SIN($O$4*(G13+1)))/(G13+1)+((SIN($O$3*(G13-1)-SIN($O$4*(G13-1)))/(G13-1)))-SIN(G13*$O$3)*((2*$G$3*$I$3-$G$3)/(G13*($I$3^2)))+(($G$3*0.5)/($I$3^2))*((SIN($O$3*(G13+1)))/(G13+1)+(SIN($O$3*(G13-1))/(G13-1)))))</f>
        <v>-1.9953400817750551E-2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4:22" x14ac:dyDescent="0.25">
      <c r="D14" s="4"/>
      <c r="E14" s="4"/>
      <c r="F14" s="4"/>
      <c r="G14" s="1">
        <v>6</v>
      </c>
      <c r="H14" s="2">
        <f>(-2/PI())*((-2*$G$3*SIN(G14*$O$3))/(G14*$I$3)+($G$3*SIN(G14*$O$3))/(G14*$I$3^2)+($G$3/(2*$I$3^2))*(((SIN($O$3*(1+G14)))/(G14+1))+(SIN($O$3*(G14-1)))/(G14-1))+(2*$G$3*$I$3*SIN($O$3*G14))/(G14*(1-$I$3)^2)-($G$3*SIN(G14*$O$3))/(G14*(1-$I$3)^2)-((0.5*$G$3)/(1-$I$3)^2)*((SIN((1+G14)*$O$3))/(1+G14)+(SIN($O$3*(G14-1)))/(G14-1)))</f>
        <v>1.1384944226294757E-2</v>
      </c>
      <c r="I14" s="2">
        <f>(-2/PI())*((((2*$I$3*$G$3-$G$3)/(1-$I$3)^2)-$M$4)*(SIN(G14*$O$4)/G14)-(0.5*$G$3/(1-$I$3)^2)*((SIN($O$4*(G14+1))/(G14+1))+(SIN($O$4*(G14-1))/(G14-1)))+(SIN(G14*$O$3)-SIN(G14*$O$4))*((2*$I$3*$G$3-$G$3)/(G14*(1-$I$3)^2))-0.5*($G$3/(1-$I$3)^2)*((SIN($O$3*(G14+1))-SIN($O$4*(G14+1)))/(G14+1)+((SIN($O$3*(G14-1)-SIN($O$4*(G14-1)))/(G14-1)))-SIN(G14*$O$3)*((2*$G$3*$I$3-$G$3)/(G14*($I$3^2)))+(($G$3*0.5)/($I$3^2))*((SIN($O$3*(G14+1)))/(G14+1)+(SIN($O$3*(G14-1))/(G14-1)))))</f>
        <v>9.0983984766477722E-3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4:22" x14ac:dyDescent="0.25">
      <c r="D15" s="4"/>
      <c r="E15" s="4"/>
      <c r="F15" s="4"/>
      <c r="G15" s="1">
        <v>7</v>
      </c>
      <c r="H15" s="2">
        <f>(-2/PI())*((-2*$G$3*SIN(G15*$O$3))/(G15*$I$3)+($G$3*SIN(G15*$O$3))/(G15*$I$3^2)+($G$3/(2*$I$3^2))*(((SIN($O$3*(1+G15)))/(G15+1))+(SIN($O$3*(G15-1)))/(G15-1))+(2*$G$3*$I$3*SIN($O$3*G15))/(G15*(1-$I$3)^2)-($G$3*SIN(G15*$O$3))/(G15*(1-$I$3)^2)-((0.5*$G$3)/(1-$I$3)^2)*((SIN((1+G15)*$O$3))/(1+G15)+(SIN($O$3*(G15-1)))/(G15-1)))</f>
        <v>-9.5130638258978314E-3</v>
      </c>
      <c r="I15" s="2">
        <f>(-2/PI())*((((2*$I$3*$G$3-$G$3)/(1-$I$3)^2)-$M$4)*(SIN(G15*$O$4)/G15)-(0.5*$G$3/(1-$I$3)^2)*((SIN($O$4*(G15+1))/(G15+1))+(SIN($O$4*(G15-1))/(G15-1)))+(SIN(G15*$O$3)-SIN(G15*$O$4))*((2*$I$3*$G$3-$G$3)/(G15*(1-$I$3)^2))-0.5*($G$3/(1-$I$3)^2)*((SIN($O$3*(G15+1))-SIN($O$4*(G15+1)))/(G15+1)+((SIN($O$3*(G15-1)-SIN($O$4*(G15-1)))/(G15-1)))-SIN(G15*$O$3)*((2*$G$3*$I$3-$G$3)/(G15*($I$3^2)))+(($G$3*0.5)/($I$3^2))*((SIN($O$3*(G15+1)))/(G15+1)+(SIN($O$3*(G15-1))/(G15-1)))))</f>
        <v>1.6486851079294731E-2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4:22" x14ac:dyDescent="0.25">
      <c r="D16" s="4"/>
      <c r="E16" s="4"/>
      <c r="F16" s="4"/>
      <c r="G16" s="1">
        <v>8</v>
      </c>
      <c r="H16" s="2">
        <f>(-2/PI())*((-2*$G$3*SIN(G16*$O$3))/(G16*$I$3)+($G$3*SIN(G16*$O$3))/(G16*$I$3^2)+($G$3/(2*$I$3^2))*(((SIN($O$3*(1+G16)))/(G16+1))+(SIN($O$3*(G16-1)))/(G16-1))+(2*$G$3*$I$3*SIN($O$3*G16))/(G16*(1-$I$3)^2)-($G$3*SIN(G16*$O$3))/(G16*(1-$I$3)^2)-((0.5*$G$3)/(1-$I$3)^2)*((SIN((1+G16)*$O$3))/(1+G16)+(SIN($O$3*(G16-1)))/(G16-1)))</f>
        <v>2.5538905562297949E-3</v>
      </c>
      <c r="I16" s="2">
        <f>(-2/PI())*((((2*$I$3*$G$3-$G$3)/(1-$I$3)^2)-$M$4)*(SIN(G16*$O$4)/G16)-(0.5*$G$3/(1-$I$3)^2)*((SIN($O$4*(G16+1))/(G16+1))+(SIN($O$4*(G16-1))/(G16-1)))+(SIN(G16*$O$3)-SIN(G16*$O$4))*((2*$I$3*$G$3-$G$3)/(G16*(1-$I$3)^2))-0.5*($G$3/(1-$I$3)^2)*((SIN($O$3*(G16+1))-SIN($O$4*(G16+1)))/(G16+1)+((SIN($O$3*(G16-1)-SIN($O$4*(G16-1)))/(G16-1)))-SIN(G16*$O$3)*((2*$G$3*$I$3-$G$3)/(G16*($I$3^2)))+(($G$3*0.5)/($I$3^2))*((SIN($O$3*(G16+1)))/(G16+1)+(SIN($O$3*(G16-1))/(G16-1)))))</f>
        <v>6.6080975473147641E-3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4:22" x14ac:dyDescent="0.25">
      <c r="D17" s="4"/>
      <c r="E17" s="4"/>
      <c r="F17" s="4"/>
      <c r="G17" s="1">
        <v>9</v>
      </c>
      <c r="H17" s="2">
        <f>(-2/PI())*((-2*$G$3*SIN(G17*$O$3))/(G17*$I$3)+($G$3*SIN(G17*$O$3))/(G17*$I$3^2)+($G$3/(2*$I$3^2))*(((SIN($O$3*(1+G17)))/(G17+1))+(SIN($O$3*(G17-1)))/(G17-1))+(2*$G$3*$I$3*SIN($O$3*G17))/(G17*(1-$I$3)^2)-($G$3*SIN(G17*$O$3))/(G17*(1-$I$3)^2)-((0.5*$G$3)/(1-$I$3)^2)*((SIN((1+G17)*$O$3))/(1+G17)+(SIN($O$3*(G17-1)))/(G17-1)))</f>
        <v>3.2561033615581569E-3</v>
      </c>
      <c r="I17" s="2">
        <f>(-2/PI())*((((2*$I$3*$G$3-$G$3)/(1-$I$3)^2)-$M$4)*(SIN(G17*$O$4)/G17)-(0.5*$G$3/(1-$I$3)^2)*((SIN($O$4*(G17+1))/(G17+1))+(SIN($O$4*(G17-1))/(G17-1)))+(SIN(G17*$O$3)-SIN(G17*$O$4))*((2*$I$3*$G$3-$G$3)/(G17*(1-$I$3)^2))-0.5*($G$3/(1-$I$3)^2)*((SIN($O$3*(G17+1))-SIN($O$4*(G17+1)))/(G17+1)+((SIN($O$3*(G17-1)-SIN($O$4*(G17-1)))/(G17-1)))-SIN(G17*$O$3)*((2*$G$3*$I$3-$G$3)/(G17*($I$3^2)))+(($G$3*0.5)/($I$3^2))*((SIN($O$3*(G17+1)))/(G17+1)+(SIN($O$3*(G17-1))/(G17-1)))))</f>
        <v>-1.0530550389212722E-2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4:22" x14ac:dyDescent="0.25">
      <c r="D18" s="4"/>
      <c r="E18" s="4"/>
      <c r="F18" s="4"/>
      <c r="G18" s="1">
        <v>10</v>
      </c>
      <c r="H18" s="2">
        <f>(-2/PI())*((-2*$G$3*SIN(G18*$O$3))/(G18*$I$3)+($G$3*SIN(G18*$O$3))/(G18*$I$3^2)+($G$3/(2*$I$3^2))*(((SIN($O$3*(1+G18)))/(G18+1))+(SIN($O$3*(G18-1)))/(G18-1))+(2*$G$3*$I$3*SIN($O$3*G18))/(G18*(1-$I$3)^2)-($G$3*SIN(G18*$O$3))/(G18*(1-$I$3)^2)-((0.5*$G$3)/(1-$I$3)^2)*((SIN((1+G18)*$O$3))/(1+G18)+(SIN($O$3*(G18-1)))/(G18-1)))</f>
        <v>-4.8221045634941947E-3</v>
      </c>
      <c r="I18" s="2">
        <f>(-2/PI())*((((2*$I$3*$G$3-$G$3)/(1-$I$3)^2)-$M$4)*(SIN(G18*$O$4)/G18)-(0.5*$G$3/(1-$I$3)^2)*((SIN($O$4*(G18+1))/(G18+1))+(SIN($O$4*(G18-1))/(G18-1)))+(SIN(G18*$O$3)-SIN(G18*$O$4))*((2*$I$3*$G$3-$G$3)/(G18*(1-$I$3)^2))-0.5*($G$3/(1-$I$3)^2)*((SIN($O$3*(G18+1))-SIN($O$4*(G18+1)))/(G18+1)+((SIN($O$3*(G18-1)-SIN($O$4*(G18-1)))/(G18-1)))-SIN(G18*$O$3)*((2*$G$3*$I$3-$G$3)/(G18*($I$3^2)))+(($G$3*0.5)/($I$3^2))*((SIN($O$3*(G18+1)))/(G18+1)+(SIN($O$3*(G18-1))/(G18-1)))))</f>
        <v>-1.0451599636719116E-2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4:22" x14ac:dyDescent="0.25">
      <c r="D19" s="4"/>
      <c r="E19" s="4"/>
      <c r="F19" s="4"/>
      <c r="G19" s="1">
        <v>11</v>
      </c>
      <c r="H19" s="2">
        <f>(-2/PI())*((-2*$G$3*SIN(G19*$O$3))/(G19*$I$3)+($G$3*SIN(G19*$O$3))/(G19*$I$3^2)+($G$3/(2*$I$3^2))*(((SIN($O$3*(1+G19)))/(G19+1))+(SIN($O$3*(G19-1)))/(G19-1))+(2*$G$3*$I$3*SIN($O$3*G19))/(G19*(1-$I$3)^2)-($G$3*SIN(G19*$O$3))/(G19*(1-$I$3)^2)-((0.5*$G$3)/(1-$I$3)^2)*((SIN((1+G19)*$O$3))/(1+G19)+(SIN($O$3*(G19-1)))/(G19-1)))</f>
        <v>2.6513689891220693E-3</v>
      </c>
      <c r="I19" s="2">
        <f>(-2/PI())*((((2*$I$3*$G$3-$G$3)/(1-$I$3)^2)-$M$4)*(SIN(G19*$O$4)/G19)-(0.5*$G$3/(1-$I$3)^2)*((SIN($O$4*(G19+1))/(G19+1))+(SIN($O$4*(G19-1))/(G19-1)))+(SIN(G19*$O$3)-SIN(G19*$O$4))*((2*$I$3*$G$3-$G$3)/(G19*(1-$I$3)^2))-0.5*($G$3/(1-$I$3)^2)*((SIN($O$3*(G19+1))-SIN($O$4*(G19+1)))/(G19+1)+((SIN($O$3*(G19-1)-SIN($O$4*(G19-1)))/(G19-1)))-SIN(G19*$O$3)*((2*$G$3*$I$3-$G$3)/(G19*($I$3^2)))+(($G$3*0.5)/($I$3^2))*((SIN($O$3*(G19+1)))/(G19+1)+(SIN($O$3*(G19-1))/(G19-1)))))</f>
        <v>-1.395095944588187E-3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4:22" x14ac:dyDescent="0.25">
      <c r="D20" s="4"/>
      <c r="E20" s="4"/>
      <c r="F20" s="4"/>
      <c r="G20" s="1">
        <v>12</v>
      </c>
      <c r="H20" s="2">
        <f>(-2/PI())*((-2*$G$3*SIN(G20*$O$3))/(G20*$I$3)+($G$3*SIN(G20*$O$3))/(G20*$I$3^2)+($G$3/(2*$I$3^2))*(((SIN($O$3*(1+G20)))/(G20+1))+(SIN($O$3*(G20-1)))/(G20-1))+(2*$G$3*$I$3*SIN($O$3*G20))/(G20*(1-$I$3)^2)-($G$3*SIN(G20*$O$3))/(G20*(1-$I$3)^2)-((0.5*$G$3)/(1-$I$3)^2)*((SIN((1+G20)*$O$3))/(1+G20)+(SIN($O$3*(G20-1)))/(G20-1)))</f>
        <v>6.462208011565264E-4</v>
      </c>
      <c r="I20" s="2">
        <f>(-2/PI())*((((2*$I$3*$G$3-$G$3)/(1-$I$3)^2)-$M$4)*(SIN(G20*$O$4)/G20)-(0.5*$G$3/(1-$I$3)^2)*((SIN($O$4*(G20+1))/(G20+1))+(SIN($O$4*(G20-1))/(G20-1)))+(SIN(G20*$O$3)-SIN(G20*$O$4))*((2*$I$3*$G$3-$G$3)/(G20*(1-$I$3)^2))-0.5*($G$3/(1-$I$3)^2)*((SIN($O$3*(G20+1))-SIN($O$4*(G20+1)))/(G20+1)+((SIN($O$3*(G20-1)-SIN($O$4*(G20-1)))/(G20-1)))-SIN(G20*$O$3)*((2*$G$3*$I$3-$G$3)/(G20*($I$3^2)))+(($G$3*0.5)/($I$3^2))*((SIN($O$3*(G20+1)))/(G20+1)+(SIN($O$3*(G20-1))/(G20-1)))))</f>
        <v>9.0779130833949194E-3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4:22" x14ac:dyDescent="0.25">
      <c r="D21" s="4"/>
      <c r="E21" s="4"/>
      <c r="F21" s="4"/>
      <c r="G21" s="1">
        <v>13</v>
      </c>
      <c r="H21" s="2">
        <f>(-2/PI())*((-2*$G$3*SIN(G21*$O$3))/(G21*$I$3)+($G$3*SIN(G21*$O$3))/(G21*$I$3^2)+($G$3/(2*$I$3^2))*(((SIN($O$3*(1+G21)))/(G21+1))+(SIN($O$3*(G21-1)))/(G21-1))+(2*$G$3*$I$3*SIN($O$3*G21))/(G21*(1-$I$3)^2)-($G$3*SIN(G21*$O$3))/(G21*(1-$I$3)^2)-((0.5*$G$3)/(1-$I$3)^2)*((SIN((1+G21)*$O$3))/(1+G21)+(SIN($O$3*(G21-1)))/(G21-1)))</f>
        <v>-2.5585192448483447E-3</v>
      </c>
      <c r="I21" s="2">
        <f>(-2/PI())*((((2*$I$3*$G$3-$G$3)/(1-$I$3)^2)-$M$4)*(SIN(G21*$O$4)/G21)-(0.5*$G$3/(1-$I$3)^2)*((SIN($O$4*(G21+1))/(G21+1))+(SIN($O$4*(G21-1))/(G21-1)))+(SIN(G21*$O$3)-SIN(G21*$O$4))*((2*$I$3*$G$3-$G$3)/(G21*(1-$I$3)^2))-0.5*($G$3/(1-$I$3)^2)*((SIN($O$3*(G21+1))-SIN($O$4*(G21+1)))/(G21+1)+((SIN($O$3*(G21-1)-SIN($O$4*(G21-1)))/(G21-1)))-SIN(G21*$O$3)*((2*$G$3*$I$3-$G$3)/(G21*($I$3^2)))+(($G$3*0.5)/($I$3^2))*((SIN($O$3*(G21+1)))/(G21+1)+(SIN($O$3*(G21-1))/(G21-1)))))</f>
        <v>6.0563518643253628E-3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4:22" x14ac:dyDescent="0.25">
      <c r="D22" s="4"/>
      <c r="E22" s="4"/>
      <c r="F22" s="4"/>
      <c r="G22" s="1">
        <v>14</v>
      </c>
      <c r="H22" s="2">
        <f>(-2/PI())*((-2*$G$3*SIN(G22*$O$3))/(G22*$I$3)+($G$3*SIN(G22*$O$3))/(G22*$I$3^2)+($G$3/(2*$I$3^2))*(((SIN($O$3*(1+G22)))/(G22+1))+(SIN($O$3*(G22-1)))/(G22-1))+(2*$G$3*$I$3*SIN($O$3*G22))/(G22*(1-$I$3)^2)-($G$3*SIN(G22*$O$3))/(G22*(1-$I$3)^2)-((0.5*$G$3)/(1-$I$3)^2)*((SIN((1+G22)*$O$3))/(1+G22)+(SIN($O$3*(G22-1)))/(G22-1)))</f>
        <v>2.1869647604606957E-3</v>
      </c>
      <c r="I22" s="2">
        <f>(-2/PI())*((((2*$I$3*$G$3-$G$3)/(1-$I$3)^2)-$M$4)*(SIN(G22*$O$4)/G22)-(0.5*$G$3/(1-$I$3)^2)*((SIN($O$4*(G22+1))/(G22+1))+(SIN($O$4*(G22-1))/(G22-1)))+(SIN(G22*$O$3)-SIN(G22*$O$4))*((2*$I$3*$G$3-$G$3)/(G22*(1-$I$3)^2))-0.5*($G$3/(1-$I$3)^2)*((SIN($O$3*(G22+1))-SIN($O$4*(G22+1)))/(G22+1)+((SIN($O$3*(G22-1)-SIN($O$4*(G22-1)))/(G22-1)))-SIN(G22*$O$3)*((2*$G$3*$I$3-$G$3)/(G22*($I$3^2)))+(($G$3*0.5)/($I$3^2))*((SIN($O$3*(G22+1)))/(G22+1)+(SIN($O$3*(G22-1))/(G22-1)))))</f>
        <v>-2.3881948517165924E-3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4:22" x14ac:dyDescent="0.25">
      <c r="D23" s="4"/>
      <c r="E23" s="4"/>
      <c r="F23" s="4"/>
      <c r="G23" s="1">
        <v>15</v>
      </c>
      <c r="H23" s="2">
        <f>(-2/PI())*((-2*$G$3*SIN(G23*$O$3))/(G23*$I$3)+($G$3*SIN(G23*$O$3))/(G23*$I$3^2)+($G$3/(2*$I$3^2))*(((SIN($O$3*(1+G23)))/(G23+1))+(SIN($O$3*(G23-1)))/(G23-1))+(2*$G$3*$I$3*SIN($O$3*G23))/(G23*(1-$I$3)^2)-($G$3*SIN(G23*$O$3))/(G23*(1-$I$3)^2)-((0.5*$G$3)/(1-$I$3)^2)*((SIN((1+G23)*$O$3))/(1+G23)+(SIN($O$3*(G23-1)))/(G23-1)))</f>
        <v>-3.7742356484751701E-4</v>
      </c>
      <c r="I23" s="2">
        <f>(-2/PI())*((((2*$I$3*$G$3-$G$3)/(1-$I$3)^2)-$M$4)*(SIN(G23*$O$4)/G23)-(0.5*$G$3/(1-$I$3)^2)*((SIN($O$4*(G23+1))/(G23+1))+(SIN($O$4*(G23-1))/(G23-1)))+(SIN(G23*$O$3)-SIN(G23*$O$4))*((2*$I$3*$G$3-$G$3)/(G23*(1-$I$3)^2))-0.5*($G$3/(1-$I$3)^2)*((SIN($O$3*(G23+1))-SIN($O$4*(G23+1)))/(G23+1)+((SIN($O$3*(G23-1)-SIN($O$4*(G23-1)))/(G23-1)))-SIN(G23*$O$3)*((2*$G$3*$I$3-$G$3)/(G23*($I$3^2)))+(($G$3*0.5)/($I$3^2))*((SIN($O$3*(G23+1)))/(G23+1)+(SIN($O$3*(G23-1))/(G23-1)))))</f>
        <v>-7.3415519177864527E-3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4:22" x14ac:dyDescent="0.25">
      <c r="D24" s="4"/>
      <c r="E24" s="4"/>
      <c r="F24" s="4"/>
      <c r="G24" s="1">
        <v>16</v>
      </c>
      <c r="H24" s="2">
        <f>(-2/PI())*((-2*$G$3*SIN(G24*$O$3))/(G24*$I$3)+($G$3*SIN(G24*$O$3))/(G24*$I$3^2)+($G$3/(2*$I$3^2))*(((SIN($O$3*(1+G24)))/(G24+1))+(SIN($O$3*(G24-1)))/(G24-1))+(2*$G$3*$I$3*SIN($O$3*G24))/(G24*(1-$I$3)^2)-($G$3*SIN(G24*$O$3))/(G24*(1-$I$3)^2)-((0.5*$G$3)/(1-$I$3)^2)*((SIN((1+G24)*$O$3))/(1+G24)+(SIN($O$3*(G24-1)))/(G24-1)))</f>
        <v>-1.2727598658078278E-3</v>
      </c>
      <c r="I24" s="2">
        <f>(-2/PI())*((((2*$I$3*$G$3-$G$3)/(1-$I$3)^2)-$M$4)*(SIN(G24*$O$4)/G24)-(0.5*$G$3/(1-$I$3)^2)*((SIN($O$4*(G24+1))/(G24+1))+(SIN($O$4*(G24-1))/(G24-1)))+(SIN(G24*$O$3)-SIN(G24*$O$4))*((2*$I$3*$G$3-$G$3)/(G24*(1-$I$3)^2))-0.5*($G$3/(1-$I$3)^2)*((SIN($O$3*(G24+1))-SIN($O$4*(G24+1)))/(G24+1)+((SIN($O$3*(G24-1)-SIN($O$4*(G24-1)))/(G24-1)))-SIN(G24*$O$3)*((2*$G$3*$I$3-$G$3)/(G24*($I$3^2)))+(($G$3*0.5)/($I$3^2))*((SIN($O$3*(G24+1)))/(G24+1)+(SIN($O$3*(G24-1))/(G24-1)))))</f>
        <v>-4.0886751538840903E-3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4:22" x14ac:dyDescent="0.25">
      <c r="D25" s="4"/>
      <c r="E25" s="4"/>
      <c r="F25" s="4"/>
      <c r="G25" s="1">
        <v>17</v>
      </c>
      <c r="H25" s="2">
        <f>(-2/PI())*((-2*$G$3*SIN(G25*$O$3))/(G25*$I$3)+($G$3*SIN(G25*$O$3))/(G25*$I$3^2)+($G$3/(2*$I$3^2))*(((SIN($O$3*(1+G25)))/(G25+1))+(SIN($O$3*(G25-1)))/(G25-1))+(2*$G$3*$I$3*SIN($O$3*G25))/(G25*(1-$I$3)^2)-($G$3*SIN(G25*$O$3))/(G25*(1-$I$3)^2)-((0.5*$G$3)/(1-$I$3)^2)*((SIN((1+G25)*$O$3))/(1+G25)+(SIN($O$3*(G25-1)))/(G25-1)))</f>
        <v>1.6511621850764787E-3</v>
      </c>
      <c r="I25" s="2">
        <f>(-2/PI())*((((2*$I$3*$G$3-$G$3)/(1-$I$3)^2)-$M$4)*(SIN(G25*$O$4)/G25)-(0.5*$G$3/(1-$I$3)^2)*((SIN($O$4*(G25+1))/(G25+1))+(SIN($O$4*(G25-1))/(G25-1)))+(SIN(G25*$O$3)-SIN(G25*$O$4))*((2*$I$3*$G$3-$G$3)/(G25*(1-$I$3)^2))-0.5*($G$3/(1-$I$3)^2)*((SIN($O$3*(G25+1))-SIN($O$4*(G25+1)))/(G25+1)+((SIN($O$3*(G25-1)-SIN($O$4*(G25-1)))/(G25-1)))-SIN(G25*$O$3)*((2*$G$3*$I$3-$G$3)/(G25*($I$3^2)))+(($G$3*0.5)/($I$3^2))*((SIN($O$3*(G25+1)))/(G25+1)+(SIN($O$3*(G25-1))/(G25-1)))))</f>
        <v>4.219233238483896E-3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4:22" x14ac:dyDescent="0.25">
      <c r="D26" s="4"/>
      <c r="E26" s="4"/>
      <c r="F26" s="4"/>
      <c r="G26" s="1">
        <v>18</v>
      </c>
      <c r="H26" s="2">
        <f>(-2/PI())*((-2*$G$3*SIN(G26*$O$3))/(G26*$I$3)+($G$3*SIN(G26*$O$3))/(G26*$I$3^2)+($G$3/(2*$I$3^2))*(((SIN($O$3*(1+G26)))/(G26+1))+(SIN($O$3*(G26-1)))/(G26-1))+(2*$G$3*$I$3*SIN($O$3*G26))/(G26*(1-$I$3)^2)-($G$3*SIN(G26*$O$3))/(G26*(1-$I$3)^2)-((0.5*$G$3)/(1-$I$3)^2)*((SIN((1+G26)*$O$3))/(1+G26)+(SIN($O$3*(G26-1)))/(G26-1)))</f>
        <v>-7.6801634676010387E-4</v>
      </c>
      <c r="I26" s="2">
        <f>(-2/PI())*((((2*$I$3*$G$3-$G$3)/(1-$I$3)^2)-$M$4)*(SIN(G26*$O$4)/G26)-(0.5*$G$3/(1-$I$3)^2)*((SIN($O$4*(G26+1))/(G26+1))+(SIN($O$4*(G26-1))/(G26-1)))+(SIN(G26*$O$3)-SIN(G26*$O$4))*((2*$I$3*$G$3-$G$3)/(G26*(1-$I$3)^2))-0.5*($G$3/(1-$I$3)^2)*((SIN($O$3*(G26+1))-SIN($O$4*(G26+1)))/(G26+1)+((SIN($O$3*(G26-1)-SIN($O$4*(G26-1)))/(G26-1)))-SIN(G26*$O$3)*((2*$G$3*$I$3-$G$3)/(G26*($I$3^2)))+(($G$3*0.5)/($I$3^2))*((SIN($O$3*(G26+1)))/(G26+1)+(SIN($O$3*(G26-1))/(G26-1)))))</f>
        <v>5.7452677062238052E-3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4:22" x14ac:dyDescent="0.25">
      <c r="D27" s="4"/>
      <c r="E27" s="4"/>
      <c r="F27" s="4"/>
      <c r="G27" s="1">
        <v>19</v>
      </c>
      <c r="H27" s="2">
        <f>(-2/PI())*((-2*$G$3*SIN(G27*$O$3))/(G27*$I$3)+($G$3*SIN(G27*$O$3))/(G27*$I$3^2)+($G$3/(2*$I$3^2))*(((SIN($O$3*(1+G27)))/(G27+1))+(SIN($O$3*(G27-1)))/(G27-1))+(2*$G$3*$I$3*SIN($O$3*G27))/(G27*(1-$I$3)^2)-($G$3*SIN(G27*$O$3))/(G27*(1-$I$3)^2)-((0.5*$G$3)/(1-$I$3)^2)*((SIN((1+G27)*$O$3))/(1+G27)+(SIN($O$3*(G27-1)))/(G27-1)))</f>
        <v>-4.9147209356028708E-4</v>
      </c>
      <c r="I27" s="2">
        <f>(-2/PI())*((((2*$I$3*$G$3-$G$3)/(1-$I$3)^2)-$M$4)*(SIN(G27*$O$4)/G27)-(0.5*$G$3/(1-$I$3)^2)*((SIN($O$4*(G27+1))/(G27+1))+(SIN($O$4*(G27-1))/(G27-1)))+(SIN(G27*$O$3)-SIN(G27*$O$4))*((2*$I$3*$G$3-$G$3)/(G27*(1-$I$3)^2))-0.5*($G$3/(1-$I$3)^2)*((SIN($O$3*(G27+1))-SIN($O$4*(G27+1)))/(G27+1)+((SIN($O$3*(G27-1)-SIN($O$4*(G27-1)))/(G27-1)))-SIN(G27*$O$3)*((2*$G$3*$I$3-$G$3)/(G27*($I$3^2)))+(($G$3*0.5)/($I$3^2))*((SIN($O$3*(G27+1)))/(G27+1)+(SIN($O$3*(G27-1))/(G27-1)))))</f>
        <v>9.7146342123466184E-4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4:22" x14ac:dyDescent="0.25">
      <c r="D28" s="4"/>
      <c r="E28" s="4"/>
      <c r="F28" s="4"/>
      <c r="G28" s="1">
        <v>20</v>
      </c>
      <c r="H28" s="2">
        <f>(-2/PI())*((-2*$G$3*SIN(G28*$O$3))/(G28*$I$3)+($G$3*SIN(G28*$O$3))/(G28*$I$3^2)+($G$3/(2*$I$3^2))*(((SIN($O$3*(1+G28)))/(G28+1))+(SIN($O$3*(G28-1)))/(G28-1))+(2*$G$3*$I$3*SIN($O$3*G28))/(G28*(1-$I$3)^2)-($G$3*SIN(G28*$O$3))/(G28*(1-$I$3)^2)-((0.5*$G$3)/(1-$I$3)^2)*((SIN((1+G28)*$O$3))/(1+G28)+(SIN($O$3*(G28-1)))/(G28-1)))</f>
        <v>1.1553257918140779E-3</v>
      </c>
      <c r="I28" s="2">
        <f>(-2/PI())*((((2*$I$3*$G$3-$G$3)/(1-$I$3)^2)-$M$4)*(SIN(G28*$O$4)/G28)-(0.5*$G$3/(1-$I$3)^2)*((SIN($O$4*(G28+1))/(G28+1))+(SIN($O$4*(G28-1))/(G28-1)))+(SIN(G28*$O$3)-SIN(G28*$O$4))*((2*$I$3*$G$3-$G$3)/(G28*(1-$I$3)^2))-0.5*($G$3/(1-$I$3)^2)*((SIN($O$3*(G28+1))-SIN($O$4*(G28+1)))/(G28+1)+((SIN($O$3*(G28-1)-SIN($O$4*(G28-1)))/(G28-1)))-SIN(G28*$O$3)*((2*$G$3*$I$3-$G$3)/(G28*($I$3^2)))+(($G$3*0.5)/($I$3^2))*((SIN($O$3*(G28+1)))/(G28+1)+(SIN($O$3*(G28-1))/(G28-1)))))</f>
        <v>-5.3307235947363156E-3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4:22" x14ac:dyDescent="0.25">
      <c r="D29" s="4"/>
      <c r="E29" s="4"/>
      <c r="F29" s="4"/>
      <c r="G29" s="1">
        <v>21</v>
      </c>
      <c r="H29" s="2">
        <f>(-2/PI())*((-2*$G$3*SIN(G29*$O$3))/(G29*$I$3)+($G$3*SIN(G29*$O$3))/(G29*$I$3^2)+($G$3/(2*$I$3^2))*(((SIN($O$3*(1+G29)))/(G29+1))+(SIN($O$3*(G29-1)))/(G29-1))+(2*$G$3*$I$3*SIN($O$3*G29))/(G29*(1-$I$3)^2)-($G$3*SIN(G29*$O$3))/(G29*(1-$I$3)^2)-((0.5*$G$3)/(1-$I$3)^2)*((SIN((1+G29)*$O$3))/(1+G29)+(SIN($O$3*(G29-1)))/(G29-1)))</f>
        <v>-8.5824187815699378E-4</v>
      </c>
      <c r="I29" s="2">
        <f>(-2/PI())*((((2*$I$3*$G$3-$G$3)/(1-$I$3)^2)-$M$4)*(SIN(G29*$O$4)/G29)-(0.5*$G$3/(1-$I$3)^2)*((SIN($O$4*(G29+1))/(G29+1))+(SIN($O$4*(G29-1))/(G29-1)))+(SIN(G29*$O$3)-SIN(G29*$O$4))*((2*$I$3*$G$3-$G$3)/(G29*(1-$I$3)^2))-0.5*($G$3/(1-$I$3)^2)*((SIN($O$3*(G29+1))-SIN($O$4*(G29+1)))/(G29+1)+((SIN($O$3*(G29-1)-SIN($O$4*(G29-1)))/(G29-1)))-SIN(G29*$O$3)*((2*$G$3*$I$3-$G$3)/(G29*($I$3^2)))+(($G$3*0.5)/($I$3^2))*((SIN($O$3*(G29+1)))/(G29+1)+(SIN($O$3*(G29-1))/(G29-1)))))</f>
        <v>-3.948529682301331E-3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4:22" x14ac:dyDescent="0.25">
      <c r="D30" s="4"/>
      <c r="E30" s="4"/>
      <c r="F30" s="4"/>
      <c r="G30" s="1">
        <v>22</v>
      </c>
      <c r="H30" s="2">
        <f>(-2/PI())*((-2*$G$3*SIN(G30*$O$3))/(G30*$I$3)+($G$3*SIN(G30*$O$3))/(G30*$I$3^2)+($G$3/(2*$I$3^2))*(((SIN($O$3*(1+G30)))/(G30+1))+(SIN($O$3*(G30-1)))/(G30-1))+(2*$G$3*$I$3*SIN($O$3*G30))/(G30*(1-$I$3)^2)-($G$3*SIN(G30*$O$3))/(G30*(1-$I$3)^2)-((0.5*$G$3)/(1-$I$3)^2)*((SIN((1+G30)*$O$3))/(1+G30)+(SIN($O$3*(G30-1)))/(G30-1)))</f>
        <v>-1.4064987604906883E-5</v>
      </c>
      <c r="I30" s="2">
        <f>(-2/PI())*((((2*$I$3*$G$3-$G$3)/(1-$I$3)^2)-$M$4)*(SIN(G30*$O$4)/G30)-(0.5*$G$3/(1-$I$3)^2)*((SIN($O$4*(G30+1))/(G30+1))+(SIN($O$4*(G30-1))/(G30-1)))+(SIN(G30*$O$3)-SIN(G30*$O$4))*((2*$I$3*$G$3-$G$3)/(G30*(1-$I$3)^2))-0.5*($G$3/(1-$I$3)^2)*((SIN($O$3*(G30+1))-SIN($O$4*(G30+1)))/(G30+1)+((SIN($O$3*(G30-1)-SIN($O$4*(G30-1)))/(G30-1)))-SIN(G30*$O$3)*((2*$G$3*$I$3-$G$3)/(G30*($I$3^2)))+(($G$3*0.5)/($I$3^2))*((SIN($O$3*(G30+1)))/(G30+1)+(SIN($O$3*(G30-1))/(G30-1)))))</f>
        <v>5.2896237022525292E-4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4:22" x14ac:dyDescent="0.25">
      <c r="D31" s="4"/>
      <c r="E31" s="4"/>
      <c r="F31" s="4"/>
      <c r="G31" s="1">
        <v>23</v>
      </c>
      <c r="H31" s="2">
        <f>(-2/PI())*((-2*$G$3*SIN(G31*$O$3))/(G31*$I$3)+($G$3*SIN(G31*$O$3))/(G31*$I$3^2)+($G$3/(2*$I$3^2))*(((SIN($O$3*(1+G31)))/(G31+1))+(SIN($O$3*(G31-1)))/(G31-1))+(2*$G$3*$I$3*SIN($O$3*G31))/(G31*(1-$I$3)^2)-($G$3*SIN(G31*$O$3))/(G31*(1-$I$3)^2)-((0.5*$G$3)/(1-$I$3)^2)*((SIN((1+G31)*$O$3))/(1+G31)+(SIN($O$3*(G31-1)))/(G31-1)))</f>
        <v>7.3067305149614127E-4</v>
      </c>
      <c r="I31" s="2">
        <f>(-2/PI())*((((2*$I$3*$G$3-$G$3)/(1-$I$3)^2)-$M$4)*(SIN(G31*$O$4)/G31)-(0.5*$G$3/(1-$I$3)^2)*((SIN($O$4*(G31+1))/(G31+1))+(SIN($O$4*(G31-1))/(G31-1)))+(SIN(G31*$O$3)-SIN(G31*$O$4))*((2*$I$3*$G$3-$G$3)/(G31*(1-$I$3)^2))-0.5*($G$3/(1-$I$3)^2)*((SIN($O$3*(G31+1))-SIN($O$4*(G31+1)))/(G31+1)+((SIN($O$3*(G31-1)-SIN($O$4*(G31-1)))/(G31-1)))-SIN(G31*$O$3)*((2*$G$3*$I$3-$G$3)/(G31*($I$3^2)))+(($G$3*0.5)/($I$3^2))*((SIN($O$3*(G31+1)))/(G31+1)+(SIN($O$3*(G31-1))/(G31-1)))))</f>
        <v>5.1346742080947893E-3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4:22" x14ac:dyDescent="0.25">
      <c r="D32" s="4"/>
      <c r="E32" s="4"/>
      <c r="F32" s="4"/>
      <c r="G32" s="1">
        <v>24</v>
      </c>
      <c r="H32" s="2">
        <f>(-2/PI())*((-2*$G$3*SIN(G32*$O$3))/(G32*$I$3)+($G$3*SIN(G32*$O$3))/(G32*$I$3^2)+($G$3/(2*$I$3^2))*(((SIN($O$3*(1+G32)))/(G32+1))+(SIN($O$3*(G32-1)))/(G32-1))+(2*$G$3*$I$3*SIN($O$3*G32))/(G32*(1-$I$3)^2)-($G$3*SIN(G32*$O$3))/(G32*(1-$I$3)^2)-((0.5*$G$3)/(1-$I$3)^2)*((SIN((1+G32)*$O$3))/(1+G32)+(SIN($O$3*(G32-1)))/(G32-1)))</f>
        <v>-7.9484845926368667E-4</v>
      </c>
      <c r="I32" s="2">
        <f>(-2/PI())*((((2*$I$3*$G$3-$G$3)/(1-$I$3)^2)-$M$4)*(SIN(G32*$O$4)/G32)-(0.5*$G$3/(1-$I$3)^2)*((SIN($O$4*(G32+1))/(G32+1))+(SIN($O$4*(G32-1))/(G32-1)))+(SIN(G32*$O$3)-SIN(G32*$O$4))*((2*$I$3*$G$3-$G$3)/(G32*(1-$I$3)^2))-0.5*($G$3/(1-$I$3)^2)*((SIN($O$3*(G32+1))-SIN($O$4*(G32+1)))/(G32+1)+((SIN($O$3*(G32-1)-SIN($O$4*(G32-1)))/(G32-1)))-SIN(G32*$O$3)*((2*$G$3*$I$3-$G$3)/(G32*($I$3^2)))+(($G$3*0.5)/($I$3^2))*((SIN($O$3*(G32+1)))/(G32+1)+(SIN($O$3*(G32-1))/(G32-1)))))</f>
        <v>2.1465868735646996E-3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4:22" x14ac:dyDescent="0.25">
      <c r="D33" s="4"/>
      <c r="E33" s="4"/>
      <c r="F33" s="4"/>
      <c r="G33" s="1">
        <v>25</v>
      </c>
      <c r="H33" s="2">
        <f>(-2/PI())*((-2*$G$3*SIN(G33*$O$3))/(G33*$I$3)+($G$3*SIN(G33*$O$3))/(G33*$I$3^2)+($G$3/(2*$I$3^2))*(((SIN($O$3*(1+G33)))/(G33+1))+(SIN($O$3*(G33-1)))/(G33-1))+(2*$G$3*$I$3*SIN($O$3*G33))/(G33*(1-$I$3)^2)-($G$3*SIN(G33*$O$3))/(G33*(1-$I$3)^2)-((0.5*$G$3)/(1-$I$3)^2)*((SIN((1+G33)*$O$3))/(1+G33)+(SIN($O$3*(G33-1)))/(G33-1)))</f>
        <v>2.6218571130303813E-4</v>
      </c>
      <c r="I33" s="2">
        <f>(-2/PI())*((((2*$I$3*$G$3-$G$3)/(1-$I$3)^2)-$M$4)*(SIN(G33*$O$4)/G33)-(0.5*$G$3/(1-$I$3)^2)*((SIN($O$4*(G33+1))/(G33+1))+(SIN($O$4*(G33-1))/(G33-1)))+(SIN(G33*$O$3)-SIN(G33*$O$4))*((2*$I$3*$G$3-$G$3)/(G33*(1-$I$3)^2))-0.5*($G$3/(1-$I$3)^2)*((SIN($O$3*(G33+1))-SIN($O$4*(G33+1)))/(G33+1)+((SIN($O$3*(G33-1)-SIN($O$4*(G33-1)))/(G33-1)))-SIN(G33*$O$3)*((2*$G$3*$I$3-$G$3)/(G33*($I$3^2)))+(($G$3*0.5)/($I$3^2))*((SIN($O$3*(G33+1)))/(G33+1)+(SIN($O$3*(G33-1))/(G33-1)))))</f>
        <v>-2.2355786779015884E-3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4:22" x14ac:dyDescent="0.25">
      <c r="D34" s="4"/>
      <c r="E34" s="4"/>
      <c r="F34" s="4"/>
      <c r="G34" s="1">
        <v>26</v>
      </c>
      <c r="H34" s="2">
        <f>(-2/PI())*((-2*$G$3*SIN(G34*$O$3))/(G34*$I$3)+($G$3*SIN(G34*$O$3))/(G34*$I$3^2)+($G$3/(2*$I$3^2))*(((SIN($O$3*(1+G34)))/(G34+1))+(SIN($O$3*(G34-1)))/(G34-1))+(2*$G$3*$I$3*SIN($O$3*G34))/(G34*(1-$I$3)^2)-($G$3*SIN(G34*$O$3))/(G34*(1-$I$3)^2)-((0.5*$G$3)/(1-$I$3)^2)*((SIN((1+G34)*$O$3))/(1+G34)+(SIN($O$3*(G34-1)))/(G34-1)))</f>
        <v>3.8577567496206371E-4</v>
      </c>
      <c r="I34" s="2">
        <f>(-2/PI())*((((2*$I$3*$G$3-$G$3)/(1-$I$3)^2)-$M$4)*(SIN(G34*$O$4)/G34)-(0.5*$G$3/(1-$I$3)^2)*((SIN($O$4*(G34+1))/(G34+1))+(SIN($O$4*(G34-1))/(G34-1)))+(SIN(G34*$O$3)-SIN(G34*$O$4))*((2*$I$3*$G$3-$G$3)/(G34*(1-$I$3)^2))-0.5*($G$3/(1-$I$3)^2)*((SIN($O$3*(G34+1))-SIN($O$4*(G34+1)))/(G34+1)+((SIN($O$3*(G34-1)-SIN($O$4*(G34-1)))/(G34-1)))-SIN(G34*$O$3)*((2*$G$3*$I$3-$G$3)/(G34*($I$3^2)))+(($G$3*0.5)/($I$3^2))*((SIN($O$3*(G34+1)))/(G34+1)+(SIN($O$3*(G34-1))/(G34-1)))))</f>
        <v>-4.3141612521343312E-3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4:22" x14ac:dyDescent="0.25">
      <c r="D35" s="4"/>
      <c r="E35" s="4"/>
      <c r="F35" s="4"/>
      <c r="G35" s="1">
        <v>27</v>
      </c>
      <c r="H35" s="2">
        <f>(-2/PI())*((-2*$G$3*SIN(G35*$O$3))/(G35*$I$3)+($G$3*SIN(G35*$O$3))/(G35*$I$3^2)+($G$3/(2*$I$3^2))*(((SIN($O$3*(1+G35)))/(G35+1))+(SIN($O$3*(G35-1)))/(G35-1))+(2*$G$3*$I$3*SIN($O$3*G35))/(G35*(1-$I$3)^2)-($G$3*SIN(G35*$O$3))/(G35*(1-$I$3)^2)-((0.5*$G$3)/(1-$I$3)^2)*((SIN((1+G35)*$O$3))/(1+G35)+(SIN($O$3*(G35-1)))/(G35-1)))</f>
        <v>-6.5459493321734584E-4</v>
      </c>
      <c r="I35" s="2">
        <f>(-2/PI())*((((2*$I$3*$G$3-$G$3)/(1-$I$3)^2)-$M$4)*(SIN(G35*$O$4)/G35)-(0.5*$G$3/(1-$I$3)^2)*((SIN($O$4*(G35+1))/(G35+1))+(SIN($O$4*(G35-1))/(G35-1)))+(SIN(G35*$O$3)-SIN(G35*$O$4))*((2*$I$3*$G$3-$G$3)/(G35*(1-$I$3)^2))-0.5*($G$3/(1-$I$3)^2)*((SIN($O$3*(G35+1))-SIN($O$4*(G35+1)))/(G35+1)+((SIN($O$3*(G35-1)-SIN($O$4*(G35-1)))/(G35-1)))-SIN(G35*$O$3)*((2*$G$3*$I$3-$G$3)/(G35*($I$3^2)))+(($G$3*0.5)/($I$3^2))*((SIN($O$3*(G35+1)))/(G35+1)+(SIN($O$3*(G35-1))/(G35-1)))))</f>
        <v>-1.0912611540431665E-3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4:22" x14ac:dyDescent="0.25">
      <c r="D36" s="4"/>
      <c r="E36" s="4"/>
      <c r="F36" s="4"/>
      <c r="G36" s="1">
        <v>28</v>
      </c>
      <c r="H36" s="2">
        <f>(-2/PI())*((-2*$G$3*SIN(G36*$O$3))/(G36*$I$3)+($G$3*SIN(G36*$O$3))/(G36*$I$3^2)+($G$3/(2*$I$3^2))*(((SIN($O$3*(1+G36)))/(G36+1))+(SIN($O$3*(G36-1)))/(G36-1))+(2*$G$3*$I$3*SIN($O$3*G36))/(G36*(1-$I$3)^2)-($G$3*SIN(G36*$O$3))/(G36*(1-$I$3)^2)-((0.5*$G$3)/(1-$I$3)^2)*((SIN((1+G36)*$O$3))/(1+G36)+(SIN($O$3*(G36-1)))/(G36-1)))</f>
        <v>3.9877530904115538E-4</v>
      </c>
      <c r="I36" s="2">
        <f>(-2/PI())*((((2*$I$3*$G$3-$G$3)/(1-$I$3)^2)-$M$4)*(SIN(G36*$O$4)/G36)-(0.5*$G$3/(1-$I$3)^2)*((SIN($O$4*(G36+1))/(G36+1))+(SIN($O$4*(G36-1))/(G36-1)))+(SIN(G36*$O$3)-SIN(G36*$O$4))*((2*$I$3*$G$3-$G$3)/(G36*(1-$I$3)^2))-0.5*($G$3/(1-$I$3)^2)*((SIN($O$3*(G36+1))-SIN($O$4*(G36+1)))/(G36+1)+((SIN($O$3*(G36-1)-SIN($O$4*(G36-1)))/(G36-1)))-SIN(G36*$O$3)*((2*$G$3*$I$3-$G$3)/(G36*($I$3^2)))+(($G$3*0.5)/($I$3^2))*((SIN($O$3*(G36+1)))/(G36+1)+(SIN($O$3*(G36-1))/(G36-1)))))</f>
        <v>3.2215548130157773E-3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4:22" x14ac:dyDescent="0.25">
      <c r="D37" s="4"/>
      <c r="E37" s="4"/>
      <c r="F37" s="4"/>
      <c r="G37" s="1">
        <v>29</v>
      </c>
      <c r="H37" s="2">
        <f>(-2/PI())*((-2*$G$3*SIN(G37*$O$3))/(G37*$I$3)+($G$3*SIN(G37*$O$3))/(G37*$I$3^2)+($G$3/(2*$I$3^2))*(((SIN($O$3*(1+G37)))/(G37+1))+(SIN($O$3*(G37-1)))/(G37-1))+(2*$G$3*$I$3*SIN($O$3*G37))/(G37*(1-$I$3)^2)-($G$3*SIN(G37*$O$3))/(G37*(1-$I$3)^2)-((0.5*$G$3)/(1-$I$3)^2)*((SIN((1+G37)*$O$3))/(1+G37)+(SIN($O$3*(G37-1)))/(G37-1)))</f>
        <v>1.2068726266233992E-4</v>
      </c>
      <c r="I37" s="2">
        <f>(-2/PI())*((((2*$I$3*$G$3-$G$3)/(1-$I$3)^2)-$M$4)*(SIN(G37*$O$4)/G37)-(0.5*$G$3/(1-$I$3)^2)*((SIN($O$4*(G37+1))/(G37+1))+(SIN($O$4*(G37-1))/(G37-1)))+(SIN(G37*$O$3)-SIN(G37*$O$4))*((2*$I$3*$G$3-$G$3)/(G37*(1-$I$3)^2))-0.5*($G$3/(1-$I$3)^2)*((SIN($O$3*(G37+1))-SIN($O$4*(G37+1)))/(G37+1)+((SIN($O$3*(G37-1)-SIN($O$4*(G37-1)))/(G37-1)))-SIN(G37*$O$3)*((2*$G$3*$I$3-$G$3)/(G37*($I$3^2)))+(($G$3*0.5)/($I$3^2))*((SIN($O$3*(G37+1)))/(G37+1)+(SIN($O$3*(G37-1))/(G37-1)))))</f>
        <v>3.5126634777117765E-3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4:22" x14ac:dyDescent="0.25">
      <c r="D38" s="4"/>
      <c r="E38" s="4"/>
      <c r="F38" s="4"/>
      <c r="G38" s="1">
        <v>30</v>
      </c>
      <c r="H38" s="2">
        <f>(-2/PI())*((-2*$G$3*SIN(G38*$O$3))/(G38*$I$3)+($G$3*SIN(G38*$O$3))/(G38*$I$3^2)+($G$3/(2*$I$3^2))*(((SIN($O$3*(1+G38)))/(G38+1))+(SIN($O$3*(G38-1)))/(G38-1))+(2*$G$3*$I$3*SIN($O$3*G38))/(G38*(1-$I$3)^2)-($G$3*SIN(G38*$O$3))/(G38*(1-$I$3)^2)-((0.5*$G$3)/(1-$I$3)^2)*((SIN((1+G38)*$O$3))/(1+G38)+(SIN($O$3*(G38-1)))/(G38-1)))</f>
        <v>-4.8280161563739695E-4</v>
      </c>
      <c r="I38" s="2">
        <f>(-2/PI())*((((2*$I$3*$G$3-$G$3)/(1-$I$3)^2)-$M$4)*(SIN(G38*$O$4)/G38)-(0.5*$G$3/(1-$I$3)^2)*((SIN($O$4*(G38+1))/(G38+1))+(SIN($O$4*(G38-1))/(G38-1)))+(SIN(G38*$O$3)-SIN(G38*$O$4))*((2*$I$3*$G$3-$G$3)/(G38*(1-$I$3)^2))-0.5*($G$3/(1-$I$3)^2)*((SIN($O$3*(G38+1))-SIN($O$4*(G38+1)))/(G38+1)+((SIN($O$3*(G38-1)-SIN($O$4*(G38-1)))/(G38-1)))-SIN(G38*$O$3)*((2*$G$3*$I$3-$G$3)/(G38*($I$3^2)))+(($G$3*0.5)/($I$3^2))*((SIN($O$3*(G38+1)))/(G38+1)+(SIN($O$3*(G38-1))/(G38-1)))))</f>
        <v>-5.0993421445469584E-4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4:22" x14ac:dyDescent="0.25">
      <c r="D39" s="4"/>
      <c r="E39" s="4"/>
      <c r="F39" s="4"/>
      <c r="G39" s="1">
        <v>31</v>
      </c>
      <c r="H39" s="2">
        <f>(-2/PI())*((-2*$G$3*SIN(G39*$O$3))/(G39*$I$3)+($G$3*SIN(G39*$O$3))/(G39*$I$3^2)+($G$3/(2*$I$3^2))*(((SIN($O$3*(1+G39)))/(G39+1))+(SIN($O$3*(G39-1)))/(G39-1))+(2*$G$3*$I$3*SIN($O$3*G39))/(G39*(1-$I$3)^2)-($G$3*SIN(G39*$O$3))/(G39*(1-$I$3)^2)-((0.5*$G$3)/(1-$I$3)^2)*((SIN((1+G39)*$O$3))/(1+G39)+(SIN($O$3*(G39-1)))/(G39-1)))</f>
        <v>4.3755046276256913E-4</v>
      </c>
      <c r="I39" s="2">
        <f>(-2/PI())*((((2*$I$3*$G$3-$G$3)/(1-$I$3)^2)-$M$4)*(SIN(G39*$O$4)/G39)-(0.5*$G$3/(1-$I$3)^2)*((SIN($O$4*(G39+1))/(G39+1))+(SIN($O$4*(G39-1))/(G39-1)))+(SIN(G39*$O$3)-SIN(G39*$O$4))*((2*$I$3*$G$3-$G$3)/(G39*(1-$I$3)^2))-0.5*($G$3/(1-$I$3)^2)*((SIN($O$3*(G39+1))-SIN($O$4*(G39+1)))/(G39+1)+((SIN($O$3*(G39-1)-SIN($O$4*(G39-1)))/(G39-1)))-SIN(G39*$O$3)*((2*$G$3*$I$3-$G$3)/(G39*($I$3^2)))+(($G$3*0.5)/($I$3^2))*((SIN($O$3*(G39+1)))/(G39+1)+(SIN($O$3*(G39-1))/(G39-1)))))</f>
        <v>-3.8307732919291159E-3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4:22" x14ac:dyDescent="0.25">
      <c r="D40" s="4"/>
      <c r="E40" s="4"/>
      <c r="F40" s="4"/>
      <c r="G40" s="1">
        <v>32</v>
      </c>
      <c r="H40" s="2">
        <f>(-2/PI())*((-2*$G$3*SIN(G40*$O$3))/(G40*$I$3)+($G$3*SIN(G40*$O$3))/(G40*$I$3^2)+($G$3/(2*$I$3^2))*(((SIN($O$3*(1+G40)))/(G40+1))+(SIN($O$3*(G40-1)))/(G40-1))+(2*$G$3*$I$3*SIN($O$3*G40))/(G40*(1-$I$3)^2)-($G$3*SIN(G40*$O$3))/(G40*(1-$I$3)^2)-((0.5*$G$3)/(1-$I$3)^2)*((SIN((1+G40)*$O$3))/(1+G40)+(SIN($O$3*(G40-1)))/(G40-1)))</f>
        <v>-6.895849579645493E-5</v>
      </c>
      <c r="I40" s="2">
        <f>(-2/PI())*((((2*$I$3*$G$3-$G$3)/(1-$I$3)^2)-$M$4)*(SIN(G40*$O$4)/G40)-(0.5*$G$3/(1-$I$3)^2)*((SIN($O$4*(G40+1))/(G40+1))+(SIN($O$4*(G40-1))/(G40-1)))+(SIN(G40*$O$3)-SIN(G40*$O$4))*((2*$I$3*$G$3-$G$3)/(G40*(1-$I$3)^2))-0.5*($G$3/(1-$I$3)^2)*((SIN($O$3*(G40+1))-SIN($O$4*(G40+1)))/(G40+1)+((SIN($O$3*(G40-1)-SIN($O$4*(G40-1)))/(G40-1)))-SIN(G40*$O$3)*((2*$G$3*$I$3-$G$3)/(G40*($I$3^2)))+(($G$3*0.5)/($I$3^2))*((SIN($O$3*(G40+1)))/(G40+1)+(SIN($O$3*(G40-1))/(G40-1)))))</f>
        <v>-1.9849976999507064E-3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4:22" x14ac:dyDescent="0.25">
      <c r="D41" s="4"/>
      <c r="E41" s="4"/>
      <c r="F41" s="4"/>
      <c r="G41" s="1">
        <v>33</v>
      </c>
      <c r="H41" s="2">
        <f>(-2/PI())*((-2*$G$3*SIN(G41*$O$3))/(G41*$I$3)+($G$3*SIN(G41*$O$3))/(G41*$I$3^2)+($G$3/(2*$I$3^2))*(((SIN($O$3*(1+G41)))/(G41+1))+(SIN($O$3*(G41-1)))/(G41-1))+(2*$G$3*$I$3*SIN($O$3*G41))/(G41*(1-$I$3)^2)-($G$3*SIN(G41*$O$3))/(G41*(1-$I$3)^2)-((0.5*$G$3)/(1-$I$3)^2)*((SIN((1+G41)*$O$3))/(1+G41)+(SIN($O$3*(G41-1)))/(G41-1)))</f>
        <v>-3.0819140130274297E-4</v>
      </c>
      <c r="I41" s="2">
        <f>(-2/PI())*((((2*$I$3*$G$3-$G$3)/(1-$I$3)^2)-$M$4)*(SIN(G41*$O$4)/G41)-(0.5*$G$3/(1-$I$3)^2)*((SIN($O$4*(G41+1))/(G41+1))+(SIN($O$4*(G41-1))/(G41-1)))+(SIN(G41*$O$3)-SIN(G41*$O$4))*((2*$I$3*$G$3-$G$3)/(G41*(1-$I$3)^2))-0.5*($G$3/(1-$I$3)^2)*((SIN($O$3*(G41+1))-SIN($O$4*(G41+1)))/(G41+1)+((SIN($O$3*(G41-1)-SIN($O$4*(G41-1)))/(G41-1)))-SIN(G41*$O$3)*((2*$G$3*$I$3-$G$3)/(G41*($I$3^2)))+(($G$3*0.5)/($I$3^2))*((SIN($O$3*(G41+1)))/(G41+1)+(SIN($O$3*(G41-1))/(G41-1)))))</f>
        <v>1.3062622702632073E-3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4:22" x14ac:dyDescent="0.25">
      <c r="D42" s="4"/>
      <c r="E42" s="4"/>
      <c r="F42" s="4"/>
      <c r="G42" s="1">
        <v>34</v>
      </c>
      <c r="H42" s="2">
        <f>(-2/PI())*((-2*$G$3*SIN(G42*$O$3))/(G42*$I$3)+($G$3*SIN(G42*$O$3))/(G42*$I$3^2)+($G$3/(2*$I$3^2))*(((SIN($O$3*(1+G42)))/(G42+1))+(SIN($O$3*(G42-1)))/(G42-1))+(2*$G$3*$I$3*SIN($O$3*G42))/(G42*(1-$I$3)^2)-($G$3*SIN(G42*$O$3))/(G42*(1-$I$3)^2)-((0.5*$G$3)/(1-$I$3)^2)*((SIN((1+G42)*$O$3))/(1+G42)+(SIN($O$3*(G42-1)))/(G42-1)))</f>
        <v>4.0977408175081826E-4</v>
      </c>
      <c r="I42" s="2">
        <f>(-2/PI())*((((2*$I$3*$G$3-$G$3)/(1-$I$3)^2)-$M$4)*(SIN(G42*$O$4)/G42)-(0.5*$G$3/(1-$I$3)^2)*((SIN($O$4*(G42+1))/(G42+1))+(SIN($O$4*(G42-1))/(G42-1)))+(SIN(G42*$O$3)-SIN(G42*$O$4))*((2*$I$3*$G$3-$G$3)/(G42*(1-$I$3)^2))-0.5*($G$3/(1-$I$3)^2)*((SIN($O$3*(G42+1))-SIN($O$4*(G42+1)))/(G42+1)+((SIN($O$3*(G42-1)-SIN($O$4*(G42-1)))/(G42-1)))-SIN(G42*$O$3)*((2*$G$3*$I$3-$G$3)/(G42*($I$3^2)))+(($G$3*0.5)/($I$3^2))*((SIN($O$3*(G42+1)))/(G42+1)+(SIN($O$3*(G42-1))/(G42-1)))))</f>
        <v>3.7796311850256344E-3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4:22" x14ac:dyDescent="0.25">
      <c r="D43" s="4"/>
      <c r="E43" s="4"/>
      <c r="F43" s="4"/>
      <c r="G43" s="1">
        <v>35</v>
      </c>
      <c r="H43" s="2">
        <f>(-2/PI())*((-2*$G$3*SIN(G43*$O$3))/(G43*$I$3)+($G$3*SIN(G43*$O$3))/(G43*$I$3^2)+($G$3/(2*$I$3^2))*(((SIN($O$3*(1+G43)))/(G43+1))+(SIN($O$3*(G43-1)))/(G43-1))+(2*$G$3*$I$3*SIN($O$3*G43))/(G43*(1-$I$3)^2)-($G$3*SIN(G43*$O$3))/(G43*(1-$I$3)^2)-((0.5*$G$3)/(1-$I$3)^2)*((SIN((1+G43)*$O$3))/(1+G43)+(SIN($O$3*(G43-1)))/(G43-1)))</f>
        <v>-1.9046271371515552E-4</v>
      </c>
      <c r="I43" s="2">
        <f>(-2/PI())*((((2*$I$3*$G$3-$G$3)/(1-$I$3)^2)-$M$4)*(SIN(G43*$O$4)/G43)-(0.5*$G$3/(1-$I$3)^2)*((SIN($O$4*(G43+1))/(G43+1))+(SIN($O$4*(G43-1))/(G43-1)))+(SIN(G43*$O$3)-SIN(G43*$O$4))*((2*$I$3*$G$3-$G$3)/(G43*(1-$I$3)^2))-0.5*($G$3/(1-$I$3)^2)*((SIN($O$3*(G43+1))-SIN($O$4*(G43+1)))/(G43+1)+((SIN($O$3*(G43-1)-SIN($O$4*(G43-1)))/(G43-1)))-SIN(G43*$O$3)*((2*$G$3*$I$3-$G$3)/(G43*($I$3^2)))+(($G$3*0.5)/($I$3^2))*((SIN($O$3*(G43+1)))/(G43+1)+(SIN($O$3*(G43-1))/(G43-1)))))</f>
        <v>9.7585398212979876E-4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4:22" x14ac:dyDescent="0.25">
      <c r="D44" s="4"/>
      <c r="E44" s="4"/>
      <c r="F44" s="4"/>
      <c r="G44" s="1">
        <v>36</v>
      </c>
      <c r="H44" s="2">
        <f>(-2/PI())*((-2*$G$3*SIN(G44*$O$3))/(G44*$I$3)+($G$3*SIN(G44*$O$3))/(G44*$I$3^2)+($G$3/(2*$I$3^2))*(((SIN($O$3*(1+G44)))/(G44+1))+(SIN($O$3*(G44-1)))/(G44-1))+(2*$G$3*$I$3*SIN($O$3*G44))/(G44*(1-$I$3)^2)-($G$3*SIN(G44*$O$3))/(G44*(1-$I$3)^2)-((0.5*$G$3)/(1-$I$3)^2)*((SIN((1+G44)*$O$3))/(1+G44)+(SIN($O$3*(G44-1)))/(G44-1)))</f>
        <v>-1.4927326274985535E-4</v>
      </c>
      <c r="I44" s="2">
        <f>(-2/PI())*((((2*$I$3*$G$3-$G$3)/(1-$I$3)^2)-$M$4)*(SIN(G44*$O$4)/G44)-(0.5*$G$3/(1-$I$3)^2)*((SIN($O$4*(G44+1))/(G44+1))+(SIN($O$4*(G44-1))/(G44-1)))+(SIN(G44*$O$3)-SIN(G44*$O$4))*((2*$I$3*$G$3-$G$3)/(G44*(1-$I$3)^2))-0.5*($G$3/(1-$I$3)^2)*((SIN($O$3*(G44+1))-SIN($O$4*(G44+1)))/(G44+1)+((SIN($O$3*(G44-1)-SIN($O$4*(G44-1)))/(G44-1)))-SIN(G44*$O$3)*((2*$G$3*$I$3-$G$3)/(G44*($I$3^2)))+(($G$3*0.5)/($I$3^2))*((SIN($O$3*(G44+1)))/(G44+1)+(SIN($O$3*(G44-1))/(G44-1)))))</f>
        <v>-2.1825697170186676E-3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4:22" x14ac:dyDescent="0.25">
      <c r="D45" s="4"/>
      <c r="E45" s="4"/>
      <c r="F45" s="4"/>
      <c r="G45" s="1">
        <v>37</v>
      </c>
      <c r="H45" s="2">
        <f>(-2/PI())*((-2*$G$3*SIN(G45*$O$3))/(G45*$I$3)+($G$3*SIN(G45*$O$3))/(G45*$I$3^2)+($G$3/(2*$I$3^2))*(((SIN($O$3*(1+G45)))/(G45+1))+(SIN($O$3*(G45-1)))/(G45-1))+(2*$G$3*$I$3*SIN($O$3*G45))/(G45*(1-$I$3)^2)-($G$3*SIN(G45*$O$3))/(G45*(1-$I$3)^2)-((0.5*$G$3)/(1-$I$3)^2)*((SIN((1+G45)*$O$3))/(1+G45)+(SIN($O$3*(G45-1)))/(G45-1)))</f>
        <v>3.4011413729216801E-4</v>
      </c>
      <c r="I45" s="2">
        <f>(-2/PI())*((((2*$I$3*$G$3-$G$3)/(1-$I$3)^2)-$M$4)*(SIN(G45*$O$4)/G45)-(0.5*$G$3/(1-$I$3)^2)*((SIN($O$4*(G45+1))/(G45+1))+(SIN($O$4*(G45-1))/(G45-1)))+(SIN(G45*$O$3)-SIN(G45*$O$4))*((2*$I$3*$G$3-$G$3)/(G45*(1-$I$3)^2))-0.5*($G$3/(1-$I$3)^2)*((SIN($O$3*(G45+1))-SIN($O$4*(G45+1)))/(G45+1)+((SIN($O$3*(G45-1)-SIN($O$4*(G45-1)))/(G45-1)))-SIN(G45*$O$3)*((2*$G$3*$I$3-$G$3)/(G45*($I$3^2)))+(($G$3*0.5)/($I$3^2))*((SIN($O$3*(G45+1)))/(G45+1)+(SIN($O$3*(G45-1))/(G45-1)))))</f>
        <v>-3.128346247205573E-3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4:22" x14ac:dyDescent="0.25">
      <c r="D46" s="4"/>
      <c r="E46" s="4"/>
      <c r="F46" s="4"/>
      <c r="G46" s="1">
        <v>38</v>
      </c>
      <c r="H46" s="2">
        <f>(-2/PI())*((-2*$G$3*SIN(G46*$O$3))/(G46*$I$3)+($G$3*SIN(G46*$O$3))/(G46*$I$3^2)+($G$3/(2*$I$3^2))*(((SIN($O$3*(1+G46)))/(G46+1))+(SIN($O$3*(G46-1)))/(G46-1))+(2*$G$3*$I$3*SIN($O$3*G46))/(G46*(1-$I$3)^2)-($G$3*SIN(G46*$O$3))/(G46*(1-$I$3)^2)-((0.5*$G$3)/(1-$I$3)^2)*((SIN((1+G46)*$O$3))/(1+G46)+(SIN($O$3*(G46-1)))/(G46-1)))</f>
        <v>-2.5324367947521833E-4</v>
      </c>
      <c r="I46" s="2">
        <f>(-2/PI())*((((2*$I$3*$G$3-$G$3)/(1-$I$3)^2)-$M$4)*(SIN(G46*$O$4)/G46)-(0.5*$G$3/(1-$I$3)^2)*((SIN($O$4*(G46+1))/(G46+1))+(SIN($O$4*(G46-1))/(G46-1)))+(SIN(G46*$O$3)-SIN(G46*$O$4))*((2*$I$3*$G$3-$G$3)/(G46*(1-$I$3)^2))-0.5*($G$3/(1-$I$3)^2)*((SIN($O$3*(G46+1))-SIN($O$4*(G46+1)))/(G46+1)+((SIN($O$3*(G46-1)-SIN($O$4*(G46-1)))/(G46-1)))-SIN(G46*$O$3)*((2*$G$3*$I$3-$G$3)/(G46*($I$3^2)))+(($G$3*0.5)/($I$3^2))*((SIN($O$3*(G46+1)))/(G46+1)+(SIN($O$3*(G46-1))/(G46-1)))))</f>
        <v>1.096824909205823E-4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4:22" x14ac:dyDescent="0.25">
      <c r="D47" s="4"/>
      <c r="E47" s="4"/>
      <c r="F47" s="4"/>
      <c r="G47" s="1">
        <v>39</v>
      </c>
      <c r="H47" s="2">
        <f>(-2/PI())*((-2*$G$3*SIN(G47*$O$3))/(G47*$I$3)+($G$3*SIN(G47*$O$3))/(G47*$I$3^2)+($G$3/(2*$I$3^2))*(((SIN($O$3*(1+G47)))/(G47+1))+(SIN($O$3*(G47-1)))/(G47-1))+(2*$G$3*$I$3*SIN($O$3*G47))/(G47*(1-$I$3)^2)-($G$3*SIN(G47*$O$3))/(G47*(1-$I$3)^2)-((0.5*$G$3)/(1-$I$3)^2)*((SIN((1+G47)*$O$3))/(1+G47)+(SIN($O$3*(G47-1)))/(G47-1)))</f>
        <v>-1.7404928961243438E-5</v>
      </c>
      <c r="I47" s="2">
        <f>(-2/PI())*((((2*$I$3*$G$3-$G$3)/(1-$I$3)^2)-$M$4)*(SIN(G47*$O$4)/G47)-(0.5*$G$3/(1-$I$3)^2)*((SIN($O$4*(G47+1))/(G47+1))+(SIN($O$4*(G47-1))/(G47-1)))+(SIN(G47*$O$3)-SIN(G47*$O$4))*((2*$I$3*$G$3-$G$3)/(G47*(1-$I$3)^2))-0.5*($G$3/(1-$I$3)^2)*((SIN($O$3*(G47+1))-SIN($O$4*(G47+1)))/(G47+1)+((SIN($O$3*(G47-1)-SIN($O$4*(G47-1)))/(G47-1)))-SIN(G47*$O$3)*((2*$G$3*$I$3-$G$3)/(G47*($I$3^2)))+(($G$3*0.5)/($I$3^2))*((SIN($O$3*(G47+1)))/(G47+1)+(SIN($O$3*(G47-1))/(G47-1)))))</f>
        <v>2.7510769502129312E-3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4:22" x14ac:dyDescent="0.25">
      <c r="D48" s="4"/>
      <c r="E48" s="4"/>
      <c r="F48" s="4"/>
      <c r="G48" s="1">
        <v>40</v>
      </c>
      <c r="H48" s="2">
        <f>(-2/PI())*((-2*$G$3*SIN(G48*$O$3))/(G48*$I$3)+($G$3*SIN(G48*$O$3))/(G48*$I$3^2)+($G$3/(2*$I$3^2))*(((SIN($O$3*(1+G48)))/(G48+1))+(SIN($O$3*(G48-1)))/(G48-1))+(2*$G$3*$I$3*SIN($O$3*G48))/(G48*(1-$I$3)^2)-($G$3*SIN(G48*$O$3))/(G48*(1-$I$3)^2)-((0.5*$G$3)/(1-$I$3)^2)*((SIN((1+G48)*$O$3))/(1+G48)+(SIN($O$3*(G48-1)))/(G48-1)))</f>
        <v>2.4840406868217581E-4</v>
      </c>
      <c r="I48" s="2">
        <f>(-2/PI())*((((2*$I$3*$G$3-$G$3)/(1-$I$3)^2)-$M$4)*(SIN(G48*$O$4)/G48)-(0.5*$G$3/(1-$I$3)^2)*((SIN($O$4*(G48+1))/(G48+1))+(SIN($O$4*(G48-1))/(G48-1)))+(SIN(G48*$O$3)-SIN(G48*$O$4))*((2*$I$3*$G$3-$G$3)/(G48*(1-$I$3)^2))-0.5*($G$3/(1-$I$3)^2)*((SIN($O$3*(G48+1))-SIN($O$4*(G48+1)))/(G48+1)+((SIN($O$3*(G48-1)-SIN($O$4*(G48-1)))/(G48-1)))-SIN(G48*$O$3)*((2*$G$3*$I$3-$G$3)/(G48*($I$3^2)))+(($G$3*0.5)/($I$3^2))*((SIN($O$3*(G48+1)))/(G48+1)+(SIN($O$3*(G48-1))/(G48-1)))))</f>
        <v>2.579831448217447E-3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4:22" x14ac:dyDescent="0.25">
      <c r="D49" s="4"/>
      <c r="E49" s="4"/>
      <c r="F49" s="4"/>
      <c r="G49" s="1">
        <v>41</v>
      </c>
      <c r="H49" s="2">
        <f>(-2/PI())*((-2*$G$3*SIN(G49*$O$3))/(G49*$I$3)+($G$3*SIN(G49*$O$3))/(G49*$I$3^2)+($G$3/(2*$I$3^2))*(((SIN($O$3*(1+G49)))/(G49+1))+(SIN($O$3*(G49-1)))/(G49-1))+(2*$G$3*$I$3*SIN($O$3*G49))/(G49*(1-$I$3)^2)-($G$3*SIN(G49*$O$3))/(G49*(1-$I$3)^2)-((0.5*$G$3)/(1-$I$3)^2)*((SIN((1+G49)*$O$3))/(1+G49)+(SIN($O$3*(G49-1)))/(G49-1)))</f>
        <v>-2.6814304752898334E-4</v>
      </c>
      <c r="I49" s="2">
        <f>(-2/PI())*((((2*$I$3*$G$3-$G$3)/(1-$I$3)^2)-$M$4)*(SIN(G49*$O$4)/G49)-(0.5*$G$3/(1-$I$3)^2)*((SIN($O$4*(G49+1))/(G49+1))+(SIN($O$4*(G49-1))/(G49-1)))+(SIN(G49*$O$3)-SIN(G49*$O$4))*((2*$I$3*$G$3-$G$3)/(G49*(1-$I$3)^2))-0.5*($G$3/(1-$I$3)^2)*((SIN($O$3*(G49+1))-SIN($O$4*(G49+1)))/(G49+1)+((SIN($O$3*(G49-1)-SIN($O$4*(G49-1)))/(G49-1)))-SIN(G49*$O$3)*((2*$G$3*$I$3-$G$3)/(G49*($I$3^2)))+(($G$3*0.5)/($I$3^2))*((SIN($O$3*(G49+1)))/(G49+1)+(SIN($O$3*(G49-1))/(G49-1)))))</f>
        <v>-1.0266295474424278E-3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4:22" x14ac:dyDescent="0.25">
      <c r="D50" s="4"/>
      <c r="E50" s="4"/>
      <c r="F50" s="4"/>
      <c r="G50" s="1">
        <v>42</v>
      </c>
      <c r="H50" s="2">
        <f>(-2/PI())*((-2*$G$3*SIN(G50*$O$3))/(G50*$I$3)+($G$3*SIN(G50*$O$3))/(G50*$I$3^2)+($G$3/(2*$I$3^2))*(((SIN($O$3*(1+G50)))/(G50+1))+(SIN($O$3*(G50-1)))/(G50-1))+(2*$G$3*$I$3*SIN($O$3*G50))/(G50*(1-$I$3)^2)-($G$3*SIN(G50*$O$3))/(G50*(1-$I$3)^2)-((0.5*$G$3)/(1-$I$3)^2)*((SIN((1+G50)*$O$3))/(1+G50)+(SIN($O$3*(G50-1)))/(G50-1)))</f>
        <v>8.1508819995837784E-5</v>
      </c>
      <c r="I50" s="2">
        <f>(-2/PI())*((((2*$I$3*$G$3-$G$3)/(1-$I$3)^2)-$M$4)*(SIN(G50*$O$4)/G50)-(0.5*$G$3/(1-$I$3)^2)*((SIN($O$4*(G50+1))/(G50+1))+(SIN($O$4*(G50-1))/(G50-1)))+(SIN(G50*$O$3)-SIN(G50*$O$4))*((2*$I$3*$G$3-$G$3)/(G50*(1-$I$3)^2))-0.5*($G$3/(1-$I$3)^2)*((SIN($O$3*(G50+1))-SIN($O$4*(G50+1)))/(G50+1)+((SIN($O$3*(G50-1)-SIN($O$4*(G50-1)))/(G50-1)))-SIN(G50*$O$3)*((2*$G$3*$I$3-$G$3)/(G50*($I$3^2)))+(($G$3*0.5)/($I$3^2))*((SIN($O$3*(G50+1)))/(G50+1)+(SIN($O$3*(G50-1))/(G50-1)))))</f>
        <v>-3.0347272941359349E-3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4:22" x14ac:dyDescent="0.25">
      <c r="D51" s="4"/>
      <c r="E51" s="4"/>
      <c r="F51" s="4"/>
      <c r="G51" s="1">
        <v>43</v>
      </c>
      <c r="H51" s="2">
        <f>(-2/PI())*((-2*$G$3*SIN(G51*$O$3))/(G51*$I$3)+($G$3*SIN(G51*$O$3))/(G51*$I$3^2)+($G$3/(2*$I$3^2))*(((SIN($O$3*(1+G51)))/(G51+1))+(SIN($O$3*(G51-1)))/(G51-1))+(2*$G$3*$I$3*SIN($O$3*G51))/(G51*(1-$I$3)^2)-($G$3*SIN(G51*$O$3))/(G51*(1-$I$3)^2)-((0.5*$G$3)/(1-$I$3)^2)*((SIN((1+G51)*$O$3))/(1+G51)+(SIN($O$3*(G51-1)))/(G51-1)))</f>
        <v>1.5040175848575815E-4</v>
      </c>
      <c r="I51" s="2">
        <f>(-2/PI())*((((2*$I$3*$G$3-$G$3)/(1-$I$3)^2)-$M$4)*(SIN(G51*$O$4)/G51)-(0.5*$G$3/(1-$I$3)^2)*((SIN($O$4*(G51+1))/(G51+1))+(SIN($O$4*(G51-1))/(G51-1)))+(SIN(G51*$O$3)-SIN(G51*$O$4))*((2*$I$3*$G$3-$G$3)/(G51*(1-$I$3)^2))-0.5*($G$3/(1-$I$3)^2)*((SIN($O$3*(G51+1))-SIN($O$4*(G51+1)))/(G51+1)+((SIN($O$3*(G51-1)-SIN($O$4*(G51-1)))/(G51-1)))-SIN(G51*$O$3)*((2*$G$3*$I$3-$G$3)/(G51*($I$3^2)))+(($G$3*0.5)/($I$3^2))*((SIN($O$3*(G51+1)))/(G51+1)+(SIN($O$3*(G51-1))/(G51-1)))))</f>
        <v>-1.2008523324606049E-3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4:22" x14ac:dyDescent="0.25">
      <c r="D52" s="4"/>
      <c r="E52" s="4"/>
      <c r="F52" s="4"/>
      <c r="G52" s="1">
        <v>44</v>
      </c>
      <c r="H52" s="2">
        <f>(-2/PI())*((-2*$G$3*SIN(G52*$O$3))/(G52*$I$3)+($G$3*SIN(G52*$O$3))/(G52*$I$3^2)+($G$3/(2*$I$3^2))*(((SIN($O$3*(1+G52)))/(G52+1))+(SIN($O$3*(G52-1)))/(G52-1))+(2*$G$3*$I$3*SIN($O$3*G52))/(G52*(1-$I$3)^2)-($G$3*SIN(G52*$O$3))/(G52*(1-$I$3)^2)-((0.5*$G$3)/(1-$I$3)^2)*((SIN((1+G52)*$O$3))/(1+G52)+(SIN($O$3*(G52-1)))/(G52-1)))</f>
        <v>-2.4672427461526562E-4</v>
      </c>
      <c r="I52" s="2">
        <f>(-2/PI())*((((2*$I$3*$G$3-$G$3)/(1-$I$3)^2)-$M$4)*(SIN(G52*$O$4)/G52)-(0.5*$G$3/(1-$I$3)^2)*((SIN($O$4*(G52+1))/(G52+1))+(SIN($O$4*(G52-1))/(G52-1)))+(SIN(G52*$O$3)-SIN(G52*$O$4))*((2*$I$3*$G$3-$G$3)/(G52*(1-$I$3)^2))-0.5*($G$3/(1-$I$3)^2)*((SIN($O$3*(G52+1))-SIN($O$4*(G52+1)))/(G52+1)+((SIN($O$3*(G52-1)-SIN($O$4*(G52-1)))/(G52-1)))-SIN(G52*$O$3)*((2*$G$3*$I$3-$G$3)/(G52*($I$3^2)))+(($G$3*0.5)/($I$3^2))*((SIN($O$3*(G52+1)))/(G52+1)+(SIN($O$3*(G52-1))/(G52-1)))))</f>
        <v>1.61814996619973E-3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4:22" x14ac:dyDescent="0.25">
      <c r="D53" s="4"/>
      <c r="E53" s="4"/>
      <c r="F53" s="4"/>
      <c r="G53" s="1">
        <v>45</v>
      </c>
      <c r="H53" s="2">
        <f>(-2/PI())*((-2*$G$3*SIN(G53*$O$3))/(G53*$I$3)+($G$3*SIN(G53*$O$3))/(G53*$I$3^2)+($G$3/(2*$I$3^2))*(((SIN($O$3*(1+G53)))/(G53+1))+(SIN($O$3*(G53-1)))/(G53-1))+(2*$G$3*$I$3*SIN($O$3*G53))/(G53*(1-$I$3)^2)-($G$3*SIN(G53*$O$3))/(G53*(1-$I$3)^2)-((0.5*$G$3)/(1-$I$3)^2)*((SIN((1+G53)*$O$3))/(1+G53)+(SIN($O$3*(G53-1)))/(G53-1)))</f>
        <v>1.4587321398459334E-4</v>
      </c>
      <c r="I53" s="2">
        <f>(-2/PI())*((((2*$I$3*$G$3-$G$3)/(1-$I$3)^2)-$M$4)*(SIN(G53*$O$4)/G53)-(0.5*$G$3/(1-$I$3)^2)*((SIN($O$4*(G53+1))/(G53+1))+(SIN($O$4*(G53-1))/(G53-1)))+(SIN(G53*$O$3)-SIN(G53*$O$4))*((2*$I$3*$G$3-$G$3)/(G53*(1-$I$3)^2))-0.5*($G$3/(1-$I$3)^2)*((SIN($O$3*(G53+1))-SIN($O$4*(G53+1)))/(G53+1)+((SIN($O$3*(G53-1)-SIN($O$4*(G53-1)))/(G53-1)))-SIN(G53*$O$3)*((2*$G$3*$I$3-$G$3)/(G53*($I$3^2)))+(($G$3*0.5)/($I$3^2))*((SIN($O$3*(G53+1)))/(G53+1)+(SIN($O$3*(G53-1))/(G53-1)))))</f>
        <v>2.9128477373299841E-3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4:22" x14ac:dyDescent="0.25">
      <c r="D54" s="4"/>
      <c r="E54" s="4"/>
      <c r="F54" s="4"/>
      <c r="G54" s="1">
        <v>46</v>
      </c>
      <c r="H54" s="2">
        <f>(-2/PI())*((-2*$G$3*SIN(G54*$O$3))/(G54*$I$3)+($G$3*SIN(G54*$O$3))/(G54*$I$3^2)+($G$3/(2*$I$3^2))*(((SIN($O$3*(1+G54)))/(G54+1))+(SIN($O$3*(G54-1)))/(G54-1))+(2*$G$3*$I$3*SIN($O$3*G54))/(G54*(1-$I$3)^2)-($G$3*SIN(G54*$O$3))/(G54*(1-$I$3)^2)-((0.5*$G$3)/(1-$I$3)^2)*((SIN((1+G54)*$O$3))/(1+G54)+(SIN($O$3*(G54-1)))/(G54-1)))</f>
        <v>5.8127452197673899E-5</v>
      </c>
      <c r="I54" s="2">
        <f>(-2/PI())*((((2*$I$3*$G$3-$G$3)/(1-$I$3)^2)-$M$4)*(SIN(G54*$O$4)/G54)-(0.5*$G$3/(1-$I$3)^2)*((SIN($O$4*(G54+1))/(G54+1))+(SIN($O$4*(G54-1))/(G54-1)))+(SIN(G54*$O$3)-SIN(G54*$O$4))*((2*$I$3*$G$3-$G$3)/(G54*(1-$I$3)^2))-0.5*($G$3/(1-$I$3)^2)*((SIN($O$3*(G54+1))-SIN($O$4*(G54+1)))/(G54+1)+((SIN($O$3*(G54-1)-SIN($O$4*(G54-1)))/(G54-1)))-SIN(G54*$O$3)*((2*$G$3*$I$3-$G$3)/(G54*($I$3^2)))+(($G$3*0.5)/($I$3^2))*((SIN($O$3*(G54+1)))/(G54+1)+(SIN($O$3*(G54-1))/(G54-1)))))</f>
        <v>5.2170469007666075E-4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4:22" x14ac:dyDescent="0.25">
      <c r="D55" s="4"/>
      <c r="E55" s="4"/>
      <c r="F55" s="4"/>
      <c r="G55" s="1">
        <v>47</v>
      </c>
      <c r="H55" s="2">
        <f>(-2/PI())*((-2*$G$3*SIN(G55*$O$3))/(G55*$I$3)+($G$3*SIN(G55*$O$3))/(G55*$I$3^2)+($G$3/(2*$I$3^2))*(((SIN($O$3*(1+G55)))/(G55+1))+(SIN($O$3*(G55-1)))/(G55-1))+(2*$G$3*$I$3*SIN($O$3*G55))/(G55*(1-$I$3)^2)-($G$3*SIN(G55*$O$3))/(G55*(1-$I$3)^2)-((0.5*$G$3)/(1-$I$3)^2)*((SIN((1+G55)*$O$3))/(1+G55)+(SIN($O$3*(G55-1)))/(G55-1)))</f>
        <v>-2.0056368284653765E-4</v>
      </c>
      <c r="I55" s="2">
        <f>(-2/PI())*((((2*$I$3*$G$3-$G$3)/(1-$I$3)^2)-$M$4)*(SIN(G55*$O$4)/G55)-(0.5*$G$3/(1-$I$3)^2)*((SIN($O$4*(G55+1))/(G55+1))+(SIN($O$4*(G55-1))/(G55-1)))+(SIN(G55*$O$3)-SIN(G55*$O$4))*((2*$I$3*$G$3-$G$3)/(G55*(1-$I$3)^2))-0.5*($G$3/(1-$I$3)^2)*((SIN($O$3*(G55+1))-SIN($O$4*(G55+1)))/(G55+1)+((SIN($O$3*(G55-1)-SIN($O$4*(G55-1)))/(G55-1)))-SIN(G55*$O$3)*((2*$G$3*$I$3-$G$3)/(G55*($I$3^2)))+(($G$3*0.5)/($I$3^2))*((SIN($O$3*(G55+1)))/(G55+1)+(SIN($O$3*(G55-1))/(G55-1)))))</f>
        <v>-2.0389589669614697E-3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4:22" x14ac:dyDescent="0.25">
      <c r="D56" s="4"/>
      <c r="E56" s="4"/>
      <c r="F56" s="4"/>
      <c r="G56" s="1">
        <v>48</v>
      </c>
      <c r="H56" s="2">
        <f>(-2/PI())*((-2*$G$3*SIN(G56*$O$3))/(G56*$I$3)+($G$3*SIN(G56*$O$3))/(G56*$I$3^2)+($G$3/(2*$I$3^2))*(((SIN($O$3*(1+G56)))/(G56+1))+(SIN($O$3*(G56-1)))/(G56-1))+(2*$G$3*$I$3*SIN($O$3*G56))/(G56*(1-$I$3)^2)-($G$3*SIN(G56*$O$3))/(G56*(1-$I$3)^2)-((0.5*$G$3)/(1-$I$3)^2)*((SIN((1+G56)*$O$3))/(1+G56)+(SIN($O$3*(G56-1)))/(G56-1)))</f>
        <v>1.7747053803365964E-4</v>
      </c>
      <c r="I56" s="2">
        <f>(-2/PI())*((((2*$I$3*$G$3-$G$3)/(1-$I$3)^2)-$M$4)*(SIN(G56*$O$4)/G56)-(0.5*$G$3/(1-$I$3)^2)*((SIN($O$4*(G56+1))/(G56+1))+(SIN($O$4*(G56-1))/(G56-1)))+(SIN(G56*$O$3)-SIN(G56*$O$4))*((2*$I$3*$G$3-$G$3)/(G56*(1-$I$3)^2))-0.5*($G$3/(1-$I$3)^2)*((SIN($O$3*(G56+1))-SIN($O$4*(G56+1)))/(G56+1)+((SIN($O$3*(G56-1)-SIN($O$4*(G56-1)))/(G56-1)))-SIN(G56*$O$3)*((2*$G$3*$I$3-$G$3)/(G56*($I$3^2)))+(($G$3*0.5)/($I$3^2))*((SIN($O$3*(G56+1)))/(G56+1)+(SIN($O$3*(G56-1))/(G56-1)))))</f>
        <v>-2.4498232808157368E-3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4:22" x14ac:dyDescent="0.25">
      <c r="D57" s="4"/>
      <c r="E57" s="4"/>
      <c r="F57" s="4"/>
      <c r="G57" s="1">
        <v>49</v>
      </c>
      <c r="H57" s="2">
        <f>(-2/PI())*((-2*$G$3*SIN(G57*$O$3))/(G57*$I$3)+($G$3*SIN(G57*$O$3))/(G57*$I$3^2)+($G$3/(2*$I$3^2))*(((SIN($O$3*(1+G57)))/(G57+1))+(SIN($O$3*(G57-1)))/(G57-1))+(2*$G$3*$I$3*SIN($O$3*G57))/(G57*(1-$I$3)^2)-($G$3*SIN(G57*$O$3))/(G57*(1-$I$3)^2)-((0.5*$G$3)/(1-$I$3)^2)*((SIN((1+G57)*$O$3))/(1+G57)+(SIN($O$3*(G57-1)))/(G57-1)))</f>
        <v>-1.9927471595962291E-5</v>
      </c>
      <c r="I57" s="2">
        <f>(-2/PI())*((((2*$I$3*$G$3-$G$3)/(1-$I$3)^2)-$M$4)*(SIN(G57*$O$4)/G57)-(0.5*$G$3/(1-$I$3)^2)*((SIN($O$4*(G57+1))/(G57+1))+(SIN($O$4*(G57-1))/(G57-1)))+(SIN(G57*$O$3)-SIN(G57*$O$4))*((2*$I$3*$G$3-$G$3)/(G57*(1-$I$3)^2))-0.5*($G$3/(1-$I$3)^2)*((SIN($O$3*(G57+1))-SIN($O$4*(G57+1)))/(G57+1)+((SIN($O$3*(G57-1)-SIN($O$4*(G57-1)))/(G57-1)))-SIN(G57*$O$3)*((2*$G$3*$I$3-$G$3)/(G57*($I$3^2)))+(($G$3*0.5)/($I$3^2))*((SIN($O$3*(G57+1)))/(G57+1)+(SIN($O$3*(G57-1))/(G57-1)))))</f>
        <v>5.6503526169103763E-4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4:22" x14ac:dyDescent="0.25">
      <c r="D58" s="4"/>
      <c r="E58" s="4"/>
      <c r="F58" s="4"/>
      <c r="G58" s="1">
        <v>50</v>
      </c>
      <c r="H58" s="2">
        <f>(-2/PI())*((-2*$G$3*SIN(G58*$O$3))/(G58*$I$3)+($G$3*SIN(G58*$O$3))/(G58*$I$3^2)+($G$3/(2*$I$3^2))*(((SIN($O$3*(1+G58)))/(G58+1))+(SIN($O$3*(G58-1)))/(G58-1))+(2*$G$3*$I$3*SIN($O$3*G58))/(G58*(1-$I$3)^2)-($G$3*SIN(G58*$O$3))/(G58*(1-$I$3)^2)-((0.5*$G$3)/(1-$I$3)^2)*((SIN((1+G58)*$O$3))/(1+G58)+(SIN($O$3*(G58-1)))/(G58-1)))</f>
        <v>-1.4057607760273549E-4</v>
      </c>
      <c r="I58" s="2">
        <f>(-2/PI())*((((2*$I$3*$G$3-$G$3)/(1-$I$3)^2)-$M$4)*(SIN(G58*$O$4)/G58)-(0.5*$G$3/(1-$I$3)^2)*((SIN($O$4*(G58+1))/(G58+1))+(SIN($O$4*(G58-1))/(G58-1)))+(SIN(G58*$O$3)-SIN(G58*$O$4))*((2*$I$3*$G$3-$G$3)/(G58*(1-$I$3)^2))-0.5*($G$3/(1-$I$3)^2)*((SIN($O$3*(G58+1))-SIN($O$4*(G58+1)))/(G58+1)+((SIN($O$3*(G58-1)-SIN($O$4*(G58-1)))/(G58-1)))-SIN(G58*$O$3)*((2*$G$3*$I$3-$G$3)/(G58*($I$3^2)))+(($G$3*0.5)/($I$3^2))*((SIN($O$3*(G58+1)))/(G58+1)+(SIN($O$3*(G58-1))/(G58-1)))))</f>
        <v>2.3111601960952603E-3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4:22" x14ac:dyDescent="0.25">
      <c r="D59" s="4"/>
      <c r="E59" s="4"/>
      <c r="F59" s="4"/>
      <c r="G59" s="1">
        <v>51</v>
      </c>
      <c r="H59" s="2">
        <f>(-2/PI())*((-2*$G$3*SIN(G59*$O$3))/(G59*$I$3)+($G$3*SIN(G59*$O$3))/(G59*$I$3^2)+($G$3/(2*$I$3^2))*(((SIN($O$3*(1+G59)))/(G59+1))+(SIN($O$3*(G59-1)))/(G59-1))+(2*$G$3*$I$3*SIN($O$3*G59))/(G59*(1-$I$3)^2)-($G$3*SIN(G59*$O$3))/(G59*(1-$I$3)^2)-((0.5*$G$3)/(1-$I$3)^2)*((SIN((1+G59)*$O$3))/(1+G59)+(SIN($O$3*(G59-1)))/(G59-1)))</f>
        <v>1.8059775563019739E-4</v>
      </c>
      <c r="I59" s="2">
        <f>(-2/PI())*((((2*$I$3*$G$3-$G$3)/(1-$I$3)^2)-$M$4)*(SIN(G59*$O$4)/G59)-(0.5*$G$3/(1-$I$3)^2)*((SIN($O$4*(G59+1))/(G59+1))+(SIN($O$4*(G59-1))/(G59-1)))+(SIN(G59*$O$3)-SIN(G59*$O$4))*((2*$I$3*$G$3-$G$3)/(G59*(1-$I$3)^2))-0.5*($G$3/(1-$I$3)^2)*((SIN($O$3*(G59+1))-SIN($O$4*(G59+1)))/(G59+1)+((SIN($O$3*(G59-1)-SIN($O$4*(G59-1)))/(G59-1)))-SIN(G59*$O$3)*((2*$G$3*$I$3-$G$3)/(G59*($I$3^2)))+(($G$3*0.5)/($I$3^2))*((SIN($O$3*(G59+1)))/(G59+1)+(SIN($O$3*(G59-1))/(G59-1)))))</f>
        <v>1.9093099797291126E-3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4:22" x14ac:dyDescent="0.25">
      <c r="D60" s="4"/>
      <c r="E60" s="4"/>
      <c r="F60" s="4"/>
      <c r="G60" s="1">
        <v>52</v>
      </c>
      <c r="H60" s="2">
        <f>(-2/PI())*((-2*$G$3*SIN(G60*$O$3))/(G60*$I$3)+($G$3*SIN(G60*$O$3))/(G60*$I$3^2)+($G$3/(2*$I$3^2))*(((SIN($O$3*(1+G60)))/(G60+1))+(SIN($O$3*(G60-1)))/(G60-1))+(2*$G$3*$I$3*SIN($O$3*G60))/(G60*(1-$I$3)^2)-($G$3*SIN(G60*$O$3))/(G60*(1-$I$3)^2)-((0.5*$G$3)/(1-$I$3)^2)*((SIN((1+G60)*$O$3))/(1+G60)+(SIN($O$3*(G60-1)))/(G60-1)))</f>
        <v>-7.8572732868532387E-5</v>
      </c>
      <c r="I60" s="2">
        <f>(-2/PI())*((((2*$I$3*$G$3-$G$3)/(1-$I$3)^2)-$M$4)*(SIN(G60*$O$4)/G60)-(0.5*$G$3/(1-$I$3)^2)*((SIN($O$4*(G60+1))/(G60+1))+(SIN($O$4*(G60-1))/(G60-1)))+(SIN(G60*$O$3)-SIN(G60*$O$4))*((2*$I$3*$G$3-$G$3)/(G60*(1-$I$3)^2))-0.5*($G$3/(1-$I$3)^2)*((SIN($O$3*(G60+1))-SIN($O$4*(G60+1)))/(G60+1)+((SIN($O$3*(G60-1)-SIN($O$4*(G60-1)))/(G60-1)))-SIN(G60*$O$3)*((2*$G$3*$I$3-$G$3)/(G60*($I$3^2)))+(($G$3*0.5)/($I$3^2))*((SIN($O$3*(G60+1)))/(G60+1)+(SIN($O$3*(G60-1))/(G60-1)))))</f>
        <v>-1.163041642740634E-3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4:22" x14ac:dyDescent="0.25">
      <c r="D61" s="4"/>
      <c r="E61" s="4"/>
      <c r="F61" s="4"/>
      <c r="G61" s="1">
        <v>53</v>
      </c>
      <c r="H61" s="2">
        <f>(-2/PI())*((-2*$G$3*SIN(G61*$O$3))/(G61*$I$3)+($G$3*SIN(G61*$O$3))/(G61*$I$3^2)+($G$3/(2*$I$3^2))*(((SIN($O$3*(1+G61)))/(G61+1))+(SIN($O$3*(G61-1)))/(G61-1))+(2*$G$3*$I$3*SIN($O$3*G61))/(G61*(1-$I$3)^2)-($G$3*SIN(G61*$O$3))/(G61*(1-$I$3)^2)-((0.5*$G$3)/(1-$I$3)^2)*((SIN((1+G61)*$O$3))/(1+G61)+(SIN($O$3*(G61-1)))/(G61-1)))</f>
        <v>-7.6424986120614432E-5</v>
      </c>
      <c r="I61" s="2">
        <f>(-2/PI())*((((2*$I$3*$G$3-$G$3)/(1-$I$3)^2)-$M$4)*(SIN(G61*$O$4)/G61)-(0.5*$G$3/(1-$I$3)^2)*((SIN($O$4*(G61+1))/(G61+1))+(SIN($O$4*(G61-1))/(G61-1)))+(SIN(G61*$O$3)-SIN(G61*$O$4))*((2*$I$3*$G$3-$G$3)/(G61*(1-$I$3)^2))-0.5*($G$3/(1-$I$3)^2)*((SIN($O$3*(G61+1))-SIN($O$4*(G61+1)))/(G61+1)+((SIN($O$3*(G61-1)-SIN($O$4*(G61-1)))/(G61-1)))-SIN(G61*$O$3)*((2*$G$3*$I$3-$G$3)/(G61*($I$3^2)))+(($G$3*0.5)/($I$3^2))*((SIN($O$3*(G61+1)))/(G61+1)+(SIN($O$3*(G61-1))/(G61-1)))))</f>
        <v>-2.4126008797255333E-3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4:22" x14ac:dyDescent="0.25">
      <c r="D62" s="4"/>
      <c r="E62" s="4"/>
      <c r="F62" s="4"/>
      <c r="G62" s="1">
        <v>54</v>
      </c>
      <c r="H62" s="2">
        <f>(-2/PI())*((-2*$G$3*SIN(G62*$O$3))/(G62*$I$3)+($G$3*SIN(G62*$O$3))/(G62*$I$3^2)+($G$3/(2*$I$3^2))*(((SIN($O$3*(1+G62)))/(G62+1))+(SIN($O$3*(G62-1)))/(G62-1))+(2*$G$3*$I$3*SIN($O$3*G62))/(G62*(1-$I$3)^2)-($G$3*SIN(G62*$O$3))/(G62*(1-$I$3)^2)-((0.5*$G$3)/(1-$I$3)^2)*((SIN((1+G62)*$O$3))/(1+G62)+(SIN($O$3*(G62-1)))/(G62-1)))</f>
        <v>1.6123342715574003E-4</v>
      </c>
      <c r="I62" s="2">
        <f>(-2/PI())*((((2*$I$3*$G$3-$G$3)/(1-$I$3)^2)-$M$4)*(SIN(G62*$O$4)/G62)-(0.5*$G$3/(1-$I$3)^2)*((SIN($O$4*(G62+1))/(G62+1))+(SIN($O$4*(G62-1))/(G62-1)))+(SIN(G62*$O$3)-SIN(G62*$O$4))*((2*$I$3*$G$3-$G$3)/(G62*(1-$I$3)^2))-0.5*($G$3/(1-$I$3)^2)*((SIN($O$3*(G62+1))-SIN($O$4*(G62+1)))/(G62+1)+((SIN($O$3*(G62-1)-SIN($O$4*(G62-1)))/(G62-1)))-SIN(G62*$O$3)*((2*$G$3*$I$3-$G$3)/(G62*($I$3^2)))+(($G$3*0.5)/($I$3^2))*((SIN($O$3*(G62+1)))/(G62+1)+(SIN($O$3*(G62-1))/(G62-1)))))</f>
        <v>-8.4184744396449999E-4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4:22" x14ac:dyDescent="0.25">
      <c r="D63" s="4"/>
      <c r="E63" s="4"/>
      <c r="F63" s="4"/>
      <c r="G63" s="1">
        <v>55</v>
      </c>
      <c r="H63" s="2">
        <f>(-2/PI())*((-2*$G$3*SIN(G63*$O$3))/(G63*$I$3)+($G$3*SIN(G63*$O$3))/(G63*$I$3^2)+($G$3/(2*$I$3^2))*(((SIN($O$3*(1+G63)))/(G63+1))+(SIN($O$3*(G63-1)))/(G63-1))+(2*$G$3*$I$3*SIN($O$3*G63))/(G63*(1-$I$3)^2)-($G$3*SIN(G63*$O$3))/(G63*(1-$I$3)^2)-((0.5*$G$3)/(1-$I$3)^2)*((SIN((1+G63)*$O$3))/(1+G63)+(SIN($O$3*(G63-1)))/(G63-1)))</f>
        <v>-1.1560405002539135E-4</v>
      </c>
      <c r="I63" s="2">
        <f>(-2/PI())*((((2*$I$3*$G$3-$G$3)/(1-$I$3)^2)-$M$4)*(SIN(G63*$O$4)/G63)-(0.5*$G$3/(1-$I$3)^2)*((SIN($O$4*(G63+1))/(G63+1))+(SIN($O$4*(G63-1))/(G63-1)))+(SIN(G63*$O$3)-SIN(G63*$O$4))*((2*$I$3*$G$3-$G$3)/(G63*(1-$I$3)^2))-0.5*($G$3/(1-$I$3)^2)*((SIN($O$3*(G63+1))-SIN($O$4*(G63+1)))/(G63+1)+((SIN($O$3*(G63-1)-SIN($O$4*(G63-1)))/(G63-1)))-SIN(G63*$O$3)*((2*$G$3*$I$3-$G$3)/(G63*($I$3^2)))+(($G$3*0.5)/($I$3^2))*((SIN($O$3*(G63+1)))/(G63+1)+(SIN($O$3*(G63-1))/(G63-1)))))</f>
        <v>1.6251165868609498E-3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4:22" x14ac:dyDescent="0.25">
      <c r="D64" s="4"/>
      <c r="E64" s="4"/>
      <c r="F64" s="4"/>
      <c r="G64" s="1">
        <v>56</v>
      </c>
      <c r="H64" s="2">
        <f>(-2/PI())*((-2*$G$3*SIN(G64*$O$3))/(G64*$I$3)+($G$3*SIN(G64*$O$3))/(G64*$I$3^2)+($G$3/(2*$I$3^2))*(((SIN($O$3*(1+G64)))/(G64+1))+(SIN($O$3*(G64-1)))/(G64-1))+(2*$G$3*$I$3*SIN($O$3*G64))/(G64*(1-$I$3)^2)-($G$3*SIN(G64*$O$3))/(G64*(1-$I$3)^2)-((0.5*$G$3)/(1-$I$3)^2)*((SIN((1+G64)*$O$3))/(1+G64)+(SIN($O$3*(G64-1)))/(G64-1)))</f>
        <v>-1.6061479606637026E-5</v>
      </c>
      <c r="I64" s="2">
        <f>(-2/PI())*((((2*$I$3*$G$3-$G$3)/(1-$I$3)^2)-$M$4)*(SIN(G64*$O$4)/G64)-(0.5*$G$3/(1-$I$3)^2)*((SIN($O$4*(G64+1))/(G64+1))+(SIN($O$4*(G64-1))/(G64-1)))+(SIN(G64*$O$3)-SIN(G64*$O$4))*((2*$I$3*$G$3-$G$3)/(G64*(1-$I$3)^2))-0.5*($G$3/(1-$I$3)^2)*((SIN($O$3*(G64+1))-SIN($O$4*(G64+1)))/(G64+1)+((SIN($O$3*(G64-1)-SIN($O$4*(G64-1)))/(G64-1)))-SIN(G64*$O$3)*((2*$G$3*$I$3-$G$3)/(G64*($I$3^2)))+(($G$3*0.5)/($I$3^2))*((SIN($O$3*(G64+1)))/(G64+1)+(SIN($O$3*(G64-1))/(G64-1)))))</f>
        <v>2.1347944065241444E-3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4:22" x14ac:dyDescent="0.25">
      <c r="D65" s="4"/>
      <c r="E65" s="4"/>
      <c r="F65" s="4"/>
      <c r="G65" s="1">
        <v>57</v>
      </c>
      <c r="H65" s="2">
        <f>(-2/PI())*((-2*$G$3*SIN(G65*$O$3))/(G65*$I$3)+($G$3*SIN(G65*$O$3))/(G65*$I$3^2)+($G$3/(2*$I$3^2))*(((SIN($O$3*(1+G65)))/(G65+1))+(SIN($O$3*(G65-1)))/(G65-1))+(2*$G$3*$I$3*SIN($O$3*G65))/(G65*(1-$I$3)^2)-($G$3*SIN(G65*$O$3))/(G65*(1-$I$3)^2)-((0.5*$G$3)/(1-$I$3)^2)*((SIN((1+G65)*$O$3))/(1+G65)+(SIN($O$3*(G65-1)))/(G65-1)))</f>
        <v>1.2624051949898459E-4</v>
      </c>
      <c r="I65" s="2">
        <f>(-2/PI())*((((2*$I$3*$G$3-$G$3)/(1-$I$3)^2)-$M$4)*(SIN(G65*$O$4)/G65)-(0.5*$G$3/(1-$I$3)^2)*((SIN($O$4*(G65+1))/(G65+1))+(SIN($O$4*(G65-1))/(G65-1)))+(SIN(G65*$O$3)-SIN(G65*$O$4))*((2*$I$3*$G$3-$G$3)/(G65*(1-$I$3)^2))-0.5*($G$3/(1-$I$3)^2)*((SIN($O$3*(G65+1))-SIN($O$4*(G65+1)))/(G65+1)+((SIN($O$3*(G65-1)-SIN($O$4*(G65-1)))/(G65-1)))-SIN(G65*$O$3)*((2*$G$3*$I$3-$G$3)/(G65*($I$3^2)))+(($G$3*0.5)/($I$3^2))*((SIN($O$3*(G65+1)))/(G65+1)+(SIN($O$3*(G65-1))/(G65-1)))))</f>
        <v>2.4141327336181761E-4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4:22" x14ac:dyDescent="0.25">
      <c r="D66" s="4"/>
      <c r="E66" s="4"/>
      <c r="F66" s="4"/>
      <c r="G66" s="1">
        <v>58</v>
      </c>
      <c r="H66" s="2">
        <f>(-2/PI())*((-2*$G$3*SIN(G66*$O$3))/(G66*$I$3)+($G$3*SIN(G66*$O$3))/(G66*$I$3^2)+($G$3/(2*$I$3^2))*(((SIN($O$3*(1+G66)))/(G66+1))+(SIN($O$3*(G66-1)))/(G66-1))+(2*$G$3*$I$3*SIN($O$3*G66))/(G66*(1-$I$3)^2)-($G$3*SIN(G66*$O$3))/(G66*(1-$I$3)^2)-((0.5*$G$3)/(1-$I$3)^2)*((SIN((1+G66)*$O$3))/(1+G66)+(SIN($O$3*(G66-1)))/(G66-1)))</f>
        <v>-1.3138085009080076E-4</v>
      </c>
      <c r="I66" s="2">
        <f>(-2/PI())*((((2*$I$3*$G$3-$G$3)/(1-$I$3)^2)-$M$4)*(SIN(G66*$O$4)/G66)-(0.5*$G$3/(1-$I$3)^2)*((SIN($O$4*(G66+1))/(G66+1))+(SIN($O$4*(G66-1))/(G66-1)))+(SIN(G66*$O$3)-SIN(G66*$O$4))*((2*$I$3*$G$3-$G$3)/(G66*(1-$I$3)^2))-0.5*($G$3/(1-$I$3)^2)*((SIN($O$3*(G66+1))-SIN($O$4*(G66+1)))/(G66+1)+((SIN($O$3*(G66-1)-SIN($O$4*(G66-1)))/(G66-1)))-SIN(G66*$O$3)*((2*$G$3*$I$3-$G$3)/(G66*($I$3^2)))+(($G$3*0.5)/($I$3^2))*((SIN($O$3*(G66+1)))/(G66+1)+(SIN($O$3*(G66-1))/(G66-1)))))</f>
        <v>-1.8200737812302664E-3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4:22" x14ac:dyDescent="0.25">
      <c r="D67" s="4"/>
      <c r="E67" s="4"/>
      <c r="F67" s="4"/>
      <c r="G67" s="1">
        <v>59</v>
      </c>
      <c r="H67" s="2">
        <f>(-2/PI())*((-2*$G$3*SIN(G67*$O$3))/(G67*$I$3)+($G$3*SIN(G67*$O$3))/(G67*$I$3^2)+($G$3/(2*$I$3^2))*(((SIN($O$3*(1+G67)))/(G67+1))+(SIN($O$3*(G67-1)))/(G67-1))+(2*$G$3*$I$3*SIN($O$3*G67))/(G67*(1-$I$3)^2)-($G$3*SIN(G67*$O$3))/(G67*(1-$I$3)^2)-((0.5*$G$3)/(1-$I$3)^2)*((SIN((1+G67)*$O$3))/(1+G67)+(SIN($O$3*(G67-1)))/(G67-1)))</f>
        <v>3.4577301239745345E-5</v>
      </c>
      <c r="I67" s="2">
        <f>(-2/PI())*((((2*$I$3*$G$3-$G$3)/(1-$I$3)^2)-$M$4)*(SIN(G67*$O$4)/G67)-(0.5*$G$3/(1-$I$3)^2)*((SIN($O$4*(G67+1))/(G67+1))+(SIN($O$4*(G67-1))/(G67-1)))+(SIN(G67*$O$3)-SIN(G67*$O$4))*((2*$I$3*$G$3-$G$3)/(G67*(1-$I$3)^2))-0.5*($G$3/(1-$I$3)^2)*((SIN($O$3*(G67+1))-SIN($O$4*(G67+1)))/(G67+1)+((SIN($O$3*(G67-1)-SIN($O$4*(G67-1)))/(G67-1)))-SIN(G67*$O$3)*((2*$G$3*$I$3-$G$3)/(G67*($I$3^2)))+(($G$3*0.5)/($I$3^2))*((SIN($O$3*(G67+1)))/(G67+1)+(SIN($O$3*(G67-1))/(G67-1)))))</f>
        <v>-1.882054654166072E-3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4:22" x14ac:dyDescent="0.25">
      <c r="D68" s="4"/>
      <c r="E68" s="4"/>
      <c r="F68" s="4"/>
      <c r="G68" s="1">
        <v>60</v>
      </c>
      <c r="H68" s="2">
        <f>(-2/PI())*((-2*$G$3*SIN(G68*$O$3))/(G68*$I$3)+($G$3*SIN(G68*$O$3))/(G68*$I$3^2)+($G$3/(2*$I$3^2))*(((SIN($O$3*(1+G68)))/(G68+1))+(SIN($O$3*(G68-1)))/(G68-1))+(2*$G$3*$I$3*SIN($O$3*G68))/(G68*(1-$I$3)^2)-($G$3*SIN(G68*$O$3))/(G68*(1-$I$3)^2)-((0.5*$G$3)/(1-$I$3)^2)*((SIN((1+G68)*$O$3))/(1+G68)+(SIN($O$3*(G68-1)))/(G68-1)))</f>
        <v>8.263336930172415E-5</v>
      </c>
      <c r="I68" s="2">
        <f>(-2/PI())*((((2*$I$3*$G$3-$G$3)/(1-$I$3)^2)-$M$4)*(SIN(G68*$O$4)/G68)-(0.5*$G$3/(1-$I$3)^2)*((SIN($O$4*(G68+1))/(G68+1))+(SIN($O$4*(G68-1))/(G68-1)))+(SIN(G68*$O$3)-SIN(G68*$O$4))*((2*$I$3*$G$3-$G$3)/(G68*(1-$I$3)^2))-0.5*($G$3/(1-$I$3)^2)*((SIN($O$3*(G68+1))-SIN($O$4*(G68+1)))/(G68+1)+((SIN($O$3*(G68-1)-SIN($O$4*(G68-1)))/(G68-1)))-SIN(G68*$O$3)*((2*$G$3*$I$3-$G$3)/(G68*($I$3^2)))+(($G$3*0.5)/($I$3^2))*((SIN($O$3*(G68+1)))/(G68+1)+(SIN($O$3*(G68-1))/(G68-1)))))</f>
        <v>6.8396244052835E-4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4:22" x14ac:dyDescent="0.25">
      <c r="D69" s="4"/>
      <c r="E69" s="4"/>
      <c r="F69" s="4"/>
      <c r="G69" s="1">
        <v>61</v>
      </c>
      <c r="H69" s="2">
        <f>(-2/PI())*((-2*$G$3*SIN(G69*$O$3))/(G69*$I$3)+($G$3*SIN(G69*$O$3))/(G69*$I$3^2)+($G$3/(2*$I$3^2))*(((SIN($O$3*(1+G69)))/(G69+1))+(SIN($O$3*(G69-1)))/(G69-1))+(2*$G$3*$I$3*SIN($O$3*G69))/(G69*(1-$I$3)^2)-($G$3*SIN(G69*$O$3))/(G69*(1-$I$3)^2)-((0.5*$G$3)/(1-$I$3)^2)*((SIN((1+G69)*$O$3))/(1+G69)+(SIN($O$3*(G69-1)))/(G69-1)))</f>
        <v>-1.2830783970370059E-4</v>
      </c>
      <c r="I69" s="2">
        <f>(-2/PI())*((((2*$I$3*$G$3-$G$3)/(1-$I$3)^2)-$M$4)*(SIN(G69*$O$4)/G69)-(0.5*$G$3/(1-$I$3)^2)*((SIN($O$4*(G69+1))/(G69+1))+(SIN($O$4*(G69-1))/(G69-1)))+(SIN(G69*$O$3)-SIN(G69*$O$4))*((2*$I$3*$G$3-$G$3)/(G69*(1-$I$3)^2))-0.5*($G$3/(1-$I$3)^2)*((SIN($O$3*(G69+1))-SIN($O$4*(G69+1)))/(G69+1)+((SIN($O$3*(G69-1)-SIN($O$4*(G69-1)))/(G69-1)))-SIN(G69*$O$3)*((2*$G$3*$I$3-$G$3)/(G69*($I$3^2)))+(($G$3*0.5)/($I$3^2))*((SIN($O$3*(G69+1)))/(G69+1)+(SIN($O$3*(G69-1))/(G69-1)))))</f>
        <v>1.8673970337558994E-3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4:22" x14ac:dyDescent="0.25">
      <c r="D70" s="4"/>
      <c r="E70" s="4"/>
      <c r="F70" s="4"/>
      <c r="G70" s="1">
        <v>62</v>
      </c>
      <c r="H70" s="2">
        <f>(-2/PI())*((-2*$G$3*SIN(G70*$O$3))/(G70*$I$3)+($G$3*SIN(G70*$O$3))/(G70*$I$3^2)+($G$3/(2*$I$3^2))*(((SIN($O$3*(1+G70)))/(G70+1))+(SIN($O$3*(G70-1)))/(G70-1))+(2*$G$3*$I$3*SIN($O$3*G70))/(G70*(1-$I$3)^2)-($G$3*SIN(G70*$O$3))/(G70*(1-$I$3)^2)-((0.5*$G$3)/(1-$I$3)^2)*((SIN((1+G70)*$O$3))/(1+G70)+(SIN($O$3*(G70-1)))/(G70-1)))</f>
        <v>7.1694683769986495E-5</v>
      </c>
      <c r="I70" s="2">
        <f>(-2/PI())*((((2*$I$3*$G$3-$G$3)/(1-$I$3)^2)-$M$4)*(SIN(G70*$O$4)/G70)-(0.5*$G$3/(1-$I$3)^2)*((SIN($O$4*(G70+1))/(G70+1))+(SIN($O$4*(G70-1))/(G70-1)))+(SIN(G70*$O$3)-SIN(G70*$O$4))*((2*$I$3*$G$3-$G$3)/(G70*(1-$I$3)^2))-0.5*($G$3/(1-$I$3)^2)*((SIN($O$3*(G70+1))-SIN($O$4*(G70+1)))/(G70+1)+((SIN($O$3*(G70-1)-SIN($O$4*(G70-1)))/(G70-1)))-SIN(G70*$O$3)*((2*$G$3*$I$3-$G$3)/(G70*($I$3^2)))+(($G$3*0.5)/($I$3^2))*((SIN($O$3*(G70+1)))/(G70+1)+(SIN($O$3*(G70-1))/(G70-1)))))</f>
        <v>1.2575894509326382E-3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4:22" x14ac:dyDescent="0.25">
      <c r="D71" s="4"/>
      <c r="E71" s="4"/>
      <c r="F71" s="4"/>
      <c r="G71" s="1">
        <v>63</v>
      </c>
      <c r="H71" s="2">
        <f>(-2/PI())*((-2*$G$3*SIN(G71*$O$3))/(G71*$I$3)+($G$3*SIN(G71*$O$3))/(G71*$I$3^2)+($G$3/(2*$I$3^2))*(((SIN($O$3*(1+G71)))/(G71+1))+(SIN($O$3*(G71-1)))/(G71-1))+(2*$G$3*$I$3*SIN($O$3*G71))/(G71*(1-$I$3)^2)-($G$3*SIN(G71*$O$3))/(G71*(1-$I$3)^2)-((0.5*$G$3)/(1-$I$3)^2)*((SIN((1+G71)*$O$3))/(1+G71)+(SIN($O$3*(G71-1)))/(G71-1)))</f>
        <v>3.6943529839610671E-5</v>
      </c>
      <c r="I71" s="2">
        <f>(-2/PI())*((((2*$I$3*$G$3-$G$3)/(1-$I$3)^2)-$M$4)*(SIN(G71*$O$4)/G71)-(0.5*$G$3/(1-$I$3)^2)*((SIN($O$4*(G71+1))/(G71+1))+(SIN($O$4*(G71-1))/(G71-1)))+(SIN(G71*$O$3)-SIN(G71*$O$4))*((2*$I$3*$G$3-$G$3)/(G71*(1-$I$3)^2))-0.5*($G$3/(1-$I$3)^2)*((SIN($O$3*(G71+1))-SIN($O$4*(G71+1)))/(G71+1)+((SIN($O$3*(G71-1)-SIN($O$4*(G71-1)))/(G71-1)))-SIN(G71*$O$3)*((2*$G$3*$I$3-$G$3)/(G71*($I$3^2)))+(($G$3*0.5)/($I$3^2))*((SIN($O$3*(G71+1)))/(G71+1)+(SIN($O$3*(G71-1))/(G71-1)))))</f>
        <v>-1.1727833321819349E-3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4:22" x14ac:dyDescent="0.25">
      <c r="D72" s="4"/>
      <c r="E72" s="4"/>
      <c r="F72" s="4"/>
      <c r="G72" s="1">
        <v>64</v>
      </c>
      <c r="H72" s="2">
        <f>(-2/PI())*((-2*$G$3*SIN(G72*$O$3))/(G72*$I$3)+($G$3*SIN(G72*$O$3))/(G72*$I$3^2)+($G$3/(2*$I$3^2))*(((SIN($O$3*(1+G72)))/(G72+1))+(SIN($O$3*(G72-1)))/(G72-1))+(2*$G$3*$I$3*SIN($O$3*G72))/(G72*(1-$I$3)^2)-($G$3*SIN(G72*$O$3))/(G72*(1-$I$3)^2)-((0.5*$G$3)/(1-$I$3)^2)*((SIN((1+G72)*$O$3))/(1+G72)+(SIN($O$3*(G72-1)))/(G72-1)))</f>
        <v>-1.1025087024374899E-4</v>
      </c>
      <c r="I72" s="2">
        <f>(-2/PI())*((((2*$I$3*$G$3-$G$3)/(1-$I$3)^2)-$M$4)*(SIN(G72*$O$4)/G72)-(0.5*$G$3/(1-$I$3)^2)*((SIN($O$4*(G72+1))/(G72+1))+(SIN($O$4*(G72-1))/(G72-1)))+(SIN(G72*$O$3)-SIN(G72*$O$4))*((2*$I$3*$G$3-$G$3)/(G72*(1-$I$3)^2))-0.5*($G$3/(1-$I$3)^2)*((SIN($O$3*(G72+1))-SIN($O$4*(G72+1)))/(G72+1)+((SIN($O$3*(G72-1)-SIN($O$4*(G72-1)))/(G72-1)))-SIN(G72*$O$3)*((2*$G$3*$I$3-$G$3)/(G72*($I$3^2)))+(($G$3*0.5)/($I$3^2))*((SIN($O$3*(G72+1)))/(G72+1)+(SIN($O$3*(G72-1))/(G72-1)))))</f>
        <v>-1.8424618870635182E-3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4:22" x14ac:dyDescent="0.25">
      <c r="D73" s="4"/>
      <c r="E73" s="4"/>
      <c r="F73" s="4"/>
      <c r="G73" s="1">
        <v>65</v>
      </c>
      <c r="H73" s="2">
        <f>(-2/PI())*((-2*$G$3*SIN(G73*$O$3))/(G73*$I$3)+($G$3*SIN(G73*$O$3))/(G73*$I$3^2)+($G$3/(2*$I$3^2))*(((SIN($O$3*(1+G73)))/(G73+1))+(SIN($O$3*(G73-1)))/(G73-1))+(2*$G$3*$I$3*SIN($O$3*G73))/(G73*(1-$I$3)^2)-($G$3*SIN(G73*$O$3))/(G73*(1-$I$3)^2)-((0.5*$G$3)/(1-$I$3)^2)*((SIN((1+G73)*$O$3))/(1+G73)+(SIN($O$3*(G73-1)))/(G73-1)))</f>
        <v>9.3587393707031925E-5</v>
      </c>
      <c r="I73" s="2">
        <f>(-2/PI())*((((2*$I$3*$G$3-$G$3)/(1-$I$3)^2)-$M$4)*(SIN(G73*$O$4)/G73)-(0.5*$G$3/(1-$I$3)^2)*((SIN($O$4*(G73+1))/(G73+1))+(SIN($O$4*(G73-1))/(G73-1)))+(SIN(G73*$O$3)-SIN(G73*$O$4))*((2*$I$3*$G$3-$G$3)/(G73*(1-$I$3)^2))-0.5*($G$3/(1-$I$3)^2)*((SIN($O$3*(G73+1))-SIN($O$4*(G73+1)))/(G73+1)+((SIN($O$3*(G73-1)-SIN($O$4*(G73-1)))/(G73-1)))-SIN(G73*$O$3)*((2*$G$3*$I$3-$G$3)/(G73*($I$3^2)))+(($G$3*0.5)/($I$3^2))*((SIN($O$3*(G73+1)))/(G73+1)+(SIN($O$3*(G73-1))/(G73-1)))))</f>
        <v>-5.6944052002894552E-4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4:22" x14ac:dyDescent="0.25">
      <c r="D74" s="4"/>
      <c r="E74" s="4"/>
      <c r="F74" s="4"/>
      <c r="G74" s="1">
        <v>66</v>
      </c>
      <c r="H74" s="2">
        <f>(-2/PI())*((-2*$G$3*SIN(G74*$O$3))/(G74*$I$3)+($G$3*SIN(G74*$O$3))/(G74*$I$3^2)+($G$3/(2*$I$3^2))*(((SIN($O$3*(1+G74)))/(G74+1))+(SIN($O$3*(G74-1)))/(G74-1))+(2*$G$3*$I$3*SIN($O$3*G74))/(G74*(1-$I$3)^2)-($G$3*SIN(G74*$O$3))/(G74*(1-$I$3)^2)-((0.5*$G$3)/(1-$I$3)^2)*((SIN((1+G74)*$O$3))/(1+G74)+(SIN($O$3*(G74-1)))/(G74-1)))</f>
        <v>-5.2837594595853037E-6</v>
      </c>
      <c r="I74" s="2">
        <f>(-2/PI())*((((2*$I$3*$G$3-$G$3)/(1-$I$3)^2)-$M$4)*(SIN(G74*$O$4)/G74)-(0.5*$G$3/(1-$I$3)^2)*((SIN($O$4*(G74+1))/(G74+1))+(SIN($O$4*(G74-1))/(G74-1)))+(SIN(G74*$O$3)-SIN(G74*$O$4))*((2*$I$3*$G$3-$G$3)/(G74*(1-$I$3)^2))-0.5*($G$3/(1-$I$3)^2)*((SIN($O$3*(G74+1))-SIN($O$4*(G74+1)))/(G74+1)+((SIN($O$3*(G74-1)-SIN($O$4*(G74-1)))/(G74-1)))-SIN(G74*$O$3)*((2*$G$3*$I$3-$G$3)/(G74*($I$3^2)))+(($G$3*0.5)/($I$3^2))*((SIN($O$3*(G74+1)))/(G74+1)+(SIN($O$3*(G74-1))/(G74-1)))))</f>
        <v>1.5094687059332924E-3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4:22" x14ac:dyDescent="0.25">
      <c r="D75" s="4"/>
      <c r="E75" s="4"/>
      <c r="F75" s="4"/>
      <c r="G75" s="1">
        <v>67</v>
      </c>
      <c r="H75" s="2">
        <f>(-2/PI())*((-2*$G$3*SIN(G75*$O$3))/(G75*$I$3)+($G$3*SIN(G75*$O$3))/(G75*$I$3^2)+($G$3/(2*$I$3^2))*(((SIN($O$3*(1+G75)))/(G75+1))+(SIN($O$3*(G75-1)))/(G75-1))+(2*$G$3*$I$3*SIN($O$3*G75))/(G75*(1-$I$3)^2)-($G$3*SIN(G75*$O$3))/(G75*(1-$I$3)^2)-((0.5*$G$3)/(1-$I$3)^2)*((SIN((1+G75)*$O$3))/(1+G75)+(SIN($O$3*(G75-1)))/(G75-1)))</f>
        <v>-8.1928227177217988E-5</v>
      </c>
      <c r="I75" s="2">
        <f>(-2/PI())*((((2*$I$3*$G$3-$G$3)/(1-$I$3)^2)-$M$4)*(SIN(G75*$O$4)/G75)-(0.5*$G$3/(1-$I$3)^2)*((SIN($O$4*(G75+1))/(G75+1))+(SIN($O$4*(G75-1))/(G75-1)))+(SIN(G75*$O$3)-SIN(G75*$O$4))*((2*$I$3*$G$3-$G$3)/(G75*(1-$I$3)^2))-0.5*($G$3/(1-$I$3)^2)*((SIN($O$3*(G75+1))-SIN($O$4*(G75+1)))/(G75+1)+((SIN($O$3*(G75-1)-SIN($O$4*(G75-1)))/(G75-1)))-SIN(G75*$O$3)*((2*$G$3*$I$3-$G$3)/(G75*($I$3^2)))+(($G$3*0.5)/($I$3^2))*((SIN($O$3*(G75+1)))/(G75+1)+(SIN($O$3*(G75-1))/(G75-1)))))</f>
        <v>1.4449944227982849E-3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4:22" x14ac:dyDescent="0.25">
      <c r="D76" s="4"/>
      <c r="E76" s="4"/>
      <c r="F76" s="4"/>
      <c r="G76" s="1">
        <v>68</v>
      </c>
      <c r="H76" s="2">
        <f>(-2/PI())*((-2*$G$3*SIN(G76*$O$3))/(G76*$I$3)+($G$3*SIN(G76*$O$3))/(G76*$I$3^2)+($G$3/(2*$I$3^2))*(((SIN($O$3*(1+G76)))/(G76+1))+(SIN($O$3*(G76-1)))/(G76-1))+(2*$G$3*$I$3*SIN($O$3*G76))/(G76*(1-$I$3)^2)-($G$3*SIN(G76*$O$3))/(G76*(1-$I$3)^2)-((0.5*$G$3)/(1-$I$3)^2)*((SIN((1+G76)*$O$3))/(1+G76)+(SIN($O$3*(G76-1)))/(G76-1)))</f>
        <v>1.004416497090058E-4</v>
      </c>
      <c r="I76" s="2">
        <f>(-2/PI())*((((2*$I$3*$G$3-$G$3)/(1-$I$3)^2)-$M$4)*(SIN(G76*$O$4)/G76)-(0.5*$G$3/(1-$I$3)^2)*((SIN($O$4*(G76+1))/(G76+1))+(SIN($O$4*(G76-1))/(G76-1)))+(SIN(G76*$O$3)-SIN(G76*$O$4))*((2*$I$3*$G$3-$G$3)/(G76*(1-$I$3)^2))-0.5*($G$3/(1-$I$3)^2)*((SIN($O$3*(G76+1))-SIN($O$4*(G76+1)))/(G76+1)+((SIN($O$3*(G76-1)-SIN($O$4*(G76-1)))/(G76-1)))-SIN(G76*$O$3)*((2*$G$3*$I$3-$G$3)/(G76*($I$3^2)))+(($G$3*0.5)/($I$3^2))*((SIN($O$3*(G76+1)))/(G76+1)+(SIN($O$3*(G76-1))/(G76-1)))))</f>
        <v>-4.2762503403687714E-5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4:22" x14ac:dyDescent="0.25">
      <c r="D77" s="4"/>
      <c r="E77" s="4"/>
      <c r="F77" s="4"/>
      <c r="G77" s="1">
        <v>69</v>
      </c>
      <c r="H77" s="2">
        <f>(-2/PI())*((-2*$G$3*SIN(G77*$O$3))/(G77*$I$3)+($G$3*SIN(G77*$O$3))/(G77*$I$3^2)+($G$3/(2*$I$3^2))*(((SIN($O$3*(1+G77)))/(G77+1))+(SIN($O$3*(G77-1)))/(G77-1))+(2*$G$3*$I$3*SIN($O$3*G77))/(G77*(1-$I$3)^2)-($G$3*SIN(G77*$O$3))/(G77*(1-$I$3)^2)-((0.5*$G$3)/(1-$I$3)^2)*((SIN((1+G77)*$O$3))/(1+G77)+(SIN($O$3*(G77-1)))/(G77-1)))</f>
        <v>-3.9839651750835995E-5</v>
      </c>
      <c r="I77" s="2">
        <f>(-2/PI())*((((2*$I$3*$G$3-$G$3)/(1-$I$3)^2)-$M$4)*(SIN(G77*$O$4)/G77)-(0.5*$G$3/(1-$I$3)^2)*((SIN($O$4*(G77+1))/(G77+1))+(SIN($O$4*(G77-1))/(G77-1)))+(SIN(G77*$O$3)-SIN(G77*$O$4))*((2*$I$3*$G$3-$G$3)/(G77*(1-$I$3)^2))-0.5*($G$3/(1-$I$3)^2)*((SIN($O$3*(G77+1))-SIN($O$4*(G77+1)))/(G77+1)+((SIN($O$3*(G77-1)-SIN($O$4*(G77-1)))/(G77-1)))-SIN(G77*$O$3)*((2*$G$3*$I$3-$G$3)/(G77*($I$3^2)))+(($G$3*0.5)/($I$3^2))*((SIN($O$3*(G77+1)))/(G77+1)+(SIN($O$3*(G77-1))/(G77-1)))))</f>
        <v>-1.595238690413367E-3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4:22" x14ac:dyDescent="0.25">
      <c r="D78" s="4"/>
      <c r="E78" s="4"/>
      <c r="F78" s="4"/>
      <c r="G78" s="1">
        <v>70</v>
      </c>
      <c r="H78" s="2">
        <f>(-2/PI())*((-2*$G$3*SIN(G78*$O$3))/(G78*$I$3)+($G$3*SIN(G78*$O$3))/(G78*$I$3^2)+($G$3/(2*$I$3^2))*(((SIN($O$3*(1+G78)))/(G78+1))+(SIN($O$3*(G78-1)))/(G78-1))+(2*$G$3*$I$3*SIN($O$3*G78))/(G78*(1-$I$3)^2)-($G$3*SIN(G78*$O$3))/(G78*(1-$I$3)^2)-((0.5*$G$3)/(1-$I$3)^2)*((SIN((1+G78)*$O$3))/(1+G78)+(SIN($O$3*(G78-1)))/(G78-1)))</f>
        <v>-4.8322075570904002E-5</v>
      </c>
      <c r="I78" s="2">
        <f>(-2/PI())*((((2*$I$3*$G$3-$G$3)/(1-$I$3)^2)-$M$4)*(SIN(G78*$O$4)/G78)-(0.5*$G$3/(1-$I$3)^2)*((SIN($O$4*(G78+1))/(G78+1))+(SIN($O$4*(G78-1))/(G78-1)))+(SIN(G78*$O$3)-SIN(G78*$O$4))*((2*$I$3*$G$3-$G$3)/(G78*(1-$I$3)^2))-0.5*($G$3/(1-$I$3)^2)*((SIN($O$3*(G78+1))-SIN($O$4*(G78+1)))/(G78+1)+((SIN($O$3*(G78-1)-SIN($O$4*(G78-1)))/(G78-1)))-SIN(G78*$O$3)*((2*$G$3*$I$3-$G$3)/(G78*($I$3^2)))+(($G$3*0.5)/($I$3^2))*((SIN($O$3*(G78+1)))/(G78+1)+(SIN($O$3*(G78-1))/(G78-1)))))</f>
        <v>-1.3041384024078796E-3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4:22" x14ac:dyDescent="0.25">
      <c r="D79" s="4"/>
      <c r="E79" s="4"/>
      <c r="F79" s="4"/>
      <c r="G79" s="1">
        <v>71</v>
      </c>
      <c r="H79" s="2">
        <f>(-2/PI())*((-2*$G$3*SIN(G79*$O$3))/(G79*$I$3)+($G$3*SIN(G79*$O$3))/(G79*$I$3^2)+($G$3/(2*$I$3^2))*(((SIN($O$3*(1+G79)))/(G79+1))+(SIN($O$3*(G79-1)))/(G79-1))+(2*$G$3*$I$3*SIN($O$3*G79))/(G79*(1-$I$3)^2)-($G$3*SIN(G79*$O$3))/(G79*(1-$I$3)^2)-((0.5*$G$3)/(1-$I$3)^2)*((SIN((1+G79)*$O$3))/(1+G79)+(SIN($O$3*(G79-1)))/(G79-1)))</f>
        <v>9.4002092597399379E-5</v>
      </c>
      <c r="I79" s="2">
        <f>(-2/PI())*((((2*$I$3*$G$3-$G$3)/(1-$I$3)^2)-$M$4)*(SIN(G79*$O$4)/G79)-(0.5*$G$3/(1-$I$3)^2)*((SIN($O$4*(G79+1))/(G79+1))+(SIN($O$4*(G79-1))/(G79-1)))+(SIN(G79*$O$3)-SIN(G79*$O$4))*((2*$I$3*$G$3-$G$3)/(G79*(1-$I$3)^2))-0.5*($G$3/(1-$I$3)^2)*((SIN($O$3*(G79+1))-SIN($O$4*(G79+1)))/(G79+1)+((SIN($O$3*(G79-1)-SIN($O$4*(G79-1)))/(G79-1)))-SIN(G79*$O$3)*((2*$G$3*$I$3-$G$3)/(G79*($I$3^2)))+(($G$3*0.5)/($I$3^2))*((SIN($O$3*(G79+1)))/(G79+1)+(SIN($O$3*(G79-1))/(G79-1)))))</f>
        <v>7.2931219314175462E-4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4:22" x14ac:dyDescent="0.25">
      <c r="D80" s="4"/>
      <c r="E80" s="4"/>
      <c r="F80" s="4"/>
      <c r="G80" s="1">
        <v>72</v>
      </c>
      <c r="H80" s="2">
        <f>(-2/PI())*((-2*$G$3*SIN(G80*$O$3))/(G80*$I$3)+($G$3*SIN(G80*$O$3))/(G80*$I$3^2)+($G$3/(2*$I$3^2))*(((SIN($O$3*(1+G80)))/(G80+1))+(SIN($O$3*(G80-1)))/(G80-1))+(2*$G$3*$I$3*SIN($O$3*G80))/(G80*(1-$I$3)^2)-($G$3*SIN(G80*$O$3))/(G80*(1-$I$3)^2)-((0.5*$G$3)/(1-$I$3)^2)*((SIN((1+G80)*$O$3))/(1+G80)+(SIN($O$3*(G80-1)))/(G80-1)))</f>
        <v>-6.4037740752120054E-5</v>
      </c>
      <c r="I80" s="2">
        <f>(-2/PI())*((((2*$I$3*$G$3-$G$3)/(1-$I$3)^2)-$M$4)*(SIN(G80*$O$4)/G80)-(0.5*$G$3/(1-$I$3)^2)*((SIN($O$4*(G80+1))/(G80+1))+(SIN($O$4*(G80-1))/(G80-1)))+(SIN(G80*$O$3)-SIN(G80*$O$4))*((2*$I$3*$G$3-$G$3)/(G80*(1-$I$3)^2))-0.5*($G$3/(1-$I$3)^2)*((SIN($O$3*(G80+1))-SIN($O$4*(G80+1)))/(G80+1)+((SIN($O$3*(G80-1)-SIN($O$4*(G80-1)))/(G80-1)))-SIN(G80*$O$3)*((2*$G$3*$I$3-$G$3)/(G80*($I$3^2)))+(($G$3*0.5)/($I$3^2))*((SIN($O$3*(G80+1)))/(G80+1)+(SIN($O$3*(G80-1))/(G80-1)))))</f>
        <v>1.5181538283577825E-3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4:22" x14ac:dyDescent="0.25">
      <c r="D81" s="4"/>
      <c r="E81" s="4"/>
      <c r="F81" s="4"/>
      <c r="G81" s="1">
        <v>73</v>
      </c>
      <c r="H81" s="2">
        <f>(-2/PI())*((-2*$G$3*SIN(G81*$O$3))/(G81*$I$3)+($G$3*SIN(G81*$O$3))/(G81*$I$3^2)+($G$3/(2*$I$3^2))*(((SIN($O$3*(1+G81)))/(G81+1))+(SIN($O$3*(G81-1)))/(G81-1))+(2*$G$3*$I$3*SIN($O$3*G81))/(G81*(1-$I$3)^2)-($G$3*SIN(G81*$O$3))/(G81*(1-$I$3)^2)-((0.5*$G$3)/(1-$I$3)^2)*((SIN((1+G81)*$O$3))/(1+G81)+(SIN($O$3*(G81-1)))/(G81-1)))</f>
        <v>-1.4152509200528369E-5</v>
      </c>
      <c r="I81" s="2">
        <f>(-2/PI())*((((2*$I$3*$G$3-$G$3)/(1-$I$3)^2)-$M$4)*(SIN(G81*$O$4)/G81)-(0.5*$G$3/(1-$I$3)^2)*((SIN($O$4*(G81+1))/(G81+1))+(SIN($O$4*(G81-1))/(G81-1)))+(SIN(G81*$O$3)-SIN(G81*$O$4))*((2*$I$3*$G$3-$G$3)/(G81*(1-$I$3)^2))-0.5*($G$3/(1-$I$3)^2)*((SIN($O$3*(G81+1))-SIN($O$4*(G81+1)))/(G81+1)+((SIN($O$3*(G81-1)-SIN($O$4*(G81-1)))/(G81-1)))-SIN(G81*$O$3)*((2*$G$3*$I$3-$G$3)/(G81*($I$3^2)))+(($G$3*0.5)/($I$3^2))*((SIN($O$3*(G81+1)))/(G81+1)+(SIN($O$3*(G81-1))/(G81-1)))))</f>
        <v>6.4142493120620874E-4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4:22" x14ac:dyDescent="0.25">
      <c r="D82" s="4"/>
      <c r="E82" s="4"/>
      <c r="F82" s="4"/>
      <c r="G82" s="1">
        <v>74</v>
      </c>
      <c r="H82" s="2">
        <f>(-2/PI())*((-2*$G$3*SIN(G82*$O$3))/(G82*$I$3)+($G$3*SIN(G82*$O$3))/(G82*$I$3^2)+($G$3/(2*$I$3^2))*(((SIN($O$3*(1+G82)))/(G82+1))+(SIN($O$3*(G82-1)))/(G82-1))+(2*$G$3*$I$3*SIN($O$3*G82))/(G82*(1-$I$3)^2)-($G$3*SIN(G82*$O$3))/(G82*(1-$I$3)^2)-((0.5*$G$3)/(1-$I$3)^2)*((SIN((1+G82)*$O$3))/(1+G82)+(SIN($O$3*(G82-1)))/(G82-1)))</f>
        <v>7.7152525324813742E-5</v>
      </c>
      <c r="I82" s="2">
        <f>(-2/PI())*((((2*$I$3*$G$3-$G$3)/(1-$I$3)^2)-$M$4)*(SIN(G82*$O$4)/G82)-(0.5*$G$3/(1-$I$3)^2)*((SIN($O$4*(G82+1))/(G82+1))+(SIN($O$4*(G82-1))/(G82-1)))+(SIN(G82*$O$3)-SIN(G82*$O$4))*((2*$I$3*$G$3-$G$3)/(G82*(1-$I$3)^2))-0.5*($G$3/(1-$I$3)^2)*((SIN($O$3*(G82+1))-SIN($O$4*(G82+1)))/(G82+1)+((SIN($O$3*(G82-1)-SIN($O$4*(G82-1)))/(G82-1)))-SIN(G82*$O$3)*((2*$G$3*$I$3-$G$3)/(G82*($I$3^2)))+(($G$3*0.5)/($I$3^2))*((SIN($O$3*(G82+1)))/(G82+1)+(SIN($O$3*(G82-1))/(G82-1)))))</f>
        <v>-1.1750744748022966E-3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4:22" x14ac:dyDescent="0.25">
      <c r="D83" s="4"/>
      <c r="E83" s="4"/>
      <c r="F83" s="4"/>
      <c r="G83" s="1">
        <v>75</v>
      </c>
      <c r="H83" s="2">
        <f>(-2/PI())*((-2*$G$3*SIN(G83*$O$3))/(G83*$I$3)+($G$3*SIN(G83*$O$3))/(G83*$I$3^2)+($G$3/(2*$I$3^2))*(((SIN($O$3*(1+G83)))/(G83+1))+(SIN($O$3*(G83-1)))/(G83-1))+(2*$G$3*$I$3*SIN($O$3*G83))/(G83*(1-$I$3)^2)-($G$3*SIN(G83*$O$3))/(G83*(1-$I$3)^2)-((0.5*$G$3)/(1-$I$3)^2)*((SIN((1+G83)*$O$3))/(1+G83)+(SIN($O$3*(G83-1)))/(G83-1)))</f>
        <v>-7.6738994558043949E-5</v>
      </c>
      <c r="I83" s="2">
        <f>(-2/PI())*((((2*$I$3*$G$3-$G$3)/(1-$I$3)^2)-$M$4)*(SIN(G83*$O$4)/G83)-(0.5*$G$3/(1-$I$3)^2)*((SIN($O$4*(G83+1))/(G83+1))+(SIN($O$4*(G83-1))/(G83-1)))+(SIN(G83*$O$3)-SIN(G83*$O$4))*((2*$I$3*$G$3-$G$3)/(G83*(1-$I$3)^2))-0.5*($G$3/(1-$I$3)^2)*((SIN($O$3*(G83+1))-SIN($O$4*(G83+1)))/(G83+1)+((SIN($O$3*(G83-1)-SIN($O$4*(G83-1)))/(G83-1)))-SIN(G83*$O$3)*((2*$G$3*$I$3-$G$3)/(G83*($I$3^2)))+(($G$3*0.5)/($I$3^2))*((SIN($O$3*(G83+1)))/(G83+1)+(SIN($O$3*(G83-1))/(G83-1)))))</f>
        <v>-1.3420052275357386E-3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4:22" x14ac:dyDescent="0.25">
      <c r="D84" s="4"/>
      <c r="E84" s="4"/>
      <c r="F84" s="4"/>
      <c r="G84" s="1">
        <v>76</v>
      </c>
      <c r="H84" s="2">
        <f>(-2/PI())*((-2*$G$3*SIN(G84*$O$3))/(G84*$I$3)+($G$3*SIN(G84*$O$3))/(G84*$I$3^2)+($G$3/(2*$I$3^2))*(((SIN($O$3*(1+G84)))/(G84+1))+(SIN($O$3*(G84-1)))/(G84-1))+(2*$G$3*$I$3*SIN($O$3*G84))/(G84*(1-$I$3)^2)-($G$3*SIN(G84*$O$3))/(G84*(1-$I$3)^2)-((0.5*$G$3)/(1-$I$3)^2)*((SIN((1+G84)*$O$3))/(1+G84)+(SIN($O$3*(G84-1)))/(G84-1)))</f>
        <v>1.6550326772889149E-5</v>
      </c>
      <c r="I84" s="2">
        <f>(-2/PI())*((((2*$I$3*$G$3-$G$3)/(1-$I$3)^2)-$M$4)*(SIN(G84*$O$4)/G84)-(0.5*$G$3/(1-$I$3)^2)*((SIN($O$4*(G84+1))/(G84+1))+(SIN($O$4*(G84-1))/(G84-1)))+(SIN(G84*$O$3)-SIN(G84*$O$4))*((2*$I$3*$G$3-$G$3)/(G84*(1-$I$3)^2))-0.5*($G$3/(1-$I$3)^2)*((SIN($O$3*(G84+1))-SIN($O$4*(G84+1)))/(G84+1)+((SIN($O$3*(G84-1)-SIN($O$4*(G84-1)))/(G84-1)))-SIN(G84*$O$3)*((2*$G$3*$I$3-$G$3)/(G84*($I$3^2)))+(($G$3*0.5)/($I$3^2))*((SIN($O$3*(G84+1)))/(G84+1)+(SIN($O$3*(G84-1))/(G84-1)))))</f>
        <v>-2.4162263881590974E-4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4:22" x14ac:dyDescent="0.25">
      <c r="D85" s="4"/>
      <c r="E85" s="4"/>
      <c r="F85" s="4"/>
      <c r="G85" s="1">
        <v>77</v>
      </c>
      <c r="H85" s="2">
        <f>(-2/PI())*((-2*$G$3*SIN(G85*$O$3))/(G85*$I$3)+($G$3*SIN(G85*$O$3))/(G85*$I$3^2)+($G$3/(2*$I$3^2))*(((SIN($O$3*(1+G85)))/(G85+1))+(SIN($O$3*(G85-1)))/(G85-1))+(2*$G$3*$I$3*SIN($O$3*G85))/(G85*(1-$I$3)^2)-($G$3*SIN(G85*$O$3))/(G85*(1-$I$3)^2)-((0.5*$G$3)/(1-$I$3)^2)*((SIN((1+G85)*$O$3))/(1+G85)+(SIN($O$3*(G85-1)))/(G85-1)))</f>
        <v>5.345251020009827E-5</v>
      </c>
      <c r="I85" s="2">
        <f>(-2/PI())*((((2*$I$3*$G$3-$G$3)/(1-$I$3)^2)-$M$4)*(SIN(G85*$O$4)/G85)-(0.5*$G$3/(1-$I$3)^2)*((SIN($O$4*(G85+1))/(G85+1))+(SIN($O$4*(G85-1))/(G85-1)))+(SIN(G85*$O$3)-SIN(G85*$O$4))*((2*$I$3*$G$3-$G$3)/(G85*(1-$I$3)^2))-0.5*($G$3/(1-$I$3)^2)*((SIN($O$3*(G85+1))-SIN($O$4*(G85+1)))/(G85+1)+((SIN($O$3*(G85-1)-SIN($O$4*(G85-1)))/(G85-1)))-SIN(G85*$O$3)*((2*$G$3*$I$3-$G$3)/(G85*($I$3^2)))+(($G$3*0.5)/($I$3^2))*((SIN($O$3*(G85+1)))/(G85+1)+(SIN($O$3*(G85-1))/(G85-1)))))</f>
        <v>1.4165735087359713E-3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4:22" x14ac:dyDescent="0.25">
      <c r="D86" s="4"/>
      <c r="E86" s="4"/>
      <c r="F86" s="4"/>
      <c r="G86" s="1">
        <v>78</v>
      </c>
      <c r="H86" s="2">
        <f>(-2/PI())*((-2*$G$3*SIN(G86*$O$3))/(G86*$I$3)+($G$3*SIN(G86*$O$3))/(G86*$I$3^2)+($G$3/(2*$I$3^2))*(((SIN($O$3*(1+G86)))/(G86+1))+(SIN($O$3*(G86-1)))/(G86-1))+(2*$G$3*$I$3*SIN($O$3*G86))/(G86*(1-$I$3)^2)-($G$3*SIN(G86*$O$3))/(G86*(1-$I$3)^2)-((0.5*$G$3)/(1-$I$3)^2)*((SIN((1+G86)*$O$3))/(1+G86)+(SIN($O$3*(G86-1)))/(G86-1)))</f>
        <v>-7.8231474056403565E-5</v>
      </c>
      <c r="I86" s="2">
        <f>(-2/PI())*((((2*$I$3*$G$3-$G$3)/(1-$I$3)^2)-$M$4)*(SIN(G86*$O$4)/G86)-(0.5*$G$3/(1-$I$3)^2)*((SIN($O$4*(G86+1))/(G86+1))+(SIN($O$4*(G86-1))/(G86-1)))+(SIN(G86*$O$3)-SIN(G86*$O$4))*((2*$I$3*$G$3-$G$3)/(G86*(1-$I$3)^2))-0.5*($G$3/(1-$I$3)^2)*((SIN($O$3*(G86+1))-SIN($O$4*(G86+1)))/(G86+1)+((SIN($O$3*(G86-1)-SIN($O$4*(G86-1)))/(G86-1)))-SIN(G86*$O$3)*((2*$G$3*$I$3-$G$3)/(G86*($I$3^2)))+(($G$3*0.5)/($I$3^2))*((SIN($O$3*(G86+1)))/(G86+1)+(SIN($O$3*(G86-1))/(G86-1)))))</f>
        <v>9.3217556193723777E-4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4:22" x14ac:dyDescent="0.25">
      <c r="D87" s="4"/>
      <c r="E87" s="4"/>
      <c r="F87" s="4"/>
      <c r="G87" s="1">
        <v>79</v>
      </c>
      <c r="H87" s="2">
        <f>(-2/PI())*((-2*$G$3*SIN(G87*$O$3))/(G87*$I$3)+($G$3*SIN(G87*$O$3))/(G87*$I$3^2)+($G$3/(2*$I$3^2))*(((SIN($O$3*(1+G87)))/(G87+1))+(SIN($O$3*(G87-1)))/(G87-1))+(2*$G$3*$I$3*SIN($O$3*G87))/(G87*(1-$I$3)^2)-($G$3*SIN(G87*$O$3))/(G87*(1-$I$3)^2)-((0.5*$G$3)/(1-$I$3)^2)*((SIN((1+G87)*$O$3))/(1+G87)+(SIN($O$3*(G87-1)))/(G87-1)))</f>
        <v>4.0750939955898124E-5</v>
      </c>
      <c r="I87" s="2">
        <f>(-2/PI())*((((2*$I$3*$G$3-$G$3)/(1-$I$3)^2)-$M$4)*(SIN(G87*$O$4)/G87)-(0.5*$G$3/(1-$I$3)^2)*((SIN($O$4*(G87+1))/(G87+1))+(SIN($O$4*(G87-1))/(G87-1)))+(SIN(G87*$O$3)-SIN(G87*$O$4))*((2*$I$3*$G$3-$G$3)/(G87*(1-$I$3)^2))-0.5*($G$3/(1-$I$3)^2)*((SIN($O$3*(G87+1))-SIN($O$4*(G87+1)))/(G87+1)+((SIN($O$3*(G87-1)-SIN($O$4*(G87-1)))/(G87-1)))-SIN(G87*$O$3)*((2*$G$3*$I$3-$G$3)/(G87*($I$3^2)))+(($G$3*0.5)/($I$3^2))*((SIN($O$3*(G87+1)))/(G87+1)+(SIN($O$3*(G87-1))/(G87-1)))))</f>
        <v>-3.4236697961379078E-4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4:22" x14ac:dyDescent="0.25">
      <c r="D88" s="4"/>
      <c r="E88" s="4"/>
      <c r="F88" s="4"/>
      <c r="G88" s="1">
        <v>80</v>
      </c>
      <c r="H88" s="2">
        <f>(-2/PI())*((-2*$G$3*SIN(G88*$O$3))/(G88*$I$3)+($G$3*SIN(G88*$O$3))/(G88*$I$3^2)+($G$3/(2*$I$3^2))*(((SIN($O$3*(1+G88)))/(G88+1))+(SIN($O$3*(G88-1)))/(G88-1))+(2*$G$3*$I$3*SIN($O$3*G88))/(G88*(1-$I$3)^2)-($G$3*SIN(G88*$O$3))/(G88*(1-$I$3)^2)-((0.5*$G$3)/(1-$I$3)^2)*((SIN((1+G88)*$O$3))/(1+G88)+(SIN($O$3*(G88-1)))/(G88-1)))</f>
        <v>2.6674498697825771E-5</v>
      </c>
      <c r="I88" s="2">
        <f>(-2/PI())*((((2*$I$3*$G$3-$G$3)/(1-$I$3)^2)-$M$4)*(SIN(G88*$O$4)/G88)-(0.5*$G$3/(1-$I$3)^2)*((SIN($O$4*(G88+1))/(G88+1))+(SIN($O$4*(G88-1))/(G88-1)))+(SIN(G88*$O$3)-SIN(G88*$O$4))*((2*$I$3*$G$3-$G$3)/(G88*(1-$I$3)^2))-0.5*($G$3/(1-$I$3)^2)*((SIN($O$3*(G88+1))-SIN($O$4*(G88+1)))/(G88+1)+((SIN($O$3*(G88-1)-SIN($O$4*(G88-1)))/(G88-1)))-SIN(G88*$O$3)*((2*$G$3*$I$3-$G$3)/(G88*($I$3^2)))+(($G$3*0.5)/($I$3^2))*((SIN($O$3*(G88+1)))/(G88+1)+(SIN($O$3*(G88-1))/(G88-1)))))</f>
        <v>-1.4219382770889234E-3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4:22" x14ac:dyDescent="0.25">
      <c r="D89" s="4"/>
      <c r="E89" s="4"/>
      <c r="F89" s="4"/>
      <c r="G89" s="1">
        <v>81</v>
      </c>
      <c r="H89" s="2">
        <f>(-2/PI())*((-2*$G$3*SIN(G89*$O$3))/(G89*$I$3)+($G$3*SIN(G89*$O$3))/(G89*$I$3^2)+($G$3/(2*$I$3^2))*(((SIN($O$3*(1+G89)))/(G89+1))+(SIN($O$3*(G89-1)))/(G89-1))+(2*$G$3*$I$3*SIN($O$3*G89))/(G89*(1-$I$3)^2)-($G$3*SIN(G89*$O$3))/(G89*(1-$I$3)^2)-((0.5*$G$3)/(1-$I$3)^2)*((SIN((1+G89)*$O$3))/(1+G89)+(SIN($O$3*(G89-1)))/(G89-1)))</f>
        <v>-6.9991770628675633E-5</v>
      </c>
      <c r="I89" s="2">
        <f>(-2/PI())*((((2*$I$3*$G$3-$G$3)/(1-$I$3)^2)-$M$4)*(SIN(G89*$O$4)/G89)-(0.5*$G$3/(1-$I$3)^2)*((SIN($O$4*(G89+1))/(G89+1))+(SIN($O$4*(G89-1))/(G89-1)))+(SIN(G89*$O$3)-SIN(G89*$O$4))*((2*$I$3*$G$3-$G$3)/(G89*(1-$I$3)^2))-0.5*($G$3/(1-$I$3)^2)*((SIN($O$3*(G89+1))-SIN($O$4*(G89+1)))/(G89+1)+((SIN($O$3*(G89-1)-SIN($O$4*(G89-1)))/(G89-1)))-SIN(G89*$O$3)*((2*$G$3*$I$3-$G$3)/(G89*($I$3^2)))+(($G$3*0.5)/($I$3^2))*((SIN($O$3*(G89+1)))/(G89+1)+(SIN($O$3*(G89-1))/(G89-1)))))</f>
        <v>-7.403958216321405E-4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4:22" x14ac:dyDescent="0.25">
      <c r="D90" s="4"/>
      <c r="E90" s="4"/>
      <c r="F90" s="4"/>
      <c r="G90" s="1">
        <v>82</v>
      </c>
      <c r="H90" s="2">
        <f>(-2/PI())*((-2*$G$3*SIN(G90*$O$3))/(G90*$I$3)+($G$3*SIN(G90*$O$3))/(G90*$I$3^2)+($G$3/(2*$I$3^2))*(((SIN($O$3*(1+G90)))/(G90+1))+(SIN($O$3*(G90-1)))/(G90-1))+(2*$G$3*$I$3*SIN($O$3*G90))/(G90*(1-$I$3)^2)-($G$3*SIN(G90*$O$3))/(G90*(1-$I$3)^2)-((0.5*$G$3)/(1-$I$3)^2)*((SIN((1+G90)*$O$3))/(1+G90)+(SIN($O$3*(G90-1)))/(G90-1)))</f>
        <v>5.6577285638300655E-5</v>
      </c>
      <c r="I90" s="2">
        <f>(-2/PI())*((((2*$I$3*$G$3-$G$3)/(1-$I$3)^2)-$M$4)*(SIN(G90*$O$4)/G90)-(0.5*$G$3/(1-$I$3)^2)*((SIN($O$4*(G90+1))/(G90+1))+(SIN($O$4*(G90-1))/(G90-1)))+(SIN(G90*$O$3)-SIN(G90*$O$4))*((2*$I$3*$G$3-$G$3)/(G90*(1-$I$3)^2))-0.5*($G$3/(1-$I$3)^2)*((SIN($O$3*(G90+1))-SIN($O$4*(G90+1)))/(G90+1)+((SIN($O$3*(G90-1)-SIN($O$4*(G90-1)))/(G90-1)))-SIN(G90*$O$3)*((2*$G$3*$I$3-$G$3)/(G90*($I$3^2)))+(($G$3*0.5)/($I$3^2))*((SIN($O$3*(G90+1)))/(G90+1)+(SIN($O$3*(G90-1))/(G90-1)))))</f>
        <v>8.2093895483249509E-4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4:22" x14ac:dyDescent="0.25">
      <c r="D91" s="4"/>
      <c r="E91" s="4"/>
      <c r="F91" s="4"/>
      <c r="G91" s="1">
        <v>83</v>
      </c>
      <c r="H91" s="2">
        <f>(-2/PI())*((-2*$G$3*SIN(G91*$O$3))/(G91*$I$3)+($G$3*SIN(G91*$O$3))/(G91*$I$3^2)+($G$3/(2*$I$3^2))*(((SIN($O$3*(1+G91)))/(G91+1))+(SIN($O$3*(G91-1)))/(G91-1))+(2*$G$3*$I$3*SIN($O$3*G91))/(G91*(1-$I$3)^2)-($G$3*SIN(G91*$O$3))/(G91*(1-$I$3)^2)-((0.5*$G$3)/(1-$I$3)^2)*((SIN((1+G91)*$O$3))/(1+G91)+(SIN($O$3*(G91-1)))/(G91-1)))</f>
        <v>3.8258027958616293E-7</v>
      </c>
      <c r="I91" s="2">
        <f>(-2/PI())*((((2*$I$3*$G$3-$G$3)/(1-$I$3)^2)-$M$4)*(SIN(G91*$O$4)/G91)-(0.5*$G$3/(1-$I$3)^2)*((SIN($O$4*(G91+1))/(G91+1))+(SIN($O$4*(G91-1))/(G91-1)))+(SIN(G91*$O$3)-SIN(G91*$O$4))*((2*$I$3*$G$3-$G$3)/(G91*(1-$I$3)^2))-0.5*($G$3/(1-$I$3)^2)*((SIN($O$3*(G91+1))-SIN($O$4*(G91+1)))/(G91+1)+((SIN($O$3*(G91-1)-SIN($O$4*(G91-1)))/(G91-1)))-SIN(G91*$O$3)*((2*$G$3*$I$3-$G$3)/(G91*($I$3^2)))+(($G$3*0.5)/($I$3^2))*((SIN($O$3*(G91+1)))/(G91+1)+(SIN($O$3*(G91-1))/(G91-1)))))</f>
        <v>1.3156944851479681E-3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4:22" x14ac:dyDescent="0.25">
      <c r="D92" s="4"/>
      <c r="E92" s="4"/>
      <c r="F92" s="4"/>
      <c r="G92" s="1">
        <v>84</v>
      </c>
      <c r="H92" s="2">
        <f>(-2/PI())*((-2*$G$3*SIN(G92*$O$3))/(G92*$I$3)+($G$3*SIN(G92*$O$3))/(G92*$I$3^2)+($G$3/(2*$I$3^2))*(((SIN($O$3*(1+G92)))/(G92+1))+(SIN($O$3*(G92-1)))/(G92-1))+(2*$G$3*$I$3*SIN($O$3*G92))/(G92*(1-$I$3)^2)-($G$3*SIN(G92*$O$3))/(G92*(1-$I$3)^2)-((0.5*$G$3)/(1-$I$3)^2)*((SIN((1+G92)*$O$3))/(1+G92)+(SIN($O$3*(G92-1)))/(G92-1)))</f>
        <v>-5.4363119206460364E-5</v>
      </c>
      <c r="I92" s="2">
        <f>(-2/PI())*((((2*$I$3*$G$3-$G$3)/(1-$I$3)^2)-$M$4)*(SIN(G92*$O$4)/G92)-(0.5*$G$3/(1-$I$3)^2)*((SIN($O$4*(G92+1))/(G92+1))+(SIN($O$4*(G92-1))/(G92-1)))+(SIN(G92*$O$3)-SIN(G92*$O$4))*((2*$I$3*$G$3-$G$3)/(G92*(1-$I$3)^2))-0.5*($G$3/(1-$I$3)^2)*((SIN($O$3*(G92+1))-SIN($O$4*(G92+1)))/(G92+1)+((SIN($O$3*(G92-1)-SIN($O$4*(G92-1)))/(G92-1)))-SIN(G92*$O$3)*((2*$G$3*$I$3-$G$3)/(G92*($I$3^2)))+(($G$3*0.5)/($I$3^2))*((SIN($O$3*(G92+1)))/(G92+1)+(SIN($O$3*(G92-1))/(G92-1)))))</f>
        <v>1.4525279680705177E-4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4:22" x14ac:dyDescent="0.25">
      <c r="D93" s="4"/>
      <c r="E93" s="4"/>
      <c r="F93" s="4"/>
      <c r="G93" s="1">
        <v>85</v>
      </c>
      <c r="H93" s="2">
        <f>(-2/PI())*((-2*$G$3*SIN(G93*$O$3))/(G93*$I$3)+($G$3*SIN(G93*$O$3))/(G93*$I$3^2)+($G$3/(2*$I$3^2))*(((SIN($O$3*(1+G93)))/(G93+1))+(SIN($O$3*(G93-1)))/(G93-1))+(2*$G$3*$I$3*SIN($O$3*G93))/(G93*(1-$I$3)^2)-($G$3*SIN(G93*$O$3))/(G93*(1-$I$3)^2)-((0.5*$G$3)/(1-$I$3)^2)*((SIN((1+G93)*$O$3))/(1+G93)+(SIN($O$3*(G93-1)))/(G93-1)))</f>
        <v>6.3353846896339368E-5</v>
      </c>
      <c r="I93" s="2">
        <f>(-2/PI())*((((2*$I$3*$G$3-$G$3)/(1-$I$3)^2)-$M$4)*(SIN(G93*$O$4)/G93)-(0.5*$G$3/(1-$I$3)^2)*((SIN($O$4*(G93+1))/(G93+1))+(SIN($O$4*(G93-1))/(G93-1)))+(SIN(G93*$O$3)-SIN(G93*$O$4))*((2*$I$3*$G$3-$G$3)/(G93*(1-$I$3)^2))-0.5*($G$3/(1-$I$3)^2)*((SIN($O$3*(G93+1))-SIN($O$4*(G93+1)))/(G93+1)+((SIN($O$3*(G93-1)-SIN($O$4*(G93-1)))/(G93-1)))-SIN(G93*$O$3)*((2*$G$3*$I$3-$G$3)/(G93*($I$3^2)))+(($G$3*0.5)/($I$3^2))*((SIN($O$3*(G93+1)))/(G93+1)+(SIN($O$3*(G93-1))/(G93-1)))))</f>
        <v>-1.1949408708756951E-3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4:22" x14ac:dyDescent="0.25">
      <c r="D94" s="4"/>
      <c r="E94" s="4"/>
      <c r="F94" s="4"/>
      <c r="G94" s="1">
        <v>86</v>
      </c>
      <c r="H94" s="2">
        <f>(-2/PI())*((-2*$G$3*SIN(G94*$O$3))/(G94*$I$3)+($G$3*SIN(G94*$O$3))/(G94*$I$3^2)+($G$3/(2*$I$3^2))*(((SIN($O$3*(1+G94)))/(G94+1))+(SIN($O$3*(G94-1)))/(G94-1))+(2*$G$3*$I$3*SIN($O$3*G94))/(G94*(1-$I$3)^2)-($G$3*SIN(G94*$O$3))/(G94*(1-$I$3)^2)-((0.5*$G$3)/(1-$I$3)^2)*((SIN((1+G94)*$O$3))/(1+G94)+(SIN($O$3*(G94-1)))/(G94-1)))</f>
        <v>-2.2413258497589535E-5</v>
      </c>
      <c r="I94" s="2">
        <f>(-2/PI())*((((2*$I$3*$G$3-$G$3)/(1-$I$3)^2)-$M$4)*(SIN(G94*$O$4)/G94)-(0.5*$G$3/(1-$I$3)^2)*((SIN($O$4*(G94+1))/(G94+1))+(SIN($O$4*(G94-1))/(G94-1)))+(SIN(G94*$O$3)-SIN(G94*$O$4))*((2*$I$3*$G$3-$G$3)/(G94*(1-$I$3)^2))-0.5*($G$3/(1-$I$3)^2)*((SIN($O$3*(G94+1))-SIN($O$4*(G94+1)))/(G94+1)+((SIN($O$3*(G94-1)-SIN($O$4*(G94-1)))/(G94-1)))-SIN(G94*$O$3)*((2*$G$3*$I$3-$G$3)/(G94*($I$3^2)))+(($G$3*0.5)/($I$3^2))*((SIN($O$3*(G94+1)))/(G94+1)+(SIN($O$3*(G94-1))/(G94-1)))))</f>
        <v>-9.6422715030527702E-4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4:22" x14ac:dyDescent="0.25">
      <c r="D95" s="4"/>
      <c r="E95" s="4"/>
      <c r="F95" s="4"/>
      <c r="G95" s="1">
        <v>87</v>
      </c>
      <c r="H95" s="2">
        <f>(-2/PI())*((-2*$G$3*SIN(G95*$O$3))/(G95*$I$3)+($G$3*SIN(G95*$O$3))/(G95*$I$3^2)+($G$3/(2*$I$3^2))*(((SIN($O$3*(1+G95)))/(G95+1))+(SIN($O$3*(G95-1)))/(G95-1))+(2*$G$3*$I$3*SIN($O$3*G95))/(G95*(1-$I$3)^2)-($G$3*SIN(G95*$O$3))/(G95*(1-$I$3)^2)-((0.5*$G$3)/(1-$I$3)^2)*((SIN((1+G95)*$O$3))/(1+G95)+(SIN($O$3*(G95-1)))/(G95-1)))</f>
        <v>-3.4189487072154203E-5</v>
      </c>
      <c r="I95" s="2">
        <f>(-2/PI())*((((2*$I$3*$G$3-$G$3)/(1-$I$3)^2)-$M$4)*(SIN(G95*$O$4)/G95)-(0.5*$G$3/(1-$I$3)^2)*((SIN($O$4*(G95+1))/(G95+1))+(SIN($O$4*(G95-1))/(G95-1)))+(SIN(G95*$O$3)-SIN(G95*$O$4))*((2*$I$3*$G$3-$G$3)/(G95*(1-$I$3)^2))-0.5*($G$3/(1-$I$3)^2)*((SIN($O$3*(G95+1))-SIN($O$4*(G95+1)))/(G95+1)+((SIN($O$3*(G95-1)-SIN($O$4*(G95-1)))/(G95-1)))-SIN(G95*$O$3)*((2*$G$3*$I$3-$G$3)/(G95*($I$3^2)))+(($G$3*0.5)/($I$3^2))*((SIN($O$3*(G95+1)))/(G95+1)+(SIN($O$3*(G95-1))/(G95-1)))))</f>
        <v>1.297395798036243E-4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4:22" x14ac:dyDescent="0.25">
      <c r="D96" s="4"/>
      <c r="E96" s="4"/>
      <c r="F96" s="4"/>
      <c r="G96" s="1">
        <v>88</v>
      </c>
      <c r="H96" s="2">
        <f>(-2/PI())*((-2*$G$3*SIN(G96*$O$3))/(G96*$I$3)+($G$3*SIN(G96*$O$3))/(G96*$I$3^2)+($G$3/(2*$I$3^2))*(((SIN($O$3*(1+G96)))/(G96+1))+(SIN($O$3*(G96-1)))/(G96-1))+(2*$G$3*$I$3*SIN($O$3*G96))/(G96*(1-$I$3)^2)-($G$3*SIN(G96*$O$3))/(G96*(1-$I$3)^2)-((0.5*$G$3)/(1-$I$3)^2)*((SIN((1+G96)*$O$3))/(1+G96)+(SIN($O$3*(G96-1)))/(G96-1)))</f>
        <v>6.1511341827117679E-5</v>
      </c>
      <c r="I96" s="2">
        <f>(-2/PI())*((((2*$I$3*$G$3-$G$3)/(1-$I$3)^2)-$M$4)*(SIN(G96*$O$4)/G96)-(0.5*$G$3/(1-$I$3)^2)*((SIN($O$4*(G96+1))/(G96+1))+(SIN($O$4*(G96-1))/(G96-1)))+(SIN(G96*$O$3)-SIN(G96*$O$4))*((2*$I$3*$G$3-$G$3)/(G96*(1-$I$3)^2))-0.5*($G$3/(1-$I$3)^2)*((SIN($O$3*(G96+1))-SIN($O$4*(G96+1)))/(G96+1)+((SIN($O$3*(G96-1)-SIN($O$4*(G96-1)))/(G96-1)))-SIN(G96*$O$3)*((2*$G$3*$I$3-$G$3)/(G96*($I$3^2)))+(($G$3*0.5)/($I$3^2))*((SIN($O$3*(G96+1)))/(G96+1)+(SIN($O$3*(G96-1))/(G96-1)))))</f>
        <v>1.3735790517453218E-3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x14ac:dyDescent="0.25">
      <c r="D97" s="4"/>
      <c r="E97" s="4"/>
      <c r="F97" s="4"/>
      <c r="G97" s="1">
        <v>89</v>
      </c>
      <c r="H97" s="2">
        <f>(-2/PI())*((-2*$G$3*SIN(G97*$O$3))/(G97*$I$3)+($G$3*SIN(G97*$O$3))/(G97*$I$3^2)+($G$3/(2*$I$3^2))*(((SIN($O$3*(1+G97)))/(G97+1))+(SIN($O$3*(G97-1)))/(G97-1))+(2*$G$3*$I$3*SIN($O$3*G97))/(G97*(1-$I$3)^2)-($G$3*SIN(G97*$O$3))/(G97*(1-$I$3)^2)-((0.5*$G$3)/(1-$I$3)^2)*((SIN((1+G97)*$O$3))/(1+G97)+(SIN($O$3*(G97-1)))/(G97-1)))</f>
        <v>-3.950335343058063E-5</v>
      </c>
      <c r="I97" s="2">
        <f>(-2/PI())*((((2*$I$3*$G$3-$G$3)/(1-$I$3)^2)-$M$4)*(SIN(G97*$O$4)/G97)-(0.5*$G$3/(1-$I$3)^2)*((SIN($O$4*(G97+1))/(G97+1))+(SIN($O$4*(G97-1))/(G97-1)))+(SIN(G97*$O$3)-SIN(G97*$O$4))*((2*$I$3*$G$3-$G$3)/(G97*(1-$I$3)^2))-0.5*($G$3/(1-$I$3)^2)*((SIN($O$3*(G97+1))-SIN($O$4*(G97+1)))/(G97+1)+((SIN($O$3*(G97-1)-SIN($O$4*(G97-1)))/(G97-1)))-SIN(G97*$O$3)*((2*$G$3*$I$3-$G$3)/(G97*($I$3^2)))+(($G$3*0.5)/($I$3^2))*((SIN($O$3*(G97+1)))/(G97+1)+(SIN($O$3*(G97-1))/(G97-1)))))</f>
        <v>6.2671810126054646E-4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x14ac:dyDescent="0.25">
      <c r="D98" s="4"/>
      <c r="E98" s="4"/>
      <c r="F98" s="4"/>
      <c r="G98" s="1">
        <v>90</v>
      </c>
      <c r="H98" s="2">
        <f>(-2/PI())*((-2*$G$3*SIN(G98*$O$3))/(G98*$I$3)+($G$3*SIN(G98*$O$3))/(G98*$I$3^2)+($G$3/(2*$I$3^2))*(((SIN($O$3*(1+G98)))/(G98+1))+(SIN($O$3*(G98-1)))/(G98-1))+(2*$G$3*$I$3*SIN($O$3*G98))/(G98*(1-$I$3)^2)-($G$3*SIN(G98*$O$3))/(G98*(1-$I$3)^2)-((0.5*$G$3)/(1-$I$3)^2)*((SIN((1+G98)*$O$3))/(1+G98)+(SIN($O$3*(G98-1)))/(G98-1)))</f>
        <v>-1.2445369149205589E-5</v>
      </c>
      <c r="I98" s="2">
        <f>(-2/PI())*((((2*$I$3*$G$3-$G$3)/(1-$I$3)^2)-$M$4)*(SIN(G98*$O$4)/G98)-(0.5*$G$3/(1-$I$3)^2)*((SIN($O$4*(G98+1))/(G98+1))+(SIN($O$4*(G98-1))/(G98-1)))+(SIN(G98*$O$3)-SIN(G98*$O$4))*((2*$I$3*$G$3-$G$3)/(G98*(1-$I$3)^2))-0.5*($G$3/(1-$I$3)^2)*((SIN($O$3*(G98+1))-SIN($O$4*(G98+1)))/(G98+1)+((SIN($O$3*(G98-1)-SIN($O$4*(G98-1)))/(G98-1)))-SIN(G98*$O$3)*((2*$G$3*$I$3-$G$3)/(G98*($I$3^2)))+(($G$3*0.5)/($I$3^2))*((SIN($O$3*(G98+1)))/(G98+1)+(SIN($O$3*(G98-1))/(G98-1)))))</f>
        <v>-6.0254319113146187E-4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x14ac:dyDescent="0.25">
      <c r="D99" s="4"/>
      <c r="E99" s="4"/>
      <c r="F99" s="4"/>
      <c r="G99" s="1">
        <v>91</v>
      </c>
      <c r="H99" s="2">
        <f>(-2/PI())*((-2*$G$3*SIN(G99*$O$3))/(G99*$I$3)+($G$3*SIN(G99*$O$3))/(G99*$I$3^2)+($G$3/(2*$I$3^2))*(((SIN($O$3*(1+G99)))/(G99+1))+(SIN($O$3*(G99-1)))/(G99-1))+(2*$G$3*$I$3*SIN($O$3*G99))/(G99*(1-$I$3)^2)-($G$3*SIN(G99*$O$3))/(G99*(1-$I$3)^2)-((0.5*$G$3)/(1-$I$3)^2)*((SIN((1+G99)*$O$3))/(1+G99)+(SIN($O$3*(G99-1)))/(G99-1)))</f>
        <v>5.2395597500058235E-5</v>
      </c>
      <c r="I99" s="2">
        <f>(-2/PI())*((((2*$I$3*$G$3-$G$3)/(1-$I$3)^2)-$M$4)*(SIN(G99*$O$4)/G99)-(0.5*$G$3/(1-$I$3)^2)*((SIN($O$4*(G99+1))/(G99+1))+(SIN($O$4*(G99-1))/(G99-1)))+(SIN(G99*$O$3)-SIN(G99*$O$4))*((2*$I$3*$G$3-$G$3)/(G99*(1-$I$3)^2))-0.5*($G$3/(1-$I$3)^2)*((SIN($O$3*(G99+1))-SIN($O$4*(G99+1)))/(G99+1)+((SIN($O$3*(G99-1)-SIN($O$4*(G99-1)))/(G99-1)))-SIN(G99*$O$3)*((2*$G$3*$I$3-$G$3)/(G99*($I$3^2)))+(($G$3*0.5)/($I$3^2))*((SIN($O$3*(G99+1)))/(G99+1)+(SIN($O$3*(G99-1))/(G99-1)))))</f>
        <v>-1.3101466303417077E-3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x14ac:dyDescent="0.25">
      <c r="D100" s="4"/>
      <c r="E100" s="4"/>
      <c r="F100" s="4"/>
      <c r="G100" s="1">
        <v>92</v>
      </c>
      <c r="H100" s="2">
        <f>(-2/PI())*((-2*$G$3*SIN(G100*$O$3))/(G100*$I$3)+($G$3*SIN(G100*$O$3))/(G100*$I$3^2)+($G$3/(2*$I$3^2))*(((SIN($O$3*(1+G100)))/(G100+1))+(SIN($O$3*(G100-1)))/(G100-1))+(2*$G$3*$I$3*SIN($O$3*G100))/(G100*(1-$I$3)^2)-($G$3*SIN(G100*$O$3))/(G100*(1-$I$3)^2)-((0.5*$G$3)/(1-$I$3)^2)*((SIN((1+G100)*$O$3))/(1+G100)+(SIN($O$3*(G100-1)))/(G100-1)))</f>
        <v>-4.9612488093838498E-5</v>
      </c>
      <c r="I100" s="2">
        <f>(-2/PI())*((((2*$I$3*$G$3-$G$3)/(1-$I$3)^2)-$M$4)*(SIN(G100*$O$4)/G100)-(0.5*$G$3/(1-$I$3)^2)*((SIN($O$4*(G100+1))/(G100+1))+(SIN($O$4*(G100-1))/(G100-1)))+(SIN(G100*$O$3)-SIN(G100*$O$4))*((2*$I$3*$G$3-$G$3)/(G100*(1-$I$3)^2))-0.5*($G$3/(1-$I$3)^2)*((SIN($O$3*(G100+1))-SIN($O$4*(G100+1)))/(G100+1)+((SIN($O$3*(G100-1)-SIN($O$4*(G100-1)))/(G100-1)))-SIN(G100*$O$3)*((2*$G$3*$I$3-$G$3)/(G100*($I$3^2)))+(($G$3*0.5)/($I$3^2))*((SIN($O$3*(G100+1)))/(G100+1)+(SIN($O$3*(G100-1))/(G100-1)))))</f>
        <v>-2.7696563834204475E-4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x14ac:dyDescent="0.25">
      <c r="D101" s="4"/>
      <c r="E101" s="4"/>
      <c r="F101" s="4"/>
      <c r="G101" s="1">
        <v>93</v>
      </c>
      <c r="H101" s="2">
        <f>(-2/PI())*((-2*$G$3*SIN(G101*$O$3))/(G101*$I$3)+($G$3*SIN(G101*$O$3))/(G101*$I$3^2)+($G$3/(2*$I$3^2))*(((SIN($O$3*(1+G101)))/(G101+1))+(SIN($O$3*(G101-1)))/(G101-1))+(2*$G$3*$I$3*SIN($O$3*G101))/(G101*(1-$I$3)^2)-($G$3*SIN(G101*$O$3))/(G101*(1-$I$3)^2)-((0.5*$G$3)/(1-$I$3)^2)*((SIN((1+G101)*$O$3))/(1+G101)+(SIN($O$3*(G101-1)))/(G101-1)))</f>
        <v>8.102286282495119E-6</v>
      </c>
      <c r="I101" s="2">
        <f>(-2/PI())*((((2*$I$3*$G$3-$G$3)/(1-$I$3)^2)-$M$4)*(SIN(G101*$O$4)/G101)-(0.5*$G$3/(1-$I$3)^2)*((SIN($O$4*(G101+1))/(G101+1))+(SIN($O$4*(G101-1))/(G101-1)))+(SIN(G101*$O$3)-SIN(G101*$O$4))*((2*$I$3*$G$3-$G$3)/(G101*(1-$I$3)^2))-0.5*($G$3/(1-$I$3)^2)*((SIN($O$3*(G101+1))-SIN($O$4*(G101+1)))/(G101+1)+((SIN($O$3*(G101-1)-SIN($O$4*(G101-1)))/(G101-1)))-SIN(G101*$O$3)*((2*$G$3*$I$3-$G$3)/(G101*($I$3^2)))+(($G$3*0.5)/($I$3^2))*((SIN($O$3*(G101+1)))/(G101+1)+(SIN($O$3*(G101-1))/(G101-1)))))</f>
        <v>9.3756615922744387E-4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x14ac:dyDescent="0.25">
      <c r="D102" s="4"/>
      <c r="E102" s="4"/>
      <c r="F102" s="4"/>
      <c r="G102" s="1">
        <v>94</v>
      </c>
      <c r="H102" s="2">
        <f>(-2/PI())*((-2*$G$3*SIN(G102*$O$3))/(G102*$I$3)+($G$3*SIN(G102*$O$3))/(G102*$I$3^2)+($G$3/(2*$I$3^2))*(((SIN($O$3*(1+G102)))/(G102+1))+(SIN($O$3*(G102-1)))/(G102-1))+(2*$G$3*$I$3*SIN($O$3*G102))/(G102*(1-$I$3)^2)-($G$3*SIN(G102*$O$3))/(G102*(1-$I$3)^2)-((0.5*$G$3)/(1-$I$3)^2)*((SIN((1+G102)*$O$3))/(1+G102)+(SIN($O$3*(G102-1)))/(G102-1)))</f>
        <v>3.8005487025398247E-5</v>
      </c>
      <c r="I102" s="2">
        <f>(-2/PI())*((((2*$I$3*$G$3-$G$3)/(1-$I$3)^2)-$M$4)*(SIN(G102*$O$4)/G102)-(0.5*$G$3/(1-$I$3)^2)*((SIN($O$4*(G102+1))/(G102+1))+(SIN($O$4*(G102-1))/(G102-1)))+(SIN(G102*$O$3)-SIN(G102*$O$4))*((2*$I$3*$G$3-$G$3)/(G102*(1-$I$3)^2))-0.5*($G$3/(1-$I$3)^2)*((SIN($O$3*(G102+1))-SIN($O$4*(G102+1)))/(G102+1)+((SIN($O$3*(G102-1)-SIN($O$4*(G102-1)))/(G102-1)))-SIN(G102*$O$3)*((2*$G$3*$I$3-$G$3)/(G102*($I$3^2)))+(($G$3*0.5)/($I$3^2))*((SIN($O$3*(G102+1)))/(G102+1)+(SIN($O$3*(G102-1))/(G102-1)))))</f>
        <v>1.2057743111157156E-3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x14ac:dyDescent="0.25">
      <c r="D103" s="4"/>
      <c r="E103" s="4"/>
      <c r="F103" s="4"/>
      <c r="G103" s="1">
        <v>95</v>
      </c>
      <c r="H103" s="2">
        <f>(-2/PI())*((-2*$G$3*SIN(G103*$O$3))/(G103*$I$3)+($G$3*SIN(G103*$O$3))/(G103*$I$3^2)+($G$3/(2*$I$3^2))*(((SIN($O$3*(1+G103)))/(G103+1))+(SIN($O$3*(G103-1)))/(G103-1))+(2*$G$3*$I$3*SIN($O$3*G103))/(G103*(1-$I$3)^2)-($G$3*SIN(G103*$O$3))/(G103*(1-$I$3)^2)-((0.5*$G$3)/(1-$I$3)^2)*((SIN((1+G103)*$O$3))/(1+G103)+(SIN($O$3*(G103-1)))/(G103-1)))</f>
        <v>-5.2421138275567515E-5</v>
      </c>
      <c r="I103" s="2">
        <f>(-2/PI())*((((2*$I$3*$G$3-$G$3)/(1-$I$3)^2)-$M$4)*(SIN(G103*$O$4)/G103)-(0.5*$G$3/(1-$I$3)^2)*((SIN($O$4*(G103+1))/(G103+1))+(SIN($O$4*(G103-1))/(G103-1)))+(SIN(G103*$O$3)-SIN(G103*$O$4))*((2*$I$3*$G$3-$G$3)/(G103*(1-$I$3)^2))-0.5*($G$3/(1-$I$3)^2)*((SIN($O$3*(G103+1))-SIN($O$4*(G103+1)))/(G103+1)+((SIN($O$3*(G103-1)-SIN($O$4*(G103-1)))/(G103-1)))-SIN(G103*$O$3)*((2*$G$3*$I$3-$G$3)/(G103*($I$3^2)))+(($G$3*0.5)/($I$3^2))*((SIN($O$3*(G103+1)))/(G103+1)+(SIN($O$3*(G103-1))/(G103-1)))))</f>
        <v>-1.8190526433642398E-4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x14ac:dyDescent="0.25">
      <c r="D104" s="4"/>
      <c r="E104" s="4"/>
      <c r="F104" s="4"/>
      <c r="G104" s="1">
        <v>96</v>
      </c>
      <c r="H104" s="2">
        <f>(-2/PI())*((-2*$G$3*SIN(G104*$O$3))/(G104*$I$3)+($G$3*SIN(G104*$O$3))/(G104*$I$3^2)+($G$3/(2*$I$3^2))*(((SIN($O$3*(1+G104)))/(G104+1))+(SIN($O$3*(G104-1)))/(G104-1))+(2*$G$3*$I$3*SIN($O$3*G104))/(G104*(1-$I$3)^2)-($G$3*SIN(G104*$O$3))/(G104*(1-$I$3)^2)-((0.5*$G$3)/(1-$I$3)^2)*((SIN((1+G104)*$O$3))/(1+G104)+(SIN($O$3*(G104-1)))/(G104-1)))</f>
        <v>2.5170097629408496E-5</v>
      </c>
      <c r="I104" s="2">
        <f>(-2/PI())*((((2*$I$3*$G$3-$G$3)/(1-$I$3)^2)-$M$4)*(SIN(G104*$O$4)/G104)-(0.5*$G$3/(1-$I$3)^2)*((SIN($O$4*(G104+1))/(G104+1))+(SIN($O$4*(G104-1))/(G104-1)))+(SIN(G104*$O$3)-SIN(G104*$O$4))*((2*$I$3*$G$3-$G$3)/(G104*(1-$I$3)^2))-0.5*($G$3/(1-$I$3)^2)*((SIN($O$3*(G104+1))-SIN($O$4*(G104+1)))/(G104+1)+((SIN($O$3*(G104-1)-SIN($O$4*(G104-1)))/(G104-1)))-SIN(G104*$O$3)*((2*$G$3*$I$3-$G$3)/(G104*($I$3^2)))+(($G$3*0.5)/($I$3^2))*((SIN($O$3*(G104+1)))/(G104+1)+(SIN($O$3*(G104-1))/(G104-1)))))</f>
        <v>-1.2010981717507599E-3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x14ac:dyDescent="0.25">
      <c r="D105" s="4"/>
      <c r="E105" s="4"/>
      <c r="F105" s="4"/>
      <c r="G105" s="1">
        <v>97</v>
      </c>
      <c r="H105" s="2">
        <f>(-2/PI())*((-2*$G$3*SIN(G105*$O$3))/(G105*$I$3)+($G$3*SIN(G105*$O$3))/(G105*$I$3^2)+($G$3/(2*$I$3^2))*(((SIN($O$3*(1+G105)))/(G105+1))+(SIN($O$3*(G105-1)))/(G105-1))+(2*$G$3*$I$3*SIN($O$3*G105))/(G105*(1-$I$3)^2)-($G$3*SIN(G105*$O$3))/(G105*(1-$I$3)^2)-((0.5*$G$3)/(1-$I$3)^2)*((SIN((1+G105)*$O$3))/(1+G105)+(SIN($O$3*(G105-1)))/(G105-1)))</f>
        <v>2.0693793377504142E-5</v>
      </c>
      <c r="I105" s="2">
        <f>(-2/PI())*((((2*$I$3*$G$3-$G$3)/(1-$I$3)^2)-$M$4)*(SIN(G105*$O$4)/G105)-(0.5*$G$3/(1-$I$3)^2)*((SIN($O$4*(G105+1))/(G105+1))+(SIN($O$4*(G105-1))/(G105-1)))+(SIN(G105*$O$3)-SIN(G105*$O$4))*((2*$I$3*$G$3-$G$3)/(G105*(1-$I$3)^2))-0.5*($G$3/(1-$I$3)^2)*((SIN($O$3*(G105+1))-SIN($O$4*(G105+1)))/(G105+1)+((SIN($O$3*(G105-1)-SIN($O$4*(G105-1)))/(G105-1)))-SIN(G105*$O$3)*((2*$G$3*$I$3-$G$3)/(G105*($I$3^2)))+(($G$3*0.5)/($I$3^2))*((SIN($O$3*(G105+1)))/(G105+1)+(SIN($O$3*(G105-1))/(G105-1)))))</f>
        <v>-7.3118036601125711E-4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x14ac:dyDescent="0.25">
      <c r="D106" s="4"/>
      <c r="E106" s="4"/>
      <c r="F106" s="4"/>
      <c r="G106" s="1">
        <v>98</v>
      </c>
      <c r="H106" s="2">
        <f>(-2/PI())*((-2*$G$3*SIN(G106*$O$3))/(G106*$I$3)+($G$3*SIN(G106*$O$3))/(G106*$I$3^2)+($G$3/(2*$I$3^2))*(((SIN($O$3*(1+G106)))/(G106+1))+(SIN($O$3*(G106-1)))/(G106-1))+(2*$G$3*$I$3*SIN($O$3*G106))/(G106*(1-$I$3)^2)-($G$3*SIN(G106*$O$3))/(G106*(1-$I$3)^2)-((0.5*$G$3)/(1-$I$3)^2)*((SIN((1+G106)*$O$3))/(1+G106)+(SIN($O$3*(G106-1)))/(G106-1)))</f>
        <v>-4.8484008322579461E-5</v>
      </c>
      <c r="I106" s="2">
        <f>(-2/PI())*((((2*$I$3*$G$3-$G$3)/(1-$I$3)^2)-$M$4)*(SIN(G106*$O$4)/G106)-(0.5*$G$3/(1-$I$3)^2)*((SIN($O$4*(G106+1))/(G106+1))+(SIN($O$4*(G106-1))/(G106-1)))+(SIN(G106*$O$3)-SIN(G106*$O$4))*((2*$I$3*$G$3-$G$3)/(G106*(1-$I$3)^2))-0.5*($G$3/(1-$I$3)^2)*((SIN($O$3*(G106+1))-SIN($O$4*(G106+1)))/(G106+1)+((SIN($O$3*(G106-1)-SIN($O$4*(G106-1)))/(G106-1)))-SIN(G106*$O$3)*((2*$G$3*$I$3-$G$3)/(G106*($I$3^2)))+(($G$3*0.5)/($I$3^2))*((SIN($O$3*(G106+1)))/(G106+1)+(SIN($O$3*(G106-1))/(G106-1)))))</f>
        <v>4.5016304598407615E-4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x14ac:dyDescent="0.25">
      <c r="D107" s="4"/>
      <c r="E107" s="4"/>
      <c r="F107" s="4"/>
      <c r="G107" s="1">
        <v>99</v>
      </c>
      <c r="H107" s="2">
        <f>(-2/PI())*((-2*$G$3*SIN(G107*$O$3))/(G107*$I$3)+($G$3*SIN(G107*$O$3))/(G107*$I$3^2)+($G$3/(2*$I$3^2))*(((SIN($O$3*(1+G107)))/(G107+1))+(SIN($O$3*(G107-1)))/(G107-1))+(2*$G$3*$I$3*SIN($O$3*G107))/(G107*(1-$I$3)^2)-($G$3*SIN(G107*$O$3))/(G107*(1-$I$3)^2)-((0.5*$G$3)/(1-$I$3)^2)*((SIN((1+G107)*$O$3))/(1+G107)+(SIN($O$3*(G107-1)))/(G107-1)))</f>
        <v>3.7151152144948492E-5</v>
      </c>
      <c r="I107" s="2">
        <f>(-2/PI())*((((2*$I$3*$G$3-$G$3)/(1-$I$3)^2)-$M$4)*(SIN(G107*$O$4)/G107)-(0.5*$G$3/(1-$I$3)^2)*((SIN($O$4*(G107+1))/(G107+1))+(SIN($O$4*(G107-1))/(G107-1)))+(SIN(G107*$O$3)-SIN(G107*$O$4))*((2*$I$3*$G$3-$G$3)/(G107*(1-$I$3)^2))-0.5*($G$3/(1-$I$3)^2)*((SIN($O$3*(G107+1))-SIN($O$4*(G107+1)))/(G107+1)+((SIN($O$3*(G107-1)-SIN($O$4*(G107-1)))/(G107-1)))-SIN(G107*$O$3)*((2*$G$3*$I$3-$G$3)/(G107*($I$3^2)))+(($G$3*0.5)/($I$3^2))*((SIN($O$3*(G107+1)))/(G107+1)+(SIN($O$3*(G107-1))/(G107-1)))))</f>
        <v>1.3108816805747162E-3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x14ac:dyDescent="0.25">
      <c r="D108" s="4"/>
      <c r="E108" s="4"/>
      <c r="F108" s="4"/>
      <c r="G108" s="1">
        <v>100</v>
      </c>
      <c r="H108" s="2">
        <f>(-2/PI())*((-2*$G$3*SIN(G108*$O$3))/(G108*$I$3)+($G$3*SIN(G108*$O$3))/(G108*$I$3^2)+($G$3/(2*$I$3^2))*(((SIN($O$3*(1+G108)))/(G108+1))+(SIN($O$3*(G108-1)))/(G108-1))+(2*$G$3*$I$3*SIN($O$3*G108))/(G108*(1-$I$3)^2)-($G$3*SIN(G108*$O$3))/(G108*(1-$I$3)^2)-((0.5*$G$3)/(1-$I$3)^2)*((SIN((1+G108)*$O$3))/(1+G108)+(SIN($O$3*(G108-1)))/(G108-1)))</f>
        <v>2.865266658121292E-6</v>
      </c>
      <c r="I108" s="2">
        <f>(-2/PI())*((((2*$I$3*$G$3-$G$3)/(1-$I$3)^2)-$M$4)*(SIN(G108*$O$4)/G108)-(0.5*$G$3/(1-$I$3)^2)*((SIN($O$4*(G108+1))/(G108+1))+(SIN($O$4*(G108-1))/(G108-1)))+(SIN(G108*$O$3)-SIN(G108*$O$4))*((2*$I$3*$G$3-$G$3)/(G108*(1-$I$3)^2))-0.5*($G$3/(1-$I$3)^2)*((SIN($O$3*(G108+1))-SIN($O$4*(G108+1)))/(G108+1)+((SIN($O$3*(G108-1)-SIN($O$4*(G108-1)))/(G108-1)))-SIN(G108*$O$3)*((2*$G$3*$I$3-$G$3)/(G108*($I$3^2)))+(($G$3*0.5)/($I$3^2))*((SIN($O$3*(G108+1)))/(G108+1)+(SIN($O$3*(G108-1))/(G108-1)))))</f>
        <v>4.689874191203932E-4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2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2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2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4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spans="1:14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4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4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4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spans="1:14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spans="1:14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spans="1:14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spans="1:14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spans="1:14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spans="1:14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spans="1:14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4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spans="1:14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4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spans="1:14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4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spans="1:14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4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4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4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spans="1:14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4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spans="1:14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spans="1:14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spans="1:14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4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spans="1:14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4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4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4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spans="1:14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spans="1:14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spans="1:14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spans="1:14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spans="1:14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spans="1:14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spans="1:14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spans="1:14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spans="1:14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spans="1:14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spans="1:14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spans="1:14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spans="1:14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4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4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4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spans="1:14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spans="1:14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spans="1:14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spans="1:14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spans="1:14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spans="1:14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spans="1:14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spans="1:14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spans="1:14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4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spans="1:14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spans="1:14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spans="1:14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4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spans="1:14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spans="1:14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spans="1:14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4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4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4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spans="1:14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4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4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4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spans="1:14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4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4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4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4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4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4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4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spans="1:14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4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spans="1:14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4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spans="1:14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4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spans="1:14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4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spans="1:14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4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spans="1:14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4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4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4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spans="1:14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4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4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4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4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4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spans="1:14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4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spans="1:14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4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spans="1:14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4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spans="1:14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spans="1:14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spans="1:14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4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spans="1:14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spans="1:14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spans="1:14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spans="1:14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spans="1:14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4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14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spans="1:14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spans="1:14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4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spans="1:14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4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spans="1:14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4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spans="1:14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4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4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4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4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4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spans="1:14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4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spans="1:14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4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spans="1:14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4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spans="1:14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4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spans="1:14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4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spans="1:14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4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spans="1:14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spans="1:14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spans="1:14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4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spans="1:14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4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4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4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4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4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spans="1:14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spans="1:14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4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4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4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4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spans="1:14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4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spans="1:14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4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spans="1:14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4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4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4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4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4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spans="1:14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4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spans="1:14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4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spans="1:14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4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4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4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4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4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spans="1:14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4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spans="1:14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4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spans="1:14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4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4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4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spans="1:14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4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spans="1:14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4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4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4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spans="1:14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4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spans="1:14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4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spans="1:14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4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spans="1:14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4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spans="1:14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4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4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4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spans="1:14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4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spans="1:14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4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4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4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spans="1:14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4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spans="1:14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4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spans="1:14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4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spans="1:14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4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spans="1:14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4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4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4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4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4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spans="1:14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4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spans="1:14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4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spans="1:14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4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spans="1:14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4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spans="1:14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4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4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4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spans="1:14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4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spans="1:14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4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4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4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spans="1:14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4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spans="1:14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4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4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4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spans="1:14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4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4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4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spans="1:14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4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spans="1:14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spans="1:14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spans="1:14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4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spans="1:14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4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spans="1:14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4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spans="1:14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4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spans="1:14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4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spans="1:14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4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spans="1:14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4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4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4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spans="1:14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spans="1:14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spans="1:14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4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4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4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4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4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spans="1:14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4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spans="1:14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4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spans="1:14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4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spans="1:14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4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spans="1:14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4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spans="1:14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4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spans="1:14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4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spans="1:14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spans="1:14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spans="1:14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4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spans="1:14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4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spans="1:14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4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spans="1:14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4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spans="1:14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4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4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4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spans="1:14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4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spans="1:14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4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spans="1:14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4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spans="1:14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4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spans="1:14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4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spans="1:14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4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spans="1:14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4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spans="1:14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4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4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4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spans="1:14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4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spans="1:14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4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spans="1:14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4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spans="1:14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4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spans="1:14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4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4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4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spans="1:14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4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spans="1:14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4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spans="1:14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4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spans="1:14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4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spans="1:14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4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spans="1:14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spans="1:14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spans="1:14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4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spans="1:14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4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spans="1:14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4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4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4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spans="1:14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4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spans="1:14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4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spans="1:14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spans="1:14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spans="1:14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4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4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4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spans="1:14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4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spans="1:14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4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spans="1:14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4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spans="1:14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4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spans="1:14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4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spans="1:14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spans="1:14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spans="1:14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4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spans="1:14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4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spans="1:14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4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4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4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spans="1:14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spans="1:14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spans="1:14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spans="1:14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4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4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spans="1:14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4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spans="1:14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4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spans="1:14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4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spans="1:14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spans="1:14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spans="1:14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4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spans="1:14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4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spans="1:14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4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spans="1:14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4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4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4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spans="1:14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4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spans="1:14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spans="1:14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spans="1:14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4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4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4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4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4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spans="1:14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4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4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4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spans="1:14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spans="1:14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spans="1:14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4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spans="1:14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4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spans="1:14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4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spans="1:14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4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spans="1:14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4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spans="1:14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4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spans="1:14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spans="1:14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spans="1:14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4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spans="1:14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4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spans="1:14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4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spans="1:14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4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spans="1:14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4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spans="1:14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spans="1:14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spans="1:14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4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spans="1:14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4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spans="1:14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4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spans="1:14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4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4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spans="1:14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spans="1:14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1:14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 spans="1:14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 spans="1:14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 spans="1:14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spans="1:14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 spans="1:14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spans="1:14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 spans="1:14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spans="1:14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 spans="1:14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 spans="1:14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 spans="1:14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spans="1:14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 spans="1:14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spans="1:14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 spans="1:14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spans="1:14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</row>
    <row r="1021" spans="1:14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4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spans="1:14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spans="1:14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</row>
    <row r="1025" spans="1:14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spans="1:14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</row>
    <row r="1027" spans="1:14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spans="1:14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</row>
    <row r="1029" spans="1:14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spans="1:14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</row>
    <row r="1031" spans="1:14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</row>
    <row r="1032" spans="1:14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spans="1:14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spans="1:14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</row>
    <row r="1035" spans="1:14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4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spans="1:14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spans="1:14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spans="1:14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spans="1:14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spans="1:14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spans="1:14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</row>
    <row r="1043" spans="1:14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spans="1:14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</row>
    <row r="1045" spans="1:14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</row>
    <row r="1046" spans="1:14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</row>
    <row r="1047" spans="1:14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</row>
    <row r="1048" spans="1:14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</row>
    <row r="1049" spans="1:14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</row>
    <row r="1050" spans="1:14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</row>
    <row r="1051" spans="1:14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</row>
    <row r="1052" spans="1:14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</row>
    <row r="1053" spans="1:14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</row>
    <row r="1054" spans="1:14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</row>
    <row r="1055" spans="1:14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</row>
    <row r="1056" spans="1:14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</row>
    <row r="1057" spans="1:14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</row>
    <row r="1058" spans="1:14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</row>
    <row r="1059" spans="1:14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</row>
    <row r="1060" spans="1:14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</row>
    <row r="1061" spans="1:14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</row>
    <row r="1062" spans="1:14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</row>
    <row r="1063" spans="1:14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spans="1:14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</row>
    <row r="1065" spans="1:14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</row>
    <row r="1066" spans="1:14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</row>
    <row r="1067" spans="1:14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</row>
    <row r="1068" spans="1:14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</row>
    <row r="1069" spans="1:14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</row>
    <row r="1070" spans="1:14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</row>
    <row r="1071" spans="1:14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</row>
    <row r="1072" spans="1:14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</row>
    <row r="1073" spans="1:14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</row>
    <row r="1074" spans="1:14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</row>
    <row r="1075" spans="1:14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</row>
    <row r="1076" spans="1:14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</row>
    <row r="1077" spans="1:14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</row>
    <row r="1078" spans="1:14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</row>
    <row r="1079" spans="1:14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</row>
    <row r="1080" spans="1:14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</row>
    <row r="1081" spans="1:14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</row>
    <row r="1082" spans="1:14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</row>
    <row r="1083" spans="1:14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</row>
    <row r="1084" spans="1:14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</row>
    <row r="1085" spans="1:14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</row>
    <row r="1086" spans="1:14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</row>
    <row r="1087" spans="1:14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</row>
    <row r="1088" spans="1:14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</row>
    <row r="1089" spans="1:14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</row>
    <row r="1090" spans="1:14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</row>
    <row r="1091" spans="1:14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</row>
    <row r="1092" spans="1:14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</row>
    <row r="1093" spans="1:14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</row>
    <row r="1094" spans="1:14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</row>
    <row r="1095" spans="1:14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</row>
    <row r="1096" spans="1:14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</row>
    <row r="1097" spans="1:14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</row>
    <row r="1098" spans="1:14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</row>
    <row r="1099" spans="1:14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</row>
    <row r="1100" spans="1:14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</row>
    <row r="1101" spans="1:14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</row>
    <row r="1102" spans="1:14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</row>
    <row r="1103" spans="1:14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</row>
    <row r="1104" spans="1:14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</row>
    <row r="1105" spans="1:14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</row>
    <row r="1106" spans="1:14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</row>
    <row r="1107" spans="1:14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</row>
    <row r="1108" spans="1:14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</row>
    <row r="1109" spans="1:14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spans="1:14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</row>
    <row r="1111" spans="1:14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</row>
    <row r="1112" spans="1:14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</row>
    <row r="1113" spans="1:14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</row>
    <row r="1114" spans="1:14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</row>
    <row r="1115" spans="1:14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</row>
    <row r="1116" spans="1:14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</row>
    <row r="1117" spans="1:14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</row>
    <row r="1118" spans="1:14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</row>
    <row r="1119" spans="1:14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</row>
    <row r="1120" spans="1:14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</row>
    <row r="1121" spans="1:14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</row>
    <row r="1122" spans="1:14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</row>
    <row r="1123" spans="1:14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</row>
    <row r="1124" spans="1:14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</row>
    <row r="1125" spans="1:14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</row>
    <row r="1126" spans="1:14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</row>
    <row r="1127" spans="1:14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</row>
    <row r="1128" spans="1:14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</row>
    <row r="1129" spans="1:14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</row>
    <row r="1130" spans="1:14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</row>
    <row r="1131" spans="1:14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</row>
    <row r="1132" spans="1:14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</row>
    <row r="1133" spans="1:14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</row>
    <row r="1134" spans="1:14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</row>
    <row r="1135" spans="1:14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</row>
    <row r="1136" spans="1:14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</row>
    <row r="1137" spans="1:14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</row>
    <row r="1138" spans="1:14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</row>
    <row r="1139" spans="1:14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</row>
    <row r="1140" spans="1:14" x14ac:dyDescent="0.2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</row>
    <row r="1141" spans="1:14" x14ac:dyDescent="0.2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</row>
    <row r="1142" spans="1:14" x14ac:dyDescent="0.2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</row>
    <row r="1143" spans="1:14" x14ac:dyDescent="0.2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</row>
    <row r="1144" spans="1:14" x14ac:dyDescent="0.2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</row>
    <row r="1145" spans="1:14" x14ac:dyDescent="0.2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</row>
    <row r="1146" spans="1:14" x14ac:dyDescent="0.2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</row>
    <row r="1147" spans="1:14" x14ac:dyDescent="0.2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</row>
    <row r="1148" spans="1:14" x14ac:dyDescent="0.2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</row>
    <row r="1149" spans="1:14" x14ac:dyDescent="0.2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</row>
    <row r="1150" spans="1:14" x14ac:dyDescent="0.2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</row>
    <row r="1151" spans="1:14" x14ac:dyDescent="0.2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</row>
    <row r="1152" spans="1:14" x14ac:dyDescent="0.2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</row>
    <row r="1153" spans="1:14" x14ac:dyDescent="0.2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</row>
    <row r="1154" spans="1:14" x14ac:dyDescent="0.2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</row>
    <row r="1155" spans="1:14" x14ac:dyDescent="0.2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</row>
    <row r="1156" spans="1:14" x14ac:dyDescent="0.2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</row>
    <row r="1157" spans="1:14" x14ac:dyDescent="0.2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</row>
    <row r="1158" spans="1:14" x14ac:dyDescent="0.2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</row>
    <row r="1159" spans="1:14" x14ac:dyDescent="0.2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</row>
    <row r="1160" spans="1:14" x14ac:dyDescent="0.2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</row>
    <row r="1161" spans="1:14" x14ac:dyDescent="0.2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</row>
    <row r="1162" spans="1:14" x14ac:dyDescent="0.2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</row>
    <row r="1163" spans="1:14" x14ac:dyDescent="0.2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</row>
    <row r="1164" spans="1:14" x14ac:dyDescent="0.2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</row>
    <row r="1165" spans="1:14" x14ac:dyDescent="0.2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</row>
    <row r="1166" spans="1:14" x14ac:dyDescent="0.2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</row>
    <row r="1167" spans="1:14" x14ac:dyDescent="0.2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</row>
    <row r="1168" spans="1:14" x14ac:dyDescent="0.2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</row>
    <row r="1169" spans="1:14" x14ac:dyDescent="0.2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</row>
    <row r="1170" spans="1:14" x14ac:dyDescent="0.2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</row>
    <row r="1171" spans="1:14" x14ac:dyDescent="0.2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Velasco Meseguer</dc:creator>
  <cp:lastModifiedBy>Gonzalo Velasco Meseguer</cp:lastModifiedBy>
  <dcterms:created xsi:type="dcterms:W3CDTF">2019-03-06T15:52:48Z</dcterms:created>
  <dcterms:modified xsi:type="dcterms:W3CDTF">2019-06-15T07:44:43Z</dcterms:modified>
</cp:coreProperties>
</file>