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DOCUMENTACIÓN\UPM\Grado\ASIGNATURAS\ETSIAE\3\AERODINAMICA Y AEROELASTICIDAD\CLASE\Aerodinámica\Trabajitos\Perfiles\Cálculos\"/>
    </mc:Choice>
  </mc:AlternateContent>
  <xr:revisionPtr revIDLastSave="0" documentId="13_ncr:1_{2583F852-71D0-4A88-80C7-5911E775757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32" sheetId="1" r:id="rId1"/>
    <sheet name="N70" sheetId="3" r:id="rId2"/>
    <sheet name="N70_DESARROLL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1" i="3" l="1"/>
  <c r="E21" i="3"/>
  <c r="G17" i="1"/>
  <c r="F17" i="1"/>
  <c r="G16" i="3" l="1"/>
  <c r="F16" i="3"/>
  <c r="CA10" i="4" l="1"/>
  <c r="B3" i="3" l="1"/>
  <c r="B6" i="3" l="1"/>
  <c r="E74" i="3" l="1"/>
  <c r="E82" i="3"/>
  <c r="E58" i="3"/>
  <c r="E66" i="3"/>
  <c r="E26" i="3"/>
  <c r="E34" i="3"/>
  <c r="E42" i="3"/>
  <c r="E50" i="3"/>
  <c r="E75" i="3"/>
  <c r="E83" i="3"/>
  <c r="E59" i="3"/>
  <c r="E67" i="3"/>
  <c r="E27" i="3"/>
  <c r="E35" i="3"/>
  <c r="E43" i="3"/>
  <c r="E51" i="3"/>
  <c r="E38" i="3"/>
  <c r="E46" i="3"/>
  <c r="E63" i="3"/>
  <c r="E31" i="3"/>
  <c r="E47" i="3"/>
  <c r="E17" i="3"/>
  <c r="E80" i="3"/>
  <c r="E64" i="3"/>
  <c r="E32" i="3"/>
  <c r="E48" i="3"/>
  <c r="E65" i="3"/>
  <c r="E33" i="3"/>
  <c r="E49" i="3"/>
  <c r="E86" i="3"/>
  <c r="E76" i="3"/>
  <c r="E84" i="3"/>
  <c r="E60" i="3"/>
  <c r="E68" i="3"/>
  <c r="E28" i="3"/>
  <c r="E36" i="3"/>
  <c r="E44" i="3"/>
  <c r="E52" i="3"/>
  <c r="E69" i="3"/>
  <c r="E77" i="3"/>
  <c r="E85" i="3"/>
  <c r="E61" i="3"/>
  <c r="E29" i="3"/>
  <c r="E37" i="3"/>
  <c r="E45" i="3"/>
  <c r="E53" i="3"/>
  <c r="E70" i="3"/>
  <c r="E78" i="3"/>
  <c r="E54" i="3"/>
  <c r="E62" i="3"/>
  <c r="E22" i="3"/>
  <c r="E30" i="3"/>
  <c r="E18" i="3"/>
  <c r="E71" i="3"/>
  <c r="E79" i="3"/>
  <c r="E55" i="3"/>
  <c r="E23" i="3"/>
  <c r="E39" i="3"/>
  <c r="E19" i="3"/>
  <c r="E72" i="3"/>
  <c r="E56" i="3"/>
  <c r="E24" i="3"/>
  <c r="E40" i="3"/>
  <c r="E20" i="3"/>
  <c r="E73" i="3"/>
  <c r="E81" i="3"/>
  <c r="E57" i="3"/>
  <c r="E25" i="3"/>
  <c r="E41" i="3"/>
  <c r="B10" i="3"/>
  <c r="I24" i="3" l="1"/>
  <c r="I22" i="3"/>
  <c r="F79" i="3"/>
  <c r="G79" i="3"/>
  <c r="F77" i="3"/>
  <c r="G77" i="3"/>
  <c r="G84" i="3"/>
  <c r="F84" i="3"/>
  <c r="G64" i="3"/>
  <c r="F64" i="3"/>
  <c r="F50" i="3"/>
  <c r="G50" i="3"/>
  <c r="G24" i="3"/>
  <c r="F24" i="3"/>
  <c r="F71" i="3"/>
  <c r="G71" i="3"/>
  <c r="G53" i="3"/>
  <c r="F53" i="3"/>
  <c r="G69" i="3"/>
  <c r="F69" i="3"/>
  <c r="G76" i="3"/>
  <c r="F76" i="3"/>
  <c r="G80" i="3"/>
  <c r="F80" i="3"/>
  <c r="G43" i="3"/>
  <c r="F43" i="3"/>
  <c r="F42" i="3"/>
  <c r="G42" i="3"/>
  <c r="F40" i="3"/>
  <c r="G40" i="3"/>
  <c r="G70" i="3"/>
  <c r="F70" i="3"/>
  <c r="G51" i="3"/>
  <c r="F51" i="3"/>
  <c r="G41" i="3"/>
  <c r="H40" i="3"/>
  <c r="F41" i="3"/>
  <c r="F56" i="3"/>
  <c r="G56" i="3"/>
  <c r="I17" i="3"/>
  <c r="F18" i="3"/>
  <c r="G18" i="3"/>
  <c r="H17" i="3"/>
  <c r="G45" i="3"/>
  <c r="F45" i="3"/>
  <c r="G52" i="3"/>
  <c r="F52" i="3"/>
  <c r="F86" i="3"/>
  <c r="G86" i="3"/>
  <c r="G17" i="3"/>
  <c r="K16" i="3" s="1"/>
  <c r="F17" i="3"/>
  <c r="J16" i="3" s="1"/>
  <c r="G35" i="3"/>
  <c r="F35" i="3"/>
  <c r="G34" i="3"/>
  <c r="F34" i="3"/>
  <c r="G25" i="3"/>
  <c r="F25" i="3"/>
  <c r="G72" i="3"/>
  <c r="F72" i="3"/>
  <c r="F30" i="3"/>
  <c r="G30" i="3"/>
  <c r="G37" i="3"/>
  <c r="F37" i="3"/>
  <c r="G44" i="3"/>
  <c r="F44" i="3"/>
  <c r="F49" i="3"/>
  <c r="G49" i="3"/>
  <c r="F47" i="3"/>
  <c r="G47" i="3"/>
  <c r="G27" i="3"/>
  <c r="F27" i="3"/>
  <c r="F26" i="3"/>
  <c r="G26" i="3"/>
  <c r="F19" i="3"/>
  <c r="G19" i="3"/>
  <c r="F29" i="3"/>
  <c r="G29" i="3"/>
  <c r="G33" i="3"/>
  <c r="F33" i="3"/>
  <c r="G31" i="3"/>
  <c r="F31" i="3"/>
  <c r="G66" i="3"/>
  <c r="F66" i="3"/>
  <c r="F57" i="3"/>
  <c r="G57" i="3"/>
  <c r="G22" i="3"/>
  <c r="F22" i="3"/>
  <c r="F36" i="3"/>
  <c r="G36" i="3"/>
  <c r="G67" i="3"/>
  <c r="F67" i="3"/>
  <c r="G81" i="3"/>
  <c r="F81" i="3"/>
  <c r="F39" i="3"/>
  <c r="G39" i="3"/>
  <c r="G62" i="3"/>
  <c r="F62" i="3"/>
  <c r="F21" i="3"/>
  <c r="F28" i="3"/>
  <c r="G28" i="3"/>
  <c r="G65" i="3"/>
  <c r="F65" i="3"/>
  <c r="F63" i="3"/>
  <c r="G63" i="3"/>
  <c r="F59" i="3"/>
  <c r="G59" i="3"/>
  <c r="F58" i="3"/>
  <c r="G58" i="3"/>
  <c r="G73" i="3"/>
  <c r="F73" i="3"/>
  <c r="G23" i="3"/>
  <c r="F23" i="3"/>
  <c r="G54" i="3"/>
  <c r="F54" i="3"/>
  <c r="F61" i="3"/>
  <c r="G61" i="3"/>
  <c r="G68" i="3"/>
  <c r="F68" i="3"/>
  <c r="F48" i="3"/>
  <c r="G48" i="3"/>
  <c r="G46" i="3"/>
  <c r="F46" i="3"/>
  <c r="F83" i="3"/>
  <c r="G83" i="3"/>
  <c r="G82" i="3"/>
  <c r="F82" i="3"/>
  <c r="G20" i="3"/>
  <c r="F20" i="3"/>
  <c r="F55" i="3"/>
  <c r="G55" i="3"/>
  <c r="F78" i="3"/>
  <c r="G78" i="3"/>
  <c r="F85" i="3"/>
  <c r="G85" i="3"/>
  <c r="F60" i="3"/>
  <c r="G60" i="3"/>
  <c r="G32" i="3"/>
  <c r="F32" i="3"/>
  <c r="G38" i="3"/>
  <c r="F38" i="3"/>
  <c r="G75" i="3"/>
  <c r="F75" i="3"/>
  <c r="G74" i="3"/>
  <c r="K73" i="3" s="1"/>
  <c r="F74" i="3"/>
  <c r="E10" i="4"/>
  <c r="E48" i="4"/>
  <c r="E57" i="4"/>
  <c r="E49" i="4"/>
  <c r="E66" i="4"/>
  <c r="E53" i="4"/>
  <c r="E50" i="4"/>
  <c r="E76" i="4"/>
  <c r="E61" i="4"/>
  <c r="E43" i="4"/>
  <c r="E29" i="4"/>
  <c r="E25" i="4"/>
  <c r="E11" i="4"/>
  <c r="E13" i="4"/>
  <c r="E17" i="4"/>
  <c r="K20" i="3" l="1"/>
  <c r="K25" i="3"/>
  <c r="M40" i="3"/>
  <c r="Q40" i="3" s="1"/>
  <c r="L40" i="3"/>
  <c r="P40" i="3" s="1"/>
  <c r="L17" i="3"/>
  <c r="P17" i="3" s="1"/>
  <c r="M17" i="3"/>
  <c r="Q17" i="3" s="1"/>
  <c r="E75" i="4"/>
  <c r="E52" i="4"/>
  <c r="E68" i="4"/>
  <c r="E12" i="4"/>
  <c r="E19" i="4"/>
  <c r="E34" i="4"/>
  <c r="E74" i="4"/>
  <c r="E51" i="4"/>
  <c r="E35" i="4"/>
  <c r="E54" i="4"/>
  <c r="E63" i="4"/>
  <c r="E22" i="4"/>
  <c r="E46" i="4"/>
  <c r="J44" i="3"/>
  <c r="E37" i="4"/>
  <c r="E62" i="4"/>
  <c r="E71" i="4"/>
  <c r="E14" i="4"/>
  <c r="K38" i="3"/>
  <c r="E32" i="4"/>
  <c r="E30" i="4"/>
  <c r="E15" i="4"/>
  <c r="J34" i="3"/>
  <c r="E27" i="4"/>
  <c r="E44" i="4"/>
  <c r="E41" i="4"/>
  <c r="E70" i="4"/>
  <c r="J86" i="3"/>
  <c r="E79" i="4"/>
  <c r="E23" i="4"/>
  <c r="E55" i="4"/>
  <c r="E21" i="4"/>
  <c r="J38" i="3"/>
  <c r="E31" i="4"/>
  <c r="E45" i="4"/>
  <c r="E77" i="4"/>
  <c r="E78" i="4"/>
  <c r="E39" i="4"/>
  <c r="J29" i="3"/>
  <c r="E26" i="4"/>
  <c r="E58" i="4"/>
  <c r="E33" i="4"/>
  <c r="E67" i="4"/>
  <c r="K45" i="3"/>
  <c r="E38" i="4"/>
  <c r="E56" i="4"/>
  <c r="E16" i="4"/>
  <c r="E24" i="4"/>
  <c r="E59" i="4"/>
  <c r="K42" i="3"/>
  <c r="E36" i="4"/>
  <c r="E65" i="4"/>
  <c r="E42" i="4"/>
  <c r="E64" i="4"/>
  <c r="J25" i="3"/>
  <c r="E18" i="4"/>
  <c r="K27" i="3"/>
  <c r="E20" i="4"/>
  <c r="E28" i="4"/>
  <c r="E60" i="4"/>
  <c r="E40" i="4"/>
  <c r="E69" i="4"/>
  <c r="E73" i="4"/>
  <c r="E47" i="4"/>
  <c r="E72" i="4"/>
  <c r="I82" i="3"/>
  <c r="H82" i="3"/>
  <c r="H49" i="3"/>
  <c r="I49" i="3"/>
  <c r="I81" i="3"/>
  <c r="H81" i="3"/>
  <c r="I58" i="3"/>
  <c r="H58" i="3"/>
  <c r="I68" i="3"/>
  <c r="H68" i="3"/>
  <c r="I77" i="3"/>
  <c r="H77" i="3"/>
  <c r="J61" i="3"/>
  <c r="K80" i="3"/>
  <c r="K58" i="3"/>
  <c r="H59" i="3"/>
  <c r="I59" i="3"/>
  <c r="H51" i="3"/>
  <c r="I51" i="3"/>
  <c r="J51" i="3"/>
  <c r="H83" i="3"/>
  <c r="I83" i="3"/>
  <c r="I72" i="3"/>
  <c r="H72" i="3"/>
  <c r="I55" i="3"/>
  <c r="H55" i="3"/>
  <c r="I84" i="3"/>
  <c r="H84" i="3"/>
  <c r="H54" i="3"/>
  <c r="I54" i="3"/>
  <c r="I50" i="3"/>
  <c r="H50" i="3"/>
  <c r="I64" i="3"/>
  <c r="H64" i="3"/>
  <c r="I73" i="3"/>
  <c r="H73" i="3"/>
  <c r="I63" i="3"/>
  <c r="H63" i="3"/>
  <c r="I62" i="3"/>
  <c r="H62" i="3"/>
  <c r="J84" i="3"/>
  <c r="H85" i="3"/>
  <c r="I85" i="3"/>
  <c r="H86" i="3"/>
  <c r="I86" i="3"/>
  <c r="I65" i="3"/>
  <c r="H65" i="3"/>
  <c r="I74" i="3"/>
  <c r="H74" i="3"/>
  <c r="I71" i="3"/>
  <c r="H71" i="3"/>
  <c r="I48" i="3"/>
  <c r="H48" i="3"/>
  <c r="H70" i="3"/>
  <c r="I70" i="3"/>
  <c r="K49" i="3"/>
  <c r="I66" i="3"/>
  <c r="H66" i="3"/>
  <c r="H75" i="3"/>
  <c r="I75" i="3"/>
  <c r="I79" i="3"/>
  <c r="H79" i="3"/>
  <c r="I53" i="3"/>
  <c r="H53" i="3"/>
  <c r="I78" i="3"/>
  <c r="H78" i="3"/>
  <c r="J70" i="3"/>
  <c r="H67" i="3"/>
  <c r="I67" i="3"/>
  <c r="I56" i="3"/>
  <c r="H56" i="3"/>
  <c r="I52" i="3"/>
  <c r="H52" i="3"/>
  <c r="I61" i="3"/>
  <c r="H61" i="3"/>
  <c r="J81" i="3"/>
  <c r="J49" i="3"/>
  <c r="I76" i="3"/>
  <c r="H76" i="3"/>
  <c r="H24" i="3"/>
  <c r="I80" i="3"/>
  <c r="H80" i="3"/>
  <c r="I57" i="3"/>
  <c r="H57" i="3"/>
  <c r="I60" i="3"/>
  <c r="H60" i="3"/>
  <c r="I69" i="3"/>
  <c r="H69" i="3"/>
  <c r="K70" i="3"/>
  <c r="K77" i="3"/>
  <c r="J24" i="3"/>
  <c r="J47" i="3"/>
  <c r="J48" i="3"/>
  <c r="K21" i="3"/>
  <c r="K40" i="3"/>
  <c r="I38" i="3"/>
  <c r="H38" i="3"/>
  <c r="H25" i="3"/>
  <c r="I25" i="3"/>
  <c r="I26" i="3"/>
  <c r="H26" i="3"/>
  <c r="H34" i="3"/>
  <c r="I34" i="3"/>
  <c r="I46" i="3"/>
  <c r="H46" i="3"/>
  <c r="I31" i="3"/>
  <c r="H31" i="3"/>
  <c r="K31" i="3"/>
  <c r="J31" i="3"/>
  <c r="H43" i="3"/>
  <c r="I43" i="3"/>
  <c r="I20" i="3"/>
  <c r="H20" i="3"/>
  <c r="H29" i="3"/>
  <c r="I29" i="3"/>
  <c r="I28" i="3"/>
  <c r="H28" i="3"/>
  <c r="I40" i="3"/>
  <c r="J22" i="3"/>
  <c r="H21" i="3"/>
  <c r="L21" i="3" s="1"/>
  <c r="I21" i="3"/>
  <c r="H33" i="3"/>
  <c r="I33" i="3"/>
  <c r="H47" i="3"/>
  <c r="I47" i="3"/>
  <c r="I16" i="3"/>
  <c r="H16" i="3"/>
  <c r="I45" i="3"/>
  <c r="H45" i="3"/>
  <c r="J45" i="3"/>
  <c r="H41" i="3"/>
  <c r="I41" i="3"/>
  <c r="I27" i="3"/>
  <c r="H27" i="3"/>
  <c r="I37" i="3"/>
  <c r="H37" i="3"/>
  <c r="I36" i="3"/>
  <c r="H36" i="3"/>
  <c r="M36" i="3" s="1"/>
  <c r="K37" i="3"/>
  <c r="K28" i="3"/>
  <c r="I32" i="3"/>
  <c r="H32" i="3"/>
  <c r="I35" i="3"/>
  <c r="H35" i="3"/>
  <c r="J35" i="3"/>
  <c r="H39" i="3"/>
  <c r="I39" i="3"/>
  <c r="H44" i="3"/>
  <c r="I44" i="3"/>
  <c r="I19" i="3"/>
  <c r="H19" i="3"/>
  <c r="I23" i="3"/>
  <c r="H23" i="3"/>
  <c r="I18" i="3"/>
  <c r="H18" i="3"/>
  <c r="J40" i="3"/>
  <c r="J39" i="3"/>
  <c r="J30" i="3"/>
  <c r="K33" i="3"/>
  <c r="H22" i="3"/>
  <c r="H30" i="3"/>
  <c r="I30" i="3"/>
  <c r="I42" i="3"/>
  <c r="H42" i="3"/>
  <c r="M56" i="3" l="1"/>
  <c r="Q56" i="3" s="1"/>
  <c r="L56" i="3"/>
  <c r="P56" i="3" s="1"/>
  <c r="L44" i="3"/>
  <c r="P44" i="3" s="1"/>
  <c r="M44" i="3"/>
  <c r="Q44" i="3" s="1"/>
  <c r="L43" i="3"/>
  <c r="P43" i="3" s="1"/>
  <c r="M43" i="3"/>
  <c r="Q43" i="3" s="1"/>
  <c r="M34" i="3"/>
  <c r="Q34" i="3" s="1"/>
  <c r="L34" i="3"/>
  <c r="P34" i="3" s="1"/>
  <c r="L60" i="3"/>
  <c r="P60" i="3" s="1"/>
  <c r="M60" i="3"/>
  <c r="Q60" i="3" s="1"/>
  <c r="L79" i="3"/>
  <c r="P79" i="3" s="1"/>
  <c r="M79" i="3"/>
  <c r="Q79" i="3" s="1"/>
  <c r="L70" i="3"/>
  <c r="P70" i="3" s="1"/>
  <c r="M70" i="3"/>
  <c r="Q70" i="3" s="1"/>
  <c r="M63" i="3"/>
  <c r="Q63" i="3" s="1"/>
  <c r="L63" i="3"/>
  <c r="P63" i="3" s="1"/>
  <c r="M81" i="3"/>
  <c r="Q81" i="3" s="1"/>
  <c r="L81" i="3"/>
  <c r="P81" i="3" s="1"/>
  <c r="M16" i="3"/>
  <c r="Q16" i="3" s="1"/>
  <c r="L16" i="3"/>
  <c r="P16" i="3" s="1"/>
  <c r="L18" i="3"/>
  <c r="P18" i="3" s="1"/>
  <c r="M18" i="3"/>
  <c r="Q18" i="3" s="1"/>
  <c r="L26" i="3"/>
  <c r="P26" i="3" s="1"/>
  <c r="M26" i="3"/>
  <c r="Q26" i="3" s="1"/>
  <c r="L83" i="3"/>
  <c r="P83" i="3" s="1"/>
  <c r="M83" i="3"/>
  <c r="Q83" i="3" s="1"/>
  <c r="L30" i="3"/>
  <c r="P30" i="3" s="1"/>
  <c r="M30" i="3"/>
  <c r="Q30" i="3" s="1"/>
  <c r="M39" i="3"/>
  <c r="Q39" i="3" s="1"/>
  <c r="L39" i="3"/>
  <c r="P39" i="3" s="1"/>
  <c r="L36" i="3"/>
  <c r="P36" i="3" s="1"/>
  <c r="Q36" i="3"/>
  <c r="M47" i="3"/>
  <c r="Q47" i="3" s="1"/>
  <c r="L47" i="3"/>
  <c r="P47" i="3" s="1"/>
  <c r="M57" i="3"/>
  <c r="Q57" i="3" s="1"/>
  <c r="L57" i="3"/>
  <c r="P57" i="3" s="1"/>
  <c r="L67" i="3"/>
  <c r="P67" i="3" s="1"/>
  <c r="M67" i="3"/>
  <c r="Q67" i="3" s="1"/>
  <c r="L86" i="3"/>
  <c r="M86" i="3"/>
  <c r="M73" i="3"/>
  <c r="Q73" i="3" s="1"/>
  <c r="L73" i="3"/>
  <c r="P73" i="3" s="1"/>
  <c r="L84" i="3"/>
  <c r="P84" i="3" s="1"/>
  <c r="M84" i="3"/>
  <c r="Q84" i="3" s="1"/>
  <c r="L77" i="3"/>
  <c r="P77" i="3" s="1"/>
  <c r="M77" i="3"/>
  <c r="Q77" i="3" s="1"/>
  <c r="M42" i="3"/>
  <c r="Q42" i="3" s="1"/>
  <c r="L42" i="3"/>
  <c r="P42" i="3" s="1"/>
  <c r="M41" i="3"/>
  <c r="Q41" i="3" s="1"/>
  <c r="L41" i="3"/>
  <c r="P41" i="3" s="1"/>
  <c r="L61" i="3"/>
  <c r="P61" i="3" s="1"/>
  <c r="M61" i="3"/>
  <c r="Q61" i="3" s="1"/>
  <c r="L75" i="3"/>
  <c r="P75" i="3" s="1"/>
  <c r="M75" i="3"/>
  <c r="Q75" i="3" s="1"/>
  <c r="L71" i="3"/>
  <c r="P71" i="3" s="1"/>
  <c r="M71" i="3"/>
  <c r="Q71" i="3" s="1"/>
  <c r="M49" i="3"/>
  <c r="Q49" i="3" s="1"/>
  <c r="L49" i="3"/>
  <c r="P49" i="3" s="1"/>
  <c r="M65" i="3"/>
  <c r="Q65" i="3" s="1"/>
  <c r="L65" i="3"/>
  <c r="P65" i="3" s="1"/>
  <c r="M22" i="3"/>
  <c r="Q22" i="3" s="1"/>
  <c r="L22" i="3"/>
  <c r="P22" i="3" s="1"/>
  <c r="L35" i="3"/>
  <c r="P35" i="3" s="1"/>
  <c r="M35" i="3"/>
  <c r="Q35" i="3" s="1"/>
  <c r="M33" i="3"/>
  <c r="Q33" i="3" s="1"/>
  <c r="L33" i="3"/>
  <c r="P33" i="3" s="1"/>
  <c r="L29" i="3"/>
  <c r="P29" i="3" s="1"/>
  <c r="M29" i="3"/>
  <c r="Q29" i="3" s="1"/>
  <c r="L25" i="3"/>
  <c r="P25" i="3" s="1"/>
  <c r="M25" i="3"/>
  <c r="Q25" i="3" s="1"/>
  <c r="M80" i="3"/>
  <c r="Q80" i="3" s="1"/>
  <c r="L80" i="3"/>
  <c r="P80" i="3" s="1"/>
  <c r="L78" i="3"/>
  <c r="P78" i="3" s="1"/>
  <c r="M78" i="3"/>
  <c r="Q78" i="3" s="1"/>
  <c r="M66" i="3"/>
  <c r="Q66" i="3" s="1"/>
  <c r="L66" i="3"/>
  <c r="P66" i="3" s="1"/>
  <c r="L85" i="3"/>
  <c r="P85" i="3" s="1"/>
  <c r="M85" i="3"/>
  <c r="Q85" i="3" s="1"/>
  <c r="M64" i="3"/>
  <c r="Q64" i="3" s="1"/>
  <c r="L64" i="3"/>
  <c r="P64" i="3" s="1"/>
  <c r="M55" i="3"/>
  <c r="Q55" i="3" s="1"/>
  <c r="L55" i="3"/>
  <c r="P55" i="3" s="1"/>
  <c r="L51" i="3"/>
  <c r="P51" i="3" s="1"/>
  <c r="M51" i="3"/>
  <c r="Q51" i="3" s="1"/>
  <c r="L68" i="3"/>
  <c r="P68" i="3" s="1"/>
  <c r="M68" i="3"/>
  <c r="Q68" i="3" s="1"/>
  <c r="M82" i="3"/>
  <c r="Q82" i="3" s="1"/>
  <c r="L82" i="3"/>
  <c r="P82" i="3" s="1"/>
  <c r="L76" i="3"/>
  <c r="P76" i="3" s="1"/>
  <c r="M76" i="3"/>
  <c r="Q76" i="3" s="1"/>
  <c r="L54" i="3"/>
  <c r="P54" i="3" s="1"/>
  <c r="M54" i="3"/>
  <c r="Q54" i="3" s="1"/>
  <c r="L19" i="3"/>
  <c r="P19" i="3" s="1"/>
  <c r="M19" i="3"/>
  <c r="Q19" i="3" s="1"/>
  <c r="L37" i="3"/>
  <c r="P37" i="3" s="1"/>
  <c r="M37" i="3"/>
  <c r="Q37" i="3" s="1"/>
  <c r="L45" i="3"/>
  <c r="P45" i="3" s="1"/>
  <c r="M45" i="3"/>
  <c r="Q45" i="3" s="1"/>
  <c r="L20" i="3"/>
  <c r="P20" i="3" s="1"/>
  <c r="M20" i="3"/>
  <c r="Q20" i="3" s="1"/>
  <c r="M46" i="3"/>
  <c r="Q46" i="3" s="1"/>
  <c r="L46" i="3"/>
  <c r="P46" i="3" s="1"/>
  <c r="L38" i="3"/>
  <c r="P38" i="3" s="1"/>
  <c r="M38" i="3"/>
  <c r="Q38" i="3" s="1"/>
  <c r="L52" i="3"/>
  <c r="P52" i="3" s="1"/>
  <c r="M52" i="3"/>
  <c r="Q52" i="3" s="1"/>
  <c r="M74" i="3"/>
  <c r="Q74" i="3" s="1"/>
  <c r="L74" i="3"/>
  <c r="P74" i="3" s="1"/>
  <c r="L27" i="3"/>
  <c r="P27" i="3" s="1"/>
  <c r="M27" i="3"/>
  <c r="Q27" i="3" s="1"/>
  <c r="L28" i="3"/>
  <c r="P28" i="3" s="1"/>
  <c r="M28" i="3"/>
  <c r="Q28" i="3" s="1"/>
  <c r="M48" i="3"/>
  <c r="Q48" i="3" s="1"/>
  <c r="L48" i="3"/>
  <c r="P48" i="3" s="1"/>
  <c r="L23" i="3"/>
  <c r="P23" i="3" s="1"/>
  <c r="M23" i="3"/>
  <c r="Q23" i="3" s="1"/>
  <c r="M31" i="3"/>
  <c r="Q31" i="3" s="1"/>
  <c r="L31" i="3"/>
  <c r="P31" i="3" s="1"/>
  <c r="M32" i="3"/>
  <c r="Q32" i="3" s="1"/>
  <c r="L32" i="3"/>
  <c r="P32" i="3" s="1"/>
  <c r="P21" i="3"/>
  <c r="M21" i="3"/>
  <c r="Q21" i="3" s="1"/>
  <c r="L69" i="3"/>
  <c r="P69" i="3" s="1"/>
  <c r="M69" i="3"/>
  <c r="Q69" i="3" s="1"/>
  <c r="L24" i="3"/>
  <c r="P24" i="3" s="1"/>
  <c r="M24" i="3"/>
  <c r="Q24" i="3" s="1"/>
  <c r="L53" i="3"/>
  <c r="P53" i="3" s="1"/>
  <c r="M53" i="3"/>
  <c r="Q53" i="3" s="1"/>
  <c r="L62" i="3"/>
  <c r="P62" i="3" s="1"/>
  <c r="M62" i="3"/>
  <c r="Q62" i="3" s="1"/>
  <c r="L50" i="3"/>
  <c r="P50" i="3" s="1"/>
  <c r="M50" i="3"/>
  <c r="Q50" i="3" s="1"/>
  <c r="M72" i="3"/>
  <c r="Q72" i="3" s="1"/>
  <c r="L72" i="3"/>
  <c r="P72" i="3" s="1"/>
  <c r="L59" i="3"/>
  <c r="P59" i="3" s="1"/>
  <c r="M59" i="3"/>
  <c r="Q59" i="3" s="1"/>
  <c r="M58" i="3"/>
  <c r="Q58" i="3" s="1"/>
  <c r="L58" i="3"/>
  <c r="P58" i="3" s="1"/>
  <c r="K72" i="3"/>
  <c r="K75" i="3"/>
  <c r="J66" i="3"/>
  <c r="K62" i="3"/>
  <c r="J63" i="3"/>
  <c r="K59" i="3"/>
  <c r="K66" i="3"/>
  <c r="K41" i="3"/>
  <c r="K53" i="3"/>
  <c r="K44" i="3"/>
  <c r="J27" i="3"/>
  <c r="J33" i="3"/>
  <c r="K22" i="3"/>
  <c r="J19" i="3"/>
  <c r="J18" i="3"/>
  <c r="K82" i="3"/>
  <c r="J37" i="3"/>
  <c r="K43" i="3"/>
  <c r="J43" i="3"/>
  <c r="K51" i="3"/>
  <c r="J67" i="3"/>
  <c r="J74" i="3"/>
  <c r="J78" i="3"/>
  <c r="K47" i="3"/>
  <c r="J53" i="3"/>
  <c r="J75" i="3"/>
  <c r="K81" i="3"/>
  <c r="J79" i="3"/>
  <c r="K61" i="3"/>
  <c r="K84" i="3"/>
  <c r="K65" i="3"/>
  <c r="J55" i="3"/>
  <c r="BR21" i="4"/>
  <c r="BJ21" i="4"/>
  <c r="BB21" i="4"/>
  <c r="AT21" i="4"/>
  <c r="AL21" i="4"/>
  <c r="AD21" i="4"/>
  <c r="V21" i="4"/>
  <c r="N21" i="4"/>
  <c r="F21" i="4"/>
  <c r="BP21" i="4"/>
  <c r="BH21" i="4"/>
  <c r="AZ21" i="4"/>
  <c r="AR21" i="4"/>
  <c r="AJ21" i="4"/>
  <c r="AB21" i="4"/>
  <c r="T21" i="4"/>
  <c r="L21" i="4"/>
  <c r="BW21" i="4"/>
  <c r="BO21" i="4"/>
  <c r="BG21" i="4"/>
  <c r="AY21" i="4"/>
  <c r="AQ21" i="4"/>
  <c r="AI21" i="4"/>
  <c r="AA21" i="4"/>
  <c r="S21" i="4"/>
  <c r="K21" i="4"/>
  <c r="BU21" i="4"/>
  <c r="BM21" i="4"/>
  <c r="BE21" i="4"/>
  <c r="AW21" i="4"/>
  <c r="AO21" i="4"/>
  <c r="AG21" i="4"/>
  <c r="Y21" i="4"/>
  <c r="Q21" i="4"/>
  <c r="I21" i="4"/>
  <c r="BT21" i="4"/>
  <c r="BL21" i="4"/>
  <c r="BD21" i="4"/>
  <c r="AV21" i="4"/>
  <c r="AN21" i="4"/>
  <c r="AF21" i="4"/>
  <c r="X21" i="4"/>
  <c r="P21" i="4"/>
  <c r="H21" i="4"/>
  <c r="BS21" i="4"/>
  <c r="AX21" i="4"/>
  <c r="AC21" i="4"/>
  <c r="G21" i="4"/>
  <c r="BA21" i="4"/>
  <c r="BQ21" i="4"/>
  <c r="AU21" i="4"/>
  <c r="Z21" i="4"/>
  <c r="J21" i="4"/>
  <c r="BN21" i="4"/>
  <c r="AS21" i="4"/>
  <c r="W21" i="4"/>
  <c r="BK21" i="4"/>
  <c r="AP21" i="4"/>
  <c r="U21" i="4"/>
  <c r="BV21" i="4"/>
  <c r="BI21" i="4"/>
  <c r="AM21" i="4"/>
  <c r="R21" i="4"/>
  <c r="AE21" i="4"/>
  <c r="BF21" i="4"/>
  <c r="AK21" i="4"/>
  <c r="O21" i="4"/>
  <c r="BC21" i="4"/>
  <c r="AH21" i="4"/>
  <c r="M21" i="4"/>
  <c r="BS16" i="4"/>
  <c r="BK16" i="4"/>
  <c r="BC16" i="4"/>
  <c r="AU16" i="4"/>
  <c r="AM16" i="4"/>
  <c r="AE16" i="4"/>
  <c r="W16" i="4"/>
  <c r="O16" i="4"/>
  <c r="G16" i="4"/>
  <c r="BR16" i="4"/>
  <c r="BJ16" i="4"/>
  <c r="BB16" i="4"/>
  <c r="AT16" i="4"/>
  <c r="AL16" i="4"/>
  <c r="AD16" i="4"/>
  <c r="V16" i="4"/>
  <c r="N16" i="4"/>
  <c r="F16" i="4"/>
  <c r="BQ16" i="4"/>
  <c r="BI16" i="4"/>
  <c r="BA16" i="4"/>
  <c r="AS16" i="4"/>
  <c r="AK16" i="4"/>
  <c r="AC16" i="4"/>
  <c r="U16" i="4"/>
  <c r="M16" i="4"/>
  <c r="BP16" i="4"/>
  <c r="BH16" i="4"/>
  <c r="AZ16" i="4"/>
  <c r="AR16" i="4"/>
  <c r="AJ16" i="4"/>
  <c r="AB16" i="4"/>
  <c r="T16" i="4"/>
  <c r="L16" i="4"/>
  <c r="BW16" i="4"/>
  <c r="BO16" i="4"/>
  <c r="BG16" i="4"/>
  <c r="AY16" i="4"/>
  <c r="AQ16" i="4"/>
  <c r="AI16" i="4"/>
  <c r="AA16" i="4"/>
  <c r="S16" i="4"/>
  <c r="K16" i="4"/>
  <c r="BV16" i="4"/>
  <c r="BN16" i="4"/>
  <c r="BF16" i="4"/>
  <c r="AX16" i="4"/>
  <c r="AP16" i="4"/>
  <c r="AH16" i="4"/>
  <c r="Z16" i="4"/>
  <c r="R16" i="4"/>
  <c r="J16" i="4"/>
  <c r="BU16" i="4"/>
  <c r="BM16" i="4"/>
  <c r="BE16" i="4"/>
  <c r="AW16" i="4"/>
  <c r="AO16" i="4"/>
  <c r="AG16" i="4"/>
  <c r="Y16" i="4"/>
  <c r="Q16" i="4"/>
  <c r="I16" i="4"/>
  <c r="AN16" i="4"/>
  <c r="AF16" i="4"/>
  <c r="X16" i="4"/>
  <c r="H16" i="4"/>
  <c r="P16" i="4"/>
  <c r="BT16" i="4"/>
  <c r="BL16" i="4"/>
  <c r="BD16" i="4"/>
  <c r="AV16" i="4"/>
  <c r="BR29" i="4"/>
  <c r="BJ29" i="4"/>
  <c r="BB29" i="4"/>
  <c r="AT29" i="4"/>
  <c r="AL29" i="4"/>
  <c r="AD29" i="4"/>
  <c r="V29" i="4"/>
  <c r="N29" i="4"/>
  <c r="F29" i="4"/>
  <c r="BQ29" i="4"/>
  <c r="BI29" i="4"/>
  <c r="BA29" i="4"/>
  <c r="AS29" i="4"/>
  <c r="AK29" i="4"/>
  <c r="AC29" i="4"/>
  <c r="U29" i="4"/>
  <c r="M29" i="4"/>
  <c r="BP29" i="4"/>
  <c r="BH29" i="4"/>
  <c r="AZ29" i="4"/>
  <c r="AR29" i="4"/>
  <c r="AJ29" i="4"/>
  <c r="AB29" i="4"/>
  <c r="T29" i="4"/>
  <c r="L29" i="4"/>
  <c r="BW29" i="4"/>
  <c r="BO29" i="4"/>
  <c r="BG29" i="4"/>
  <c r="AY29" i="4"/>
  <c r="AQ29" i="4"/>
  <c r="AI29" i="4"/>
  <c r="AA29" i="4"/>
  <c r="S29" i="4"/>
  <c r="K29" i="4"/>
  <c r="BV29" i="4"/>
  <c r="BN29" i="4"/>
  <c r="BF29" i="4"/>
  <c r="AX29" i="4"/>
  <c r="AP29" i="4"/>
  <c r="AH29" i="4"/>
  <c r="Z29" i="4"/>
  <c r="R29" i="4"/>
  <c r="J29" i="4"/>
  <c r="BU29" i="4"/>
  <c r="BM29" i="4"/>
  <c r="BE29" i="4"/>
  <c r="AW29" i="4"/>
  <c r="AO29" i="4"/>
  <c r="AG29" i="4"/>
  <c r="Y29" i="4"/>
  <c r="Q29" i="4"/>
  <c r="I29" i="4"/>
  <c r="BT29" i="4"/>
  <c r="BL29" i="4"/>
  <c r="BD29" i="4"/>
  <c r="AV29" i="4"/>
  <c r="AN29" i="4"/>
  <c r="AF29" i="4"/>
  <c r="X29" i="4"/>
  <c r="P29" i="4"/>
  <c r="H29" i="4"/>
  <c r="O29" i="4"/>
  <c r="BS29" i="4"/>
  <c r="G29" i="4"/>
  <c r="BK29" i="4"/>
  <c r="BC29" i="4"/>
  <c r="W29" i="4"/>
  <c r="AU29" i="4"/>
  <c r="AM29" i="4"/>
  <c r="AE29" i="4"/>
  <c r="BW30" i="4"/>
  <c r="BO30" i="4"/>
  <c r="BG30" i="4"/>
  <c r="AY30" i="4"/>
  <c r="AQ30" i="4"/>
  <c r="AI30" i="4"/>
  <c r="AA30" i="4"/>
  <c r="S30" i="4"/>
  <c r="K30" i="4"/>
  <c r="BV30" i="4"/>
  <c r="BN30" i="4"/>
  <c r="BF30" i="4"/>
  <c r="AX30" i="4"/>
  <c r="AP30" i="4"/>
  <c r="AH30" i="4"/>
  <c r="Z30" i="4"/>
  <c r="R30" i="4"/>
  <c r="J30" i="4"/>
  <c r="BU30" i="4"/>
  <c r="BM30" i="4"/>
  <c r="BE30" i="4"/>
  <c r="AW30" i="4"/>
  <c r="AO30" i="4"/>
  <c r="AG30" i="4"/>
  <c r="Y30" i="4"/>
  <c r="Q30" i="4"/>
  <c r="I30" i="4"/>
  <c r="BT30" i="4"/>
  <c r="BL30" i="4"/>
  <c r="BD30" i="4"/>
  <c r="AV30" i="4"/>
  <c r="AN30" i="4"/>
  <c r="AF30" i="4"/>
  <c r="X30" i="4"/>
  <c r="P30" i="4"/>
  <c r="H30" i="4"/>
  <c r="BS30" i="4"/>
  <c r="BK30" i="4"/>
  <c r="BC30" i="4"/>
  <c r="AU30" i="4"/>
  <c r="AM30" i="4"/>
  <c r="AE30" i="4"/>
  <c r="W30" i="4"/>
  <c r="O30" i="4"/>
  <c r="G30" i="4"/>
  <c r="BR30" i="4"/>
  <c r="BJ30" i="4"/>
  <c r="BB30" i="4"/>
  <c r="AT30" i="4"/>
  <c r="AL30" i="4"/>
  <c r="AD30" i="4"/>
  <c r="V30" i="4"/>
  <c r="N30" i="4"/>
  <c r="F30" i="4"/>
  <c r="BQ30" i="4"/>
  <c r="BI30" i="4"/>
  <c r="BA30" i="4"/>
  <c r="AS30" i="4"/>
  <c r="AK30" i="4"/>
  <c r="AC30" i="4"/>
  <c r="U30" i="4"/>
  <c r="M30" i="4"/>
  <c r="BH30" i="4"/>
  <c r="BP30" i="4"/>
  <c r="AZ30" i="4"/>
  <c r="AR30" i="4"/>
  <c r="AJ30" i="4"/>
  <c r="AB30" i="4"/>
  <c r="T30" i="4"/>
  <c r="L30" i="4"/>
  <c r="BV35" i="4"/>
  <c r="BN35" i="4"/>
  <c r="BF35" i="4"/>
  <c r="AX35" i="4"/>
  <c r="AP35" i="4"/>
  <c r="AH35" i="4"/>
  <c r="Z35" i="4"/>
  <c r="R35" i="4"/>
  <c r="J35" i="4"/>
  <c r="BU35" i="4"/>
  <c r="BM35" i="4"/>
  <c r="BE35" i="4"/>
  <c r="AW35" i="4"/>
  <c r="AO35" i="4"/>
  <c r="AG35" i="4"/>
  <c r="Y35" i="4"/>
  <c r="Q35" i="4"/>
  <c r="I35" i="4"/>
  <c r="BT35" i="4"/>
  <c r="BL35" i="4"/>
  <c r="BD35" i="4"/>
  <c r="AV35" i="4"/>
  <c r="AN35" i="4"/>
  <c r="AF35" i="4"/>
  <c r="X35" i="4"/>
  <c r="P35" i="4"/>
  <c r="H35" i="4"/>
  <c r="BS35" i="4"/>
  <c r="BK35" i="4"/>
  <c r="BC35" i="4"/>
  <c r="AU35" i="4"/>
  <c r="AM35" i="4"/>
  <c r="AE35" i="4"/>
  <c r="W35" i="4"/>
  <c r="O35" i="4"/>
  <c r="G35" i="4"/>
  <c r="BR35" i="4"/>
  <c r="BJ35" i="4"/>
  <c r="BB35" i="4"/>
  <c r="AT35" i="4"/>
  <c r="AL35" i="4"/>
  <c r="AD35" i="4"/>
  <c r="V35" i="4"/>
  <c r="N35" i="4"/>
  <c r="F35" i="4"/>
  <c r="BQ35" i="4"/>
  <c r="BI35" i="4"/>
  <c r="BA35" i="4"/>
  <c r="AS35" i="4"/>
  <c r="AK35" i="4"/>
  <c r="AC35" i="4"/>
  <c r="U35" i="4"/>
  <c r="M35" i="4"/>
  <c r="BP35" i="4"/>
  <c r="BH35" i="4"/>
  <c r="AZ35" i="4"/>
  <c r="AR35" i="4"/>
  <c r="AJ35" i="4"/>
  <c r="AB35" i="4"/>
  <c r="T35" i="4"/>
  <c r="L35" i="4"/>
  <c r="AA35" i="4"/>
  <c r="S35" i="4"/>
  <c r="BW35" i="4"/>
  <c r="K35" i="4"/>
  <c r="BO35" i="4"/>
  <c r="BG35" i="4"/>
  <c r="AY35" i="4"/>
  <c r="AQ35" i="4"/>
  <c r="AI35" i="4"/>
  <c r="BT23" i="4"/>
  <c r="BL23" i="4"/>
  <c r="BD23" i="4"/>
  <c r="AV23" i="4"/>
  <c r="AN23" i="4"/>
  <c r="AF23" i="4"/>
  <c r="X23" i="4"/>
  <c r="P23" i="4"/>
  <c r="H23" i="4"/>
  <c r="BS23" i="4"/>
  <c r="BK23" i="4"/>
  <c r="BC23" i="4"/>
  <c r="AU23" i="4"/>
  <c r="AM23" i="4"/>
  <c r="AE23" i="4"/>
  <c r="W23" i="4"/>
  <c r="O23" i="4"/>
  <c r="G23" i="4"/>
  <c r="BR23" i="4"/>
  <c r="BJ23" i="4"/>
  <c r="BB23" i="4"/>
  <c r="AT23" i="4"/>
  <c r="AL23" i="4"/>
  <c r="AD23" i="4"/>
  <c r="V23" i="4"/>
  <c r="N23" i="4"/>
  <c r="F23" i="4"/>
  <c r="BQ23" i="4"/>
  <c r="BI23" i="4"/>
  <c r="BA23" i="4"/>
  <c r="AS23" i="4"/>
  <c r="AK23" i="4"/>
  <c r="AC23" i="4"/>
  <c r="U23" i="4"/>
  <c r="M23" i="4"/>
  <c r="BP23" i="4"/>
  <c r="BH23" i="4"/>
  <c r="AZ23" i="4"/>
  <c r="AR23" i="4"/>
  <c r="AJ23" i="4"/>
  <c r="AB23" i="4"/>
  <c r="T23" i="4"/>
  <c r="CT108" i="4" s="1"/>
  <c r="L23" i="4"/>
  <c r="BW23" i="4"/>
  <c r="BO23" i="4"/>
  <c r="BG23" i="4"/>
  <c r="AY23" i="4"/>
  <c r="AQ23" i="4"/>
  <c r="AI23" i="4"/>
  <c r="AA23" i="4"/>
  <c r="S23" i="4"/>
  <c r="K23" i="4"/>
  <c r="BV23" i="4"/>
  <c r="BN23" i="4"/>
  <c r="BF23" i="4"/>
  <c r="AX23" i="4"/>
  <c r="AP23" i="4"/>
  <c r="AH23" i="4"/>
  <c r="Z23" i="4"/>
  <c r="R23" i="4"/>
  <c r="J23" i="4"/>
  <c r="BM23" i="4"/>
  <c r="BU23" i="4"/>
  <c r="BE23" i="4"/>
  <c r="AW23" i="4"/>
  <c r="AO23" i="4"/>
  <c r="AG23" i="4"/>
  <c r="I23" i="4"/>
  <c r="Y23" i="4"/>
  <c r="Q23" i="4"/>
  <c r="BQ71" i="4"/>
  <c r="BI71" i="4"/>
  <c r="BA71" i="4"/>
  <c r="AS71" i="4"/>
  <c r="AK71" i="4"/>
  <c r="AC71" i="4"/>
  <c r="U71" i="4"/>
  <c r="M71" i="4"/>
  <c r="BP71" i="4"/>
  <c r="EP156" i="4" s="1"/>
  <c r="BH71" i="4"/>
  <c r="AZ71" i="4"/>
  <c r="AR71" i="4"/>
  <c r="AJ71" i="4"/>
  <c r="AB71" i="4"/>
  <c r="T71" i="4"/>
  <c r="L71" i="4"/>
  <c r="BW71" i="4"/>
  <c r="BO71" i="4"/>
  <c r="BG71" i="4"/>
  <c r="AY71" i="4"/>
  <c r="AQ71" i="4"/>
  <c r="AI71" i="4"/>
  <c r="AA71" i="4"/>
  <c r="S71" i="4"/>
  <c r="K71" i="4"/>
  <c r="BV71" i="4"/>
  <c r="BN71" i="4"/>
  <c r="BF71" i="4"/>
  <c r="AX71" i="4"/>
  <c r="AP71" i="4"/>
  <c r="AH71" i="4"/>
  <c r="Z71" i="4"/>
  <c r="R71" i="4"/>
  <c r="J71" i="4"/>
  <c r="BU71" i="4"/>
  <c r="BM71" i="4"/>
  <c r="BE71" i="4"/>
  <c r="AW71" i="4"/>
  <c r="AO71" i="4"/>
  <c r="AG71" i="4"/>
  <c r="Y71" i="4"/>
  <c r="Q71" i="4"/>
  <c r="I71" i="4"/>
  <c r="BT71" i="4"/>
  <c r="BL71" i="4"/>
  <c r="BD71" i="4"/>
  <c r="AV71" i="4"/>
  <c r="AN71" i="4"/>
  <c r="AF71" i="4"/>
  <c r="X71" i="4"/>
  <c r="P71" i="4"/>
  <c r="H71" i="4"/>
  <c r="BS71" i="4"/>
  <c r="BK71" i="4"/>
  <c r="BC71" i="4"/>
  <c r="AU71" i="4"/>
  <c r="AM71" i="4"/>
  <c r="AE71" i="4"/>
  <c r="W71" i="4"/>
  <c r="O71" i="4"/>
  <c r="G71" i="4"/>
  <c r="AT71" i="4"/>
  <c r="AL71" i="4"/>
  <c r="AD71" i="4"/>
  <c r="V71" i="4"/>
  <c r="N71" i="4"/>
  <c r="BR71" i="4"/>
  <c r="F71" i="4"/>
  <c r="BJ71" i="4"/>
  <c r="BB71" i="4"/>
  <c r="J80" i="3"/>
  <c r="BT13" i="4"/>
  <c r="BL13" i="4"/>
  <c r="BD13" i="4"/>
  <c r="AV13" i="4"/>
  <c r="AN13" i="4"/>
  <c r="AF13" i="4"/>
  <c r="X13" i="4"/>
  <c r="P13" i="4"/>
  <c r="H13" i="4"/>
  <c r="BS13" i="4"/>
  <c r="BK13" i="4"/>
  <c r="BC13" i="4"/>
  <c r="AU13" i="4"/>
  <c r="AM13" i="4"/>
  <c r="AE13" i="4"/>
  <c r="W13" i="4"/>
  <c r="O13" i="4"/>
  <c r="G13" i="4"/>
  <c r="BR13" i="4"/>
  <c r="BJ13" i="4"/>
  <c r="BB13" i="4"/>
  <c r="AT13" i="4"/>
  <c r="AL13" i="4"/>
  <c r="AD13" i="4"/>
  <c r="V13" i="4"/>
  <c r="N13" i="4"/>
  <c r="F13" i="4"/>
  <c r="BQ13" i="4"/>
  <c r="BI13" i="4"/>
  <c r="BA13" i="4"/>
  <c r="AS13" i="4"/>
  <c r="AK13" i="4"/>
  <c r="AC13" i="4"/>
  <c r="U13" i="4"/>
  <c r="M13" i="4"/>
  <c r="BP13" i="4"/>
  <c r="BH13" i="4"/>
  <c r="AZ13" i="4"/>
  <c r="AR13" i="4"/>
  <c r="AJ13" i="4"/>
  <c r="AB13" i="4"/>
  <c r="T13" i="4"/>
  <c r="L13" i="4"/>
  <c r="BW13" i="4"/>
  <c r="BO13" i="4"/>
  <c r="BG13" i="4"/>
  <c r="AY13" i="4"/>
  <c r="AQ13" i="4"/>
  <c r="AI13" i="4"/>
  <c r="AA13" i="4"/>
  <c r="S13" i="4"/>
  <c r="K13" i="4"/>
  <c r="BV13" i="4"/>
  <c r="BN13" i="4"/>
  <c r="BF13" i="4"/>
  <c r="AX13" i="4"/>
  <c r="AP13" i="4"/>
  <c r="AH13" i="4"/>
  <c r="Z13" i="4"/>
  <c r="R13" i="4"/>
  <c r="J13" i="4"/>
  <c r="AG13" i="4"/>
  <c r="Y13" i="4"/>
  <c r="Q13" i="4"/>
  <c r="I13" i="4"/>
  <c r="J98" i="4" s="1"/>
  <c r="AO13" i="4"/>
  <c r="BU13" i="4"/>
  <c r="BM13" i="4"/>
  <c r="BE13" i="4"/>
  <c r="AW13" i="4"/>
  <c r="BW12" i="4"/>
  <c r="BO12" i="4"/>
  <c r="BG12" i="4"/>
  <c r="AY12" i="4"/>
  <c r="AQ12" i="4"/>
  <c r="AI12" i="4"/>
  <c r="AA12" i="4"/>
  <c r="S12" i="4"/>
  <c r="K12" i="4"/>
  <c r="BV12" i="4"/>
  <c r="BN12" i="4"/>
  <c r="BF12" i="4"/>
  <c r="AX12" i="4"/>
  <c r="AP12" i="4"/>
  <c r="AH12" i="4"/>
  <c r="Z12" i="4"/>
  <c r="R12" i="4"/>
  <c r="J12" i="4"/>
  <c r="BU12" i="4"/>
  <c r="BM12" i="4"/>
  <c r="BE12" i="4"/>
  <c r="AW12" i="4"/>
  <c r="AO12" i="4"/>
  <c r="AG12" i="4"/>
  <c r="Y12" i="4"/>
  <c r="Q12" i="4"/>
  <c r="I12" i="4"/>
  <c r="BT12" i="4"/>
  <c r="BL12" i="4"/>
  <c r="BD12" i="4"/>
  <c r="AV12" i="4"/>
  <c r="AN12" i="4"/>
  <c r="AF12" i="4"/>
  <c r="X12" i="4"/>
  <c r="P12" i="4"/>
  <c r="H12" i="4"/>
  <c r="BS12" i="4"/>
  <c r="BK12" i="4"/>
  <c r="BC12" i="4"/>
  <c r="AU12" i="4"/>
  <c r="AM12" i="4"/>
  <c r="AE12" i="4"/>
  <c r="W12" i="4"/>
  <c r="O12" i="4"/>
  <c r="G12" i="4"/>
  <c r="BR12" i="4"/>
  <c r="BJ12" i="4"/>
  <c r="BB12" i="4"/>
  <c r="AT12" i="4"/>
  <c r="AL12" i="4"/>
  <c r="AD12" i="4"/>
  <c r="V12" i="4"/>
  <c r="N12" i="4"/>
  <c r="F12" i="4"/>
  <c r="BQ12" i="4"/>
  <c r="BI12" i="4"/>
  <c r="BA12" i="4"/>
  <c r="AS12" i="4"/>
  <c r="AK12" i="4"/>
  <c r="AC12" i="4"/>
  <c r="U12" i="4"/>
  <c r="M12" i="4"/>
  <c r="AZ12" i="4"/>
  <c r="AJ12" i="4"/>
  <c r="AB12" i="4"/>
  <c r="AR12" i="4"/>
  <c r="T12" i="4"/>
  <c r="BH12" i="4"/>
  <c r="L12" i="4"/>
  <c r="BP12" i="4"/>
  <c r="BQ41" i="4"/>
  <c r="BU41" i="4"/>
  <c r="BV41" i="4"/>
  <c r="BL41" i="4"/>
  <c r="BD41" i="4"/>
  <c r="AV41" i="4"/>
  <c r="AN41" i="4"/>
  <c r="AF41" i="4"/>
  <c r="X41" i="4"/>
  <c r="P41" i="4"/>
  <c r="H41" i="4"/>
  <c r="BT41" i="4"/>
  <c r="BK41" i="4"/>
  <c r="BC41" i="4"/>
  <c r="AU41" i="4"/>
  <c r="AM41" i="4"/>
  <c r="AE41" i="4"/>
  <c r="W41" i="4"/>
  <c r="O41" i="4"/>
  <c r="G41" i="4"/>
  <c r="BS41" i="4"/>
  <c r="BJ41" i="4"/>
  <c r="BB41" i="4"/>
  <c r="AT41" i="4"/>
  <c r="AL41" i="4"/>
  <c r="AD41" i="4"/>
  <c r="V41" i="4"/>
  <c r="N41" i="4"/>
  <c r="F41" i="4"/>
  <c r="BR41" i="4"/>
  <c r="BI41" i="4"/>
  <c r="BA41" i="4"/>
  <c r="AS41" i="4"/>
  <c r="AK41" i="4"/>
  <c r="AC41" i="4"/>
  <c r="U41" i="4"/>
  <c r="M41" i="4"/>
  <c r="BP41" i="4"/>
  <c r="BH41" i="4"/>
  <c r="AZ41" i="4"/>
  <c r="AR41" i="4"/>
  <c r="AJ41" i="4"/>
  <c r="AB41" i="4"/>
  <c r="T41" i="4"/>
  <c r="L41" i="4"/>
  <c r="BO41" i="4"/>
  <c r="BG41" i="4"/>
  <c r="AY41" i="4"/>
  <c r="AQ41" i="4"/>
  <c r="AI41" i="4"/>
  <c r="AA41" i="4"/>
  <c r="S41" i="4"/>
  <c r="K41" i="4"/>
  <c r="BN41" i="4"/>
  <c r="BF41" i="4"/>
  <c r="AX41" i="4"/>
  <c r="AP41" i="4"/>
  <c r="AH41" i="4"/>
  <c r="Z41" i="4"/>
  <c r="R41" i="4"/>
  <c r="J41" i="4"/>
  <c r="AO41" i="4"/>
  <c r="AG41" i="4"/>
  <c r="Y41" i="4"/>
  <c r="Q41" i="4"/>
  <c r="BW41" i="4"/>
  <c r="I41" i="4"/>
  <c r="BM41" i="4"/>
  <c r="BE41" i="4"/>
  <c r="AW41" i="4"/>
  <c r="BQ14" i="4"/>
  <c r="BI14" i="4"/>
  <c r="BA14" i="4"/>
  <c r="AS14" i="4"/>
  <c r="AK14" i="4"/>
  <c r="AC14" i="4"/>
  <c r="U14" i="4"/>
  <c r="M14" i="4"/>
  <c r="BP14" i="4"/>
  <c r="BH14" i="4"/>
  <c r="AZ14" i="4"/>
  <c r="AR14" i="4"/>
  <c r="AJ14" i="4"/>
  <c r="AB14" i="4"/>
  <c r="T14" i="4"/>
  <c r="L14" i="4"/>
  <c r="BW14" i="4"/>
  <c r="BO14" i="4"/>
  <c r="BG14" i="4"/>
  <c r="AY14" i="4"/>
  <c r="AQ14" i="4"/>
  <c r="AI14" i="4"/>
  <c r="AA14" i="4"/>
  <c r="S14" i="4"/>
  <c r="K14" i="4"/>
  <c r="BV14" i="4"/>
  <c r="BN14" i="4"/>
  <c r="BF14" i="4"/>
  <c r="AX14" i="4"/>
  <c r="AP14" i="4"/>
  <c r="AH14" i="4"/>
  <c r="Z14" i="4"/>
  <c r="R14" i="4"/>
  <c r="J14" i="4"/>
  <c r="BU14" i="4"/>
  <c r="BM14" i="4"/>
  <c r="BE14" i="4"/>
  <c r="AW14" i="4"/>
  <c r="AO14" i="4"/>
  <c r="AG14" i="4"/>
  <c r="Y14" i="4"/>
  <c r="Q14" i="4"/>
  <c r="I14" i="4"/>
  <c r="BT14" i="4"/>
  <c r="BL14" i="4"/>
  <c r="BD14" i="4"/>
  <c r="AV14" i="4"/>
  <c r="AN14" i="4"/>
  <c r="AF14" i="4"/>
  <c r="X14" i="4"/>
  <c r="P14" i="4"/>
  <c r="H14" i="4"/>
  <c r="BS14" i="4"/>
  <c r="BK14" i="4"/>
  <c r="BC14" i="4"/>
  <c r="AU14" i="4"/>
  <c r="AM14" i="4"/>
  <c r="AE14" i="4"/>
  <c r="W14" i="4"/>
  <c r="O14" i="4"/>
  <c r="G14" i="4"/>
  <c r="N14" i="4"/>
  <c r="BR14" i="4"/>
  <c r="F14" i="4"/>
  <c r="BJ14" i="4"/>
  <c r="AT14" i="4"/>
  <c r="BB14" i="4"/>
  <c r="AL14" i="4"/>
  <c r="V14" i="4"/>
  <c r="AD14" i="4"/>
  <c r="BU28" i="4"/>
  <c r="BM28" i="4"/>
  <c r="BE28" i="4"/>
  <c r="AW28" i="4"/>
  <c r="AO28" i="4"/>
  <c r="AG28" i="4"/>
  <c r="Y28" i="4"/>
  <c r="Q28" i="4"/>
  <c r="I28" i="4"/>
  <c r="BT28" i="4"/>
  <c r="BL28" i="4"/>
  <c r="BD28" i="4"/>
  <c r="AV28" i="4"/>
  <c r="AN28" i="4"/>
  <c r="AF28" i="4"/>
  <c r="X28" i="4"/>
  <c r="P28" i="4"/>
  <c r="H28" i="4"/>
  <c r="BS28" i="4"/>
  <c r="BK28" i="4"/>
  <c r="BC28" i="4"/>
  <c r="AU28" i="4"/>
  <c r="AM28" i="4"/>
  <c r="AE28" i="4"/>
  <c r="W28" i="4"/>
  <c r="O28" i="4"/>
  <c r="G28" i="4"/>
  <c r="BR28" i="4"/>
  <c r="BJ28" i="4"/>
  <c r="BB28" i="4"/>
  <c r="AT28" i="4"/>
  <c r="AL28" i="4"/>
  <c r="AD28" i="4"/>
  <c r="V28" i="4"/>
  <c r="N28" i="4"/>
  <c r="F28" i="4"/>
  <c r="BQ28" i="4"/>
  <c r="BI28" i="4"/>
  <c r="BA28" i="4"/>
  <c r="AS28" i="4"/>
  <c r="AK28" i="4"/>
  <c r="AC28" i="4"/>
  <c r="U28" i="4"/>
  <c r="M28" i="4"/>
  <c r="BP28" i="4"/>
  <c r="BH28" i="4"/>
  <c r="AZ28" i="4"/>
  <c r="AR28" i="4"/>
  <c r="AJ28" i="4"/>
  <c r="AB28" i="4"/>
  <c r="T28" i="4"/>
  <c r="L28" i="4"/>
  <c r="BW28" i="4"/>
  <c r="BO28" i="4"/>
  <c r="BG28" i="4"/>
  <c r="AY28" i="4"/>
  <c r="AQ28" i="4"/>
  <c r="AI28" i="4"/>
  <c r="AA28" i="4"/>
  <c r="S28" i="4"/>
  <c r="K28" i="4"/>
  <c r="AH28" i="4"/>
  <c r="Z28" i="4"/>
  <c r="R28" i="4"/>
  <c r="BV28" i="4"/>
  <c r="J28" i="4"/>
  <c r="BN28" i="4"/>
  <c r="AP28" i="4"/>
  <c r="BF28" i="4"/>
  <c r="AX28" i="4"/>
  <c r="J72" i="3"/>
  <c r="BU74" i="4"/>
  <c r="BM74" i="4"/>
  <c r="BE74" i="4"/>
  <c r="AW74" i="4"/>
  <c r="AO74" i="4"/>
  <c r="AG74" i="4"/>
  <c r="Y74" i="4"/>
  <c r="Q74" i="4"/>
  <c r="I74" i="4"/>
  <c r="BS74" i="4"/>
  <c r="BK74" i="4"/>
  <c r="BC74" i="4"/>
  <c r="AU74" i="4"/>
  <c r="AM74" i="4"/>
  <c r="AE74" i="4"/>
  <c r="W74" i="4"/>
  <c r="O74" i="4"/>
  <c r="G74" i="4"/>
  <c r="BR74" i="4"/>
  <c r="BJ74" i="4"/>
  <c r="BB74" i="4"/>
  <c r="AT74" i="4"/>
  <c r="AL74" i="4"/>
  <c r="AD74" i="4"/>
  <c r="V74" i="4"/>
  <c r="N74" i="4"/>
  <c r="F74" i="4"/>
  <c r="BL74" i="4"/>
  <c r="BW74" i="4"/>
  <c r="BI74" i="4"/>
  <c r="AX74" i="4"/>
  <c r="AJ74" i="4"/>
  <c r="X74" i="4"/>
  <c r="K74" i="4"/>
  <c r="BV74" i="4"/>
  <c r="BH74" i="4"/>
  <c r="AV74" i="4"/>
  <c r="BT74" i="4"/>
  <c r="BG74" i="4"/>
  <c r="AS74" i="4"/>
  <c r="AH74" i="4"/>
  <c r="T74" i="4"/>
  <c r="H74" i="4"/>
  <c r="BQ74" i="4"/>
  <c r="BF74" i="4"/>
  <c r="AR74" i="4"/>
  <c r="AF74" i="4"/>
  <c r="S74" i="4"/>
  <c r="BP74" i="4"/>
  <c r="BD74" i="4"/>
  <c r="AQ74" i="4"/>
  <c r="AC74" i="4"/>
  <c r="R74" i="4"/>
  <c r="BO74" i="4"/>
  <c r="BA74" i="4"/>
  <c r="AP74" i="4"/>
  <c r="AB74" i="4"/>
  <c r="P74" i="4"/>
  <c r="AZ74" i="4"/>
  <c r="M74" i="4"/>
  <c r="AY74" i="4"/>
  <c r="L74" i="4"/>
  <c r="AN74" i="4"/>
  <c r="J74" i="4"/>
  <c r="AK74" i="4"/>
  <c r="AI74" i="4"/>
  <c r="AA74" i="4"/>
  <c r="Z74" i="4"/>
  <c r="BN74" i="4"/>
  <c r="U74" i="4"/>
  <c r="BV55" i="4"/>
  <c r="BN55" i="4"/>
  <c r="BF55" i="4"/>
  <c r="AX55" i="4"/>
  <c r="AP55" i="4"/>
  <c r="AH55" i="4"/>
  <c r="Z55" i="4"/>
  <c r="R55" i="4"/>
  <c r="J55" i="4"/>
  <c r="BU55" i="4"/>
  <c r="BM55" i="4"/>
  <c r="BE55" i="4"/>
  <c r="AW55" i="4"/>
  <c r="AO55" i="4"/>
  <c r="AG55" i="4"/>
  <c r="Y55" i="4"/>
  <c r="Q55" i="4"/>
  <c r="I55" i="4"/>
  <c r="BR55" i="4"/>
  <c r="BJ55" i="4"/>
  <c r="BB55" i="4"/>
  <c r="AT55" i="4"/>
  <c r="AL55" i="4"/>
  <c r="AD55" i="4"/>
  <c r="V55" i="4"/>
  <c r="N55" i="4"/>
  <c r="F55" i="4"/>
  <c r="BS55" i="4"/>
  <c r="BG55" i="4"/>
  <c r="AS55" i="4"/>
  <c r="AF55" i="4"/>
  <c r="T55" i="4"/>
  <c r="G55" i="4"/>
  <c r="BQ55" i="4"/>
  <c r="BD55" i="4"/>
  <c r="AR55" i="4"/>
  <c r="AE55" i="4"/>
  <c r="S55" i="4"/>
  <c r="BP55" i="4"/>
  <c r="BC55" i="4"/>
  <c r="AQ55" i="4"/>
  <c r="AC55" i="4"/>
  <c r="P55" i="4"/>
  <c r="BO55" i="4"/>
  <c r="BA55" i="4"/>
  <c r="AN55" i="4"/>
  <c r="AB55" i="4"/>
  <c r="O55" i="4"/>
  <c r="BL55" i="4"/>
  <c r="AZ55" i="4"/>
  <c r="AM55" i="4"/>
  <c r="AA55" i="4"/>
  <c r="M55" i="4"/>
  <c r="BK55" i="4"/>
  <c r="AY55" i="4"/>
  <c r="AK55" i="4"/>
  <c r="X55" i="4"/>
  <c r="L55" i="4"/>
  <c r="BW55" i="4"/>
  <c r="BI55" i="4"/>
  <c r="AV55" i="4"/>
  <c r="AJ55" i="4"/>
  <c r="W55" i="4"/>
  <c r="K55" i="4"/>
  <c r="AU55" i="4"/>
  <c r="AI55" i="4"/>
  <c r="U55" i="4"/>
  <c r="H55" i="4"/>
  <c r="BT55" i="4"/>
  <c r="BH55" i="4"/>
  <c r="J57" i="3"/>
  <c r="BT65" i="4"/>
  <c r="BL65" i="4"/>
  <c r="BD65" i="4"/>
  <c r="AV65" i="4"/>
  <c r="AN65" i="4"/>
  <c r="AF65" i="4"/>
  <c r="X65" i="4"/>
  <c r="P65" i="4"/>
  <c r="H65" i="4"/>
  <c r="BS65" i="4"/>
  <c r="BK65" i="4"/>
  <c r="BC65" i="4"/>
  <c r="AU65" i="4"/>
  <c r="AM65" i="4"/>
  <c r="AE65" i="4"/>
  <c r="W65" i="4"/>
  <c r="O65" i="4"/>
  <c r="G65" i="4"/>
  <c r="BP65" i="4"/>
  <c r="BH65" i="4"/>
  <c r="AZ65" i="4"/>
  <c r="AR65" i="4"/>
  <c r="AJ65" i="4"/>
  <c r="AB65" i="4"/>
  <c r="T65" i="4"/>
  <c r="L65" i="4"/>
  <c r="BM65" i="4"/>
  <c r="AY65" i="4"/>
  <c r="AL65" i="4"/>
  <c r="Z65" i="4"/>
  <c r="M65" i="4"/>
  <c r="BW65" i="4"/>
  <c r="BJ65" i="4"/>
  <c r="AX65" i="4"/>
  <c r="AK65" i="4"/>
  <c r="Y65" i="4"/>
  <c r="K65" i="4"/>
  <c r="BV65" i="4"/>
  <c r="BI65" i="4"/>
  <c r="AW65" i="4"/>
  <c r="AI65" i="4"/>
  <c r="V65" i="4"/>
  <c r="J65" i="4"/>
  <c r="BU65" i="4"/>
  <c r="BG65" i="4"/>
  <c r="AT65" i="4"/>
  <c r="AH65" i="4"/>
  <c r="U65" i="4"/>
  <c r="I65" i="4"/>
  <c r="BR65" i="4"/>
  <c r="BF65" i="4"/>
  <c r="AS65" i="4"/>
  <c r="AG65" i="4"/>
  <c r="S65" i="4"/>
  <c r="F65" i="4"/>
  <c r="BQ65" i="4"/>
  <c r="BE65" i="4"/>
  <c r="AQ65" i="4"/>
  <c r="AD65" i="4"/>
  <c r="R65" i="4"/>
  <c r="BO65" i="4"/>
  <c r="BB65" i="4"/>
  <c r="AP65" i="4"/>
  <c r="AC65" i="4"/>
  <c r="Q65" i="4"/>
  <c r="AA65" i="4"/>
  <c r="N65" i="4"/>
  <c r="BN65" i="4"/>
  <c r="BA65" i="4"/>
  <c r="AO65" i="4"/>
  <c r="BR67" i="4"/>
  <c r="BJ67" i="4"/>
  <c r="BB67" i="4"/>
  <c r="AT67" i="4"/>
  <c r="AL67" i="4"/>
  <c r="AD67" i="4"/>
  <c r="V67" i="4"/>
  <c r="N67" i="4"/>
  <c r="F67" i="4"/>
  <c r="BQ67" i="4"/>
  <c r="BI67" i="4"/>
  <c r="BA67" i="4"/>
  <c r="AS67" i="4"/>
  <c r="AK67" i="4"/>
  <c r="AC67" i="4"/>
  <c r="U67" i="4"/>
  <c r="M67" i="4"/>
  <c r="BW67" i="4"/>
  <c r="BO67" i="4"/>
  <c r="BG67" i="4"/>
  <c r="AY67" i="4"/>
  <c r="AQ67" i="4"/>
  <c r="AI67" i="4"/>
  <c r="AA67" i="4"/>
  <c r="S67" i="4"/>
  <c r="K67" i="4"/>
  <c r="BP67" i="4"/>
  <c r="BD67" i="4"/>
  <c r="AP67" i="4"/>
  <c r="AE67" i="4"/>
  <c r="Q67" i="4"/>
  <c r="BN67" i="4"/>
  <c r="BC67" i="4"/>
  <c r="AO67" i="4"/>
  <c r="AB67" i="4"/>
  <c r="P67" i="4"/>
  <c r="BM67" i="4"/>
  <c r="AZ67" i="4"/>
  <c r="AN67" i="4"/>
  <c r="Z67" i="4"/>
  <c r="O67" i="4"/>
  <c r="BL67" i="4"/>
  <c r="AX67" i="4"/>
  <c r="AM67" i="4"/>
  <c r="Y67" i="4"/>
  <c r="L67" i="4"/>
  <c r="BT67" i="4"/>
  <c r="AU67" i="4"/>
  <c r="T67" i="4"/>
  <c r="BS67" i="4"/>
  <c r="AR67" i="4"/>
  <c r="R67" i="4"/>
  <c r="BK67" i="4"/>
  <c r="AJ67" i="4"/>
  <c r="J67" i="4"/>
  <c r="BH67" i="4"/>
  <c r="AH67" i="4"/>
  <c r="I67" i="4"/>
  <c r="BF67" i="4"/>
  <c r="AG67" i="4"/>
  <c r="H67" i="4"/>
  <c r="BE67" i="4"/>
  <c r="AF67" i="4"/>
  <c r="G67" i="4"/>
  <c r="BV67" i="4"/>
  <c r="AW67" i="4"/>
  <c r="X67" i="4"/>
  <c r="BU67" i="4"/>
  <c r="AV67" i="4"/>
  <c r="W67" i="4"/>
  <c r="BU66" i="4"/>
  <c r="BT66" i="4"/>
  <c r="BR66" i="4"/>
  <c r="BW66" i="4"/>
  <c r="BL66" i="4"/>
  <c r="BD66" i="4"/>
  <c r="AV66" i="4"/>
  <c r="AN66" i="4"/>
  <c r="AF66" i="4"/>
  <c r="X66" i="4"/>
  <c r="P66" i="4"/>
  <c r="H66" i="4"/>
  <c r="BV66" i="4"/>
  <c r="BK66" i="4"/>
  <c r="BC66" i="4"/>
  <c r="AU66" i="4"/>
  <c r="AM66" i="4"/>
  <c r="AE66" i="4"/>
  <c r="W66" i="4"/>
  <c r="O66" i="4"/>
  <c r="G66" i="4"/>
  <c r="BS66" i="4"/>
  <c r="BJ66" i="4"/>
  <c r="BB66" i="4"/>
  <c r="AT66" i="4"/>
  <c r="AL66" i="4"/>
  <c r="AD66" i="4"/>
  <c r="V66" i="4"/>
  <c r="N66" i="4"/>
  <c r="F66" i="4"/>
  <c r="BQ66" i="4"/>
  <c r="BI66" i="4"/>
  <c r="BA66" i="4"/>
  <c r="BF66" i="4"/>
  <c r="AQ66" i="4"/>
  <c r="AC66" i="4"/>
  <c r="R66" i="4"/>
  <c r="BP66" i="4"/>
  <c r="AZ66" i="4"/>
  <c r="AO66" i="4"/>
  <c r="AA66" i="4"/>
  <c r="M66" i="4"/>
  <c r="BO66" i="4"/>
  <c r="AY66" i="4"/>
  <c r="AK66" i="4"/>
  <c r="Z66" i="4"/>
  <c r="L66" i="4"/>
  <c r="BN66" i="4"/>
  <c r="BM66" i="4"/>
  <c r="AW66" i="4"/>
  <c r="AI66" i="4"/>
  <c r="U66" i="4"/>
  <c r="J66" i="4"/>
  <c r="BH66" i="4"/>
  <c r="AS66" i="4"/>
  <c r="AH66" i="4"/>
  <c r="T66" i="4"/>
  <c r="I66" i="4"/>
  <c r="AB66" i="4"/>
  <c r="BG66" i="4"/>
  <c r="Y66" i="4"/>
  <c r="BE66" i="4"/>
  <c r="S66" i="4"/>
  <c r="AX66" i="4"/>
  <c r="Q66" i="4"/>
  <c r="AR66" i="4"/>
  <c r="K66" i="4"/>
  <c r="AP66" i="4"/>
  <c r="AJ66" i="4"/>
  <c r="AG66" i="4"/>
  <c r="BW45" i="4"/>
  <c r="BO45" i="4"/>
  <c r="BG45" i="4"/>
  <c r="AY45" i="4"/>
  <c r="AQ45" i="4"/>
  <c r="AI45" i="4"/>
  <c r="AA45" i="4"/>
  <c r="S45" i="4"/>
  <c r="K45" i="4"/>
  <c r="BU45" i="4"/>
  <c r="BM45" i="4"/>
  <c r="BE45" i="4"/>
  <c r="AW45" i="4"/>
  <c r="AO45" i="4"/>
  <c r="AG45" i="4"/>
  <c r="Y45" i="4"/>
  <c r="Q45" i="4"/>
  <c r="I45" i="4"/>
  <c r="BT45" i="4"/>
  <c r="BL45" i="4"/>
  <c r="BD45" i="4"/>
  <c r="AV45" i="4"/>
  <c r="AN45" i="4"/>
  <c r="AF45" i="4"/>
  <c r="X45" i="4"/>
  <c r="P45" i="4"/>
  <c r="H45" i="4"/>
  <c r="BR45" i="4"/>
  <c r="BJ45" i="4"/>
  <c r="BB45" i="4"/>
  <c r="AT45" i="4"/>
  <c r="AL45" i="4"/>
  <c r="AD45" i="4"/>
  <c r="V45" i="4"/>
  <c r="N45" i="4"/>
  <c r="F45" i="4"/>
  <c r="BQ45" i="4"/>
  <c r="BI45" i="4"/>
  <c r="BA45" i="4"/>
  <c r="AS45" i="4"/>
  <c r="AK45" i="4"/>
  <c r="AC45" i="4"/>
  <c r="U45" i="4"/>
  <c r="M45" i="4"/>
  <c r="BV45" i="4"/>
  <c r="AZ45" i="4"/>
  <c r="AE45" i="4"/>
  <c r="J45" i="4"/>
  <c r="BS45" i="4"/>
  <c r="AX45" i="4"/>
  <c r="AB45" i="4"/>
  <c r="G45" i="4"/>
  <c r="BP45" i="4"/>
  <c r="AU45" i="4"/>
  <c r="Z45" i="4"/>
  <c r="BN45" i="4"/>
  <c r="AR45" i="4"/>
  <c r="W45" i="4"/>
  <c r="BK45" i="4"/>
  <c r="AP45" i="4"/>
  <c r="T45" i="4"/>
  <c r="BH45" i="4"/>
  <c r="AM45" i="4"/>
  <c r="R45" i="4"/>
  <c r="BF45" i="4"/>
  <c r="AJ45" i="4"/>
  <c r="O45" i="4"/>
  <c r="BC45" i="4"/>
  <c r="AH45" i="4"/>
  <c r="L45" i="4"/>
  <c r="BS43" i="4"/>
  <c r="BK43" i="4"/>
  <c r="BC43" i="4"/>
  <c r="AU43" i="4"/>
  <c r="AM43" i="4"/>
  <c r="AE43" i="4"/>
  <c r="W43" i="4"/>
  <c r="O43" i="4"/>
  <c r="G43" i="4"/>
  <c r="BR43" i="4"/>
  <c r="BJ43" i="4"/>
  <c r="BB43" i="4"/>
  <c r="AT43" i="4"/>
  <c r="AL43" i="4"/>
  <c r="AD43" i="4"/>
  <c r="V43" i="4"/>
  <c r="N43" i="4"/>
  <c r="F43" i="4"/>
  <c r="BW43" i="4"/>
  <c r="BO43" i="4"/>
  <c r="BG43" i="4"/>
  <c r="AY43" i="4"/>
  <c r="AQ43" i="4"/>
  <c r="AI43" i="4"/>
  <c r="AA43" i="4"/>
  <c r="S43" i="4"/>
  <c r="K43" i="4"/>
  <c r="BV43" i="4"/>
  <c r="BI43" i="4"/>
  <c r="AW43" i="4"/>
  <c r="AJ43" i="4"/>
  <c r="X43" i="4"/>
  <c r="J43" i="4"/>
  <c r="BU43" i="4"/>
  <c r="BH43" i="4"/>
  <c r="AV43" i="4"/>
  <c r="AH43" i="4"/>
  <c r="U43" i="4"/>
  <c r="I43" i="4"/>
  <c r="BT43" i="4"/>
  <c r="BF43" i="4"/>
  <c r="AS43" i="4"/>
  <c r="AG43" i="4"/>
  <c r="T43" i="4"/>
  <c r="H43" i="4"/>
  <c r="BQ43" i="4"/>
  <c r="BE43" i="4"/>
  <c r="AR43" i="4"/>
  <c r="AF43" i="4"/>
  <c r="R43" i="4"/>
  <c r="BP43" i="4"/>
  <c r="BD43" i="4"/>
  <c r="AP43" i="4"/>
  <c r="AC43" i="4"/>
  <c r="Q43" i="4"/>
  <c r="BN43" i="4"/>
  <c r="BA43" i="4"/>
  <c r="AO43" i="4"/>
  <c r="AB43" i="4"/>
  <c r="P43" i="4"/>
  <c r="BM43" i="4"/>
  <c r="AZ43" i="4"/>
  <c r="AN43" i="4"/>
  <c r="Z43" i="4"/>
  <c r="M43" i="4"/>
  <c r="L43" i="4"/>
  <c r="BL43" i="4"/>
  <c r="AX43" i="4"/>
  <c r="AK43" i="4"/>
  <c r="Y43" i="4"/>
  <c r="BV25" i="4"/>
  <c r="BN25" i="4"/>
  <c r="BF25" i="4"/>
  <c r="AX25" i="4"/>
  <c r="AP25" i="4"/>
  <c r="AH25" i="4"/>
  <c r="Z25" i="4"/>
  <c r="R25" i="4"/>
  <c r="J25" i="4"/>
  <c r="BU25" i="4"/>
  <c r="BM25" i="4"/>
  <c r="BE25" i="4"/>
  <c r="AW25" i="4"/>
  <c r="AO25" i="4"/>
  <c r="AG25" i="4"/>
  <c r="Y25" i="4"/>
  <c r="Q25" i="4"/>
  <c r="I25" i="4"/>
  <c r="BT25" i="4"/>
  <c r="BL25" i="4"/>
  <c r="BD25" i="4"/>
  <c r="AV25" i="4"/>
  <c r="AN25" i="4"/>
  <c r="AF25" i="4"/>
  <c r="X25" i="4"/>
  <c r="P25" i="4"/>
  <c r="H25" i="4"/>
  <c r="BS25" i="4"/>
  <c r="BK25" i="4"/>
  <c r="BC25" i="4"/>
  <c r="AU25" i="4"/>
  <c r="AM25" i="4"/>
  <c r="AE25" i="4"/>
  <c r="W25" i="4"/>
  <c r="O25" i="4"/>
  <c r="G25" i="4"/>
  <c r="BR25" i="4"/>
  <c r="BJ25" i="4"/>
  <c r="BB25" i="4"/>
  <c r="AT25" i="4"/>
  <c r="AL25" i="4"/>
  <c r="AD25" i="4"/>
  <c r="V25" i="4"/>
  <c r="N25" i="4"/>
  <c r="F25" i="4"/>
  <c r="BQ25" i="4"/>
  <c r="BI25" i="4"/>
  <c r="BA25" i="4"/>
  <c r="AS25" i="4"/>
  <c r="AK25" i="4"/>
  <c r="AC25" i="4"/>
  <c r="U25" i="4"/>
  <c r="M25" i="4"/>
  <c r="BP25" i="4"/>
  <c r="BH25" i="4"/>
  <c r="AZ25" i="4"/>
  <c r="AR25" i="4"/>
  <c r="AJ25" i="4"/>
  <c r="AB25" i="4"/>
  <c r="T25" i="4"/>
  <c r="L25" i="4"/>
  <c r="AA25" i="4"/>
  <c r="S25" i="4"/>
  <c r="BW25" i="4"/>
  <c r="K25" i="4"/>
  <c r="AI25" i="4"/>
  <c r="BO25" i="4"/>
  <c r="BG25" i="4"/>
  <c r="AY25" i="4"/>
  <c r="AQ25" i="4"/>
  <c r="BV51" i="4"/>
  <c r="BN51" i="4"/>
  <c r="BF51" i="4"/>
  <c r="AX51" i="4"/>
  <c r="AP51" i="4"/>
  <c r="AH51" i="4"/>
  <c r="Z51" i="4"/>
  <c r="R51" i="4"/>
  <c r="J51" i="4"/>
  <c r="BU51" i="4"/>
  <c r="BM51" i="4"/>
  <c r="BE51" i="4"/>
  <c r="AW51" i="4"/>
  <c r="AO51" i="4"/>
  <c r="AG51" i="4"/>
  <c r="Y51" i="4"/>
  <c r="Q51" i="4"/>
  <c r="I51" i="4"/>
  <c r="BT51" i="4"/>
  <c r="BL51" i="4"/>
  <c r="BD51" i="4"/>
  <c r="AV51" i="4"/>
  <c r="AN51" i="4"/>
  <c r="AF51" i="4"/>
  <c r="X51" i="4"/>
  <c r="P51" i="4"/>
  <c r="H51" i="4"/>
  <c r="BS51" i="4"/>
  <c r="BK51" i="4"/>
  <c r="BC51" i="4"/>
  <c r="AU51" i="4"/>
  <c r="AM51" i="4"/>
  <c r="AE51" i="4"/>
  <c r="W51" i="4"/>
  <c r="O51" i="4"/>
  <c r="G51" i="4"/>
  <c r="BR51" i="4"/>
  <c r="BJ51" i="4"/>
  <c r="BB51" i="4"/>
  <c r="AT51" i="4"/>
  <c r="AL51" i="4"/>
  <c r="AD51" i="4"/>
  <c r="V51" i="4"/>
  <c r="N51" i="4"/>
  <c r="F51" i="4"/>
  <c r="BQ51" i="4"/>
  <c r="BI51" i="4"/>
  <c r="BA51" i="4"/>
  <c r="AS51" i="4"/>
  <c r="AK51" i="4"/>
  <c r="AC51" i="4"/>
  <c r="U51" i="4"/>
  <c r="M51" i="4"/>
  <c r="BP51" i="4"/>
  <c r="BH51" i="4"/>
  <c r="AZ51" i="4"/>
  <c r="AR51" i="4"/>
  <c r="AJ51" i="4"/>
  <c r="AB51" i="4"/>
  <c r="T51" i="4"/>
  <c r="L51" i="4"/>
  <c r="AQ51" i="4"/>
  <c r="AI51" i="4"/>
  <c r="AA51" i="4"/>
  <c r="S51" i="4"/>
  <c r="BW51" i="4"/>
  <c r="K51" i="4"/>
  <c r="BO51" i="4"/>
  <c r="BG51" i="4"/>
  <c r="AY51" i="4"/>
  <c r="BR11" i="4"/>
  <c r="BJ11" i="4"/>
  <c r="BB11" i="4"/>
  <c r="AT11" i="4"/>
  <c r="AL11" i="4"/>
  <c r="AD11" i="4"/>
  <c r="V11" i="4"/>
  <c r="N11" i="4"/>
  <c r="F11" i="4"/>
  <c r="BQ11" i="4"/>
  <c r="BI11" i="4"/>
  <c r="BA11" i="4"/>
  <c r="AS11" i="4"/>
  <c r="AK11" i="4"/>
  <c r="AC11" i="4"/>
  <c r="U11" i="4"/>
  <c r="M11" i="4"/>
  <c r="BP11" i="4"/>
  <c r="BH11" i="4"/>
  <c r="AZ11" i="4"/>
  <c r="AR11" i="4"/>
  <c r="AJ11" i="4"/>
  <c r="AB11" i="4"/>
  <c r="T11" i="4"/>
  <c r="L11" i="4"/>
  <c r="BW11" i="4"/>
  <c r="BO11" i="4"/>
  <c r="BG11" i="4"/>
  <c r="AY11" i="4"/>
  <c r="AQ11" i="4"/>
  <c r="AI11" i="4"/>
  <c r="AA11" i="4"/>
  <c r="S11" i="4"/>
  <c r="K11" i="4"/>
  <c r="BV11" i="4"/>
  <c r="BN11" i="4"/>
  <c r="BF11" i="4"/>
  <c r="AX11" i="4"/>
  <c r="AP11" i="4"/>
  <c r="AH11" i="4"/>
  <c r="Z11" i="4"/>
  <c r="R11" i="4"/>
  <c r="J11" i="4"/>
  <c r="BU11" i="4"/>
  <c r="BM11" i="4"/>
  <c r="BE11" i="4"/>
  <c r="AW11" i="4"/>
  <c r="AO11" i="4"/>
  <c r="AG11" i="4"/>
  <c r="Y11" i="4"/>
  <c r="Q11" i="4"/>
  <c r="I11" i="4"/>
  <c r="BT11" i="4"/>
  <c r="BL11" i="4"/>
  <c r="BD11" i="4"/>
  <c r="AV11" i="4"/>
  <c r="AN11" i="4"/>
  <c r="AF11" i="4"/>
  <c r="X11" i="4"/>
  <c r="P11" i="4"/>
  <c r="H11" i="4"/>
  <c r="BS11" i="4"/>
  <c r="G11" i="4"/>
  <c r="BC11" i="4"/>
  <c r="AM11" i="4"/>
  <c r="AU11" i="4"/>
  <c r="O11" i="4"/>
  <c r="AE11" i="4"/>
  <c r="W11" i="4"/>
  <c r="BK11" i="4"/>
  <c r="BU20" i="4"/>
  <c r="BM20" i="4"/>
  <c r="BE20" i="4"/>
  <c r="AW20" i="4"/>
  <c r="AO20" i="4"/>
  <c r="AG20" i="4"/>
  <c r="BS20" i="4"/>
  <c r="BK20" i="4"/>
  <c r="BC20" i="4"/>
  <c r="AU20" i="4"/>
  <c r="AM20" i="4"/>
  <c r="AE20" i="4"/>
  <c r="BR20" i="4"/>
  <c r="BJ20" i="4"/>
  <c r="BB20" i="4"/>
  <c r="AT20" i="4"/>
  <c r="AL20" i="4"/>
  <c r="AD20" i="4"/>
  <c r="BP20" i="4"/>
  <c r="BH20" i="4"/>
  <c r="AZ20" i="4"/>
  <c r="AR20" i="4"/>
  <c r="AJ20" i="4"/>
  <c r="AB20" i="4"/>
  <c r="BW20" i="4"/>
  <c r="BO20" i="4"/>
  <c r="BG20" i="4"/>
  <c r="AY20" i="4"/>
  <c r="AQ20" i="4"/>
  <c r="AI20" i="4"/>
  <c r="BQ20" i="4"/>
  <c r="AV20" i="4"/>
  <c r="AA20" i="4"/>
  <c r="S20" i="4"/>
  <c r="K20" i="4"/>
  <c r="BT20" i="4"/>
  <c r="BN20" i="4"/>
  <c r="AS20" i="4"/>
  <c r="Z20" i="4"/>
  <c r="R20" i="4"/>
  <c r="J20" i="4"/>
  <c r="AX20" i="4"/>
  <c r="BL20" i="4"/>
  <c r="AP20" i="4"/>
  <c r="Y20" i="4"/>
  <c r="Q20" i="4"/>
  <c r="CQ105" i="4" s="1"/>
  <c r="I20" i="4"/>
  <c r="T20" i="4"/>
  <c r="BI20" i="4"/>
  <c r="AN20" i="4"/>
  <c r="X20" i="4"/>
  <c r="P20" i="4"/>
  <c r="H20" i="4"/>
  <c r="AC20" i="4"/>
  <c r="BF20" i="4"/>
  <c r="AK20" i="4"/>
  <c r="W20" i="4"/>
  <c r="O20" i="4"/>
  <c r="G20" i="4"/>
  <c r="L20" i="4"/>
  <c r="BD20" i="4"/>
  <c r="AH20" i="4"/>
  <c r="V20" i="4"/>
  <c r="N20" i="4"/>
  <c r="F20" i="4"/>
  <c r="BV20" i="4"/>
  <c r="BA20" i="4"/>
  <c r="AF20" i="4"/>
  <c r="U20" i="4"/>
  <c r="M20" i="4"/>
  <c r="BP61" i="4"/>
  <c r="BH61" i="4"/>
  <c r="AZ61" i="4"/>
  <c r="AR61" i="4"/>
  <c r="AJ61" i="4"/>
  <c r="AB61" i="4"/>
  <c r="T61" i="4"/>
  <c r="L61" i="4"/>
  <c r="BW61" i="4"/>
  <c r="BO61" i="4"/>
  <c r="BG61" i="4"/>
  <c r="AY61" i="4"/>
  <c r="AQ61" i="4"/>
  <c r="AI61" i="4"/>
  <c r="AA61" i="4"/>
  <c r="S61" i="4"/>
  <c r="K61" i="4"/>
  <c r="BT61" i="4"/>
  <c r="BL61" i="4"/>
  <c r="BD61" i="4"/>
  <c r="AV61" i="4"/>
  <c r="AN61" i="4"/>
  <c r="AF61" i="4"/>
  <c r="X61" i="4"/>
  <c r="P61" i="4"/>
  <c r="H61" i="4"/>
  <c r="BK61" i="4"/>
  <c r="AX61" i="4"/>
  <c r="AL61" i="4"/>
  <c r="Y61" i="4"/>
  <c r="M61" i="4"/>
  <c r="BV61" i="4"/>
  <c r="BJ61" i="4"/>
  <c r="AW61" i="4"/>
  <c r="AK61" i="4"/>
  <c r="W61" i="4"/>
  <c r="J61" i="4"/>
  <c r="BU61" i="4"/>
  <c r="BI61" i="4"/>
  <c r="AU61" i="4"/>
  <c r="AH61" i="4"/>
  <c r="V61" i="4"/>
  <c r="I61" i="4"/>
  <c r="BS61" i="4"/>
  <c r="BF61" i="4"/>
  <c r="AT61" i="4"/>
  <c r="AG61" i="4"/>
  <c r="U61" i="4"/>
  <c r="G61" i="4"/>
  <c r="BR61" i="4"/>
  <c r="BE61" i="4"/>
  <c r="AS61" i="4"/>
  <c r="AE61" i="4"/>
  <c r="R61" i="4"/>
  <c r="F61" i="4"/>
  <c r="BQ61" i="4"/>
  <c r="BC61" i="4"/>
  <c r="AP61" i="4"/>
  <c r="AD61" i="4"/>
  <c r="Q61" i="4"/>
  <c r="BN61" i="4"/>
  <c r="BB61" i="4"/>
  <c r="AO61" i="4"/>
  <c r="AC61" i="4"/>
  <c r="O61" i="4"/>
  <c r="BA61" i="4"/>
  <c r="AM61" i="4"/>
  <c r="Z61" i="4"/>
  <c r="N61" i="4"/>
  <c r="BM61" i="4"/>
  <c r="BS79" i="4"/>
  <c r="BK79" i="4"/>
  <c r="BC79" i="4"/>
  <c r="AU79" i="4"/>
  <c r="AM79" i="4"/>
  <c r="AE79" i="4"/>
  <c r="BP79" i="4"/>
  <c r="BH79" i="4"/>
  <c r="AZ79" i="4"/>
  <c r="AR79" i="4"/>
  <c r="AJ79" i="4"/>
  <c r="AB79" i="4"/>
  <c r="T79" i="4"/>
  <c r="L79" i="4"/>
  <c r="BW79" i="4"/>
  <c r="BO79" i="4"/>
  <c r="BG79" i="4"/>
  <c r="AY79" i="4"/>
  <c r="AQ79" i="4"/>
  <c r="AI79" i="4"/>
  <c r="AA79" i="4"/>
  <c r="S79" i="4"/>
  <c r="K79" i="4"/>
  <c r="BV79" i="4"/>
  <c r="BN79" i="4"/>
  <c r="BF79" i="4"/>
  <c r="AX79" i="4"/>
  <c r="AP79" i="4"/>
  <c r="AH79" i="4"/>
  <c r="Z79" i="4"/>
  <c r="R79" i="4"/>
  <c r="BU79" i="4"/>
  <c r="BM79" i="4"/>
  <c r="BE79" i="4"/>
  <c r="AW79" i="4"/>
  <c r="AO79" i="4"/>
  <c r="AG79" i="4"/>
  <c r="Y79" i="4"/>
  <c r="Q79" i="4"/>
  <c r="I79" i="4"/>
  <c r="BD79" i="4"/>
  <c r="AK79" i="4"/>
  <c r="P79" i="4"/>
  <c r="BB79" i="4"/>
  <c r="AF79" i="4"/>
  <c r="O79" i="4"/>
  <c r="BT79" i="4"/>
  <c r="BA79" i="4"/>
  <c r="AD79" i="4"/>
  <c r="N79" i="4"/>
  <c r="BR79" i="4"/>
  <c r="AV79" i="4"/>
  <c r="AC79" i="4"/>
  <c r="M79" i="4"/>
  <c r="BQ79" i="4"/>
  <c r="AT79" i="4"/>
  <c r="X79" i="4"/>
  <c r="J79" i="4"/>
  <c r="BL79" i="4"/>
  <c r="AS79" i="4"/>
  <c r="W79" i="4"/>
  <c r="H79" i="4"/>
  <c r="BJ79" i="4"/>
  <c r="AN79" i="4"/>
  <c r="V79" i="4"/>
  <c r="G79" i="4"/>
  <c r="BI79" i="4"/>
  <c r="AL79" i="4"/>
  <c r="U79" i="4"/>
  <c r="F79" i="4"/>
  <c r="BU62" i="4"/>
  <c r="BM62" i="4"/>
  <c r="BE62" i="4"/>
  <c r="AW62" i="4"/>
  <c r="AO62" i="4"/>
  <c r="AG62" i="4"/>
  <c r="Y62" i="4"/>
  <c r="Q62" i="4"/>
  <c r="I62" i="4"/>
  <c r="BT62" i="4"/>
  <c r="BL62" i="4"/>
  <c r="BD62" i="4"/>
  <c r="AV62" i="4"/>
  <c r="AN62" i="4"/>
  <c r="AF62" i="4"/>
  <c r="X62" i="4"/>
  <c r="P62" i="4"/>
  <c r="H62" i="4"/>
  <c r="BQ62" i="4"/>
  <c r="BI62" i="4"/>
  <c r="BA62" i="4"/>
  <c r="AS62" i="4"/>
  <c r="AK62" i="4"/>
  <c r="AC62" i="4"/>
  <c r="U62" i="4"/>
  <c r="M62" i="4"/>
  <c r="BR62" i="4"/>
  <c r="BF62" i="4"/>
  <c r="AR62" i="4"/>
  <c r="AE62" i="4"/>
  <c r="S62" i="4"/>
  <c r="F62" i="4"/>
  <c r="BP62" i="4"/>
  <c r="BC62" i="4"/>
  <c r="AQ62" i="4"/>
  <c r="AD62" i="4"/>
  <c r="R62" i="4"/>
  <c r="BO62" i="4"/>
  <c r="BB62" i="4"/>
  <c r="AP62" i="4"/>
  <c r="AB62" i="4"/>
  <c r="O62" i="4"/>
  <c r="BN62" i="4"/>
  <c r="AZ62" i="4"/>
  <c r="AM62" i="4"/>
  <c r="AA62" i="4"/>
  <c r="N62" i="4"/>
  <c r="BK62" i="4"/>
  <c r="AY62" i="4"/>
  <c r="AL62" i="4"/>
  <c r="Z62" i="4"/>
  <c r="L62" i="4"/>
  <c r="BW62" i="4"/>
  <c r="BJ62" i="4"/>
  <c r="AX62" i="4"/>
  <c r="AJ62" i="4"/>
  <c r="W62" i="4"/>
  <c r="K62" i="4"/>
  <c r="BV62" i="4"/>
  <c r="BH62" i="4"/>
  <c r="AU62" i="4"/>
  <c r="AI62" i="4"/>
  <c r="V62" i="4"/>
  <c r="J62" i="4"/>
  <c r="AT62" i="4"/>
  <c r="AH62" i="4"/>
  <c r="T62" i="4"/>
  <c r="G62" i="4"/>
  <c r="BS62" i="4"/>
  <c r="BG62" i="4"/>
  <c r="BP76" i="4"/>
  <c r="BH76" i="4"/>
  <c r="AZ76" i="4"/>
  <c r="AR76" i="4"/>
  <c r="AJ76" i="4"/>
  <c r="AB76" i="4"/>
  <c r="T76" i="4"/>
  <c r="L76" i="4"/>
  <c r="BW76" i="4"/>
  <c r="BO76" i="4"/>
  <c r="BG76" i="4"/>
  <c r="AY76" i="4"/>
  <c r="AQ76" i="4"/>
  <c r="AI76" i="4"/>
  <c r="AA76" i="4"/>
  <c r="S76" i="4"/>
  <c r="K76" i="4"/>
  <c r="BU76" i="4"/>
  <c r="BM76" i="4"/>
  <c r="BE76" i="4"/>
  <c r="AW76" i="4"/>
  <c r="AO76" i="4"/>
  <c r="AG76" i="4"/>
  <c r="Y76" i="4"/>
  <c r="Q76" i="4"/>
  <c r="I76" i="4"/>
  <c r="BS76" i="4"/>
  <c r="BF76" i="4"/>
  <c r="AT76" i="4"/>
  <c r="AF76" i="4"/>
  <c r="U76" i="4"/>
  <c r="G76" i="4"/>
  <c r="BQ76" i="4"/>
  <c r="BC76" i="4"/>
  <c r="AP76" i="4"/>
  <c r="AD76" i="4"/>
  <c r="P76" i="4"/>
  <c r="BN76" i="4"/>
  <c r="BB76" i="4"/>
  <c r="AN76" i="4"/>
  <c r="AC76" i="4"/>
  <c r="O76" i="4"/>
  <c r="BL76" i="4"/>
  <c r="BA76" i="4"/>
  <c r="AM76" i="4"/>
  <c r="Z76" i="4"/>
  <c r="N76" i="4"/>
  <c r="BK76" i="4"/>
  <c r="AX76" i="4"/>
  <c r="AL76" i="4"/>
  <c r="X76" i="4"/>
  <c r="M76" i="4"/>
  <c r="BV76" i="4"/>
  <c r="AS76" i="4"/>
  <c r="H76" i="4"/>
  <c r="BT76" i="4"/>
  <c r="AK76" i="4"/>
  <c r="F76" i="4"/>
  <c r="CF161" i="4" s="1"/>
  <c r="BR76" i="4"/>
  <c r="AH76" i="4"/>
  <c r="BJ76" i="4"/>
  <c r="AE76" i="4"/>
  <c r="BI76" i="4"/>
  <c r="W76" i="4"/>
  <c r="BD76" i="4"/>
  <c r="V76" i="4"/>
  <c r="AV76" i="4"/>
  <c r="R76" i="4"/>
  <c r="J76" i="4"/>
  <c r="AU76" i="4"/>
  <c r="BP17" i="4"/>
  <c r="BH17" i="4"/>
  <c r="AZ17" i="4"/>
  <c r="AR17" i="4"/>
  <c r="AJ17" i="4"/>
  <c r="AB17" i="4"/>
  <c r="T17" i="4"/>
  <c r="L17" i="4"/>
  <c r="BW17" i="4"/>
  <c r="BO17" i="4"/>
  <c r="BG17" i="4"/>
  <c r="AY17" i="4"/>
  <c r="AQ17" i="4"/>
  <c r="AI17" i="4"/>
  <c r="AA17" i="4"/>
  <c r="S17" i="4"/>
  <c r="K17" i="4"/>
  <c r="BV17" i="4"/>
  <c r="BN17" i="4"/>
  <c r="BF17" i="4"/>
  <c r="AX17" i="4"/>
  <c r="AP17" i="4"/>
  <c r="AH17" i="4"/>
  <c r="Z17" i="4"/>
  <c r="R17" i="4"/>
  <c r="J17" i="4"/>
  <c r="BU17" i="4"/>
  <c r="BM17" i="4"/>
  <c r="BE17" i="4"/>
  <c r="AW17" i="4"/>
  <c r="AO17" i="4"/>
  <c r="AG17" i="4"/>
  <c r="Y17" i="4"/>
  <c r="Q17" i="4"/>
  <c r="I17" i="4"/>
  <c r="BT17" i="4"/>
  <c r="BL17" i="4"/>
  <c r="BD17" i="4"/>
  <c r="AV17" i="4"/>
  <c r="AN17" i="4"/>
  <c r="AF17" i="4"/>
  <c r="X17" i="4"/>
  <c r="P17" i="4"/>
  <c r="H17" i="4"/>
  <c r="BS17" i="4"/>
  <c r="BK17" i="4"/>
  <c r="BC17" i="4"/>
  <c r="AU17" i="4"/>
  <c r="AM17" i="4"/>
  <c r="AE17" i="4"/>
  <c r="W17" i="4"/>
  <c r="O17" i="4"/>
  <c r="G17" i="4"/>
  <c r="BR17" i="4"/>
  <c r="BJ17" i="4"/>
  <c r="BB17" i="4"/>
  <c r="AT17" i="4"/>
  <c r="AL17" i="4"/>
  <c r="AD17" i="4"/>
  <c r="V17" i="4"/>
  <c r="N17" i="4"/>
  <c r="F17" i="4"/>
  <c r="U17" i="4"/>
  <c r="M17" i="4"/>
  <c r="N102" i="4" s="1"/>
  <c r="BQ17" i="4"/>
  <c r="BI17" i="4"/>
  <c r="BA17" i="4"/>
  <c r="AS17" i="4"/>
  <c r="AK17" i="4"/>
  <c r="AC17" i="4"/>
  <c r="BP27" i="4"/>
  <c r="BH27" i="4"/>
  <c r="AZ27" i="4"/>
  <c r="AR27" i="4"/>
  <c r="AJ27" i="4"/>
  <c r="AB27" i="4"/>
  <c r="T27" i="4"/>
  <c r="L27" i="4"/>
  <c r="BW27" i="4"/>
  <c r="BO27" i="4"/>
  <c r="BG27" i="4"/>
  <c r="AY27" i="4"/>
  <c r="AQ27" i="4"/>
  <c r="AI27" i="4"/>
  <c r="AA27" i="4"/>
  <c r="S27" i="4"/>
  <c r="K27" i="4"/>
  <c r="BV27" i="4"/>
  <c r="BN27" i="4"/>
  <c r="BF27" i="4"/>
  <c r="AX27" i="4"/>
  <c r="AP27" i="4"/>
  <c r="AH27" i="4"/>
  <c r="Z27" i="4"/>
  <c r="R27" i="4"/>
  <c r="J27" i="4"/>
  <c r="BU27" i="4"/>
  <c r="BM27" i="4"/>
  <c r="BE27" i="4"/>
  <c r="AW27" i="4"/>
  <c r="AO27" i="4"/>
  <c r="AG27" i="4"/>
  <c r="Y27" i="4"/>
  <c r="Q27" i="4"/>
  <c r="I27" i="4"/>
  <c r="BT27" i="4"/>
  <c r="BL27" i="4"/>
  <c r="BD27" i="4"/>
  <c r="AV27" i="4"/>
  <c r="AN27" i="4"/>
  <c r="AF27" i="4"/>
  <c r="X27" i="4"/>
  <c r="P27" i="4"/>
  <c r="H27" i="4"/>
  <c r="BS27" i="4"/>
  <c r="BK27" i="4"/>
  <c r="BC27" i="4"/>
  <c r="AU27" i="4"/>
  <c r="AM27" i="4"/>
  <c r="AE27" i="4"/>
  <c r="W27" i="4"/>
  <c r="O27" i="4"/>
  <c r="G27" i="4"/>
  <c r="BR27" i="4"/>
  <c r="BJ27" i="4"/>
  <c r="BB27" i="4"/>
  <c r="AT27" i="4"/>
  <c r="AL27" i="4"/>
  <c r="AD27" i="4"/>
  <c r="V27" i="4"/>
  <c r="N27" i="4"/>
  <c r="F27" i="4"/>
  <c r="BA27" i="4"/>
  <c r="AS27" i="4"/>
  <c r="AK27" i="4"/>
  <c r="AC27" i="4"/>
  <c r="U27" i="4"/>
  <c r="M27" i="4"/>
  <c r="BI27" i="4"/>
  <c r="BQ27" i="4"/>
  <c r="BQ34" i="4"/>
  <c r="BI34" i="4"/>
  <c r="BA34" i="4"/>
  <c r="AS34" i="4"/>
  <c r="AK34" i="4"/>
  <c r="AC34" i="4"/>
  <c r="U34" i="4"/>
  <c r="M34" i="4"/>
  <c r="BP34" i="4"/>
  <c r="BH34" i="4"/>
  <c r="AZ34" i="4"/>
  <c r="AR34" i="4"/>
  <c r="AJ34" i="4"/>
  <c r="AB34" i="4"/>
  <c r="T34" i="4"/>
  <c r="L34" i="4"/>
  <c r="BW34" i="4"/>
  <c r="BO34" i="4"/>
  <c r="BG34" i="4"/>
  <c r="AY34" i="4"/>
  <c r="AQ34" i="4"/>
  <c r="AI34" i="4"/>
  <c r="AA34" i="4"/>
  <c r="S34" i="4"/>
  <c r="K34" i="4"/>
  <c r="BV34" i="4"/>
  <c r="BN34" i="4"/>
  <c r="BF34" i="4"/>
  <c r="AX34" i="4"/>
  <c r="AP34" i="4"/>
  <c r="AH34" i="4"/>
  <c r="Z34" i="4"/>
  <c r="R34" i="4"/>
  <c r="J34" i="4"/>
  <c r="BU34" i="4"/>
  <c r="BM34" i="4"/>
  <c r="BE34" i="4"/>
  <c r="AW34" i="4"/>
  <c r="AO34" i="4"/>
  <c r="AG34" i="4"/>
  <c r="Y34" i="4"/>
  <c r="Q34" i="4"/>
  <c r="I34" i="4"/>
  <c r="BT34" i="4"/>
  <c r="BL34" i="4"/>
  <c r="BD34" i="4"/>
  <c r="AV34" i="4"/>
  <c r="AN34" i="4"/>
  <c r="AF34" i="4"/>
  <c r="X34" i="4"/>
  <c r="P34" i="4"/>
  <c r="H34" i="4"/>
  <c r="BS34" i="4"/>
  <c r="BK34" i="4"/>
  <c r="BC34" i="4"/>
  <c r="AU34" i="4"/>
  <c r="AM34" i="4"/>
  <c r="AE34" i="4"/>
  <c r="W34" i="4"/>
  <c r="O34" i="4"/>
  <c r="G34" i="4"/>
  <c r="AT34" i="4"/>
  <c r="AL34" i="4"/>
  <c r="AD34" i="4"/>
  <c r="V34" i="4"/>
  <c r="N34" i="4"/>
  <c r="BR34" i="4"/>
  <c r="F34" i="4"/>
  <c r="BJ34" i="4"/>
  <c r="BB34" i="4"/>
  <c r="BR63" i="4"/>
  <c r="BJ63" i="4"/>
  <c r="BB63" i="4"/>
  <c r="AT63" i="4"/>
  <c r="AL63" i="4"/>
  <c r="AD63" i="4"/>
  <c r="V63" i="4"/>
  <c r="N63" i="4"/>
  <c r="F63" i="4"/>
  <c r="BQ63" i="4"/>
  <c r="BI63" i="4"/>
  <c r="BA63" i="4"/>
  <c r="AS63" i="4"/>
  <c r="AK63" i="4"/>
  <c r="AC63" i="4"/>
  <c r="U63" i="4"/>
  <c r="M63" i="4"/>
  <c r="BV63" i="4"/>
  <c r="BN63" i="4"/>
  <c r="BF63" i="4"/>
  <c r="AX63" i="4"/>
  <c r="AP63" i="4"/>
  <c r="AH63" i="4"/>
  <c r="Z63" i="4"/>
  <c r="R63" i="4"/>
  <c r="J63" i="4"/>
  <c r="BL63" i="4"/>
  <c r="AY63" i="4"/>
  <c r="AM63" i="4"/>
  <c r="Y63" i="4"/>
  <c r="L63" i="4"/>
  <c r="BW63" i="4"/>
  <c r="BK63" i="4"/>
  <c r="AW63" i="4"/>
  <c r="AJ63" i="4"/>
  <c r="X63" i="4"/>
  <c r="K63" i="4"/>
  <c r="BU63" i="4"/>
  <c r="BH63" i="4"/>
  <c r="AV63" i="4"/>
  <c r="AI63" i="4"/>
  <c r="W63" i="4"/>
  <c r="I63" i="4"/>
  <c r="BT63" i="4"/>
  <c r="BG63" i="4"/>
  <c r="AU63" i="4"/>
  <c r="AG63" i="4"/>
  <c r="T63" i="4"/>
  <c r="H63" i="4"/>
  <c r="BS63" i="4"/>
  <c r="BE63" i="4"/>
  <c r="AR63" i="4"/>
  <c r="AF63" i="4"/>
  <c r="S63" i="4"/>
  <c r="G63" i="4"/>
  <c r="BP63" i="4"/>
  <c r="BD63" i="4"/>
  <c r="AQ63" i="4"/>
  <c r="AE63" i="4"/>
  <c r="Q63" i="4"/>
  <c r="BO63" i="4"/>
  <c r="BC63" i="4"/>
  <c r="AO63" i="4"/>
  <c r="AB63" i="4"/>
  <c r="P63" i="4"/>
  <c r="AN63" i="4"/>
  <c r="AA63" i="4"/>
  <c r="O63" i="4"/>
  <c r="BM63" i="4"/>
  <c r="AZ63" i="4"/>
  <c r="BT46" i="4"/>
  <c r="BL46" i="4"/>
  <c r="BD46" i="4"/>
  <c r="AV46" i="4"/>
  <c r="AN46" i="4"/>
  <c r="AF46" i="4"/>
  <c r="X46" i="4"/>
  <c r="P46" i="4"/>
  <c r="H46" i="4"/>
  <c r="BS46" i="4"/>
  <c r="BK46" i="4"/>
  <c r="BC46" i="4"/>
  <c r="AU46" i="4"/>
  <c r="AM46" i="4"/>
  <c r="AE46" i="4"/>
  <c r="BR46" i="4"/>
  <c r="BJ46" i="4"/>
  <c r="BB46" i="4"/>
  <c r="AT46" i="4"/>
  <c r="AL46" i="4"/>
  <c r="AD46" i="4"/>
  <c r="V46" i="4"/>
  <c r="N46" i="4"/>
  <c r="F46" i="4"/>
  <c r="BQ46" i="4"/>
  <c r="BI46" i="4"/>
  <c r="BA46" i="4"/>
  <c r="AS46" i="4"/>
  <c r="AK46" i="4"/>
  <c r="AC46" i="4"/>
  <c r="U46" i="4"/>
  <c r="M46" i="4"/>
  <c r="BP46" i="4"/>
  <c r="BH46" i="4"/>
  <c r="AZ46" i="4"/>
  <c r="AR46" i="4"/>
  <c r="AJ46" i="4"/>
  <c r="AB46" i="4"/>
  <c r="T46" i="4"/>
  <c r="L46" i="4"/>
  <c r="BW46" i="4"/>
  <c r="BO46" i="4"/>
  <c r="BG46" i="4"/>
  <c r="AY46" i="4"/>
  <c r="AQ46" i="4"/>
  <c r="AI46" i="4"/>
  <c r="AA46" i="4"/>
  <c r="S46" i="4"/>
  <c r="K46" i="4"/>
  <c r="BV46" i="4"/>
  <c r="BN46" i="4"/>
  <c r="BF46" i="4"/>
  <c r="AX46" i="4"/>
  <c r="AP46" i="4"/>
  <c r="AH46" i="4"/>
  <c r="Z46" i="4"/>
  <c r="R46" i="4"/>
  <c r="J46" i="4"/>
  <c r="BM46" i="4"/>
  <c r="O46" i="4"/>
  <c r="BE46" i="4"/>
  <c r="I46" i="4"/>
  <c r="AW46" i="4"/>
  <c r="G46" i="4"/>
  <c r="AO46" i="4"/>
  <c r="AG46" i="4"/>
  <c r="Y46" i="4"/>
  <c r="W46" i="4"/>
  <c r="BU46" i="4"/>
  <c r="Q46" i="4"/>
  <c r="BT72" i="4"/>
  <c r="BL72" i="4"/>
  <c r="BD72" i="4"/>
  <c r="AV72" i="4"/>
  <c r="AN72" i="4"/>
  <c r="AF72" i="4"/>
  <c r="X72" i="4"/>
  <c r="P72" i="4"/>
  <c r="H72" i="4"/>
  <c r="BR72" i="4"/>
  <c r="BJ72" i="4"/>
  <c r="BB72" i="4"/>
  <c r="AT72" i="4"/>
  <c r="AL72" i="4"/>
  <c r="AD72" i="4"/>
  <c r="V72" i="4"/>
  <c r="N72" i="4"/>
  <c r="F72" i="4"/>
  <c r="BQ72" i="4"/>
  <c r="BI72" i="4"/>
  <c r="BA72" i="4"/>
  <c r="AS72" i="4"/>
  <c r="AK72" i="4"/>
  <c r="AC72" i="4"/>
  <c r="U72" i="4"/>
  <c r="M72" i="4"/>
  <c r="BP72" i="4"/>
  <c r="BH72" i="4"/>
  <c r="AZ72" i="4"/>
  <c r="AR72" i="4"/>
  <c r="AJ72" i="4"/>
  <c r="AB72" i="4"/>
  <c r="T72" i="4"/>
  <c r="L72" i="4"/>
  <c r="BW72" i="4"/>
  <c r="BO72" i="4"/>
  <c r="BG72" i="4"/>
  <c r="AY72" i="4"/>
  <c r="AQ72" i="4"/>
  <c r="AI72" i="4"/>
  <c r="AA72" i="4"/>
  <c r="S72" i="4"/>
  <c r="K72" i="4"/>
  <c r="BS72" i="4"/>
  <c r="AW72" i="4"/>
  <c r="Z72" i="4"/>
  <c r="G72" i="4"/>
  <c r="BN72" i="4"/>
  <c r="AU72" i="4"/>
  <c r="Y72" i="4"/>
  <c r="BM72" i="4"/>
  <c r="AP72" i="4"/>
  <c r="W72" i="4"/>
  <c r="BK72" i="4"/>
  <c r="AO72" i="4"/>
  <c r="R72" i="4"/>
  <c r="BF72" i="4"/>
  <c r="AM72" i="4"/>
  <c r="Q72" i="4"/>
  <c r="BE72" i="4"/>
  <c r="AH72" i="4"/>
  <c r="O72" i="4"/>
  <c r="BV72" i="4"/>
  <c r="BC72" i="4"/>
  <c r="AG72" i="4"/>
  <c r="J72" i="4"/>
  <c r="BU72" i="4"/>
  <c r="AX72" i="4"/>
  <c r="AE72" i="4"/>
  <c r="I72" i="4"/>
  <c r="BW68" i="4"/>
  <c r="BO68" i="4"/>
  <c r="BG68" i="4"/>
  <c r="AY68" i="4"/>
  <c r="AQ68" i="4"/>
  <c r="AI68" i="4"/>
  <c r="AA68" i="4"/>
  <c r="S68" i="4"/>
  <c r="K68" i="4"/>
  <c r="BV68" i="4"/>
  <c r="BN68" i="4"/>
  <c r="BF68" i="4"/>
  <c r="AX68" i="4"/>
  <c r="AP68" i="4"/>
  <c r="AH68" i="4"/>
  <c r="Z68" i="4"/>
  <c r="R68" i="4"/>
  <c r="J68" i="4"/>
  <c r="BT68" i="4"/>
  <c r="BL68" i="4"/>
  <c r="BD68" i="4"/>
  <c r="AV68" i="4"/>
  <c r="AN68" i="4"/>
  <c r="AF68" i="4"/>
  <c r="X68" i="4"/>
  <c r="P68" i="4"/>
  <c r="H68" i="4"/>
  <c r="BJ68" i="4"/>
  <c r="AW68" i="4"/>
  <c r="AK68" i="4"/>
  <c r="W68" i="4"/>
  <c r="L68" i="4"/>
  <c r="BU68" i="4"/>
  <c r="BI68" i="4"/>
  <c r="AU68" i="4"/>
  <c r="AJ68" i="4"/>
  <c r="V68" i="4"/>
  <c r="I68" i="4"/>
  <c r="BS68" i="4"/>
  <c r="BH68" i="4"/>
  <c r="AT68" i="4"/>
  <c r="AG68" i="4"/>
  <c r="U68" i="4"/>
  <c r="G68" i="4"/>
  <c r="BR68" i="4"/>
  <c r="BE68" i="4"/>
  <c r="AS68" i="4"/>
  <c r="AE68" i="4"/>
  <c r="T68" i="4"/>
  <c r="F68" i="4"/>
  <c r="BP68" i="4"/>
  <c r="BB68" i="4"/>
  <c r="AO68" i="4"/>
  <c r="AC68" i="4"/>
  <c r="O68" i="4"/>
  <c r="AZ68" i="4"/>
  <c r="N68" i="4"/>
  <c r="AR68" i="4"/>
  <c r="M68" i="4"/>
  <c r="AM68" i="4"/>
  <c r="BQ68" i="4"/>
  <c r="AL68" i="4"/>
  <c r="BM68" i="4"/>
  <c r="AD68" i="4"/>
  <c r="BK68" i="4"/>
  <c r="AB68" i="4"/>
  <c r="BC68" i="4"/>
  <c r="Y68" i="4"/>
  <c r="BA68" i="4"/>
  <c r="Q68" i="4"/>
  <c r="BW58" i="4"/>
  <c r="BO58" i="4"/>
  <c r="BG58" i="4"/>
  <c r="AY58" i="4"/>
  <c r="AQ58" i="4"/>
  <c r="AI58" i="4"/>
  <c r="AA58" i="4"/>
  <c r="S58" i="4"/>
  <c r="K58" i="4"/>
  <c r="BV58" i="4"/>
  <c r="BN58" i="4"/>
  <c r="BF58" i="4"/>
  <c r="AX58" i="4"/>
  <c r="AP58" i="4"/>
  <c r="AH58" i="4"/>
  <c r="Z58" i="4"/>
  <c r="R58" i="4"/>
  <c r="J58" i="4"/>
  <c r="BU58" i="4"/>
  <c r="BM58" i="4"/>
  <c r="BE58" i="4"/>
  <c r="AW58" i="4"/>
  <c r="AO58" i="4"/>
  <c r="AG58" i="4"/>
  <c r="Y58" i="4"/>
  <c r="Q58" i="4"/>
  <c r="I58" i="4"/>
  <c r="BT58" i="4"/>
  <c r="BL58" i="4"/>
  <c r="BD58" i="4"/>
  <c r="AV58" i="4"/>
  <c r="AN58" i="4"/>
  <c r="AF58" i="4"/>
  <c r="X58" i="4"/>
  <c r="P58" i="4"/>
  <c r="H58" i="4"/>
  <c r="BS58" i="4"/>
  <c r="BK58" i="4"/>
  <c r="BC58" i="4"/>
  <c r="AU58" i="4"/>
  <c r="AM58" i="4"/>
  <c r="AE58" i="4"/>
  <c r="W58" i="4"/>
  <c r="O58" i="4"/>
  <c r="G58" i="4"/>
  <c r="BR58" i="4"/>
  <c r="BJ58" i="4"/>
  <c r="BB58" i="4"/>
  <c r="AT58" i="4"/>
  <c r="AL58" i="4"/>
  <c r="AD58" i="4"/>
  <c r="V58" i="4"/>
  <c r="N58" i="4"/>
  <c r="F58" i="4"/>
  <c r="BQ58" i="4"/>
  <c r="BI58" i="4"/>
  <c r="BA58" i="4"/>
  <c r="AS58" i="4"/>
  <c r="AK58" i="4"/>
  <c r="AC58" i="4"/>
  <c r="U58" i="4"/>
  <c r="M58" i="4"/>
  <c r="BP58" i="4"/>
  <c r="BH58" i="4"/>
  <c r="AZ58" i="4"/>
  <c r="AR58" i="4"/>
  <c r="AJ58" i="4"/>
  <c r="AB58" i="4"/>
  <c r="T58" i="4"/>
  <c r="L58" i="4"/>
  <c r="BV48" i="4"/>
  <c r="BN48" i="4"/>
  <c r="BF48" i="4"/>
  <c r="AX48" i="4"/>
  <c r="AP48" i="4"/>
  <c r="AH48" i="4"/>
  <c r="Z48" i="4"/>
  <c r="R48" i="4"/>
  <c r="J48" i="4"/>
  <c r="BU48" i="4"/>
  <c r="BM48" i="4"/>
  <c r="BE48" i="4"/>
  <c r="AW48" i="4"/>
  <c r="AO48" i="4"/>
  <c r="AG48" i="4"/>
  <c r="Y48" i="4"/>
  <c r="Q48" i="4"/>
  <c r="I48" i="4"/>
  <c r="BT48" i="4"/>
  <c r="BL48" i="4"/>
  <c r="BD48" i="4"/>
  <c r="AV48" i="4"/>
  <c r="AN48" i="4"/>
  <c r="AF48" i="4"/>
  <c r="X48" i="4"/>
  <c r="P48" i="4"/>
  <c r="H48" i="4"/>
  <c r="BS48" i="4"/>
  <c r="BK48" i="4"/>
  <c r="BC48" i="4"/>
  <c r="AU48" i="4"/>
  <c r="AM48" i="4"/>
  <c r="AE48" i="4"/>
  <c r="W48" i="4"/>
  <c r="O48" i="4"/>
  <c r="G48" i="4"/>
  <c r="BR48" i="4"/>
  <c r="BJ48" i="4"/>
  <c r="BB48" i="4"/>
  <c r="AT48" i="4"/>
  <c r="AL48" i="4"/>
  <c r="AD48" i="4"/>
  <c r="V48" i="4"/>
  <c r="N48" i="4"/>
  <c r="F48" i="4"/>
  <c r="BQ48" i="4"/>
  <c r="BI48" i="4"/>
  <c r="BA48" i="4"/>
  <c r="AS48" i="4"/>
  <c r="AK48" i="4"/>
  <c r="AC48" i="4"/>
  <c r="U48" i="4"/>
  <c r="M48" i="4"/>
  <c r="BP48" i="4"/>
  <c r="BH48" i="4"/>
  <c r="AZ48" i="4"/>
  <c r="AR48" i="4"/>
  <c r="AJ48" i="4"/>
  <c r="AB48" i="4"/>
  <c r="T48" i="4"/>
  <c r="L48" i="4"/>
  <c r="AA48" i="4"/>
  <c r="S48" i="4"/>
  <c r="BW48" i="4"/>
  <c r="K48" i="4"/>
  <c r="BO48" i="4"/>
  <c r="BG48" i="4"/>
  <c r="AY48" i="4"/>
  <c r="AQ48" i="4"/>
  <c r="AI48" i="4"/>
  <c r="K63" i="3"/>
  <c r="BS36" i="4"/>
  <c r="BK36" i="4"/>
  <c r="BC36" i="4"/>
  <c r="AU36" i="4"/>
  <c r="AM36" i="4"/>
  <c r="AE36" i="4"/>
  <c r="W36" i="4"/>
  <c r="O36" i="4"/>
  <c r="G36" i="4"/>
  <c r="BR36" i="4"/>
  <c r="BJ36" i="4"/>
  <c r="BB36" i="4"/>
  <c r="AT36" i="4"/>
  <c r="AL36" i="4"/>
  <c r="AD36" i="4"/>
  <c r="V36" i="4"/>
  <c r="N36" i="4"/>
  <c r="F36" i="4"/>
  <c r="BQ36" i="4"/>
  <c r="BI36" i="4"/>
  <c r="BA36" i="4"/>
  <c r="AS36" i="4"/>
  <c r="AK36" i="4"/>
  <c r="AC36" i="4"/>
  <c r="U36" i="4"/>
  <c r="M36" i="4"/>
  <c r="BP36" i="4"/>
  <c r="BH36" i="4"/>
  <c r="AZ36" i="4"/>
  <c r="AR36" i="4"/>
  <c r="AJ36" i="4"/>
  <c r="AB36" i="4"/>
  <c r="T36" i="4"/>
  <c r="L36" i="4"/>
  <c r="BW36" i="4"/>
  <c r="BO36" i="4"/>
  <c r="BG36" i="4"/>
  <c r="AY36" i="4"/>
  <c r="AQ36" i="4"/>
  <c r="AI36" i="4"/>
  <c r="AA36" i="4"/>
  <c r="S36" i="4"/>
  <c r="K36" i="4"/>
  <c r="BV36" i="4"/>
  <c r="BN36" i="4"/>
  <c r="BF36" i="4"/>
  <c r="AX36" i="4"/>
  <c r="AP36" i="4"/>
  <c r="AH36" i="4"/>
  <c r="Z36" i="4"/>
  <c r="R36" i="4"/>
  <c r="J36" i="4"/>
  <c r="BU36" i="4"/>
  <c r="BM36" i="4"/>
  <c r="BE36" i="4"/>
  <c r="AW36" i="4"/>
  <c r="AO36" i="4"/>
  <c r="AG36" i="4"/>
  <c r="Y36" i="4"/>
  <c r="Q36" i="4"/>
  <c r="I36" i="4"/>
  <c r="BT36" i="4"/>
  <c r="H36" i="4"/>
  <c r="BL36" i="4"/>
  <c r="BD36" i="4"/>
  <c r="AV36" i="4"/>
  <c r="AN36" i="4"/>
  <c r="AF36" i="4"/>
  <c r="X36" i="4"/>
  <c r="P36" i="4"/>
  <c r="BS26" i="4"/>
  <c r="BK26" i="4"/>
  <c r="BC26" i="4"/>
  <c r="AU26" i="4"/>
  <c r="AM26" i="4"/>
  <c r="AE26" i="4"/>
  <c r="W26" i="4"/>
  <c r="O26" i="4"/>
  <c r="G26" i="4"/>
  <c r="BR26" i="4"/>
  <c r="BJ26" i="4"/>
  <c r="BB26" i="4"/>
  <c r="AT26" i="4"/>
  <c r="AL26" i="4"/>
  <c r="AD26" i="4"/>
  <c r="V26" i="4"/>
  <c r="N26" i="4"/>
  <c r="F26" i="4"/>
  <c r="BQ26" i="4"/>
  <c r="BI26" i="4"/>
  <c r="BA26" i="4"/>
  <c r="AS26" i="4"/>
  <c r="AK26" i="4"/>
  <c r="AC26" i="4"/>
  <c r="U26" i="4"/>
  <c r="M26" i="4"/>
  <c r="BP26" i="4"/>
  <c r="BH26" i="4"/>
  <c r="AZ26" i="4"/>
  <c r="AR26" i="4"/>
  <c r="AJ26" i="4"/>
  <c r="AB26" i="4"/>
  <c r="T26" i="4"/>
  <c r="L26" i="4"/>
  <c r="BW26" i="4"/>
  <c r="BO26" i="4"/>
  <c r="BG26" i="4"/>
  <c r="AY26" i="4"/>
  <c r="AQ26" i="4"/>
  <c r="AI26" i="4"/>
  <c r="AA26" i="4"/>
  <c r="S26" i="4"/>
  <c r="K26" i="4"/>
  <c r="BV26" i="4"/>
  <c r="BN26" i="4"/>
  <c r="BF26" i="4"/>
  <c r="AX26" i="4"/>
  <c r="AP26" i="4"/>
  <c r="AH26" i="4"/>
  <c r="Z26" i="4"/>
  <c r="R26" i="4"/>
  <c r="J26" i="4"/>
  <c r="BU26" i="4"/>
  <c r="BM26" i="4"/>
  <c r="BE26" i="4"/>
  <c r="AW26" i="4"/>
  <c r="AO26" i="4"/>
  <c r="AG26" i="4"/>
  <c r="Y26" i="4"/>
  <c r="Q26" i="4"/>
  <c r="I26" i="4"/>
  <c r="BT26" i="4"/>
  <c r="H26" i="4"/>
  <c r="BL26" i="4"/>
  <c r="BD26" i="4"/>
  <c r="AV26" i="4"/>
  <c r="AN26" i="4"/>
  <c r="AF26" i="4"/>
  <c r="P26" i="4"/>
  <c r="X26" i="4"/>
  <c r="BU38" i="4"/>
  <c r="BM38" i="4"/>
  <c r="BE38" i="4"/>
  <c r="AW38" i="4"/>
  <c r="AO38" i="4"/>
  <c r="AG38" i="4"/>
  <c r="Y38" i="4"/>
  <c r="Q38" i="4"/>
  <c r="I38" i="4"/>
  <c r="BT38" i="4"/>
  <c r="BL38" i="4"/>
  <c r="BD38" i="4"/>
  <c r="AV38" i="4"/>
  <c r="AN38" i="4"/>
  <c r="AF38" i="4"/>
  <c r="X38" i="4"/>
  <c r="P38" i="4"/>
  <c r="H38" i="4"/>
  <c r="BS38" i="4"/>
  <c r="BK38" i="4"/>
  <c r="BC38" i="4"/>
  <c r="AU38" i="4"/>
  <c r="AM38" i="4"/>
  <c r="AE38" i="4"/>
  <c r="W38" i="4"/>
  <c r="O38" i="4"/>
  <c r="G38" i="4"/>
  <c r="BR38" i="4"/>
  <c r="BJ38" i="4"/>
  <c r="BB38" i="4"/>
  <c r="AT38" i="4"/>
  <c r="AL38" i="4"/>
  <c r="AD38" i="4"/>
  <c r="V38" i="4"/>
  <c r="N38" i="4"/>
  <c r="F38" i="4"/>
  <c r="BQ38" i="4"/>
  <c r="BI38" i="4"/>
  <c r="BA38" i="4"/>
  <c r="AS38" i="4"/>
  <c r="AK38" i="4"/>
  <c r="AC38" i="4"/>
  <c r="U38" i="4"/>
  <c r="M38" i="4"/>
  <c r="BP38" i="4"/>
  <c r="BH38" i="4"/>
  <c r="AZ38" i="4"/>
  <c r="AR38" i="4"/>
  <c r="AJ38" i="4"/>
  <c r="AB38" i="4"/>
  <c r="T38" i="4"/>
  <c r="L38" i="4"/>
  <c r="BW38" i="4"/>
  <c r="BO38" i="4"/>
  <c r="BG38" i="4"/>
  <c r="AY38" i="4"/>
  <c r="AQ38" i="4"/>
  <c r="AI38" i="4"/>
  <c r="AA38" i="4"/>
  <c r="S38" i="4"/>
  <c r="K38" i="4"/>
  <c r="AH38" i="4"/>
  <c r="AI123" i="4" s="1"/>
  <c r="Z38" i="4"/>
  <c r="R38" i="4"/>
  <c r="BV38" i="4"/>
  <c r="J38" i="4"/>
  <c r="BN38" i="4"/>
  <c r="BF38" i="4"/>
  <c r="AX38" i="4"/>
  <c r="AP38" i="4"/>
  <c r="BW31" i="4"/>
  <c r="BV31" i="4"/>
  <c r="BU31" i="4"/>
  <c r="BT31" i="4"/>
  <c r="BL31" i="4"/>
  <c r="BD31" i="4"/>
  <c r="AV31" i="4"/>
  <c r="AN31" i="4"/>
  <c r="AF31" i="4"/>
  <c r="X31" i="4"/>
  <c r="P31" i="4"/>
  <c r="H31" i="4"/>
  <c r="BS31" i="4"/>
  <c r="BK31" i="4"/>
  <c r="BC31" i="4"/>
  <c r="AU31" i="4"/>
  <c r="AM31" i="4"/>
  <c r="AE31" i="4"/>
  <c r="W31" i="4"/>
  <c r="O31" i="4"/>
  <c r="G31" i="4"/>
  <c r="BR31" i="4"/>
  <c r="BJ31" i="4"/>
  <c r="BB31" i="4"/>
  <c r="AT31" i="4"/>
  <c r="AL31" i="4"/>
  <c r="AD31" i="4"/>
  <c r="V31" i="4"/>
  <c r="N31" i="4"/>
  <c r="F31" i="4"/>
  <c r="BQ31" i="4"/>
  <c r="BI31" i="4"/>
  <c r="BA31" i="4"/>
  <c r="AS31" i="4"/>
  <c r="AK31" i="4"/>
  <c r="AC31" i="4"/>
  <c r="U31" i="4"/>
  <c r="M31" i="4"/>
  <c r="BP31" i="4"/>
  <c r="BH31" i="4"/>
  <c r="AZ31" i="4"/>
  <c r="AR31" i="4"/>
  <c r="AJ31" i="4"/>
  <c r="AB31" i="4"/>
  <c r="DB116" i="4" s="1"/>
  <c r="T31" i="4"/>
  <c r="L31" i="4"/>
  <c r="BO31" i="4"/>
  <c r="BG31" i="4"/>
  <c r="AY31" i="4"/>
  <c r="AQ31" i="4"/>
  <c r="AI31" i="4"/>
  <c r="AA31" i="4"/>
  <c r="S31" i="4"/>
  <c r="K31" i="4"/>
  <c r="BN31" i="4"/>
  <c r="BF31" i="4"/>
  <c r="AX31" i="4"/>
  <c r="AP31" i="4"/>
  <c r="AH31" i="4"/>
  <c r="Z31" i="4"/>
  <c r="R31" i="4"/>
  <c r="J31" i="4"/>
  <c r="AO31" i="4"/>
  <c r="AG31" i="4"/>
  <c r="Y31" i="4"/>
  <c r="Q31" i="4"/>
  <c r="I31" i="4"/>
  <c r="BM31" i="4"/>
  <c r="AW31" i="4"/>
  <c r="BE31" i="4"/>
  <c r="BR39" i="4"/>
  <c r="BJ39" i="4"/>
  <c r="BB39" i="4"/>
  <c r="AT39" i="4"/>
  <c r="AL39" i="4"/>
  <c r="AD39" i="4"/>
  <c r="V39" i="4"/>
  <c r="N39" i="4"/>
  <c r="F39" i="4"/>
  <c r="BQ39" i="4"/>
  <c r="BI39" i="4"/>
  <c r="BA39" i="4"/>
  <c r="AS39" i="4"/>
  <c r="AK39" i="4"/>
  <c r="AC39" i="4"/>
  <c r="U39" i="4"/>
  <c r="M39" i="4"/>
  <c r="BP39" i="4"/>
  <c r="BH39" i="4"/>
  <c r="AZ39" i="4"/>
  <c r="AR39" i="4"/>
  <c r="AJ39" i="4"/>
  <c r="DJ124" i="4" s="1"/>
  <c r="AB39" i="4"/>
  <c r="T39" i="4"/>
  <c r="L39" i="4"/>
  <c r="BW39" i="4"/>
  <c r="BO39" i="4"/>
  <c r="BG39" i="4"/>
  <c r="AY39" i="4"/>
  <c r="AQ39" i="4"/>
  <c r="AI39" i="4"/>
  <c r="AA39" i="4"/>
  <c r="S39" i="4"/>
  <c r="K39" i="4"/>
  <c r="BV39" i="4"/>
  <c r="BN39" i="4"/>
  <c r="BF39" i="4"/>
  <c r="AX39" i="4"/>
  <c r="AP39" i="4"/>
  <c r="AH39" i="4"/>
  <c r="Z39" i="4"/>
  <c r="R39" i="4"/>
  <c r="J39" i="4"/>
  <c r="BU39" i="4"/>
  <c r="BM39" i="4"/>
  <c r="BE39" i="4"/>
  <c r="AW39" i="4"/>
  <c r="AO39" i="4"/>
  <c r="AG39" i="4"/>
  <c r="Y39" i="4"/>
  <c r="Q39" i="4"/>
  <c r="I39" i="4"/>
  <c r="BT39" i="4"/>
  <c r="BL39" i="4"/>
  <c r="BD39" i="4"/>
  <c r="AV39" i="4"/>
  <c r="AN39" i="4"/>
  <c r="AF39" i="4"/>
  <c r="X39" i="4"/>
  <c r="P39" i="4"/>
  <c r="H39" i="4"/>
  <c r="O39" i="4"/>
  <c r="BS39" i="4"/>
  <c r="G39" i="4"/>
  <c r="BK39" i="4"/>
  <c r="BC39" i="4"/>
  <c r="AU39" i="4"/>
  <c r="AM39" i="4"/>
  <c r="AE39" i="4"/>
  <c r="W39" i="4"/>
  <c r="BP37" i="4"/>
  <c r="BH37" i="4"/>
  <c r="AZ37" i="4"/>
  <c r="AR37" i="4"/>
  <c r="AJ37" i="4"/>
  <c r="AB37" i="4"/>
  <c r="T37" i="4"/>
  <c r="L37" i="4"/>
  <c r="BW37" i="4"/>
  <c r="BO37" i="4"/>
  <c r="BG37" i="4"/>
  <c r="AY37" i="4"/>
  <c r="AQ37" i="4"/>
  <c r="AI37" i="4"/>
  <c r="AA37" i="4"/>
  <c r="S37" i="4"/>
  <c r="K37" i="4"/>
  <c r="BV37" i="4"/>
  <c r="BN37" i="4"/>
  <c r="BF37" i="4"/>
  <c r="AX37" i="4"/>
  <c r="AP37" i="4"/>
  <c r="AH37" i="4"/>
  <c r="Z37" i="4"/>
  <c r="R37" i="4"/>
  <c r="J37" i="4"/>
  <c r="BU37" i="4"/>
  <c r="BM37" i="4"/>
  <c r="BE37" i="4"/>
  <c r="AW37" i="4"/>
  <c r="AO37" i="4"/>
  <c r="AG37" i="4"/>
  <c r="Y37" i="4"/>
  <c r="Q37" i="4"/>
  <c r="I37" i="4"/>
  <c r="BT37" i="4"/>
  <c r="BL37" i="4"/>
  <c r="BD37" i="4"/>
  <c r="AV37" i="4"/>
  <c r="AN37" i="4"/>
  <c r="AF37" i="4"/>
  <c r="X37" i="4"/>
  <c r="P37" i="4"/>
  <c r="H37" i="4"/>
  <c r="BS37" i="4"/>
  <c r="BK37" i="4"/>
  <c r="BC37" i="4"/>
  <c r="AU37" i="4"/>
  <c r="AM37" i="4"/>
  <c r="AE37" i="4"/>
  <c r="W37" i="4"/>
  <c r="O37" i="4"/>
  <c r="G37" i="4"/>
  <c r="BR37" i="4"/>
  <c r="BJ37" i="4"/>
  <c r="BB37" i="4"/>
  <c r="AT37" i="4"/>
  <c r="AL37" i="4"/>
  <c r="AD37" i="4"/>
  <c r="V37" i="4"/>
  <c r="N37" i="4"/>
  <c r="F37" i="4"/>
  <c r="BA37" i="4"/>
  <c r="AS37" i="4"/>
  <c r="AK37" i="4"/>
  <c r="AC37" i="4"/>
  <c r="U37" i="4"/>
  <c r="M37" i="4"/>
  <c r="BQ37" i="4"/>
  <c r="BI37" i="4"/>
  <c r="J62" i="3"/>
  <c r="BU18" i="4"/>
  <c r="BM18" i="4"/>
  <c r="BE18" i="4"/>
  <c r="AW18" i="4"/>
  <c r="AO18" i="4"/>
  <c r="AG18" i="4"/>
  <c r="Y18" i="4"/>
  <c r="Q18" i="4"/>
  <c r="I18" i="4"/>
  <c r="BT18" i="4"/>
  <c r="BL18" i="4"/>
  <c r="BD18" i="4"/>
  <c r="AV18" i="4"/>
  <c r="AN18" i="4"/>
  <c r="AF18" i="4"/>
  <c r="X18" i="4"/>
  <c r="P18" i="4"/>
  <c r="H18" i="4"/>
  <c r="BS18" i="4"/>
  <c r="BK18" i="4"/>
  <c r="BC18" i="4"/>
  <c r="AU18" i="4"/>
  <c r="AM18" i="4"/>
  <c r="AE18" i="4"/>
  <c r="W18" i="4"/>
  <c r="O18" i="4"/>
  <c r="G18" i="4"/>
  <c r="BR18" i="4"/>
  <c r="BJ18" i="4"/>
  <c r="BB18" i="4"/>
  <c r="AT18" i="4"/>
  <c r="AL18" i="4"/>
  <c r="AD18" i="4"/>
  <c r="V18" i="4"/>
  <c r="N18" i="4"/>
  <c r="F18" i="4"/>
  <c r="BQ18" i="4"/>
  <c r="BI18" i="4"/>
  <c r="BA18" i="4"/>
  <c r="AS18" i="4"/>
  <c r="AK18" i="4"/>
  <c r="AC18" i="4"/>
  <c r="U18" i="4"/>
  <c r="M18" i="4"/>
  <c r="BP18" i="4"/>
  <c r="BH18" i="4"/>
  <c r="AZ18" i="4"/>
  <c r="AR18" i="4"/>
  <c r="AJ18" i="4"/>
  <c r="AB18" i="4"/>
  <c r="T18" i="4"/>
  <c r="L18" i="4"/>
  <c r="BW18" i="4"/>
  <c r="BO18" i="4"/>
  <c r="BG18" i="4"/>
  <c r="AY18" i="4"/>
  <c r="AQ18" i="4"/>
  <c r="AI18" i="4"/>
  <c r="AA18" i="4"/>
  <c r="S18" i="4"/>
  <c r="K18" i="4"/>
  <c r="BN18" i="4"/>
  <c r="BF18" i="4"/>
  <c r="AX18" i="4"/>
  <c r="AH18" i="4"/>
  <c r="AP18" i="4"/>
  <c r="Z18" i="4"/>
  <c r="R18" i="4"/>
  <c r="BV18" i="4"/>
  <c r="J18" i="4"/>
  <c r="BT69" i="4"/>
  <c r="BL69" i="4"/>
  <c r="BD69" i="4"/>
  <c r="AV69" i="4"/>
  <c r="AN69" i="4"/>
  <c r="AF69" i="4"/>
  <c r="X69" i="4"/>
  <c r="P69" i="4"/>
  <c r="H69" i="4"/>
  <c r="BS69" i="4"/>
  <c r="BK69" i="4"/>
  <c r="BC69" i="4"/>
  <c r="AU69" i="4"/>
  <c r="AM69" i="4"/>
  <c r="AE69" i="4"/>
  <c r="W69" i="4"/>
  <c r="O69" i="4"/>
  <c r="G69" i="4"/>
  <c r="BQ69" i="4"/>
  <c r="BI69" i="4"/>
  <c r="BA69" i="4"/>
  <c r="AS69" i="4"/>
  <c r="AK69" i="4"/>
  <c r="AC69" i="4"/>
  <c r="U69" i="4"/>
  <c r="M69" i="4"/>
  <c r="BP69" i="4"/>
  <c r="BE69" i="4"/>
  <c r="AQ69" i="4"/>
  <c r="AD69" i="4"/>
  <c r="R69" i="4"/>
  <c r="BO69" i="4"/>
  <c r="BB69" i="4"/>
  <c r="AP69" i="4"/>
  <c r="AB69" i="4"/>
  <c r="Q69" i="4"/>
  <c r="BN69" i="4"/>
  <c r="AZ69" i="4"/>
  <c r="AO69" i="4"/>
  <c r="AA69" i="4"/>
  <c r="N69" i="4"/>
  <c r="BM69" i="4"/>
  <c r="BN154" i="4" s="1"/>
  <c r="AY69" i="4"/>
  <c r="AL69" i="4"/>
  <c r="Z69" i="4"/>
  <c r="L69" i="4"/>
  <c r="BV69" i="4"/>
  <c r="BH69" i="4"/>
  <c r="AW69" i="4"/>
  <c r="AI69" i="4"/>
  <c r="V69" i="4"/>
  <c r="J69" i="4"/>
  <c r="BW69" i="4"/>
  <c r="AR69" i="4"/>
  <c r="I69" i="4"/>
  <c r="BU69" i="4"/>
  <c r="AJ69" i="4"/>
  <c r="F69" i="4"/>
  <c r="CF154" i="4" s="1"/>
  <c r="BR69" i="4"/>
  <c r="AH69" i="4"/>
  <c r="BJ69" i="4"/>
  <c r="AG69" i="4"/>
  <c r="BG69" i="4"/>
  <c r="Y69" i="4"/>
  <c r="BF69" i="4"/>
  <c r="T69" i="4"/>
  <c r="AX69" i="4"/>
  <c r="S69" i="4"/>
  <c r="AT69" i="4"/>
  <c r="K69" i="4"/>
  <c r="BS78" i="4"/>
  <c r="BK78" i="4"/>
  <c r="BC78" i="4"/>
  <c r="AU78" i="4"/>
  <c r="AM78" i="4"/>
  <c r="AE78" i="4"/>
  <c r="W78" i="4"/>
  <c r="O78" i="4"/>
  <c r="G78" i="4"/>
  <c r="BR78" i="4"/>
  <c r="BJ78" i="4"/>
  <c r="BB78" i="4"/>
  <c r="AT78" i="4"/>
  <c r="AL78" i="4"/>
  <c r="AD78" i="4"/>
  <c r="V78" i="4"/>
  <c r="N78" i="4"/>
  <c r="F78" i="4"/>
  <c r="BP78" i="4"/>
  <c r="BH78" i="4"/>
  <c r="AZ78" i="4"/>
  <c r="AR78" i="4"/>
  <c r="AJ78" i="4"/>
  <c r="AB78" i="4"/>
  <c r="T78" i="4"/>
  <c r="L78" i="4"/>
  <c r="BQ78" i="4"/>
  <c r="BE78" i="4"/>
  <c r="AQ78" i="4"/>
  <c r="AF78" i="4"/>
  <c r="R78" i="4"/>
  <c r="BO78" i="4"/>
  <c r="BD78" i="4"/>
  <c r="AP78" i="4"/>
  <c r="AC78" i="4"/>
  <c r="Q78" i="4"/>
  <c r="BM78" i="4"/>
  <c r="AY78" i="4"/>
  <c r="AN78" i="4"/>
  <c r="Z78" i="4"/>
  <c r="M78" i="4"/>
  <c r="BI78" i="4"/>
  <c r="AO78" i="4"/>
  <c r="U78" i="4"/>
  <c r="BG78" i="4"/>
  <c r="AK78" i="4"/>
  <c r="S78" i="4"/>
  <c r="BW78" i="4"/>
  <c r="BF78" i="4"/>
  <c r="AI78" i="4"/>
  <c r="P78" i="4"/>
  <c r="BV78" i="4"/>
  <c r="BA78" i="4"/>
  <c r="AH78" i="4"/>
  <c r="K78" i="4"/>
  <c r="BU78" i="4"/>
  <c r="AX78" i="4"/>
  <c r="AG78" i="4"/>
  <c r="J78" i="4"/>
  <c r="BT78" i="4"/>
  <c r="AW78" i="4"/>
  <c r="AA78" i="4"/>
  <c r="I78" i="4"/>
  <c r="BN78" i="4"/>
  <c r="AV78" i="4"/>
  <c r="Y78" i="4"/>
  <c r="H78" i="4"/>
  <c r="BL78" i="4"/>
  <c r="AS78" i="4"/>
  <c r="X78" i="4"/>
  <c r="BP53" i="4"/>
  <c r="BH53" i="4"/>
  <c r="AZ53" i="4"/>
  <c r="AR53" i="4"/>
  <c r="AJ53" i="4"/>
  <c r="AB53" i="4"/>
  <c r="T53" i="4"/>
  <c r="L53" i="4"/>
  <c r="BW53" i="4"/>
  <c r="BO53" i="4"/>
  <c r="BG53" i="4"/>
  <c r="AY53" i="4"/>
  <c r="AQ53" i="4"/>
  <c r="AI53" i="4"/>
  <c r="AA53" i="4"/>
  <c r="S53" i="4"/>
  <c r="K53" i="4"/>
  <c r="BV53" i="4"/>
  <c r="BN53" i="4"/>
  <c r="BF53" i="4"/>
  <c r="AX53" i="4"/>
  <c r="AP53" i="4"/>
  <c r="AH53" i="4"/>
  <c r="Z53" i="4"/>
  <c r="R53" i="4"/>
  <c r="J53" i="4"/>
  <c r="BU53" i="4"/>
  <c r="BM53" i="4"/>
  <c r="BE53" i="4"/>
  <c r="AW53" i="4"/>
  <c r="AO53" i="4"/>
  <c r="AG53" i="4"/>
  <c r="Y53" i="4"/>
  <c r="Q53" i="4"/>
  <c r="I53" i="4"/>
  <c r="BT53" i="4"/>
  <c r="BL53" i="4"/>
  <c r="BD53" i="4"/>
  <c r="AV53" i="4"/>
  <c r="AN53" i="4"/>
  <c r="AF53" i="4"/>
  <c r="X53" i="4"/>
  <c r="P53" i="4"/>
  <c r="H53" i="4"/>
  <c r="BS53" i="4"/>
  <c r="BK53" i="4"/>
  <c r="BC53" i="4"/>
  <c r="AU53" i="4"/>
  <c r="AM53" i="4"/>
  <c r="AE53" i="4"/>
  <c r="W53" i="4"/>
  <c r="O53" i="4"/>
  <c r="G53" i="4"/>
  <c r="BR53" i="4"/>
  <c r="BJ53" i="4"/>
  <c r="BB53" i="4"/>
  <c r="AT53" i="4"/>
  <c r="AL53" i="4"/>
  <c r="AD53" i="4"/>
  <c r="V53" i="4"/>
  <c r="N53" i="4"/>
  <c r="F53" i="4"/>
  <c r="BQ53" i="4"/>
  <c r="BI53" i="4"/>
  <c r="BA53" i="4"/>
  <c r="AS53" i="4"/>
  <c r="AK53" i="4"/>
  <c r="AC53" i="4"/>
  <c r="U53" i="4"/>
  <c r="M53" i="4"/>
  <c r="BS52" i="4"/>
  <c r="BK52" i="4"/>
  <c r="BC52" i="4"/>
  <c r="AU52" i="4"/>
  <c r="AM52" i="4"/>
  <c r="AE52" i="4"/>
  <c r="W52" i="4"/>
  <c r="O52" i="4"/>
  <c r="G52" i="4"/>
  <c r="BR52" i="4"/>
  <c r="BJ52" i="4"/>
  <c r="BB52" i="4"/>
  <c r="AT52" i="4"/>
  <c r="AL52" i="4"/>
  <c r="AD52" i="4"/>
  <c r="V52" i="4"/>
  <c r="N52" i="4"/>
  <c r="F52" i="4"/>
  <c r="BQ52" i="4"/>
  <c r="BI52" i="4"/>
  <c r="BA52" i="4"/>
  <c r="AS52" i="4"/>
  <c r="AK52" i="4"/>
  <c r="AC52" i="4"/>
  <c r="U52" i="4"/>
  <c r="M52" i="4"/>
  <c r="BP52" i="4"/>
  <c r="BH52" i="4"/>
  <c r="AZ52" i="4"/>
  <c r="AR52" i="4"/>
  <c r="AJ52" i="4"/>
  <c r="AB52" i="4"/>
  <c r="T52" i="4"/>
  <c r="L52" i="4"/>
  <c r="BW52" i="4"/>
  <c r="BO52" i="4"/>
  <c r="BG52" i="4"/>
  <c r="AY52" i="4"/>
  <c r="AQ52" i="4"/>
  <c r="AI52" i="4"/>
  <c r="AA52" i="4"/>
  <c r="S52" i="4"/>
  <c r="K52" i="4"/>
  <c r="BV52" i="4"/>
  <c r="BN52" i="4"/>
  <c r="BF52" i="4"/>
  <c r="AX52" i="4"/>
  <c r="AP52" i="4"/>
  <c r="AH52" i="4"/>
  <c r="Z52" i="4"/>
  <c r="R52" i="4"/>
  <c r="J52" i="4"/>
  <c r="BU52" i="4"/>
  <c r="BM52" i="4"/>
  <c r="BE52" i="4"/>
  <c r="AW52" i="4"/>
  <c r="AO52" i="4"/>
  <c r="AG52" i="4"/>
  <c r="Y52" i="4"/>
  <c r="Q52" i="4"/>
  <c r="I52" i="4"/>
  <c r="X52" i="4"/>
  <c r="P52" i="4"/>
  <c r="BT52" i="4"/>
  <c r="H52" i="4"/>
  <c r="BL52" i="4"/>
  <c r="BD52" i="4"/>
  <c r="AV52" i="4"/>
  <c r="AW137" i="4" s="1"/>
  <c r="AN52" i="4"/>
  <c r="AF52" i="4"/>
  <c r="J85" i="3"/>
  <c r="BQ24" i="4"/>
  <c r="BI24" i="4"/>
  <c r="BA24" i="4"/>
  <c r="AS24" i="4"/>
  <c r="AK24" i="4"/>
  <c r="AC24" i="4"/>
  <c r="U24" i="4"/>
  <c r="M24" i="4"/>
  <c r="BP24" i="4"/>
  <c r="BH24" i="4"/>
  <c r="AZ24" i="4"/>
  <c r="AR24" i="4"/>
  <c r="AJ24" i="4"/>
  <c r="AB24" i="4"/>
  <c r="T24" i="4"/>
  <c r="L24" i="4"/>
  <c r="BW24" i="4"/>
  <c r="BO24" i="4"/>
  <c r="BG24" i="4"/>
  <c r="AY24" i="4"/>
  <c r="AQ24" i="4"/>
  <c r="AI24" i="4"/>
  <c r="AA24" i="4"/>
  <c r="S24" i="4"/>
  <c r="K24" i="4"/>
  <c r="BV24" i="4"/>
  <c r="BN24" i="4"/>
  <c r="BF24" i="4"/>
  <c r="AX24" i="4"/>
  <c r="AP24" i="4"/>
  <c r="AH24" i="4"/>
  <c r="Z24" i="4"/>
  <c r="R24" i="4"/>
  <c r="J24" i="4"/>
  <c r="BU24" i="4"/>
  <c r="BM24" i="4"/>
  <c r="BE24" i="4"/>
  <c r="AW24" i="4"/>
  <c r="AO24" i="4"/>
  <c r="AG24" i="4"/>
  <c r="Y24" i="4"/>
  <c r="Q24" i="4"/>
  <c r="I24" i="4"/>
  <c r="BT24" i="4"/>
  <c r="BL24" i="4"/>
  <c r="BD24" i="4"/>
  <c r="AV24" i="4"/>
  <c r="AN24" i="4"/>
  <c r="AF24" i="4"/>
  <c r="X24" i="4"/>
  <c r="P24" i="4"/>
  <c r="H24" i="4"/>
  <c r="BS24" i="4"/>
  <c r="BK24" i="4"/>
  <c r="BC24" i="4"/>
  <c r="AU24" i="4"/>
  <c r="AM24" i="4"/>
  <c r="AE24" i="4"/>
  <c r="W24" i="4"/>
  <c r="O24" i="4"/>
  <c r="G24" i="4"/>
  <c r="AT24" i="4"/>
  <c r="AL24" i="4"/>
  <c r="AD24" i="4"/>
  <c r="V24" i="4"/>
  <c r="N24" i="4"/>
  <c r="BR24" i="4"/>
  <c r="F24" i="4"/>
  <c r="BB24" i="4"/>
  <c r="BJ24" i="4"/>
  <c r="BT33" i="4"/>
  <c r="BL33" i="4"/>
  <c r="BD33" i="4"/>
  <c r="AV33" i="4"/>
  <c r="AN33" i="4"/>
  <c r="AF33" i="4"/>
  <c r="X33" i="4"/>
  <c r="P33" i="4"/>
  <c r="H33" i="4"/>
  <c r="BS33" i="4"/>
  <c r="BK33" i="4"/>
  <c r="BC33" i="4"/>
  <c r="AU33" i="4"/>
  <c r="AM33" i="4"/>
  <c r="AE33" i="4"/>
  <c r="W33" i="4"/>
  <c r="O33" i="4"/>
  <c r="G33" i="4"/>
  <c r="BR33" i="4"/>
  <c r="BJ33" i="4"/>
  <c r="BB33" i="4"/>
  <c r="AT33" i="4"/>
  <c r="AL33" i="4"/>
  <c r="AD33" i="4"/>
  <c r="V33" i="4"/>
  <c r="N33" i="4"/>
  <c r="F33" i="4"/>
  <c r="BQ33" i="4"/>
  <c r="BI33" i="4"/>
  <c r="BA33" i="4"/>
  <c r="AS33" i="4"/>
  <c r="AK33" i="4"/>
  <c r="AC33" i="4"/>
  <c r="U33" i="4"/>
  <c r="M33" i="4"/>
  <c r="BP33" i="4"/>
  <c r="BH33" i="4"/>
  <c r="AZ33" i="4"/>
  <c r="AR33" i="4"/>
  <c r="AJ33" i="4"/>
  <c r="AB33" i="4"/>
  <c r="T33" i="4"/>
  <c r="L33" i="4"/>
  <c r="BW33" i="4"/>
  <c r="BO33" i="4"/>
  <c r="BG33" i="4"/>
  <c r="AY33" i="4"/>
  <c r="AQ33" i="4"/>
  <c r="AI33" i="4"/>
  <c r="AA33" i="4"/>
  <c r="S33" i="4"/>
  <c r="K33" i="4"/>
  <c r="BV33" i="4"/>
  <c r="BN33" i="4"/>
  <c r="BF33" i="4"/>
  <c r="AX33" i="4"/>
  <c r="AP33" i="4"/>
  <c r="AH33" i="4"/>
  <c r="Z33" i="4"/>
  <c r="R33" i="4"/>
  <c r="J33" i="4"/>
  <c r="BM33" i="4"/>
  <c r="BE33" i="4"/>
  <c r="AW33" i="4"/>
  <c r="AO33" i="4"/>
  <c r="AG33" i="4"/>
  <c r="Y33" i="4"/>
  <c r="Q33" i="4"/>
  <c r="BU33" i="4"/>
  <c r="I33" i="4"/>
  <c r="BV15" i="4"/>
  <c r="BN15" i="4"/>
  <c r="BF15" i="4"/>
  <c r="AX15" i="4"/>
  <c r="AP15" i="4"/>
  <c r="AH15" i="4"/>
  <c r="Z15" i="4"/>
  <c r="R15" i="4"/>
  <c r="J15" i="4"/>
  <c r="BU15" i="4"/>
  <c r="BM15" i="4"/>
  <c r="BE15" i="4"/>
  <c r="AW15" i="4"/>
  <c r="AO15" i="4"/>
  <c r="AG15" i="4"/>
  <c r="Y15" i="4"/>
  <c r="Q15" i="4"/>
  <c r="I15" i="4"/>
  <c r="BT15" i="4"/>
  <c r="BL15" i="4"/>
  <c r="BD15" i="4"/>
  <c r="AV15" i="4"/>
  <c r="AN15" i="4"/>
  <c r="AF15" i="4"/>
  <c r="X15" i="4"/>
  <c r="P15" i="4"/>
  <c r="H15" i="4"/>
  <c r="BS15" i="4"/>
  <c r="BK15" i="4"/>
  <c r="BC15" i="4"/>
  <c r="AU15" i="4"/>
  <c r="AM15" i="4"/>
  <c r="AE15" i="4"/>
  <c r="W15" i="4"/>
  <c r="O15" i="4"/>
  <c r="G15" i="4"/>
  <c r="BR15" i="4"/>
  <c r="BJ15" i="4"/>
  <c r="BB15" i="4"/>
  <c r="AT15" i="4"/>
  <c r="AL15" i="4"/>
  <c r="AD15" i="4"/>
  <c r="V15" i="4"/>
  <c r="N15" i="4"/>
  <c r="F15" i="4"/>
  <c r="BQ15" i="4"/>
  <c r="BI15" i="4"/>
  <c r="BA15" i="4"/>
  <c r="AS15" i="4"/>
  <c r="AK15" i="4"/>
  <c r="AC15" i="4"/>
  <c r="U15" i="4"/>
  <c r="M15" i="4"/>
  <c r="BP15" i="4"/>
  <c r="BH15" i="4"/>
  <c r="AZ15" i="4"/>
  <c r="AR15" i="4"/>
  <c r="AJ15" i="4"/>
  <c r="AB15" i="4"/>
  <c r="T15" i="4"/>
  <c r="L15" i="4"/>
  <c r="CL100" i="4" s="1"/>
  <c r="BG15" i="4"/>
  <c r="AY15" i="4"/>
  <c r="AQ15" i="4"/>
  <c r="AI15" i="4"/>
  <c r="AA15" i="4"/>
  <c r="S15" i="4"/>
  <c r="BO15" i="4"/>
  <c r="BW15" i="4"/>
  <c r="K15" i="4"/>
  <c r="BW22" i="4"/>
  <c r="BO22" i="4"/>
  <c r="BG22" i="4"/>
  <c r="AY22" i="4"/>
  <c r="AQ22" i="4"/>
  <c r="AI22" i="4"/>
  <c r="AA22" i="4"/>
  <c r="S22" i="4"/>
  <c r="K22" i="4"/>
  <c r="BU22" i="4"/>
  <c r="BM22" i="4"/>
  <c r="BE22" i="4"/>
  <c r="AW22" i="4"/>
  <c r="AO22" i="4"/>
  <c r="AG22" i="4"/>
  <c r="Y22" i="4"/>
  <c r="Q22" i="4"/>
  <c r="I22" i="4"/>
  <c r="BT22" i="4"/>
  <c r="BL22" i="4"/>
  <c r="BD22" i="4"/>
  <c r="AV22" i="4"/>
  <c r="AN22" i="4"/>
  <c r="AF22" i="4"/>
  <c r="X22" i="4"/>
  <c r="P22" i="4"/>
  <c r="H22" i="4"/>
  <c r="BS22" i="4"/>
  <c r="BK22" i="4"/>
  <c r="BC22" i="4"/>
  <c r="AU22" i="4"/>
  <c r="AM22" i="4"/>
  <c r="AE22" i="4"/>
  <c r="W22" i="4"/>
  <c r="O22" i="4"/>
  <c r="G22" i="4"/>
  <c r="BR22" i="4"/>
  <c r="BJ22" i="4"/>
  <c r="BB22" i="4"/>
  <c r="AT22" i="4"/>
  <c r="AL22" i="4"/>
  <c r="AD22" i="4"/>
  <c r="V22" i="4"/>
  <c r="N22" i="4"/>
  <c r="F22" i="4"/>
  <c r="BQ22" i="4"/>
  <c r="BI22" i="4"/>
  <c r="BA22" i="4"/>
  <c r="AS22" i="4"/>
  <c r="AK22" i="4"/>
  <c r="AC22" i="4"/>
  <c r="U22" i="4"/>
  <c r="M22" i="4"/>
  <c r="AR22" i="4"/>
  <c r="L22" i="4"/>
  <c r="R22" i="4"/>
  <c r="BV22" i="4"/>
  <c r="AP22" i="4"/>
  <c r="J22" i="4"/>
  <c r="AX22" i="4"/>
  <c r="BP22" i="4"/>
  <c r="AJ22" i="4"/>
  <c r="BN22" i="4"/>
  <c r="AH22" i="4"/>
  <c r="BH22" i="4"/>
  <c r="AB22" i="4"/>
  <c r="BF22" i="4"/>
  <c r="Z22" i="4"/>
  <c r="AZ22" i="4"/>
  <c r="T22" i="4"/>
  <c r="BR19" i="4"/>
  <c r="BJ19" i="4"/>
  <c r="BB19" i="4"/>
  <c r="AT19" i="4"/>
  <c r="AL19" i="4"/>
  <c r="AD19" i="4"/>
  <c r="V19" i="4"/>
  <c r="N19" i="4"/>
  <c r="F19" i="4"/>
  <c r="BS19" i="4"/>
  <c r="BQ19" i="4"/>
  <c r="BI19" i="4"/>
  <c r="BA19" i="4"/>
  <c r="AS19" i="4"/>
  <c r="AK19" i="4"/>
  <c r="AC19" i="4"/>
  <c r="U19" i="4"/>
  <c r="M19" i="4"/>
  <c r="AM19" i="4"/>
  <c r="BP19" i="4"/>
  <c r="BH19" i="4"/>
  <c r="AZ19" i="4"/>
  <c r="AR19" i="4"/>
  <c r="AJ19" i="4"/>
  <c r="AB19" i="4"/>
  <c r="T19" i="4"/>
  <c r="L19" i="4"/>
  <c r="BW19" i="4"/>
  <c r="BO19" i="4"/>
  <c r="BG19" i="4"/>
  <c r="AY19" i="4"/>
  <c r="AQ19" i="4"/>
  <c r="AI19" i="4"/>
  <c r="AA19" i="4"/>
  <c r="S19" i="4"/>
  <c r="K19" i="4"/>
  <c r="BV19" i="4"/>
  <c r="BN19" i="4"/>
  <c r="BF19" i="4"/>
  <c r="AX19" i="4"/>
  <c r="AP19" i="4"/>
  <c r="AH19" i="4"/>
  <c r="Z19" i="4"/>
  <c r="R19" i="4"/>
  <c r="J19" i="4"/>
  <c r="BK19" i="4"/>
  <c r="BU19" i="4"/>
  <c r="BM19" i="4"/>
  <c r="BE19" i="4"/>
  <c r="AW19" i="4"/>
  <c r="AO19" i="4"/>
  <c r="AG19" i="4"/>
  <c r="Y19" i="4"/>
  <c r="Q19" i="4"/>
  <c r="I19" i="4"/>
  <c r="BC19" i="4"/>
  <c r="BT19" i="4"/>
  <c r="BL19" i="4"/>
  <c r="BD19" i="4"/>
  <c r="AV19" i="4"/>
  <c r="AN19" i="4"/>
  <c r="AF19" i="4"/>
  <c r="X19" i="4"/>
  <c r="P19" i="4"/>
  <c r="H19" i="4"/>
  <c r="AU19" i="4"/>
  <c r="AE19" i="4"/>
  <c r="O19" i="4"/>
  <c r="W19" i="4"/>
  <c r="G19" i="4"/>
  <c r="BQ54" i="4"/>
  <c r="BI54" i="4"/>
  <c r="BA54" i="4"/>
  <c r="AS54" i="4"/>
  <c r="AK54" i="4"/>
  <c r="AC54" i="4"/>
  <c r="U54" i="4"/>
  <c r="M54" i="4"/>
  <c r="BP54" i="4"/>
  <c r="BH54" i="4"/>
  <c r="AZ54" i="4"/>
  <c r="AR54" i="4"/>
  <c r="AJ54" i="4"/>
  <c r="AB54" i="4"/>
  <c r="T54" i="4"/>
  <c r="L54" i="4"/>
  <c r="BU54" i="4"/>
  <c r="BM54" i="4"/>
  <c r="BE54" i="4"/>
  <c r="AW54" i="4"/>
  <c r="AO54" i="4"/>
  <c r="AG54" i="4"/>
  <c r="Y54" i="4"/>
  <c r="Q54" i="4"/>
  <c r="I54" i="4"/>
  <c r="BL54" i="4"/>
  <c r="AY54" i="4"/>
  <c r="AM54" i="4"/>
  <c r="Z54" i="4"/>
  <c r="N54" i="4"/>
  <c r="BW54" i="4"/>
  <c r="BK54" i="4"/>
  <c r="AX54" i="4"/>
  <c r="AL54" i="4"/>
  <c r="X54" i="4"/>
  <c r="K54" i="4"/>
  <c r="BV54" i="4"/>
  <c r="BJ54" i="4"/>
  <c r="AV54" i="4"/>
  <c r="AI54" i="4"/>
  <c r="W54" i="4"/>
  <c r="J54" i="4"/>
  <c r="BT54" i="4"/>
  <c r="BG54" i="4"/>
  <c r="AU54" i="4"/>
  <c r="AH54" i="4"/>
  <c r="V54" i="4"/>
  <c r="H54" i="4"/>
  <c r="BS54" i="4"/>
  <c r="BF54" i="4"/>
  <c r="AT54" i="4"/>
  <c r="AF54" i="4"/>
  <c r="S54" i="4"/>
  <c r="G54" i="4"/>
  <c r="BR54" i="4"/>
  <c r="BD54" i="4"/>
  <c r="AQ54" i="4"/>
  <c r="AE54" i="4"/>
  <c r="R54" i="4"/>
  <c r="F54" i="4"/>
  <c r="BO54" i="4"/>
  <c r="BC54" i="4"/>
  <c r="AP54" i="4"/>
  <c r="AD54" i="4"/>
  <c r="P54" i="4"/>
  <c r="BB54" i="4"/>
  <c r="AN54" i="4"/>
  <c r="AA54" i="4"/>
  <c r="O54" i="4"/>
  <c r="BN54" i="4"/>
  <c r="BT70" i="4"/>
  <c r="BL70" i="4"/>
  <c r="BR70" i="4"/>
  <c r="BJ70" i="4"/>
  <c r="BB70" i="4"/>
  <c r="BQ70" i="4"/>
  <c r="BI70" i="4"/>
  <c r="BA70" i="4"/>
  <c r="AS70" i="4"/>
  <c r="AK70" i="4"/>
  <c r="AC70" i="4"/>
  <c r="U70" i="4"/>
  <c r="M70" i="4"/>
  <c r="BP70" i="4"/>
  <c r="BH70" i="4"/>
  <c r="AZ70" i="4"/>
  <c r="AR70" i="4"/>
  <c r="AJ70" i="4"/>
  <c r="AB70" i="4"/>
  <c r="T70" i="4"/>
  <c r="L70" i="4"/>
  <c r="BV70" i="4"/>
  <c r="BN70" i="4"/>
  <c r="BF70" i="4"/>
  <c r="AX70" i="4"/>
  <c r="AP70" i="4"/>
  <c r="AH70" i="4"/>
  <c r="Z70" i="4"/>
  <c r="R70" i="4"/>
  <c r="J70" i="4"/>
  <c r="BS70" i="4"/>
  <c r="AY70" i="4"/>
  <c r="AM70" i="4"/>
  <c r="Y70" i="4"/>
  <c r="N70" i="4"/>
  <c r="BO70" i="4"/>
  <c r="AW70" i="4"/>
  <c r="AL70" i="4"/>
  <c r="X70" i="4"/>
  <c r="K70" i="4"/>
  <c r="BM70" i="4"/>
  <c r="AV70" i="4"/>
  <c r="AI70" i="4"/>
  <c r="W70" i="4"/>
  <c r="I70" i="4"/>
  <c r="BK70" i="4"/>
  <c r="AU70" i="4"/>
  <c r="AG70" i="4"/>
  <c r="V70" i="4"/>
  <c r="H70" i="4"/>
  <c r="BG70" i="4"/>
  <c r="AT70" i="4"/>
  <c r="AF70" i="4"/>
  <c r="S70" i="4"/>
  <c r="G70" i="4"/>
  <c r="BE70" i="4"/>
  <c r="AQ70" i="4"/>
  <c r="AE70" i="4"/>
  <c r="Q70" i="4"/>
  <c r="F70" i="4"/>
  <c r="BW70" i="4"/>
  <c r="BD70" i="4"/>
  <c r="AO70" i="4"/>
  <c r="AD70" i="4"/>
  <c r="P70" i="4"/>
  <c r="BU70" i="4"/>
  <c r="BC70" i="4"/>
  <c r="AN70" i="4"/>
  <c r="AA70" i="4"/>
  <c r="O70" i="4"/>
  <c r="BQ50" i="4"/>
  <c r="BI50" i="4"/>
  <c r="BA50" i="4"/>
  <c r="AS50" i="4"/>
  <c r="AK50" i="4"/>
  <c r="AC50" i="4"/>
  <c r="U50" i="4"/>
  <c r="M50" i="4"/>
  <c r="BP50" i="4"/>
  <c r="BH50" i="4"/>
  <c r="AZ50" i="4"/>
  <c r="AR50" i="4"/>
  <c r="AJ50" i="4"/>
  <c r="AB50" i="4"/>
  <c r="T50" i="4"/>
  <c r="L50" i="4"/>
  <c r="BW50" i="4"/>
  <c r="BO50" i="4"/>
  <c r="BG50" i="4"/>
  <c r="AY50" i="4"/>
  <c r="AQ50" i="4"/>
  <c r="AI50" i="4"/>
  <c r="AA50" i="4"/>
  <c r="S50" i="4"/>
  <c r="K50" i="4"/>
  <c r="BV50" i="4"/>
  <c r="BN50" i="4"/>
  <c r="BF50" i="4"/>
  <c r="AX50" i="4"/>
  <c r="AP50" i="4"/>
  <c r="AH50" i="4"/>
  <c r="Z50" i="4"/>
  <c r="R50" i="4"/>
  <c r="J50" i="4"/>
  <c r="BU50" i="4"/>
  <c r="BM50" i="4"/>
  <c r="BE50" i="4"/>
  <c r="AW50" i="4"/>
  <c r="AO50" i="4"/>
  <c r="AG50" i="4"/>
  <c r="Y50" i="4"/>
  <c r="Q50" i="4"/>
  <c r="I50" i="4"/>
  <c r="BT50" i="4"/>
  <c r="BL50" i="4"/>
  <c r="BD50" i="4"/>
  <c r="AV50" i="4"/>
  <c r="AN50" i="4"/>
  <c r="AF50" i="4"/>
  <c r="X50" i="4"/>
  <c r="P50" i="4"/>
  <c r="H50" i="4"/>
  <c r="BS50" i="4"/>
  <c r="BK50" i="4"/>
  <c r="BC50" i="4"/>
  <c r="BJ50" i="4"/>
  <c r="W50" i="4"/>
  <c r="BB50" i="4"/>
  <c r="V50" i="4"/>
  <c r="AU50" i="4"/>
  <c r="O50" i="4"/>
  <c r="AT50" i="4"/>
  <c r="N50" i="4"/>
  <c r="AM50" i="4"/>
  <c r="G50" i="4"/>
  <c r="AL50" i="4"/>
  <c r="F50" i="4"/>
  <c r="AE50" i="4"/>
  <c r="BR50" i="4"/>
  <c r="AD50" i="4"/>
  <c r="BQ47" i="4"/>
  <c r="BI47" i="4"/>
  <c r="BA47" i="4"/>
  <c r="AS47" i="4"/>
  <c r="AK47" i="4"/>
  <c r="AC47" i="4"/>
  <c r="U47" i="4"/>
  <c r="M47" i="4"/>
  <c r="BP47" i="4"/>
  <c r="BH47" i="4"/>
  <c r="AZ47" i="4"/>
  <c r="AR47" i="4"/>
  <c r="DR132" i="4" s="1"/>
  <c r="AJ47" i="4"/>
  <c r="AB47" i="4"/>
  <c r="T47" i="4"/>
  <c r="L47" i="4"/>
  <c r="BW47" i="4"/>
  <c r="BO47" i="4"/>
  <c r="BG47" i="4"/>
  <c r="AY47" i="4"/>
  <c r="AQ47" i="4"/>
  <c r="AI47" i="4"/>
  <c r="AA47" i="4"/>
  <c r="S47" i="4"/>
  <c r="K47" i="4"/>
  <c r="BV47" i="4"/>
  <c r="BN47" i="4"/>
  <c r="BF47" i="4"/>
  <c r="AX47" i="4"/>
  <c r="AP47" i="4"/>
  <c r="AH47" i="4"/>
  <c r="Z47" i="4"/>
  <c r="R47" i="4"/>
  <c r="J47" i="4"/>
  <c r="BU47" i="4"/>
  <c r="BM47" i="4"/>
  <c r="BE47" i="4"/>
  <c r="AW47" i="4"/>
  <c r="AO47" i="4"/>
  <c r="AG47" i="4"/>
  <c r="Y47" i="4"/>
  <c r="Q47" i="4"/>
  <c r="I47" i="4"/>
  <c r="BT47" i="4"/>
  <c r="BL47" i="4"/>
  <c r="BD47" i="4"/>
  <c r="AV47" i="4"/>
  <c r="AN47" i="4"/>
  <c r="AF47" i="4"/>
  <c r="X47" i="4"/>
  <c r="P47" i="4"/>
  <c r="H47" i="4"/>
  <c r="BS47" i="4"/>
  <c r="BK47" i="4"/>
  <c r="BC47" i="4"/>
  <c r="AU47" i="4"/>
  <c r="AM47" i="4"/>
  <c r="AE47" i="4"/>
  <c r="W47" i="4"/>
  <c r="O47" i="4"/>
  <c r="G47" i="4"/>
  <c r="AT47" i="4"/>
  <c r="AL47" i="4"/>
  <c r="AD47" i="4"/>
  <c r="V47" i="4"/>
  <c r="N47" i="4"/>
  <c r="BR47" i="4"/>
  <c r="F47" i="4"/>
  <c r="BJ47" i="4"/>
  <c r="BB47" i="4"/>
  <c r="BQ60" i="4"/>
  <c r="BI60" i="4"/>
  <c r="BA60" i="4"/>
  <c r="AS60" i="4"/>
  <c r="AK60" i="4"/>
  <c r="AC60" i="4"/>
  <c r="U60" i="4"/>
  <c r="M60" i="4"/>
  <c r="BP60" i="4"/>
  <c r="BH60" i="4"/>
  <c r="AZ60" i="4"/>
  <c r="AR60" i="4"/>
  <c r="AJ60" i="4"/>
  <c r="AB60" i="4"/>
  <c r="T60" i="4"/>
  <c r="L60" i="4"/>
  <c r="BW60" i="4"/>
  <c r="BO60" i="4"/>
  <c r="BG60" i="4"/>
  <c r="AY60" i="4"/>
  <c r="AQ60" i="4"/>
  <c r="AI60" i="4"/>
  <c r="AA60" i="4"/>
  <c r="S60" i="4"/>
  <c r="K60" i="4"/>
  <c r="BV60" i="4"/>
  <c r="BN60" i="4"/>
  <c r="BF60" i="4"/>
  <c r="AX60" i="4"/>
  <c r="AP60" i="4"/>
  <c r="AH60" i="4"/>
  <c r="Z60" i="4"/>
  <c r="R60" i="4"/>
  <c r="J60" i="4"/>
  <c r="BT60" i="4"/>
  <c r="BL60" i="4"/>
  <c r="BD60" i="4"/>
  <c r="AV60" i="4"/>
  <c r="AN60" i="4"/>
  <c r="AF60" i="4"/>
  <c r="X60" i="4"/>
  <c r="P60" i="4"/>
  <c r="H60" i="4"/>
  <c r="BM60" i="4"/>
  <c r="AT60" i="4"/>
  <c r="W60" i="4"/>
  <c r="BK60" i="4"/>
  <c r="AO60" i="4"/>
  <c r="V60" i="4"/>
  <c r="BJ60" i="4"/>
  <c r="AM60" i="4"/>
  <c r="Q60" i="4"/>
  <c r="BE60" i="4"/>
  <c r="AL60" i="4"/>
  <c r="O60" i="4"/>
  <c r="BC60" i="4"/>
  <c r="AG60" i="4"/>
  <c r="N60" i="4"/>
  <c r="BU60" i="4"/>
  <c r="BB60" i="4"/>
  <c r="AE60" i="4"/>
  <c r="I60" i="4"/>
  <c r="BS60" i="4"/>
  <c r="AW60" i="4"/>
  <c r="AD60" i="4"/>
  <c r="G60" i="4"/>
  <c r="AU60" i="4"/>
  <c r="Y60" i="4"/>
  <c r="F60" i="4"/>
  <c r="BR60" i="4"/>
  <c r="BT59" i="4"/>
  <c r="BL59" i="4"/>
  <c r="BD59" i="4"/>
  <c r="AV59" i="4"/>
  <c r="AN59" i="4"/>
  <c r="AF59" i="4"/>
  <c r="X59" i="4"/>
  <c r="P59" i="4"/>
  <c r="H59" i="4"/>
  <c r="BS59" i="4"/>
  <c r="BK59" i="4"/>
  <c r="BC59" i="4"/>
  <c r="AU59" i="4"/>
  <c r="AM59" i="4"/>
  <c r="AE59" i="4"/>
  <c r="W59" i="4"/>
  <c r="O59" i="4"/>
  <c r="G59" i="4"/>
  <c r="BR59" i="4"/>
  <c r="BJ59" i="4"/>
  <c r="BB59" i="4"/>
  <c r="AT59" i="4"/>
  <c r="AL59" i="4"/>
  <c r="AD59" i="4"/>
  <c r="V59" i="4"/>
  <c r="N59" i="4"/>
  <c r="F59" i="4"/>
  <c r="BQ59" i="4"/>
  <c r="BI59" i="4"/>
  <c r="BA59" i="4"/>
  <c r="AS59" i="4"/>
  <c r="AK59" i="4"/>
  <c r="AC59" i="4"/>
  <c r="U59" i="4"/>
  <c r="M59" i="4"/>
  <c r="BH59" i="4"/>
  <c r="AR59" i="4"/>
  <c r="AB59" i="4"/>
  <c r="L59" i="4"/>
  <c r="BW59" i="4"/>
  <c r="BG59" i="4"/>
  <c r="AQ59" i="4"/>
  <c r="AA59" i="4"/>
  <c r="K59" i="4"/>
  <c r="BV59" i="4"/>
  <c r="BF59" i="4"/>
  <c r="AP59" i="4"/>
  <c r="Z59" i="4"/>
  <c r="J59" i="4"/>
  <c r="BU59" i="4"/>
  <c r="BE59" i="4"/>
  <c r="AO59" i="4"/>
  <c r="Y59" i="4"/>
  <c r="I59" i="4"/>
  <c r="BP59" i="4"/>
  <c r="AZ59" i="4"/>
  <c r="AJ59" i="4"/>
  <c r="T59" i="4"/>
  <c r="BO59" i="4"/>
  <c r="AY59" i="4"/>
  <c r="AI59" i="4"/>
  <c r="S59" i="4"/>
  <c r="BN59" i="4"/>
  <c r="AX59" i="4"/>
  <c r="AH59" i="4"/>
  <c r="R59" i="4"/>
  <c r="BM59" i="4"/>
  <c r="AW59" i="4"/>
  <c r="AG59" i="4"/>
  <c r="Q59" i="4"/>
  <c r="BU56" i="4"/>
  <c r="BM56" i="4"/>
  <c r="BE56" i="4"/>
  <c r="AW56" i="4"/>
  <c r="AO56" i="4"/>
  <c r="AG56" i="4"/>
  <c r="Y56" i="4"/>
  <c r="Q56" i="4"/>
  <c r="I56" i="4"/>
  <c r="BS56" i="4"/>
  <c r="BK56" i="4"/>
  <c r="BC56" i="4"/>
  <c r="AU56" i="4"/>
  <c r="AM56" i="4"/>
  <c r="AE56" i="4"/>
  <c r="W56" i="4"/>
  <c r="O56" i="4"/>
  <c r="G56" i="4"/>
  <c r="BR56" i="4"/>
  <c r="BJ56" i="4"/>
  <c r="BB56" i="4"/>
  <c r="AT56" i="4"/>
  <c r="AL56" i="4"/>
  <c r="AD56" i="4"/>
  <c r="V56" i="4"/>
  <c r="N56" i="4"/>
  <c r="F56" i="4"/>
  <c r="BP56" i="4"/>
  <c r="BH56" i="4"/>
  <c r="AZ56" i="4"/>
  <c r="AR56" i="4"/>
  <c r="AJ56" i="4"/>
  <c r="AB56" i="4"/>
  <c r="T56" i="4"/>
  <c r="L56" i="4"/>
  <c r="BW56" i="4"/>
  <c r="BO56" i="4"/>
  <c r="BG56" i="4"/>
  <c r="AY56" i="4"/>
  <c r="AQ56" i="4"/>
  <c r="AI56" i="4"/>
  <c r="AA56" i="4"/>
  <c r="S56" i="4"/>
  <c r="K56" i="4"/>
  <c r="BF56" i="4"/>
  <c r="AK56" i="4"/>
  <c r="P56" i="4"/>
  <c r="BD56" i="4"/>
  <c r="AH56" i="4"/>
  <c r="M56" i="4"/>
  <c r="BV56" i="4"/>
  <c r="BA56" i="4"/>
  <c r="AF56" i="4"/>
  <c r="J56" i="4"/>
  <c r="BT56" i="4"/>
  <c r="AX56" i="4"/>
  <c r="AC56" i="4"/>
  <c r="H56" i="4"/>
  <c r="BQ56" i="4"/>
  <c r="AV56" i="4"/>
  <c r="Z56" i="4"/>
  <c r="BN56" i="4"/>
  <c r="AS56" i="4"/>
  <c r="X56" i="4"/>
  <c r="BL56" i="4"/>
  <c r="AP56" i="4"/>
  <c r="U56" i="4"/>
  <c r="BI56" i="4"/>
  <c r="AN56" i="4"/>
  <c r="R56" i="4"/>
  <c r="BR44" i="4"/>
  <c r="BJ44" i="4"/>
  <c r="BB44" i="4"/>
  <c r="AT44" i="4"/>
  <c r="AL44" i="4"/>
  <c r="AD44" i="4"/>
  <c r="V44" i="4"/>
  <c r="N44" i="4"/>
  <c r="F44" i="4"/>
  <c r="BP44" i="4"/>
  <c r="BH44" i="4"/>
  <c r="AZ44" i="4"/>
  <c r="AR44" i="4"/>
  <c r="AJ44" i="4"/>
  <c r="AB44" i="4"/>
  <c r="T44" i="4"/>
  <c r="L44" i="4"/>
  <c r="BW44" i="4"/>
  <c r="BO44" i="4"/>
  <c r="BG44" i="4"/>
  <c r="AY44" i="4"/>
  <c r="AQ44" i="4"/>
  <c r="AI44" i="4"/>
  <c r="AA44" i="4"/>
  <c r="S44" i="4"/>
  <c r="K44" i="4"/>
  <c r="BU44" i="4"/>
  <c r="BM44" i="4"/>
  <c r="BE44" i="4"/>
  <c r="AW44" i="4"/>
  <c r="AO44" i="4"/>
  <c r="AG44" i="4"/>
  <c r="Y44" i="4"/>
  <c r="Q44" i="4"/>
  <c r="I44" i="4"/>
  <c r="BT44" i="4"/>
  <c r="BL44" i="4"/>
  <c r="BD44" i="4"/>
  <c r="AV44" i="4"/>
  <c r="AN44" i="4"/>
  <c r="AF44" i="4"/>
  <c r="X44" i="4"/>
  <c r="P44" i="4"/>
  <c r="H44" i="4"/>
  <c r="BS44" i="4"/>
  <c r="AX44" i="4"/>
  <c r="AC44" i="4"/>
  <c r="G44" i="4"/>
  <c r="BQ44" i="4"/>
  <c r="AU44" i="4"/>
  <c r="Z44" i="4"/>
  <c r="BN44" i="4"/>
  <c r="AS44" i="4"/>
  <c r="W44" i="4"/>
  <c r="BK44" i="4"/>
  <c r="AP44" i="4"/>
  <c r="U44" i="4"/>
  <c r="BI44" i="4"/>
  <c r="AM44" i="4"/>
  <c r="R44" i="4"/>
  <c r="BF44" i="4"/>
  <c r="AK44" i="4"/>
  <c r="O44" i="4"/>
  <c r="BC44" i="4"/>
  <c r="AH44" i="4"/>
  <c r="M44" i="4"/>
  <c r="AE44" i="4"/>
  <c r="J44" i="4"/>
  <c r="BV44" i="4"/>
  <c r="BA44" i="4"/>
  <c r="K68" i="3"/>
  <c r="K78" i="3"/>
  <c r="BQ73" i="4"/>
  <c r="BI73" i="4"/>
  <c r="BA73" i="4"/>
  <c r="AS73" i="4"/>
  <c r="AK73" i="4"/>
  <c r="AC73" i="4"/>
  <c r="U73" i="4"/>
  <c r="M73" i="4"/>
  <c r="BW73" i="4"/>
  <c r="BO73" i="4"/>
  <c r="BG73" i="4"/>
  <c r="AY73" i="4"/>
  <c r="AQ73" i="4"/>
  <c r="AI73" i="4"/>
  <c r="AA73" i="4"/>
  <c r="S73" i="4"/>
  <c r="K73" i="4"/>
  <c r="BV73" i="4"/>
  <c r="BN73" i="4"/>
  <c r="BF73" i="4"/>
  <c r="AX73" i="4"/>
  <c r="AP73" i="4"/>
  <c r="AH73" i="4"/>
  <c r="Z73" i="4"/>
  <c r="R73" i="4"/>
  <c r="J73" i="4"/>
  <c r="BU73" i="4"/>
  <c r="BM73" i="4"/>
  <c r="BE73" i="4"/>
  <c r="AW73" i="4"/>
  <c r="AO73" i="4"/>
  <c r="AG73" i="4"/>
  <c r="Y73" i="4"/>
  <c r="Q73" i="4"/>
  <c r="I73" i="4"/>
  <c r="BT73" i="4"/>
  <c r="BL73" i="4"/>
  <c r="BD73" i="4"/>
  <c r="AV73" i="4"/>
  <c r="AN73" i="4"/>
  <c r="AF73" i="4"/>
  <c r="X73" i="4"/>
  <c r="P73" i="4"/>
  <c r="H73" i="4"/>
  <c r="BS73" i="4"/>
  <c r="AZ73" i="4"/>
  <c r="AD73" i="4"/>
  <c r="G73" i="4"/>
  <c r="BR73" i="4"/>
  <c r="AU73" i="4"/>
  <c r="AB73" i="4"/>
  <c r="F73" i="4"/>
  <c r="BP73" i="4"/>
  <c r="AT73" i="4"/>
  <c r="W73" i="4"/>
  <c r="BK73" i="4"/>
  <c r="AR73" i="4"/>
  <c r="V73" i="4"/>
  <c r="BJ73" i="4"/>
  <c r="AM73" i="4"/>
  <c r="T73" i="4"/>
  <c r="BH73" i="4"/>
  <c r="AL73" i="4"/>
  <c r="O73" i="4"/>
  <c r="BC73" i="4"/>
  <c r="AJ73" i="4"/>
  <c r="N73" i="4"/>
  <c r="BB73" i="4"/>
  <c r="AE73" i="4"/>
  <c r="L73" i="4"/>
  <c r="BV42" i="4"/>
  <c r="BN42" i="4"/>
  <c r="BF42" i="4"/>
  <c r="AX42" i="4"/>
  <c r="AP42" i="4"/>
  <c r="AH42" i="4"/>
  <c r="Z42" i="4"/>
  <c r="R42" i="4"/>
  <c r="J42" i="4"/>
  <c r="BU42" i="4"/>
  <c r="BM42" i="4"/>
  <c r="BE42" i="4"/>
  <c r="AW42" i="4"/>
  <c r="AO42" i="4"/>
  <c r="AG42" i="4"/>
  <c r="Y42" i="4"/>
  <c r="Q42" i="4"/>
  <c r="I42" i="4"/>
  <c r="BR42" i="4"/>
  <c r="BJ42" i="4"/>
  <c r="BB42" i="4"/>
  <c r="AT42" i="4"/>
  <c r="AL42" i="4"/>
  <c r="AD42" i="4"/>
  <c r="V42" i="4"/>
  <c r="N42" i="4"/>
  <c r="F42" i="4"/>
  <c r="BP42" i="4"/>
  <c r="BC42" i="4"/>
  <c r="AQ42" i="4"/>
  <c r="AC42" i="4"/>
  <c r="P42" i="4"/>
  <c r="BO42" i="4"/>
  <c r="BA42" i="4"/>
  <c r="AN42" i="4"/>
  <c r="AB42" i="4"/>
  <c r="O42" i="4"/>
  <c r="BL42" i="4"/>
  <c r="AZ42" i="4"/>
  <c r="AM42" i="4"/>
  <c r="AA42" i="4"/>
  <c r="M42" i="4"/>
  <c r="BK42" i="4"/>
  <c r="AY42" i="4"/>
  <c r="AK42" i="4"/>
  <c r="X42" i="4"/>
  <c r="L42" i="4"/>
  <c r="BW42" i="4"/>
  <c r="BI42" i="4"/>
  <c r="AV42" i="4"/>
  <c r="AJ42" i="4"/>
  <c r="W42" i="4"/>
  <c r="K42" i="4"/>
  <c r="BT42" i="4"/>
  <c r="BH42" i="4"/>
  <c r="AU42" i="4"/>
  <c r="AI42" i="4"/>
  <c r="U42" i="4"/>
  <c r="H42" i="4"/>
  <c r="BS42" i="4"/>
  <c r="BG42" i="4"/>
  <c r="AS42" i="4"/>
  <c r="AF42" i="4"/>
  <c r="T42" i="4"/>
  <c r="G42" i="4"/>
  <c r="S42" i="4"/>
  <c r="BQ42" i="4"/>
  <c r="BD42" i="4"/>
  <c r="AR42" i="4"/>
  <c r="AE42" i="4"/>
  <c r="BR57" i="4"/>
  <c r="BJ57" i="4"/>
  <c r="BB57" i="4"/>
  <c r="AT57" i="4"/>
  <c r="AL57" i="4"/>
  <c r="AD57" i="4"/>
  <c r="V57" i="4"/>
  <c r="N57" i="4"/>
  <c r="F57" i="4"/>
  <c r="BP57" i="4"/>
  <c r="BH57" i="4"/>
  <c r="AZ57" i="4"/>
  <c r="AR57" i="4"/>
  <c r="AJ57" i="4"/>
  <c r="AB57" i="4"/>
  <c r="T57" i="4"/>
  <c r="L57" i="4"/>
  <c r="BW57" i="4"/>
  <c r="BO57" i="4"/>
  <c r="BG57" i="4"/>
  <c r="AY57" i="4"/>
  <c r="AQ57" i="4"/>
  <c r="AI57" i="4"/>
  <c r="AA57" i="4"/>
  <c r="S57" i="4"/>
  <c r="K57" i="4"/>
  <c r="BU57" i="4"/>
  <c r="BM57" i="4"/>
  <c r="BE57" i="4"/>
  <c r="AW57" i="4"/>
  <c r="AO57" i="4"/>
  <c r="AG57" i="4"/>
  <c r="Y57" i="4"/>
  <c r="Q57" i="4"/>
  <c r="I57" i="4"/>
  <c r="BT57" i="4"/>
  <c r="BL57" i="4"/>
  <c r="BD57" i="4"/>
  <c r="AV57" i="4"/>
  <c r="AN57" i="4"/>
  <c r="AF57" i="4"/>
  <c r="X57" i="4"/>
  <c r="P57" i="4"/>
  <c r="H57" i="4"/>
  <c r="BI57" i="4"/>
  <c r="AM57" i="4"/>
  <c r="R57" i="4"/>
  <c r="BF57" i="4"/>
  <c r="AK57" i="4"/>
  <c r="O57" i="4"/>
  <c r="BC57" i="4"/>
  <c r="AH57" i="4"/>
  <c r="M57" i="4"/>
  <c r="BV57" i="4"/>
  <c r="BA57" i="4"/>
  <c r="AE57" i="4"/>
  <c r="J57" i="4"/>
  <c r="BS57" i="4"/>
  <c r="AX57" i="4"/>
  <c r="AC57" i="4"/>
  <c r="G57" i="4"/>
  <c r="BQ57" i="4"/>
  <c r="AU57" i="4"/>
  <c r="Z57" i="4"/>
  <c r="BN57" i="4"/>
  <c r="AS57" i="4"/>
  <c r="W57" i="4"/>
  <c r="BK57" i="4"/>
  <c r="AP57" i="4"/>
  <c r="U57" i="4"/>
  <c r="BV10" i="4"/>
  <c r="BN10" i="4"/>
  <c r="BF10" i="4"/>
  <c r="AX10" i="4"/>
  <c r="AP10" i="4"/>
  <c r="AH10" i="4"/>
  <c r="Z10" i="4"/>
  <c r="R10" i="4"/>
  <c r="J10" i="4"/>
  <c r="AJ10" i="4"/>
  <c r="BU10" i="4"/>
  <c r="BM10" i="4"/>
  <c r="BE10" i="4"/>
  <c r="AW10" i="4"/>
  <c r="AO10" i="4"/>
  <c r="AG10" i="4"/>
  <c r="Y10" i="4"/>
  <c r="Q10" i="4"/>
  <c r="I10" i="4"/>
  <c r="AB10" i="4"/>
  <c r="BT10" i="4"/>
  <c r="BL10" i="4"/>
  <c r="BD10" i="4"/>
  <c r="AV10" i="4"/>
  <c r="AN10" i="4"/>
  <c r="AF10" i="4"/>
  <c r="X10" i="4"/>
  <c r="P10" i="4"/>
  <c r="H10" i="4"/>
  <c r="AZ10" i="4"/>
  <c r="BS10" i="4"/>
  <c r="BK10" i="4"/>
  <c r="BC10" i="4"/>
  <c r="AU10" i="4"/>
  <c r="AM10" i="4"/>
  <c r="AE10" i="4"/>
  <c r="W10" i="4"/>
  <c r="O10" i="4"/>
  <c r="G10" i="4"/>
  <c r="AR10" i="4"/>
  <c r="T10" i="4"/>
  <c r="BR10" i="4"/>
  <c r="BJ10" i="4"/>
  <c r="BB10" i="4"/>
  <c r="AT10" i="4"/>
  <c r="AL10" i="4"/>
  <c r="AD10" i="4"/>
  <c r="V10" i="4"/>
  <c r="N10" i="4"/>
  <c r="F10" i="4"/>
  <c r="BH10" i="4"/>
  <c r="BQ10" i="4"/>
  <c r="BI10" i="4"/>
  <c r="BA10" i="4"/>
  <c r="AS10" i="4"/>
  <c r="AK10" i="4"/>
  <c r="AC10" i="4"/>
  <c r="U10" i="4"/>
  <c r="M10" i="4"/>
  <c r="BP10" i="4"/>
  <c r="L10" i="4"/>
  <c r="AI10" i="4"/>
  <c r="S10" i="4"/>
  <c r="BW10" i="4"/>
  <c r="AQ10" i="4"/>
  <c r="K10" i="4"/>
  <c r="BO10" i="4"/>
  <c r="BG10" i="4"/>
  <c r="AY10" i="4"/>
  <c r="AA10" i="4"/>
  <c r="J21" i="3"/>
  <c r="BW40" i="4"/>
  <c r="BO40" i="4"/>
  <c r="BG40" i="4"/>
  <c r="AY40" i="4"/>
  <c r="AQ40" i="4"/>
  <c r="AI40" i="4"/>
  <c r="AA40" i="4"/>
  <c r="S40" i="4"/>
  <c r="K40" i="4"/>
  <c r="BV40" i="4"/>
  <c r="BN40" i="4"/>
  <c r="BF40" i="4"/>
  <c r="AX40" i="4"/>
  <c r="AP40" i="4"/>
  <c r="AH40" i="4"/>
  <c r="Z40" i="4"/>
  <c r="R40" i="4"/>
  <c r="J40" i="4"/>
  <c r="BU40" i="4"/>
  <c r="BM40" i="4"/>
  <c r="BE40" i="4"/>
  <c r="AW40" i="4"/>
  <c r="AO40" i="4"/>
  <c r="AG40" i="4"/>
  <c r="Y40" i="4"/>
  <c r="Q40" i="4"/>
  <c r="I40" i="4"/>
  <c r="BT40" i="4"/>
  <c r="BL40" i="4"/>
  <c r="BD40" i="4"/>
  <c r="AV40" i="4"/>
  <c r="AN40" i="4"/>
  <c r="AF40" i="4"/>
  <c r="X40" i="4"/>
  <c r="P40" i="4"/>
  <c r="H40" i="4"/>
  <c r="BS40" i="4"/>
  <c r="BK40" i="4"/>
  <c r="BC40" i="4"/>
  <c r="AU40" i="4"/>
  <c r="AM40" i="4"/>
  <c r="AE40" i="4"/>
  <c r="W40" i="4"/>
  <c r="O40" i="4"/>
  <c r="G40" i="4"/>
  <c r="BR40" i="4"/>
  <c r="BJ40" i="4"/>
  <c r="BB40" i="4"/>
  <c r="AT40" i="4"/>
  <c r="AL40" i="4"/>
  <c r="AD40" i="4"/>
  <c r="V40" i="4"/>
  <c r="N40" i="4"/>
  <c r="F40" i="4"/>
  <c r="BQ40" i="4"/>
  <c r="BI40" i="4"/>
  <c r="BA40" i="4"/>
  <c r="AS40" i="4"/>
  <c r="AK40" i="4"/>
  <c r="AC40" i="4"/>
  <c r="U40" i="4"/>
  <c r="M40" i="4"/>
  <c r="BH40" i="4"/>
  <c r="AZ40" i="4"/>
  <c r="AR40" i="4"/>
  <c r="AJ40" i="4"/>
  <c r="AK125" i="4" s="1"/>
  <c r="AB40" i="4"/>
  <c r="T40" i="4"/>
  <c r="L40" i="4"/>
  <c r="BP40" i="4"/>
  <c r="BW32" i="4"/>
  <c r="BO32" i="4"/>
  <c r="BG32" i="4"/>
  <c r="AY32" i="4"/>
  <c r="AQ32" i="4"/>
  <c r="AI32" i="4"/>
  <c r="AA32" i="4"/>
  <c r="S32" i="4"/>
  <c r="K32" i="4"/>
  <c r="BV32" i="4"/>
  <c r="BN32" i="4"/>
  <c r="BF32" i="4"/>
  <c r="AX32" i="4"/>
  <c r="AP32" i="4"/>
  <c r="AH32" i="4"/>
  <c r="Z32" i="4"/>
  <c r="R32" i="4"/>
  <c r="J32" i="4"/>
  <c r="BU32" i="4"/>
  <c r="BM32" i="4"/>
  <c r="BE32" i="4"/>
  <c r="AW32" i="4"/>
  <c r="AO32" i="4"/>
  <c r="AG32" i="4"/>
  <c r="Y32" i="4"/>
  <c r="Q32" i="4"/>
  <c r="I32" i="4"/>
  <c r="BT32" i="4"/>
  <c r="BL32" i="4"/>
  <c r="BD32" i="4"/>
  <c r="AV32" i="4"/>
  <c r="AN32" i="4"/>
  <c r="AF32" i="4"/>
  <c r="X32" i="4"/>
  <c r="P32" i="4"/>
  <c r="H32" i="4"/>
  <c r="BS32" i="4"/>
  <c r="BK32" i="4"/>
  <c r="BC32" i="4"/>
  <c r="AU32" i="4"/>
  <c r="AM32" i="4"/>
  <c r="AE32" i="4"/>
  <c r="W32" i="4"/>
  <c r="O32" i="4"/>
  <c r="G32" i="4"/>
  <c r="BR32" i="4"/>
  <c r="BJ32" i="4"/>
  <c r="BB32" i="4"/>
  <c r="AT32" i="4"/>
  <c r="AL32" i="4"/>
  <c r="AD32" i="4"/>
  <c r="V32" i="4"/>
  <c r="N32" i="4"/>
  <c r="F32" i="4"/>
  <c r="BQ32" i="4"/>
  <c r="BI32" i="4"/>
  <c r="BA32" i="4"/>
  <c r="AS32" i="4"/>
  <c r="AK32" i="4"/>
  <c r="AC32" i="4"/>
  <c r="U32" i="4"/>
  <c r="T32" i="4"/>
  <c r="BP32" i="4"/>
  <c r="M32" i="4"/>
  <c r="BH32" i="4"/>
  <c r="L32" i="4"/>
  <c r="AZ32" i="4"/>
  <c r="AR32" i="4"/>
  <c r="AJ32" i="4"/>
  <c r="AB32" i="4"/>
  <c r="K55" i="3"/>
  <c r="BW64" i="4"/>
  <c r="BO64" i="4"/>
  <c r="BG64" i="4"/>
  <c r="AY64" i="4"/>
  <c r="AQ64" i="4"/>
  <c r="AI64" i="4"/>
  <c r="AA64" i="4"/>
  <c r="S64" i="4"/>
  <c r="K64" i="4"/>
  <c r="BV64" i="4"/>
  <c r="BN64" i="4"/>
  <c r="BF64" i="4"/>
  <c r="AX64" i="4"/>
  <c r="AP64" i="4"/>
  <c r="AH64" i="4"/>
  <c r="Z64" i="4"/>
  <c r="R64" i="4"/>
  <c r="J64" i="4"/>
  <c r="BS64" i="4"/>
  <c r="BK64" i="4"/>
  <c r="BC64" i="4"/>
  <c r="AU64" i="4"/>
  <c r="AM64" i="4"/>
  <c r="AE64" i="4"/>
  <c r="W64" i="4"/>
  <c r="O64" i="4"/>
  <c r="G64" i="4"/>
  <c r="BR64" i="4"/>
  <c r="BE64" i="4"/>
  <c r="AS64" i="4"/>
  <c r="AF64" i="4"/>
  <c r="T64" i="4"/>
  <c r="F64" i="4"/>
  <c r="BQ64" i="4"/>
  <c r="BD64" i="4"/>
  <c r="AR64" i="4"/>
  <c r="AD64" i="4"/>
  <c r="Q64" i="4"/>
  <c r="BP64" i="4"/>
  <c r="BB64" i="4"/>
  <c r="AO64" i="4"/>
  <c r="AC64" i="4"/>
  <c r="P64" i="4"/>
  <c r="BM64" i="4"/>
  <c r="BA64" i="4"/>
  <c r="AN64" i="4"/>
  <c r="AB64" i="4"/>
  <c r="N64" i="4"/>
  <c r="BL64" i="4"/>
  <c r="AZ64" i="4"/>
  <c r="AL64" i="4"/>
  <c r="Y64" i="4"/>
  <c r="M64" i="4"/>
  <c r="BJ64" i="4"/>
  <c r="AW64" i="4"/>
  <c r="AK64" i="4"/>
  <c r="X64" i="4"/>
  <c r="L64" i="4"/>
  <c r="BU64" i="4"/>
  <c r="BI64" i="4"/>
  <c r="AV64" i="4"/>
  <c r="AJ64" i="4"/>
  <c r="V64" i="4"/>
  <c r="I64" i="4"/>
  <c r="AG64" i="4"/>
  <c r="U64" i="4"/>
  <c r="H64" i="4"/>
  <c r="BT64" i="4"/>
  <c r="BH64" i="4"/>
  <c r="BI149" i="4" s="1"/>
  <c r="AT64" i="4"/>
  <c r="BR49" i="4"/>
  <c r="BQ49" i="4"/>
  <c r="BU49" i="4"/>
  <c r="BK49" i="4"/>
  <c r="BC49" i="4"/>
  <c r="AU49" i="4"/>
  <c r="AM49" i="4"/>
  <c r="AE49" i="4"/>
  <c r="W49" i="4"/>
  <c r="O49" i="4"/>
  <c r="G49" i="4"/>
  <c r="BT49" i="4"/>
  <c r="BJ49" i="4"/>
  <c r="BB49" i="4"/>
  <c r="AT49" i="4"/>
  <c r="AL49" i="4"/>
  <c r="AD49" i="4"/>
  <c r="V49" i="4"/>
  <c r="N49" i="4"/>
  <c r="F49" i="4"/>
  <c r="BS49" i="4"/>
  <c r="BI49" i="4"/>
  <c r="BA49" i="4"/>
  <c r="AS49" i="4"/>
  <c r="AK49" i="4"/>
  <c r="AC49" i="4"/>
  <c r="U49" i="4"/>
  <c r="M49" i="4"/>
  <c r="BP49" i="4"/>
  <c r="BH49" i="4"/>
  <c r="AZ49" i="4"/>
  <c r="AR49" i="4"/>
  <c r="AJ49" i="4"/>
  <c r="AB49" i="4"/>
  <c r="T49" i="4"/>
  <c r="L49" i="4"/>
  <c r="BO49" i="4"/>
  <c r="BG49" i="4"/>
  <c r="AY49" i="4"/>
  <c r="AQ49" i="4"/>
  <c r="AI49" i="4"/>
  <c r="AA49" i="4"/>
  <c r="S49" i="4"/>
  <c r="K49" i="4"/>
  <c r="BN49" i="4"/>
  <c r="BF49" i="4"/>
  <c r="AX49" i="4"/>
  <c r="AP49" i="4"/>
  <c r="AH49" i="4"/>
  <c r="Z49" i="4"/>
  <c r="R49" i="4"/>
  <c r="J49" i="4"/>
  <c r="BW49" i="4"/>
  <c r="BM49" i="4"/>
  <c r="BE49" i="4"/>
  <c r="AW49" i="4"/>
  <c r="AO49" i="4"/>
  <c r="AG49" i="4"/>
  <c r="Y49" i="4"/>
  <c r="Q49" i="4"/>
  <c r="I49" i="4"/>
  <c r="BV49" i="4"/>
  <c r="H49" i="4"/>
  <c r="BL49" i="4"/>
  <c r="BD49" i="4"/>
  <c r="AV49" i="4"/>
  <c r="AN49" i="4"/>
  <c r="AF49" i="4"/>
  <c r="X49" i="4"/>
  <c r="P49" i="4"/>
  <c r="BV77" i="4"/>
  <c r="BN77" i="4"/>
  <c r="BF77" i="4"/>
  <c r="AX77" i="4"/>
  <c r="AP77" i="4"/>
  <c r="AH77" i="4"/>
  <c r="Z77" i="4"/>
  <c r="R77" i="4"/>
  <c r="J77" i="4"/>
  <c r="BU77" i="4"/>
  <c r="BM77" i="4"/>
  <c r="BE77" i="4"/>
  <c r="AW77" i="4"/>
  <c r="AO77" i="4"/>
  <c r="AG77" i="4"/>
  <c r="Y77" i="4"/>
  <c r="Q77" i="4"/>
  <c r="I77" i="4"/>
  <c r="BS77" i="4"/>
  <c r="BK77" i="4"/>
  <c r="BC77" i="4"/>
  <c r="AU77" i="4"/>
  <c r="AM77" i="4"/>
  <c r="AE77" i="4"/>
  <c r="W77" i="4"/>
  <c r="O77" i="4"/>
  <c r="G77" i="4"/>
  <c r="BJ77" i="4"/>
  <c r="AY77" i="4"/>
  <c r="AK77" i="4"/>
  <c r="X77" i="4"/>
  <c r="L77" i="4"/>
  <c r="BW77" i="4"/>
  <c r="BI77" i="4"/>
  <c r="AV77" i="4"/>
  <c r="AJ77" i="4"/>
  <c r="V77" i="4"/>
  <c r="K77" i="4"/>
  <c r="BR77" i="4"/>
  <c r="BG77" i="4"/>
  <c r="AS77" i="4"/>
  <c r="AF77" i="4"/>
  <c r="T77" i="4"/>
  <c r="F77" i="4"/>
  <c r="BO77" i="4"/>
  <c r="AR77" i="4"/>
  <c r="AA77" i="4"/>
  <c r="BH77" i="4"/>
  <c r="AN77" i="4"/>
  <c r="S77" i="4"/>
  <c r="BD77" i="4"/>
  <c r="AL77" i="4"/>
  <c r="P77" i="4"/>
  <c r="BB77" i="4"/>
  <c r="AI77" i="4"/>
  <c r="N77" i="4"/>
  <c r="BT77" i="4"/>
  <c r="BA77" i="4"/>
  <c r="AD77" i="4"/>
  <c r="M77" i="4"/>
  <c r="AB77" i="4"/>
  <c r="BQ77" i="4"/>
  <c r="U77" i="4"/>
  <c r="BP77" i="4"/>
  <c r="H77" i="4"/>
  <c r="BL77" i="4"/>
  <c r="AZ77" i="4"/>
  <c r="AT77" i="4"/>
  <c r="AQ77" i="4"/>
  <c r="AC77" i="4"/>
  <c r="BS75" i="4"/>
  <c r="BK75" i="4"/>
  <c r="BC75" i="4"/>
  <c r="AU75" i="4"/>
  <c r="AM75" i="4"/>
  <c r="BR75" i="4"/>
  <c r="BJ75" i="4"/>
  <c r="BB75" i="4"/>
  <c r="AT75" i="4"/>
  <c r="AL75" i="4"/>
  <c r="BP75" i="4"/>
  <c r="BH75" i="4"/>
  <c r="AZ75" i="4"/>
  <c r="AR75" i="4"/>
  <c r="BM75" i="4"/>
  <c r="AY75" i="4"/>
  <c r="AN75" i="4"/>
  <c r="AD75" i="4"/>
  <c r="V75" i="4"/>
  <c r="N75" i="4"/>
  <c r="F75" i="4"/>
  <c r="BV75" i="4"/>
  <c r="BI75" i="4"/>
  <c r="AW75" i="4"/>
  <c r="AJ75" i="4"/>
  <c r="AB75" i="4"/>
  <c r="T75" i="4"/>
  <c r="L75" i="4"/>
  <c r="BU75" i="4"/>
  <c r="BG75" i="4"/>
  <c r="AV75" i="4"/>
  <c r="AI75" i="4"/>
  <c r="AA75" i="4"/>
  <c r="S75" i="4"/>
  <c r="K75" i="4"/>
  <c r="BT75" i="4"/>
  <c r="BF75" i="4"/>
  <c r="AS75" i="4"/>
  <c r="AH75" i="4"/>
  <c r="Z75" i="4"/>
  <c r="R75" i="4"/>
  <c r="J75" i="4"/>
  <c r="BQ75" i="4"/>
  <c r="BE75" i="4"/>
  <c r="AQ75" i="4"/>
  <c r="AG75" i="4"/>
  <c r="Y75" i="4"/>
  <c r="Q75" i="4"/>
  <c r="I75" i="4"/>
  <c r="AX75" i="4"/>
  <c r="W75" i="4"/>
  <c r="AP75" i="4"/>
  <c r="U75" i="4"/>
  <c r="BW75" i="4"/>
  <c r="AO75" i="4"/>
  <c r="P75" i="4"/>
  <c r="BO75" i="4"/>
  <c r="AK75" i="4"/>
  <c r="O75" i="4"/>
  <c r="BN75" i="4"/>
  <c r="AF75" i="4"/>
  <c r="M75" i="4"/>
  <c r="BL75" i="4"/>
  <c r="AE75" i="4"/>
  <c r="H75" i="4"/>
  <c r="BD75" i="4"/>
  <c r="AC75" i="4"/>
  <c r="G75" i="4"/>
  <c r="BA75" i="4"/>
  <c r="X75" i="4"/>
  <c r="K74" i="3"/>
  <c r="J52" i="3"/>
  <c r="J64" i="3"/>
  <c r="K76" i="3"/>
  <c r="K67" i="3"/>
  <c r="K85" i="3"/>
  <c r="K86" i="3"/>
  <c r="J68" i="3"/>
  <c r="J58" i="3"/>
  <c r="J83" i="3"/>
  <c r="K50" i="3"/>
  <c r="J82" i="3"/>
  <c r="J76" i="3"/>
  <c r="J50" i="3"/>
  <c r="J59" i="3"/>
  <c r="J69" i="3"/>
  <c r="K64" i="3"/>
  <c r="K48" i="3"/>
  <c r="J77" i="3"/>
  <c r="K83" i="3"/>
  <c r="K60" i="3"/>
  <c r="J56" i="3"/>
  <c r="J71" i="3"/>
  <c r="K69" i="3"/>
  <c r="K56" i="3"/>
  <c r="J54" i="3"/>
  <c r="K54" i="3"/>
  <c r="K79" i="3"/>
  <c r="J60" i="3"/>
  <c r="J65" i="3"/>
  <c r="K71" i="3"/>
  <c r="K52" i="3"/>
  <c r="K57" i="3"/>
  <c r="J73" i="3"/>
  <c r="K35" i="3"/>
  <c r="K19" i="3"/>
  <c r="K32" i="3"/>
  <c r="J32" i="3"/>
  <c r="J46" i="3"/>
  <c r="J36" i="3"/>
  <c r="K29" i="3"/>
  <c r="K36" i="3"/>
  <c r="J41" i="3"/>
  <c r="J20" i="3"/>
  <c r="K23" i="3"/>
  <c r="K24" i="3"/>
  <c r="K39" i="3"/>
  <c r="J23" i="3"/>
  <c r="J17" i="3"/>
  <c r="K18" i="3"/>
  <c r="J42" i="3"/>
  <c r="K17" i="3"/>
  <c r="J28" i="3"/>
  <c r="K26" i="3"/>
  <c r="K34" i="3"/>
  <c r="K30" i="3"/>
  <c r="J26" i="3"/>
  <c r="K46" i="3"/>
  <c r="ET160" i="4" l="1"/>
  <c r="P104" i="4"/>
  <c r="T108" i="4"/>
  <c r="CF158" i="4"/>
  <c r="DP130" i="4"/>
  <c r="AE119" i="4"/>
  <c r="DL126" i="4"/>
  <c r="X112" i="4"/>
  <c r="BP156" i="4"/>
  <c r="DG121" i="4"/>
  <c r="CF121" i="4"/>
  <c r="Y113" i="4"/>
  <c r="DV136" i="4"/>
  <c r="BB142" i="4"/>
  <c r="CF145" i="4"/>
  <c r="EE145" i="4"/>
  <c r="CF137" i="4"/>
  <c r="CO103" i="4"/>
  <c r="CF100" i="4"/>
  <c r="CF118" i="4"/>
  <c r="DW137" i="4"/>
  <c r="CF138" i="4"/>
  <c r="DH122" i="4"/>
  <c r="EO155" i="4"/>
  <c r="AG121" i="4"/>
  <c r="EM153" i="4"/>
  <c r="CF149" i="4"/>
  <c r="AY139" i="4"/>
  <c r="M101" i="4"/>
  <c r="AP130" i="4"/>
  <c r="K99" i="4"/>
  <c r="CR106" i="4"/>
  <c r="BX164" i="4"/>
  <c r="CF151" i="4"/>
  <c r="EK151" i="4"/>
  <c r="BV162" i="4"/>
  <c r="AT134" i="4"/>
  <c r="CF142" i="4"/>
  <c r="EF146" i="4"/>
  <c r="CF140" i="4"/>
  <c r="BE145" i="4"/>
  <c r="AX138" i="4"/>
  <c r="AZ140" i="4"/>
  <c r="AU135" i="4"/>
  <c r="CF128" i="4"/>
  <c r="DK125" i="4"/>
  <c r="AM127" i="4"/>
  <c r="AR132" i="4"/>
  <c r="CN102" i="4"/>
  <c r="CM101" i="4"/>
  <c r="CI97" i="4"/>
  <c r="CF120" i="4"/>
  <c r="CF134" i="4"/>
  <c r="CF111" i="4"/>
  <c r="CF143" i="4"/>
  <c r="CF119" i="4"/>
  <c r="CH96" i="4"/>
  <c r="CF113" i="4"/>
  <c r="CF107" i="4"/>
  <c r="CF156" i="4"/>
  <c r="CF141" i="4"/>
  <c r="CF135" i="4"/>
  <c r="CF103" i="4"/>
  <c r="CF126" i="4"/>
  <c r="CF115" i="4"/>
  <c r="CF101" i="4"/>
  <c r="CZ114" i="4"/>
  <c r="DY139" i="4"/>
  <c r="EN154" i="4"/>
  <c r="BT160" i="4"/>
  <c r="CG95" i="4"/>
  <c r="CF125" i="4"/>
  <c r="DX138" i="4"/>
  <c r="CF122" i="4"/>
  <c r="DI123" i="4"/>
  <c r="BH148" i="4"/>
  <c r="CX112" i="4"/>
  <c r="BG147" i="4"/>
  <c r="AC117" i="4"/>
  <c r="EA141" i="4"/>
  <c r="DT134" i="4"/>
  <c r="DC117" i="4"/>
  <c r="EH148" i="4"/>
  <c r="CF104" i="4"/>
  <c r="BM153" i="4"/>
  <c r="CF157" i="4"/>
  <c r="CP104" i="4"/>
  <c r="BC143" i="4"/>
  <c r="BF146" i="4"/>
  <c r="Z114" i="4"/>
  <c r="CF139" i="4"/>
  <c r="AS133" i="4"/>
  <c r="EJ150" i="4"/>
  <c r="CF127" i="4"/>
  <c r="CF129" i="4"/>
  <c r="EL152" i="4"/>
  <c r="CF99" i="4"/>
  <c r="Q105" i="4"/>
  <c r="AN128" i="4"/>
  <c r="I97" i="4"/>
  <c r="AD145" i="4"/>
  <c r="DC145" i="4"/>
  <c r="DP160" i="4"/>
  <c r="AQ160" i="4"/>
  <c r="BI160" i="4"/>
  <c r="EH160" i="4"/>
  <c r="AR134" i="4"/>
  <c r="DQ134" i="4"/>
  <c r="DT149" i="4"/>
  <c r="AU149" i="4"/>
  <c r="DS149" i="4"/>
  <c r="AT149" i="4"/>
  <c r="CU117" i="4"/>
  <c r="V117" i="4"/>
  <c r="BO125" i="4"/>
  <c r="EN125" i="4"/>
  <c r="DM95" i="4"/>
  <c r="AN95" i="4"/>
  <c r="CJ142" i="4"/>
  <c r="K142" i="4"/>
  <c r="DF142" i="4"/>
  <c r="AG142" i="4"/>
  <c r="ER142" i="4"/>
  <c r="BS142" i="4"/>
  <c r="AD127" i="4"/>
  <c r="DC127" i="4"/>
  <c r="EP158" i="4"/>
  <c r="EL73" i="4" s="1"/>
  <c r="BQ158" i="4"/>
  <c r="EE158" i="4"/>
  <c r="BF158" i="4"/>
  <c r="AT129" i="4"/>
  <c r="DS129" i="4"/>
  <c r="AS129" i="4"/>
  <c r="DR129" i="4"/>
  <c r="CS141" i="4"/>
  <c r="T141" i="4"/>
  <c r="DH144" i="4"/>
  <c r="AI144" i="4"/>
  <c r="BU144" i="4"/>
  <c r="ET144" i="4"/>
  <c r="CT145" i="4"/>
  <c r="U145" i="4"/>
  <c r="CP135" i="4"/>
  <c r="Q135" i="4"/>
  <c r="DZ135" i="4"/>
  <c r="BA135" i="4"/>
  <c r="EM155" i="4"/>
  <c r="EI70" i="4" s="1"/>
  <c r="BN155" i="4"/>
  <c r="DP139" i="4"/>
  <c r="AQ139" i="4"/>
  <c r="CY139" i="4"/>
  <c r="Z139" i="4"/>
  <c r="Z104" i="4"/>
  <c r="CY104" i="4"/>
  <c r="BB104" i="4"/>
  <c r="EA104" i="4"/>
  <c r="CO107" i="4"/>
  <c r="P107" i="4"/>
  <c r="BH107" i="4"/>
  <c r="EG107" i="4"/>
  <c r="K100" i="4"/>
  <c r="CJ100" i="4"/>
  <c r="CF15" i="4" s="1"/>
  <c r="Y118" i="4"/>
  <c r="CX118" i="4"/>
  <c r="EH137" i="4"/>
  <c r="BI137" i="4"/>
  <c r="AT138" i="4"/>
  <c r="DS138" i="4"/>
  <c r="EH138" i="4"/>
  <c r="BI138" i="4"/>
  <c r="AC163" i="4"/>
  <c r="DB163" i="4"/>
  <c r="DZ154" i="4"/>
  <c r="BA154" i="4"/>
  <c r="CR103" i="4"/>
  <c r="S103" i="4"/>
  <c r="ER103" i="4"/>
  <c r="BS103" i="4"/>
  <c r="AE122" i="4"/>
  <c r="DD122" i="4"/>
  <c r="EG122" i="4"/>
  <c r="BH122" i="4"/>
  <c r="DF124" i="4"/>
  <c r="AG124" i="4"/>
  <c r="BX124" i="4"/>
  <c r="BY124" i="4"/>
  <c r="EW124" i="4"/>
  <c r="DY116" i="4"/>
  <c r="AZ116" i="4"/>
  <c r="AN116" i="4"/>
  <c r="DM116" i="4"/>
  <c r="DZ123" i="4"/>
  <c r="BA123" i="4"/>
  <c r="CY123" i="4"/>
  <c r="Z123" i="4"/>
  <c r="DY111" i="4"/>
  <c r="AZ111" i="4"/>
  <c r="K121" i="4"/>
  <c r="CJ121" i="4"/>
  <c r="CT133" i="4"/>
  <c r="U133" i="4"/>
  <c r="EL133" i="4"/>
  <c r="BM133" i="4"/>
  <c r="DS143" i="4"/>
  <c r="AT143" i="4"/>
  <c r="BW143" i="4"/>
  <c r="EV143" i="4"/>
  <c r="DE153" i="4"/>
  <c r="AF153" i="4"/>
  <c r="AA153" i="4"/>
  <c r="CZ153" i="4"/>
  <c r="EK157" i="4"/>
  <c r="BL157" i="4"/>
  <c r="DF157" i="4"/>
  <c r="AG157" i="4"/>
  <c r="DS131" i="4"/>
  <c r="AT131" i="4"/>
  <c r="AR148" i="4"/>
  <c r="DQ148" i="4"/>
  <c r="BR148" i="4"/>
  <c r="EQ148" i="4"/>
  <c r="DO112" i="4"/>
  <c r="AP112" i="4"/>
  <c r="CT112" i="4"/>
  <c r="U112" i="4"/>
  <c r="BT102" i="4"/>
  <c r="ES102" i="4"/>
  <c r="ER161" i="4"/>
  <c r="BS161" i="4"/>
  <c r="AU147" i="4"/>
  <c r="DT147" i="4"/>
  <c r="AC147" i="4"/>
  <c r="DB147" i="4"/>
  <c r="EU147" i="4"/>
  <c r="BV147" i="4"/>
  <c r="ET164" i="4"/>
  <c r="BU164" i="4"/>
  <c r="CR164" i="4"/>
  <c r="S164" i="4"/>
  <c r="CN146" i="4"/>
  <c r="O146" i="4"/>
  <c r="DV146" i="4"/>
  <c r="AW146" i="4"/>
  <c r="L105" i="4"/>
  <c r="CK105" i="4"/>
  <c r="EE105" i="4"/>
  <c r="BF105" i="4"/>
  <c r="AA96" i="4"/>
  <c r="CZ96" i="4"/>
  <c r="AB136" i="4"/>
  <c r="DA136" i="4"/>
  <c r="DM136" i="4"/>
  <c r="AN136" i="4"/>
  <c r="DA110" i="4"/>
  <c r="AB110" i="4"/>
  <c r="EC110" i="4"/>
  <c r="BD110" i="4"/>
  <c r="ED128" i="4"/>
  <c r="BE128" i="4"/>
  <c r="EB128" i="4"/>
  <c r="BC128" i="4"/>
  <c r="DC130" i="4"/>
  <c r="AD130" i="4"/>
  <c r="EU130" i="4"/>
  <c r="BV130" i="4"/>
  <c r="DO151" i="4"/>
  <c r="AP151" i="4"/>
  <c r="DN151" i="4"/>
  <c r="AO151" i="4"/>
  <c r="DE152" i="4"/>
  <c r="AF152" i="4"/>
  <c r="DD152" i="4"/>
  <c r="AE152" i="4"/>
  <c r="DS150" i="4"/>
  <c r="AT150" i="4"/>
  <c r="AW150" i="4"/>
  <c r="DV150" i="4"/>
  <c r="DM140" i="4"/>
  <c r="AN140" i="4"/>
  <c r="ER140" i="4"/>
  <c r="BS140" i="4"/>
  <c r="AC159" i="4"/>
  <c r="DB159" i="4"/>
  <c r="W159" i="4"/>
  <c r="CV159" i="4"/>
  <c r="CR113" i="4"/>
  <c r="S113" i="4"/>
  <c r="AT113" i="4"/>
  <c r="DS113" i="4"/>
  <c r="CN99" i="4"/>
  <c r="O99" i="4"/>
  <c r="AC99" i="4"/>
  <c r="DB99" i="4"/>
  <c r="BT126" i="4"/>
  <c r="ES126" i="4"/>
  <c r="DO98" i="4"/>
  <c r="AP98" i="4"/>
  <c r="O98" i="4"/>
  <c r="CN98" i="4"/>
  <c r="CN156" i="4"/>
  <c r="O156" i="4"/>
  <c r="EV156" i="4"/>
  <c r="BW156" i="4"/>
  <c r="AX108" i="4"/>
  <c r="DW108" i="4"/>
  <c r="CV108" i="4"/>
  <c r="W108" i="4"/>
  <c r="CP23" i="4" s="1"/>
  <c r="EH120" i="4"/>
  <c r="BI120" i="4"/>
  <c r="BE115" i="4"/>
  <c r="ED115" i="4"/>
  <c r="Q114" i="4"/>
  <c r="CP114" i="4"/>
  <c r="J114" i="4"/>
  <c r="CI114" i="4"/>
  <c r="BH114" i="4"/>
  <c r="EG114" i="4"/>
  <c r="EA114" i="4"/>
  <c r="BB114" i="4"/>
  <c r="Q101" i="4"/>
  <c r="CP101" i="4"/>
  <c r="BL101" i="4"/>
  <c r="EK101" i="4"/>
  <c r="CG106" i="4"/>
  <c r="H106" i="4"/>
  <c r="L160" i="4"/>
  <c r="CK160" i="4"/>
  <c r="I162" i="4"/>
  <c r="CH162" i="4"/>
  <c r="X162" i="4"/>
  <c r="CW162" i="4"/>
  <c r="EE134" i="4"/>
  <c r="BF134" i="4"/>
  <c r="BA134" i="4"/>
  <c r="DZ134" i="4"/>
  <c r="DV149" i="4"/>
  <c r="AW149" i="4"/>
  <c r="DD149" i="4"/>
  <c r="AE149" i="4"/>
  <c r="AS117" i="4"/>
  <c r="DR117" i="4"/>
  <c r="CH117" i="4"/>
  <c r="I117" i="4"/>
  <c r="AZ117" i="4"/>
  <c r="DY117" i="4"/>
  <c r="R125" i="4"/>
  <c r="CQ125" i="4"/>
  <c r="CK95" i="4"/>
  <c r="L95" i="4"/>
  <c r="R95" i="4"/>
  <c r="CQ95" i="4"/>
  <c r="CZ142" i="4"/>
  <c r="AA142" i="4"/>
  <c r="U142" i="4"/>
  <c r="CT142" i="4"/>
  <c r="CX127" i="4"/>
  <c r="Y127" i="4"/>
  <c r="AU127" i="4"/>
  <c r="DT127" i="4"/>
  <c r="I158" i="4"/>
  <c r="CB73" i="4" s="1"/>
  <c r="CH158" i="4"/>
  <c r="DS158" i="4"/>
  <c r="AT158" i="4"/>
  <c r="EM129" i="4"/>
  <c r="BN129" i="4"/>
  <c r="N141" i="4"/>
  <c r="CM141" i="4"/>
  <c r="O141" i="4"/>
  <c r="CN141" i="4"/>
  <c r="CZ144" i="4"/>
  <c r="AA144" i="4"/>
  <c r="BS145" i="4"/>
  <c r="ER145" i="4"/>
  <c r="DI145" i="4"/>
  <c r="AJ145" i="4"/>
  <c r="AY160" i="4"/>
  <c r="DX160" i="4"/>
  <c r="EP162" i="4"/>
  <c r="BQ162" i="4"/>
  <c r="AF162" i="4"/>
  <c r="DE162" i="4"/>
  <c r="BH134" i="4"/>
  <c r="EG134" i="4"/>
  <c r="EI149" i="4"/>
  <c r="EK149" i="4"/>
  <c r="BL149" i="4"/>
  <c r="DD117" i="4"/>
  <c r="AE117" i="4"/>
  <c r="CX32" i="4" s="1"/>
  <c r="EN117" i="4"/>
  <c r="BO117" i="4"/>
  <c r="DT125" i="4"/>
  <c r="AU125" i="4"/>
  <c r="CK125" i="4"/>
  <c r="L125" i="4"/>
  <c r="CT95" i="4"/>
  <c r="U95" i="4"/>
  <c r="EV95" i="4"/>
  <c r="BW95" i="4"/>
  <c r="AJ142" i="4"/>
  <c r="DI142" i="4"/>
  <c r="CK127" i="4"/>
  <c r="L127" i="4"/>
  <c r="DW127" i="4"/>
  <c r="AX127" i="4"/>
  <c r="CI158" i="4"/>
  <c r="J158" i="4"/>
  <c r="EA158" i="4"/>
  <c r="BB158" i="4"/>
  <c r="EU129" i="4"/>
  <c r="BV129" i="4"/>
  <c r="DB141" i="4"/>
  <c r="AC141" i="4"/>
  <c r="CL144" i="4"/>
  <c r="M144" i="4"/>
  <c r="X132" i="4"/>
  <c r="CW132" i="4"/>
  <c r="EG132" i="4"/>
  <c r="BH132" i="4"/>
  <c r="AG135" i="4"/>
  <c r="DF135" i="4"/>
  <c r="CK135" i="4"/>
  <c r="L135" i="4"/>
  <c r="CG155" i="4"/>
  <c r="H155" i="4"/>
  <c r="CA70" i="4" s="1"/>
  <c r="BI155" i="4"/>
  <c r="EH155" i="4"/>
  <c r="T139" i="4"/>
  <c r="CS139" i="4"/>
  <c r="AK139" i="4"/>
  <c r="DJ139" i="4"/>
  <c r="AA104" i="4"/>
  <c r="CZ104" i="4"/>
  <c r="EB104" i="4"/>
  <c r="BC104" i="4"/>
  <c r="CX107" i="4"/>
  <c r="Y107" i="4"/>
  <c r="BX107" i="4"/>
  <c r="BY107" i="4"/>
  <c r="EW107" i="4"/>
  <c r="DN100" i="4"/>
  <c r="AO100" i="4"/>
  <c r="BW118" i="4"/>
  <c r="EV118" i="4"/>
  <c r="DN118" i="4"/>
  <c r="AO118" i="4"/>
  <c r="J109" i="4"/>
  <c r="CI109" i="4"/>
  <c r="EA109" i="4"/>
  <c r="BB109" i="4"/>
  <c r="CL137" i="4"/>
  <c r="M137" i="4"/>
  <c r="EI138" i="4"/>
  <c r="BJ138" i="4"/>
  <c r="CL138" i="4"/>
  <c r="M138" i="4"/>
  <c r="AZ163" i="4"/>
  <c r="DY163" i="4"/>
  <c r="CS154" i="4"/>
  <c r="T154" i="4"/>
  <c r="EE154" i="4"/>
  <c r="BF154" i="4"/>
  <c r="DP103" i="4"/>
  <c r="AQ103" i="4"/>
  <c r="CV103" i="4"/>
  <c r="W103" i="4"/>
  <c r="ET103" i="4"/>
  <c r="BU103" i="4"/>
  <c r="DF122" i="4"/>
  <c r="DB37" i="4" s="1"/>
  <c r="AG122" i="4"/>
  <c r="EP122" i="4"/>
  <c r="BQ122" i="4"/>
  <c r="AI124" i="4"/>
  <c r="DH124" i="4"/>
  <c r="DD39" i="4" s="1"/>
  <c r="CN124" i="4"/>
  <c r="O124" i="4"/>
  <c r="EN116" i="4"/>
  <c r="BO116" i="4"/>
  <c r="EP116" i="4"/>
  <c r="BQ116" i="4"/>
  <c r="BD116" i="4"/>
  <c r="EC116" i="4"/>
  <c r="CK123" i="4"/>
  <c r="L123" i="4"/>
  <c r="BR123" i="4"/>
  <c r="EQ123" i="4"/>
  <c r="EC123" i="4"/>
  <c r="BD123" i="4"/>
  <c r="AG111" i="4"/>
  <c r="DF111" i="4"/>
  <c r="CJ111" i="4"/>
  <c r="K111" i="4"/>
  <c r="EV111" i="4"/>
  <c r="BW111" i="4"/>
  <c r="EO111" i="4"/>
  <c r="BP111" i="4"/>
  <c r="EI111" i="4"/>
  <c r="BJ111" i="4"/>
  <c r="EB111" i="4"/>
  <c r="BC111" i="4"/>
  <c r="DU111" i="4"/>
  <c r="AV111" i="4"/>
  <c r="AA121" i="4"/>
  <c r="CZ121" i="4"/>
  <c r="T121" i="4"/>
  <c r="CS121" i="4"/>
  <c r="M121" i="4"/>
  <c r="CL121" i="4"/>
  <c r="CM121" i="4"/>
  <c r="N121" i="4"/>
  <c r="BS121" i="4"/>
  <c r="ER121" i="4"/>
  <c r="EK121" i="4"/>
  <c r="BL121" i="4"/>
  <c r="EO133" i="4"/>
  <c r="BP133" i="4"/>
  <c r="DJ133" i="4"/>
  <c r="AK133" i="4"/>
  <c r="AL133" i="4"/>
  <c r="DK133" i="4"/>
  <c r="AE133" i="4"/>
  <c r="DD133" i="4"/>
  <c r="CW133" i="4"/>
  <c r="X133" i="4"/>
  <c r="CP133" i="4"/>
  <c r="Q133" i="4"/>
  <c r="J133" i="4"/>
  <c r="CI133" i="4"/>
  <c r="EU133" i="4"/>
  <c r="BV133" i="4"/>
  <c r="BO133" i="4"/>
  <c r="EN133" i="4"/>
  <c r="EH143" i="4"/>
  <c r="BI143" i="4"/>
  <c r="EI143" i="4"/>
  <c r="BJ143" i="4"/>
  <c r="DU143" i="4"/>
  <c r="AV143" i="4"/>
  <c r="DN143" i="4"/>
  <c r="AO143" i="4"/>
  <c r="AH143" i="4"/>
  <c r="DG143" i="4"/>
  <c r="AA143" i="4"/>
  <c r="CZ143" i="4"/>
  <c r="CS143" i="4"/>
  <c r="T143" i="4"/>
  <c r="R153" i="4"/>
  <c r="CQ153" i="4"/>
  <c r="DL153" i="4"/>
  <c r="AM153" i="4"/>
  <c r="DC153" i="4"/>
  <c r="AD153" i="4"/>
  <c r="BF153" i="4"/>
  <c r="EE153" i="4"/>
  <c r="J153" i="4"/>
  <c r="CI153" i="4"/>
  <c r="DK153" i="4"/>
  <c r="AL153" i="4"/>
  <c r="DV153" i="4"/>
  <c r="AW153" i="4"/>
  <c r="AQ153" i="4"/>
  <c r="DP153" i="4"/>
  <c r="DI153" i="4"/>
  <c r="AJ153" i="4"/>
  <c r="AY157" i="4"/>
  <c r="DX157" i="4"/>
  <c r="BF157" i="4"/>
  <c r="EE157" i="4"/>
  <c r="AQ157" i="4"/>
  <c r="DP157" i="4"/>
  <c r="ES157" i="4"/>
  <c r="BT157" i="4"/>
  <c r="EO157" i="4"/>
  <c r="EK72" i="4" s="1"/>
  <c r="BP157" i="4"/>
  <c r="EI157" i="4"/>
  <c r="BJ157" i="4"/>
  <c r="BW131" i="4"/>
  <c r="EV131" i="4"/>
  <c r="BP131" i="4"/>
  <c r="EO131" i="4"/>
  <c r="EH131" i="4"/>
  <c r="BI131" i="4"/>
  <c r="EI131" i="4"/>
  <c r="BJ131" i="4"/>
  <c r="BC131" i="4"/>
  <c r="EB131" i="4"/>
  <c r="ES131" i="4"/>
  <c r="BT131" i="4"/>
  <c r="EL131" i="4"/>
  <c r="BM131" i="4"/>
  <c r="AC148" i="4"/>
  <c r="DB148" i="4"/>
  <c r="BQ148" i="4"/>
  <c r="EP148" i="4"/>
  <c r="U148" i="4"/>
  <c r="CT148" i="4"/>
  <c r="DV148" i="4"/>
  <c r="AW148" i="4"/>
  <c r="BY148" i="4"/>
  <c r="BX148" i="4"/>
  <c r="EW148" i="4"/>
  <c r="CZ148" i="4"/>
  <c r="AA148" i="4"/>
  <c r="CU148" i="4"/>
  <c r="V148" i="4"/>
  <c r="CN148" i="4"/>
  <c r="O148" i="4"/>
  <c r="EB119" i="4"/>
  <c r="BC119" i="4"/>
  <c r="DT119" i="4"/>
  <c r="AU119" i="4"/>
  <c r="BL119" i="4"/>
  <c r="EK119" i="4"/>
  <c r="BE119" i="4"/>
  <c r="ED119" i="4"/>
  <c r="AX119" i="4"/>
  <c r="DW119" i="4"/>
  <c r="DP119" i="4"/>
  <c r="AQ119" i="4"/>
  <c r="DI119" i="4"/>
  <c r="AJ119" i="4"/>
  <c r="DB119" i="4"/>
  <c r="AC119" i="4"/>
  <c r="DC119" i="4"/>
  <c r="CY34" i="4" s="1"/>
  <c r="AD119" i="4"/>
  <c r="EI112" i="4"/>
  <c r="BJ112" i="4"/>
  <c r="O112" i="4"/>
  <c r="CN112" i="4"/>
  <c r="CG112" i="4"/>
  <c r="H112" i="4"/>
  <c r="CA27" i="4" s="1"/>
  <c r="BT112" i="4"/>
  <c r="ES112" i="4"/>
  <c r="EL112" i="4"/>
  <c r="BM112" i="4"/>
  <c r="EE112" i="4"/>
  <c r="BF112" i="4"/>
  <c r="AY112" i="4"/>
  <c r="DX112" i="4"/>
  <c r="DQ112" i="4"/>
  <c r="AR112" i="4"/>
  <c r="DJ112" i="4"/>
  <c r="AK112" i="4"/>
  <c r="BB102" i="4"/>
  <c r="EA102" i="4"/>
  <c r="AE102" i="4"/>
  <c r="DD102" i="4"/>
  <c r="X102" i="4"/>
  <c r="CW102" i="4"/>
  <c r="Q102" i="4"/>
  <c r="CP102" i="4"/>
  <c r="J102" i="4"/>
  <c r="CI102" i="4"/>
  <c r="EU102" i="4"/>
  <c r="BV102" i="4"/>
  <c r="BO102" i="4"/>
  <c r="EN102" i="4"/>
  <c r="BH102" i="4"/>
  <c r="EG102" i="4"/>
  <c r="BA102" i="4"/>
  <c r="DZ102" i="4"/>
  <c r="BE161" i="4"/>
  <c r="ED161" i="4"/>
  <c r="DK161" i="4"/>
  <c r="AL161" i="4"/>
  <c r="AY161" i="4"/>
  <c r="DX161" i="4"/>
  <c r="DC161" i="4"/>
  <c r="AD161" i="4"/>
  <c r="EQ161" i="4"/>
  <c r="BR161" i="4"/>
  <c r="R161" i="4"/>
  <c r="CQ161" i="4"/>
  <c r="CK161" i="4"/>
  <c r="L161" i="4"/>
  <c r="BX161" i="4"/>
  <c r="BY161" i="4"/>
  <c r="EW161" i="4"/>
  <c r="EP161" i="4"/>
  <c r="BQ161" i="4"/>
  <c r="W147" i="4"/>
  <c r="CV147" i="4"/>
  <c r="DX147" i="4"/>
  <c r="AY147" i="4"/>
  <c r="O147" i="4"/>
  <c r="CN147" i="4"/>
  <c r="BC147" i="4"/>
  <c r="EB147" i="4"/>
  <c r="T147" i="4"/>
  <c r="CS147" i="4"/>
  <c r="AL147" i="4"/>
  <c r="DK147" i="4"/>
  <c r="DF147" i="4"/>
  <c r="AG147" i="4"/>
  <c r="CY147" i="4"/>
  <c r="Z147" i="4"/>
  <c r="V164" i="4"/>
  <c r="CU164" i="4"/>
  <c r="X164" i="4"/>
  <c r="CW164" i="4"/>
  <c r="AD164" i="4"/>
  <c r="DC164" i="4"/>
  <c r="DF164" i="4"/>
  <c r="AG164" i="4"/>
  <c r="AH164" i="4"/>
  <c r="DG164" i="4"/>
  <c r="AI164" i="4"/>
  <c r="DH164" i="4"/>
  <c r="AB164" i="4"/>
  <c r="DA164" i="4"/>
  <c r="U164" i="4"/>
  <c r="CT164" i="4"/>
  <c r="AN164" i="4"/>
  <c r="DM164" i="4"/>
  <c r="DM146" i="4"/>
  <c r="AN146" i="4"/>
  <c r="DD146" i="4"/>
  <c r="AE146" i="4"/>
  <c r="CI146" i="4"/>
  <c r="J146" i="4"/>
  <c r="AL146" i="4"/>
  <c r="DK146" i="4"/>
  <c r="EK146" i="4"/>
  <c r="BL146" i="4"/>
  <c r="EL146" i="4"/>
  <c r="BM146" i="4"/>
  <c r="EG146" i="4"/>
  <c r="BH146" i="4"/>
  <c r="EA61" i="4" s="1"/>
  <c r="BA146" i="4"/>
  <c r="DZ146" i="4"/>
  <c r="CF105" i="4"/>
  <c r="X105" i="4"/>
  <c r="CW105" i="4"/>
  <c r="BJ105" i="4"/>
  <c r="EI105" i="4"/>
  <c r="K105" i="4"/>
  <c r="CJ105" i="4"/>
  <c r="AB105" i="4"/>
  <c r="DA105" i="4"/>
  <c r="EW105" i="4"/>
  <c r="BY105" i="4"/>
  <c r="BX105" i="4"/>
  <c r="AM105" i="4"/>
  <c r="DL105" i="4"/>
  <c r="BD105" i="4"/>
  <c r="EC105" i="4"/>
  <c r="EU105" i="4"/>
  <c r="BV105" i="4"/>
  <c r="H96" i="4"/>
  <c r="CA11" i="4" s="1"/>
  <c r="BE96" i="4"/>
  <c r="ED96" i="4"/>
  <c r="AX96" i="4"/>
  <c r="DW96" i="4"/>
  <c r="AQ96" i="4"/>
  <c r="DP96" i="4"/>
  <c r="DI96" i="4"/>
  <c r="AJ96" i="4"/>
  <c r="DB96" i="4"/>
  <c r="AC96" i="4"/>
  <c r="AD96" i="4"/>
  <c r="DC96" i="4"/>
  <c r="W96" i="4"/>
  <c r="CV96" i="4"/>
  <c r="AZ136" i="4"/>
  <c r="DY136" i="4"/>
  <c r="AR136" i="4"/>
  <c r="DQ136" i="4"/>
  <c r="BQ136" i="4"/>
  <c r="EP136" i="4"/>
  <c r="BR136" i="4"/>
  <c r="EQ136" i="4"/>
  <c r="EJ136" i="4"/>
  <c r="BK136" i="4"/>
  <c r="EC136" i="4"/>
  <c r="BD136" i="4"/>
  <c r="AP136" i="4"/>
  <c r="DO136" i="4"/>
  <c r="AI136" i="4"/>
  <c r="DH136" i="4"/>
  <c r="BH110" i="4"/>
  <c r="EG110" i="4"/>
  <c r="CT110" i="4"/>
  <c r="CP25" i="4" s="1"/>
  <c r="U110" i="4"/>
  <c r="V110" i="4"/>
  <c r="CN110" i="4"/>
  <c r="O110" i="4"/>
  <c r="H110" i="4"/>
  <c r="CA25" i="4" s="1"/>
  <c r="CG110" i="4"/>
  <c r="BT110" i="4"/>
  <c r="ES110" i="4"/>
  <c r="BM110" i="4"/>
  <c r="EL110" i="4"/>
  <c r="BF110" i="4"/>
  <c r="EE110" i="4"/>
  <c r="DX110" i="4"/>
  <c r="AY110" i="4"/>
  <c r="M128" i="4"/>
  <c r="CL128" i="4"/>
  <c r="DO128" i="4"/>
  <c r="AP128" i="4"/>
  <c r="DI43" i="4" s="1"/>
  <c r="S128" i="4"/>
  <c r="CR128" i="4"/>
  <c r="AT128" i="4"/>
  <c r="DS128" i="4"/>
  <c r="BV128" i="4"/>
  <c r="EU128" i="4"/>
  <c r="T128" i="4"/>
  <c r="CS128" i="4"/>
  <c r="ER128" i="4"/>
  <c r="BS128" i="4"/>
  <c r="BL128" i="4"/>
  <c r="EK128" i="4"/>
  <c r="CR130" i="4"/>
  <c r="S130" i="4"/>
  <c r="EN130" i="4"/>
  <c r="BO130" i="4"/>
  <c r="K130" i="4"/>
  <c r="CJ130" i="4"/>
  <c r="AT130" i="4"/>
  <c r="DS130" i="4"/>
  <c r="DL130" i="4"/>
  <c r="AM130" i="4"/>
  <c r="DF130" i="4"/>
  <c r="AG130" i="4"/>
  <c r="CY130" i="4"/>
  <c r="Z130" i="4"/>
  <c r="T130" i="4"/>
  <c r="CS130" i="4"/>
  <c r="DG151" i="4"/>
  <c r="AH151" i="4"/>
  <c r="EE151" i="4"/>
  <c r="BF151" i="4"/>
  <c r="EH151" i="4"/>
  <c r="BI151" i="4"/>
  <c r="CZ151" i="4"/>
  <c r="AA151" i="4"/>
  <c r="EP151" i="4"/>
  <c r="BQ151" i="4"/>
  <c r="BT151" i="4"/>
  <c r="ES151" i="4"/>
  <c r="ED151" i="4"/>
  <c r="BE151" i="4"/>
  <c r="EU152" i="4"/>
  <c r="BV152" i="4"/>
  <c r="DG152" i="4"/>
  <c r="AH152" i="4"/>
  <c r="CR152" i="4"/>
  <c r="S152" i="4"/>
  <c r="DM152" i="4"/>
  <c r="AN152" i="4"/>
  <c r="CP152" i="4"/>
  <c r="Q152" i="4"/>
  <c r="ED152" i="4"/>
  <c r="BE152" i="4"/>
  <c r="BH152" i="4"/>
  <c r="EG152" i="4"/>
  <c r="EA152" i="4"/>
  <c r="BB152" i="4"/>
  <c r="DT152" i="4"/>
  <c r="AU152" i="4"/>
  <c r="DA150" i="4"/>
  <c r="AB150" i="4"/>
  <c r="DQ150" i="4"/>
  <c r="AR150" i="4"/>
  <c r="ER150" i="4"/>
  <c r="BS150" i="4"/>
  <c r="W150" i="4"/>
  <c r="CV150" i="4"/>
  <c r="DX150" i="4"/>
  <c r="AY150" i="4"/>
  <c r="CL150" i="4"/>
  <c r="M150" i="4"/>
  <c r="H150" i="4"/>
  <c r="CA65" i="4" s="1"/>
  <c r="CG150" i="4"/>
  <c r="ES150" i="4"/>
  <c r="BT150" i="4"/>
  <c r="BM150" i="4"/>
  <c r="EL150" i="4"/>
  <c r="DU140" i="4"/>
  <c r="AV140" i="4"/>
  <c r="CX140" i="4"/>
  <c r="Y140" i="4"/>
  <c r="EL140" i="4"/>
  <c r="BM140" i="4"/>
  <c r="AR140" i="4"/>
  <c r="DQ140" i="4"/>
  <c r="CG140" i="4"/>
  <c r="H140" i="4"/>
  <c r="CA55" i="4" s="1"/>
  <c r="CV140" i="4"/>
  <c r="W140" i="4"/>
  <c r="R140" i="4"/>
  <c r="CQ140" i="4"/>
  <c r="K140" i="4"/>
  <c r="CJ140" i="4"/>
  <c r="BW140" i="4"/>
  <c r="EV140" i="4"/>
  <c r="DN159" i="4"/>
  <c r="AO159" i="4"/>
  <c r="BB159" i="4"/>
  <c r="EA159" i="4"/>
  <c r="DF159" i="4"/>
  <c r="AG159" i="4"/>
  <c r="BH159" i="4"/>
  <c r="EG159" i="4"/>
  <c r="DX159" i="4"/>
  <c r="AY159" i="4"/>
  <c r="AM159" i="4"/>
  <c r="DL159" i="4"/>
  <c r="DE159" i="4"/>
  <c r="AF159" i="4"/>
  <c r="CY159" i="4"/>
  <c r="Z159" i="4"/>
  <c r="AY113" i="4"/>
  <c r="DX113" i="4"/>
  <c r="AI113" i="4"/>
  <c r="DH113" i="4"/>
  <c r="BP113" i="4"/>
  <c r="EO113" i="4"/>
  <c r="BI113" i="4"/>
  <c r="EH113" i="4"/>
  <c r="BJ113" i="4"/>
  <c r="EI113" i="4"/>
  <c r="EB113" i="4"/>
  <c r="BC113" i="4"/>
  <c r="AV113" i="4"/>
  <c r="DU113" i="4"/>
  <c r="AO113" i="4"/>
  <c r="DN113" i="4"/>
  <c r="AH113" i="4"/>
  <c r="DG113" i="4"/>
  <c r="DL99" i="4"/>
  <c r="AM99" i="4"/>
  <c r="P99" i="4"/>
  <c r="CO99" i="4"/>
  <c r="CH99" i="4"/>
  <c r="I99" i="4"/>
  <c r="CB14" i="4" s="1"/>
  <c r="ET99" i="4"/>
  <c r="BU99" i="4"/>
  <c r="BN99" i="4"/>
  <c r="EM99" i="4"/>
  <c r="EF99" i="4"/>
  <c r="BG99" i="4"/>
  <c r="AZ99" i="4"/>
  <c r="DY99" i="4"/>
  <c r="AS99" i="4"/>
  <c r="DR99" i="4"/>
  <c r="DS99" i="4"/>
  <c r="AT99" i="4"/>
  <c r="CI126" i="4"/>
  <c r="J126" i="4"/>
  <c r="CZ126" i="4"/>
  <c r="AA126" i="4"/>
  <c r="DA126" i="4"/>
  <c r="AB126" i="4"/>
  <c r="DB126" i="4"/>
  <c r="AC126" i="4"/>
  <c r="DC126" i="4"/>
  <c r="AD126" i="4"/>
  <c r="W126" i="4"/>
  <c r="CV126" i="4"/>
  <c r="P126" i="4"/>
  <c r="CO126" i="4"/>
  <c r="CH126" i="4"/>
  <c r="I126" i="4"/>
  <c r="EV126" i="4"/>
  <c r="BW126" i="4"/>
  <c r="DB97" i="4"/>
  <c r="AC97" i="4"/>
  <c r="EA97" i="4"/>
  <c r="BB97" i="4"/>
  <c r="AU97" i="4"/>
  <c r="DT97" i="4"/>
  <c r="AN97" i="4"/>
  <c r="DM97" i="4"/>
  <c r="AG97" i="4"/>
  <c r="DF97" i="4"/>
  <c r="CY97" i="4"/>
  <c r="Z97" i="4"/>
  <c r="CR97" i="4"/>
  <c r="S97" i="4"/>
  <c r="L97" i="4"/>
  <c r="CK97" i="4"/>
  <c r="BX97" i="4"/>
  <c r="BY97" i="4"/>
  <c r="EW97" i="4"/>
  <c r="CQ98" i="4"/>
  <c r="R98" i="4"/>
  <c r="DX98" i="4"/>
  <c r="AY98" i="4"/>
  <c r="DQ98" i="4"/>
  <c r="AR98" i="4"/>
  <c r="AK98" i="4"/>
  <c r="DJ98" i="4"/>
  <c r="AL98" i="4"/>
  <c r="DK98" i="4"/>
  <c r="AE98" i="4"/>
  <c r="DD98" i="4"/>
  <c r="CW98" i="4"/>
  <c r="X98" i="4"/>
  <c r="CP98" i="4"/>
  <c r="Q98" i="4"/>
  <c r="DD156" i="4"/>
  <c r="AE156" i="4"/>
  <c r="DU156" i="4"/>
  <c r="AV156" i="4"/>
  <c r="DN156" i="4"/>
  <c r="AO156" i="4"/>
  <c r="DG156" i="4"/>
  <c r="AH156" i="4"/>
  <c r="AA156" i="4"/>
  <c r="CZ156" i="4"/>
  <c r="T156" i="4"/>
  <c r="CS156" i="4"/>
  <c r="M156" i="4"/>
  <c r="CL156" i="4"/>
  <c r="CM156" i="4"/>
  <c r="N156" i="4"/>
  <c r="BV108" i="4"/>
  <c r="EU108" i="4"/>
  <c r="BG108" i="4"/>
  <c r="EF108" i="4"/>
  <c r="DY108" i="4"/>
  <c r="AZ108" i="4"/>
  <c r="DR108" i="4"/>
  <c r="AS108" i="4"/>
  <c r="DS108" i="4"/>
  <c r="AT108" i="4"/>
  <c r="DL108" i="4"/>
  <c r="AM108" i="4"/>
  <c r="DE108" i="4"/>
  <c r="AF108" i="4"/>
  <c r="CX108" i="4"/>
  <c r="Y108" i="4"/>
  <c r="DQ120" i="4"/>
  <c r="AR120" i="4"/>
  <c r="CL120" i="4"/>
  <c r="M120" i="4"/>
  <c r="N120" i="4"/>
  <c r="CM120" i="4"/>
  <c r="BS120" i="4"/>
  <c r="ER120" i="4"/>
  <c r="BL120" i="4"/>
  <c r="EK120" i="4"/>
  <c r="ED120" i="4"/>
  <c r="BE120" i="4"/>
  <c r="DW120" i="4"/>
  <c r="AX120" i="4"/>
  <c r="DP120" i="4"/>
  <c r="AQ120" i="4"/>
  <c r="DB115" i="4"/>
  <c r="AC115" i="4"/>
  <c r="DC115" i="4"/>
  <c r="AD115" i="4"/>
  <c r="W115" i="4"/>
  <c r="CV115" i="4"/>
  <c r="P115" i="4"/>
  <c r="CO115" i="4"/>
  <c r="I115" i="4"/>
  <c r="CH115" i="4"/>
  <c r="BU115" i="4"/>
  <c r="ET115" i="4"/>
  <c r="BN115" i="4"/>
  <c r="EM115" i="4"/>
  <c r="EF115" i="4"/>
  <c r="BG115" i="4"/>
  <c r="DY115" i="4"/>
  <c r="AZ115" i="4"/>
  <c r="EC114" i="4"/>
  <c r="BD114" i="4"/>
  <c r="DF114" i="4"/>
  <c r="AG114" i="4"/>
  <c r="S114" i="4"/>
  <c r="CL29" i="4" s="1"/>
  <c r="CR114" i="4"/>
  <c r="CK114" i="4"/>
  <c r="L114" i="4"/>
  <c r="BX114" i="4"/>
  <c r="BY114" i="4"/>
  <c r="EW114" i="4"/>
  <c r="EP114" i="4"/>
  <c r="BQ114" i="4"/>
  <c r="EQ114" i="4"/>
  <c r="BR114" i="4"/>
  <c r="EJ114" i="4"/>
  <c r="BK114" i="4"/>
  <c r="Y101" i="4"/>
  <c r="CX101" i="4"/>
  <c r="AX101" i="4"/>
  <c r="DW101" i="4"/>
  <c r="DP101" i="4"/>
  <c r="AQ101" i="4"/>
  <c r="DI101" i="4"/>
  <c r="AJ101" i="4"/>
  <c r="DB101" i="4"/>
  <c r="AC101" i="4"/>
  <c r="DC101" i="4"/>
  <c r="AD101" i="4"/>
  <c r="CV101" i="4"/>
  <c r="W101" i="4"/>
  <c r="P101" i="4"/>
  <c r="CI16" i="4" s="1"/>
  <c r="CO101" i="4"/>
  <c r="N106" i="4"/>
  <c r="CM106" i="4"/>
  <c r="DM106" i="4"/>
  <c r="AN106" i="4"/>
  <c r="EN106" i="4"/>
  <c r="BO106" i="4"/>
  <c r="DX106" i="4"/>
  <c r="AY106" i="4"/>
  <c r="ED106" i="4"/>
  <c r="BE106" i="4"/>
  <c r="DW106" i="4"/>
  <c r="AX106" i="4"/>
  <c r="DQ106" i="4"/>
  <c r="AR106" i="4"/>
  <c r="AK106" i="4"/>
  <c r="DJ106" i="4"/>
  <c r="AE106" i="4"/>
  <c r="DD106" i="4"/>
  <c r="CG160" i="4"/>
  <c r="H160" i="4"/>
  <c r="CA75" i="4" s="1"/>
  <c r="BM162" i="4"/>
  <c r="EL162" i="4"/>
  <c r="BM134" i="4"/>
  <c r="EL134" i="4"/>
  <c r="AO149" i="4"/>
  <c r="DN149" i="4"/>
  <c r="ES117" i="4"/>
  <c r="BT117" i="4"/>
  <c r="J125" i="4"/>
  <c r="CI125" i="4"/>
  <c r="J95" i="4"/>
  <c r="CI95" i="4"/>
  <c r="CE10" i="4" s="1"/>
  <c r="CY142" i="4"/>
  <c r="Z142" i="4"/>
  <c r="DF127" i="4"/>
  <c r="AG127" i="4"/>
  <c r="DG127" i="4"/>
  <c r="AH127" i="4"/>
  <c r="BM158" i="4"/>
  <c r="EL158" i="4"/>
  <c r="EL129" i="4"/>
  <c r="BM129" i="4"/>
  <c r="V141" i="4"/>
  <c r="CU141" i="4"/>
  <c r="BS141" i="4"/>
  <c r="ER141" i="4"/>
  <c r="DC144" i="4"/>
  <c r="AD144" i="4"/>
  <c r="DN145" i="4"/>
  <c r="AO145" i="4"/>
  <c r="BF132" i="4"/>
  <c r="EE132" i="4"/>
  <c r="J135" i="4"/>
  <c r="CI135" i="4"/>
  <c r="DR155" i="4"/>
  <c r="AS155" i="4"/>
  <c r="DN104" i="4"/>
  <c r="AO104" i="4"/>
  <c r="DC107" i="4"/>
  <c r="AD107" i="4"/>
  <c r="AF100" i="4"/>
  <c r="DE100" i="4"/>
  <c r="DE118" i="4"/>
  <c r="AF118" i="4"/>
  <c r="CY33" i="4" s="1"/>
  <c r="DK109" i="4"/>
  <c r="AL109" i="4"/>
  <c r="AF138" i="4"/>
  <c r="DE138" i="4"/>
  <c r="W163" i="4"/>
  <c r="CV163" i="4"/>
  <c r="T103" i="4"/>
  <c r="CS103" i="4"/>
  <c r="CI122" i="4"/>
  <c r="J122" i="4"/>
  <c r="EJ124" i="4"/>
  <c r="BK124" i="4"/>
  <c r="EG123" i="4"/>
  <c r="BH123" i="4"/>
  <c r="DS111" i="4"/>
  <c r="AT111" i="4"/>
  <c r="EB121" i="4"/>
  <c r="BC121" i="4"/>
  <c r="CX143" i="4"/>
  <c r="CT58" i="4" s="1"/>
  <c r="Y143" i="4"/>
  <c r="DS157" i="4"/>
  <c r="AT157" i="4"/>
  <c r="DV112" i="4"/>
  <c r="AW112" i="4"/>
  <c r="AY102" i="4"/>
  <c r="DX102" i="4"/>
  <c r="DZ161" i="4"/>
  <c r="BA161" i="4"/>
  <c r="CI147" i="4"/>
  <c r="J147" i="4"/>
  <c r="BQ164" i="4"/>
  <c r="EP164" i="4"/>
  <c r="H105" i="4"/>
  <c r="CA20" i="4" s="1"/>
  <c r="CG105" i="4"/>
  <c r="N96" i="4"/>
  <c r="CM96" i="4"/>
  <c r="EP110" i="4"/>
  <c r="BQ110" i="4"/>
  <c r="EV128" i="4"/>
  <c r="BW128" i="4"/>
  <c r="EO130" i="4"/>
  <c r="BP130" i="4"/>
  <c r="BA152" i="4"/>
  <c r="DZ152" i="4"/>
  <c r="EH150" i="4"/>
  <c r="ED65" i="4" s="1"/>
  <c r="BI150" i="4"/>
  <c r="BG140" i="4"/>
  <c r="EF140" i="4"/>
  <c r="EU159" i="4"/>
  <c r="BV159" i="4"/>
  <c r="DD99" i="4"/>
  <c r="AE99" i="4"/>
  <c r="CM126" i="4"/>
  <c r="CI41" i="4" s="1"/>
  <c r="N126" i="4"/>
  <c r="BH97" i="4"/>
  <c r="EG97" i="4"/>
  <c r="CQ156" i="4"/>
  <c r="R156" i="4"/>
  <c r="CS120" i="4"/>
  <c r="T120" i="4"/>
  <c r="DP115" i="4"/>
  <c r="AQ115" i="4"/>
  <c r="DN106" i="4"/>
  <c r="AO106" i="4"/>
  <c r="CW160" i="4"/>
  <c r="X160" i="4"/>
  <c r="AT162" i="4"/>
  <c r="DS162" i="4"/>
  <c r="DX134" i="4"/>
  <c r="AY134" i="4"/>
  <c r="BF149" i="4"/>
  <c r="EE149" i="4"/>
  <c r="EF117" i="4"/>
  <c r="BG117" i="4"/>
  <c r="ER95" i="4"/>
  <c r="BS95" i="4"/>
  <c r="DE127" i="4"/>
  <c r="AF127" i="4"/>
  <c r="BC158" i="4"/>
  <c r="EB158" i="4"/>
  <c r="BA129" i="4"/>
  <c r="DZ129" i="4"/>
  <c r="AM145" i="4"/>
  <c r="DL145" i="4"/>
  <c r="DL160" i="4"/>
  <c r="AM160" i="4"/>
  <c r="BN134" i="4"/>
  <c r="EM134" i="4"/>
  <c r="DR149" i="4"/>
  <c r="AS149" i="4"/>
  <c r="CI117" i="4"/>
  <c r="J117" i="4"/>
  <c r="EW125" i="4"/>
  <c r="BX125" i="4"/>
  <c r="BY125" i="4"/>
  <c r="DV142" i="4"/>
  <c r="AW142" i="4"/>
  <c r="BC127" i="4"/>
  <c r="EB127" i="4"/>
  <c r="DE129" i="4"/>
  <c r="AF129" i="4"/>
  <c r="DH141" i="4"/>
  <c r="AI141" i="4"/>
  <c r="DL144" i="4"/>
  <c r="AM144" i="4"/>
  <c r="AL145" i="4"/>
  <c r="DK145" i="4"/>
  <c r="BO155" i="4"/>
  <c r="AP104" i="4"/>
  <c r="DO104" i="4"/>
  <c r="DL107" i="4"/>
  <c r="AM107" i="4"/>
  <c r="AV100" i="4"/>
  <c r="DU100" i="4"/>
  <c r="EB118" i="4"/>
  <c r="BC118" i="4"/>
  <c r="BM137" i="4"/>
  <c r="EL137" i="4"/>
  <c r="AO138" i="4"/>
  <c r="DN138" i="4"/>
  <c r="AM163" i="4"/>
  <c r="DL163" i="4"/>
  <c r="AJ103" i="4"/>
  <c r="DI103" i="4"/>
  <c r="CR122" i="4"/>
  <c r="S122" i="4"/>
  <c r="DV116" i="4"/>
  <c r="AW116" i="4"/>
  <c r="EB157" i="4"/>
  <c r="BC157" i="4"/>
  <c r="CH160" i="4"/>
  <c r="I160" i="4"/>
  <c r="BP160" i="4"/>
  <c r="EO160" i="4"/>
  <c r="CI160" i="4"/>
  <c r="J160" i="4"/>
  <c r="S160" i="4"/>
  <c r="CR160" i="4"/>
  <c r="AB160" i="4"/>
  <c r="DA160" i="4"/>
  <c r="AK160" i="4"/>
  <c r="DJ160" i="4"/>
  <c r="DF75" i="4" s="1"/>
  <c r="DN160" i="4"/>
  <c r="AO160" i="4"/>
  <c r="DT160" i="4"/>
  <c r="AU160" i="4"/>
  <c r="V162" i="4"/>
  <c r="CU162" i="4"/>
  <c r="DI162" i="4"/>
  <c r="AJ162" i="4"/>
  <c r="DA162" i="4"/>
  <c r="AB162" i="4"/>
  <c r="BS162" i="4"/>
  <c r="ER162" i="4"/>
  <c r="Y162" i="4"/>
  <c r="CX162" i="4"/>
  <c r="AN162" i="4"/>
  <c r="DM162" i="4"/>
  <c r="DG162" i="4"/>
  <c r="AH162" i="4"/>
  <c r="CZ162" i="4"/>
  <c r="AA162" i="4"/>
  <c r="CX134" i="4"/>
  <c r="Y134" i="4"/>
  <c r="CI134" i="4"/>
  <c r="J134" i="4"/>
  <c r="BY134" i="4"/>
  <c r="EW134" i="4"/>
  <c r="BX134" i="4"/>
  <c r="EN134" i="4"/>
  <c r="BO134" i="4"/>
  <c r="EO134" i="4"/>
  <c r="BP134" i="4"/>
  <c r="BQ134" i="4"/>
  <c r="EP134" i="4"/>
  <c r="ES134" i="4"/>
  <c r="BT134" i="4"/>
  <c r="EJ134" i="4"/>
  <c r="BK134" i="4"/>
  <c r="EC134" i="4"/>
  <c r="BD134" i="4"/>
  <c r="I149" i="4"/>
  <c r="CH149" i="4"/>
  <c r="BV149" i="4"/>
  <c r="EU149" i="4"/>
  <c r="DL149" i="4"/>
  <c r="AM149" i="4"/>
  <c r="CP149" i="4"/>
  <c r="Q149" i="4"/>
  <c r="ED149" i="4"/>
  <c r="BE149" i="4"/>
  <c r="CG149" i="4"/>
  <c r="H149" i="4"/>
  <c r="CA64" i="4" s="1"/>
  <c r="ES149" i="4"/>
  <c r="BT149" i="4"/>
  <c r="BO149" i="4"/>
  <c r="EN149" i="4"/>
  <c r="EG149" i="4"/>
  <c r="EC64" i="4" s="1"/>
  <c r="BH149" i="4"/>
  <c r="M117" i="4"/>
  <c r="CL117" i="4"/>
  <c r="AT117" i="4"/>
  <c r="DS117" i="4"/>
  <c r="DL117" i="4"/>
  <c r="AM117" i="4"/>
  <c r="DE117" i="4"/>
  <c r="AF117" i="4"/>
  <c r="CX117" i="4"/>
  <c r="Y117" i="4"/>
  <c r="CQ117" i="4"/>
  <c r="R117" i="4"/>
  <c r="CJ117" i="4"/>
  <c r="K117" i="4"/>
  <c r="EV117" i="4"/>
  <c r="BW117" i="4"/>
  <c r="BP117" i="4"/>
  <c r="EO117" i="4"/>
  <c r="DZ125" i="4"/>
  <c r="BA125" i="4"/>
  <c r="EI125" i="4"/>
  <c r="BJ125" i="4"/>
  <c r="EB125" i="4"/>
  <c r="BC125" i="4"/>
  <c r="AV125" i="4"/>
  <c r="DU125" i="4"/>
  <c r="DN125" i="4"/>
  <c r="AO125" i="4"/>
  <c r="AH125" i="4"/>
  <c r="DG125" i="4"/>
  <c r="CZ125" i="4"/>
  <c r="AA125" i="4"/>
  <c r="CS125" i="4"/>
  <c r="T125" i="4"/>
  <c r="EW95" i="4"/>
  <c r="BX95" i="4"/>
  <c r="BY95" i="4"/>
  <c r="DK95" i="4"/>
  <c r="AL95" i="4"/>
  <c r="CV95" i="4"/>
  <c r="W95" i="4"/>
  <c r="DR95" i="4"/>
  <c r="AS95" i="4"/>
  <c r="EK95" i="4"/>
  <c r="BL95" i="4"/>
  <c r="AW95" i="4"/>
  <c r="DV95" i="4"/>
  <c r="AH95" i="4"/>
  <c r="DG95" i="4"/>
  <c r="CR95" i="4"/>
  <c r="S95" i="4"/>
  <c r="CU142" i="4"/>
  <c r="V142" i="4"/>
  <c r="BR142" i="4"/>
  <c r="EQ142" i="4"/>
  <c r="EV142" i="4"/>
  <c r="BW142" i="4"/>
  <c r="DM142" i="4"/>
  <c r="AN142" i="4"/>
  <c r="ED142" i="4"/>
  <c r="BE142" i="4"/>
  <c r="DW142" i="4"/>
  <c r="AX142" i="4"/>
  <c r="AR142" i="4"/>
  <c r="DQ142" i="4"/>
  <c r="AK142" i="4"/>
  <c r="DJ142" i="4"/>
  <c r="DD142" i="4"/>
  <c r="AE142" i="4"/>
  <c r="ED127" i="4"/>
  <c r="BE127" i="4"/>
  <c r="ES127" i="4"/>
  <c r="BT127" i="4"/>
  <c r="CW127" i="4"/>
  <c r="X127" i="4"/>
  <c r="DY127" i="4"/>
  <c r="AZ127" i="4"/>
  <c r="AC127" i="4"/>
  <c r="DB127" i="4"/>
  <c r="EP127" i="4"/>
  <c r="BQ127" i="4"/>
  <c r="BK127" i="4"/>
  <c r="EJ127" i="4"/>
  <c r="EE127" i="4"/>
  <c r="BF127" i="4"/>
  <c r="DX127" i="4"/>
  <c r="AY127" i="4"/>
  <c r="DJ158" i="4"/>
  <c r="AK158" i="4"/>
  <c r="CV158" i="4"/>
  <c r="W158" i="4"/>
  <c r="AV158" i="4"/>
  <c r="DU158" i="4"/>
  <c r="Y158" i="4"/>
  <c r="CX158" i="4"/>
  <c r="CQ158" i="4"/>
  <c r="R158" i="4"/>
  <c r="CJ158" i="4"/>
  <c r="K158" i="4"/>
  <c r="EV158" i="4"/>
  <c r="BW158" i="4"/>
  <c r="EO158" i="4"/>
  <c r="BP158" i="4"/>
  <c r="EI158" i="4"/>
  <c r="BJ158" i="4"/>
  <c r="N129" i="4"/>
  <c r="CM129" i="4"/>
  <c r="EI129" i="4"/>
  <c r="BJ129" i="4"/>
  <c r="AV129" i="4"/>
  <c r="DU129" i="4"/>
  <c r="CX129" i="4"/>
  <c r="Y129" i="4"/>
  <c r="R129" i="4"/>
  <c r="CQ129" i="4"/>
  <c r="L129" i="4"/>
  <c r="CK129" i="4"/>
  <c r="EW129" i="4"/>
  <c r="BY129" i="4"/>
  <c r="BX129" i="4"/>
  <c r="EP129" i="4"/>
  <c r="BQ129" i="4"/>
  <c r="BK129" i="4"/>
  <c r="EJ129" i="4"/>
  <c r="CX141" i="4"/>
  <c r="Y141" i="4"/>
  <c r="DX141" i="4"/>
  <c r="AY141" i="4"/>
  <c r="ED141" i="4"/>
  <c r="BE141" i="4"/>
  <c r="DQ141" i="4"/>
  <c r="AR141" i="4"/>
  <c r="DJ141" i="4"/>
  <c r="AK141" i="4"/>
  <c r="AE141" i="4"/>
  <c r="DD141" i="4"/>
  <c r="CW141" i="4"/>
  <c r="X141" i="4"/>
  <c r="CQ141" i="4"/>
  <c r="R141" i="4"/>
  <c r="CQ144" i="4"/>
  <c r="R144" i="4"/>
  <c r="CS144" i="4"/>
  <c r="T144" i="4"/>
  <c r="CI144" i="4"/>
  <c r="J144" i="4"/>
  <c r="EF144" i="4"/>
  <c r="BG144" i="4"/>
  <c r="DB144" i="4"/>
  <c r="AC144" i="4"/>
  <c r="EA144" i="4"/>
  <c r="BB144" i="4"/>
  <c r="DT144" i="4"/>
  <c r="AU144" i="4"/>
  <c r="AN144" i="4"/>
  <c r="DM144" i="4"/>
  <c r="AG144" i="4"/>
  <c r="DF144" i="4"/>
  <c r="CY145" i="4"/>
  <c r="Z145" i="4"/>
  <c r="BC145" i="4"/>
  <c r="EB145" i="4"/>
  <c r="CQ145" i="4"/>
  <c r="R145" i="4"/>
  <c r="EM145" i="4"/>
  <c r="BN145" i="4"/>
  <c r="EL145" i="4"/>
  <c r="BM145" i="4"/>
  <c r="EF145" i="4"/>
  <c r="BG145" i="4"/>
  <c r="DZ60" i="4" s="1"/>
  <c r="DY145" i="4"/>
  <c r="AZ145" i="4"/>
  <c r="DR145" i="4"/>
  <c r="AS145" i="4"/>
  <c r="CN160" i="4"/>
  <c r="O160" i="4"/>
  <c r="AG162" i="4"/>
  <c r="DF162" i="4"/>
  <c r="EN162" i="4"/>
  <c r="BO162" i="4"/>
  <c r="AS134" i="4"/>
  <c r="DR134" i="4"/>
  <c r="DN49" i="4" s="1"/>
  <c r="R149" i="4"/>
  <c r="CQ149" i="4"/>
  <c r="AK117" i="4"/>
  <c r="DJ117" i="4"/>
  <c r="EE117" i="4"/>
  <c r="BF117" i="4"/>
  <c r="DD125" i="4"/>
  <c r="AE125" i="4"/>
  <c r="CM95" i="4"/>
  <c r="N95" i="4"/>
  <c r="EF95" i="4"/>
  <c r="BG95" i="4"/>
  <c r="T142" i="4"/>
  <c r="CS142" i="4"/>
  <c r="M127" i="4"/>
  <c r="CL127" i="4"/>
  <c r="AF158" i="4"/>
  <c r="DE158" i="4"/>
  <c r="DK158" i="4"/>
  <c r="AL158" i="4"/>
  <c r="EE129" i="4"/>
  <c r="BF129" i="4"/>
  <c r="EQ141" i="4"/>
  <c r="BR141" i="4"/>
  <c r="EE141" i="4"/>
  <c r="BF141" i="4"/>
  <c r="P144" i="4"/>
  <c r="CO144" i="4"/>
  <c r="DH145" i="4"/>
  <c r="AI145" i="4"/>
  <c r="BT132" i="4"/>
  <c r="ES132" i="4"/>
  <c r="W135" i="4"/>
  <c r="CV135" i="4"/>
  <c r="DQ155" i="4"/>
  <c r="AR155" i="4"/>
  <c r="ET155" i="4"/>
  <c r="BU155" i="4"/>
  <c r="EW139" i="4"/>
  <c r="BY139" i="4"/>
  <c r="BX139" i="4"/>
  <c r="EH104" i="4"/>
  <c r="BI104" i="4"/>
  <c r="CV107" i="4"/>
  <c r="CR22" i="4" s="1"/>
  <c r="W107" i="4"/>
  <c r="DL100" i="4"/>
  <c r="AM100" i="4"/>
  <c r="AZ118" i="4"/>
  <c r="DY118" i="4"/>
  <c r="EL109" i="4"/>
  <c r="BM109" i="4"/>
  <c r="K137" i="4"/>
  <c r="CJ137" i="4"/>
  <c r="AM138" i="4"/>
  <c r="DL138" i="4"/>
  <c r="EN163" i="4"/>
  <c r="BO163" i="4"/>
  <c r="BP163" i="4"/>
  <c r="EO163" i="4"/>
  <c r="DG154" i="4"/>
  <c r="AH154" i="4"/>
  <c r="AG154" i="4"/>
  <c r="DF154" i="4"/>
  <c r="ED103" i="4"/>
  <c r="BE103" i="4"/>
  <c r="EU122" i="4"/>
  <c r="BV122" i="4"/>
  <c r="S124" i="4"/>
  <c r="CR124" i="4"/>
  <c r="CY116" i="4"/>
  <c r="Z116" i="4"/>
  <c r="DF116" i="4"/>
  <c r="AG116" i="4"/>
  <c r="DF123" i="4"/>
  <c r="DB38" i="4" s="1"/>
  <c r="AG123" i="4"/>
  <c r="EF111" i="4"/>
  <c r="BG111" i="4"/>
  <c r="DE111" i="4"/>
  <c r="AF111" i="4"/>
  <c r="BJ121" i="4"/>
  <c r="EI121" i="4"/>
  <c r="BT133" i="4"/>
  <c r="ES133" i="4"/>
  <c r="K143" i="4"/>
  <c r="CJ143" i="4"/>
  <c r="CS153" i="4"/>
  <c r="T153" i="4"/>
  <c r="DL157" i="4"/>
  <c r="AM157" i="4"/>
  <c r="DL131" i="4"/>
  <c r="AM131" i="4"/>
  <c r="DW148" i="4"/>
  <c r="AX148" i="4"/>
  <c r="CZ119" i="4"/>
  <c r="CV34" i="4" s="1"/>
  <c r="AA119" i="4"/>
  <c r="BD112" i="4"/>
  <c r="EC112" i="4"/>
  <c r="BF102" i="4"/>
  <c r="EE102" i="4"/>
  <c r="BT161" i="4"/>
  <c r="ES161" i="4"/>
  <c r="EO76" i="4" s="1"/>
  <c r="V147" i="4"/>
  <c r="CU147" i="4"/>
  <c r="R164" i="4"/>
  <c r="CQ164" i="4"/>
  <c r="DE146" i="4"/>
  <c r="AF146" i="4"/>
  <c r="Y105" i="4"/>
  <c r="CX105" i="4"/>
  <c r="AN96" i="4"/>
  <c r="DM96" i="4"/>
  <c r="CF96" i="4"/>
  <c r="CB11" i="4" s="1"/>
  <c r="CR136" i="4"/>
  <c r="S136" i="4"/>
  <c r="AP110" i="4"/>
  <c r="DO110" i="4"/>
  <c r="AV128" i="4"/>
  <c r="DU128" i="4"/>
  <c r="DH151" i="4"/>
  <c r="AI151" i="4"/>
  <c r="AK152" i="4"/>
  <c r="DJ152" i="4"/>
  <c r="CY150" i="4"/>
  <c r="CU65" i="4" s="1"/>
  <c r="Z150" i="4"/>
  <c r="ED140" i="4"/>
  <c r="BE140" i="4"/>
  <c r="CX159" i="4"/>
  <c r="Y159" i="4"/>
  <c r="AF113" i="4"/>
  <c r="DE113" i="4"/>
  <c r="X97" i="4"/>
  <c r="CW97" i="4"/>
  <c r="U98" i="4"/>
  <c r="CT98" i="4"/>
  <c r="CX156" i="4"/>
  <c r="CT71" i="4" s="1"/>
  <c r="Y156" i="4"/>
  <c r="DC108" i="4"/>
  <c r="AD108" i="4"/>
  <c r="AV120" i="4"/>
  <c r="DU120" i="4"/>
  <c r="EK115" i="4"/>
  <c r="EG30" i="4" s="1"/>
  <c r="BL115" i="4"/>
  <c r="CN106" i="4"/>
  <c r="O106" i="4"/>
  <c r="U160" i="4"/>
  <c r="CT160" i="4"/>
  <c r="EW162" i="4"/>
  <c r="BX162" i="4"/>
  <c r="BY162" i="4"/>
  <c r="BB134" i="4"/>
  <c r="EA134" i="4"/>
  <c r="DS125" i="4"/>
  <c r="AT125" i="4"/>
  <c r="CU95" i="4"/>
  <c r="V95" i="4"/>
  <c r="DN142" i="4"/>
  <c r="AO142" i="4"/>
  <c r="S129" i="4"/>
  <c r="CR129" i="4"/>
  <c r="CH141" i="4"/>
  <c r="I141" i="4"/>
  <c r="BT141" i="4"/>
  <c r="ES141" i="4"/>
  <c r="EW144" i="4"/>
  <c r="BX144" i="4"/>
  <c r="BY144" i="4"/>
  <c r="Q144" i="4"/>
  <c r="CP144" i="4"/>
  <c r="DV145" i="4"/>
  <c r="AW145" i="4"/>
  <c r="ED160" i="4"/>
  <c r="BE160" i="4"/>
  <c r="DD160" i="4"/>
  <c r="AE160" i="4"/>
  <c r="CR162" i="4"/>
  <c r="S162" i="4"/>
  <c r="DU134" i="4"/>
  <c r="AV134" i="4"/>
  <c r="BA117" i="4"/>
  <c r="DZ117" i="4"/>
  <c r="AN125" i="4"/>
  <c r="DM125" i="4"/>
  <c r="BH127" i="4"/>
  <c r="EG127" i="4"/>
  <c r="DB158" i="4"/>
  <c r="AC158" i="4"/>
  <c r="CP129" i="4"/>
  <c r="Q129" i="4"/>
  <c r="CO141" i="4"/>
  <c r="P141" i="4"/>
  <c r="ER132" i="4"/>
  <c r="BS132" i="4"/>
  <c r="CG135" i="4"/>
  <c r="H135" i="4"/>
  <c r="CA50" i="4" s="1"/>
  <c r="DO155" i="4"/>
  <c r="AP155" i="4"/>
  <c r="DU139" i="4"/>
  <c r="AV139" i="4"/>
  <c r="CS104" i="4"/>
  <c r="T104" i="4"/>
  <c r="DS107" i="4"/>
  <c r="AT107" i="4"/>
  <c r="EH100" i="4"/>
  <c r="BI100" i="4"/>
  <c r="AA100" i="4"/>
  <c r="CZ100" i="4"/>
  <c r="DU118" i="4"/>
  <c r="AV118" i="4"/>
  <c r="BO109" i="4"/>
  <c r="EN109" i="4"/>
  <c r="AH137" i="4"/>
  <c r="DG137" i="4"/>
  <c r="ER137" i="4"/>
  <c r="BS137" i="4"/>
  <c r="DG138" i="4"/>
  <c r="AH138" i="4"/>
  <c r="AL163" i="4"/>
  <c r="DK163" i="4"/>
  <c r="DH154" i="4"/>
  <c r="AI154" i="4"/>
  <c r="AW154" i="4"/>
  <c r="DV154" i="4"/>
  <c r="CH103" i="4"/>
  <c r="I103" i="4"/>
  <c r="AN122" i="4"/>
  <c r="DM122" i="4"/>
  <c r="DV124" i="4"/>
  <c r="AW124" i="4"/>
  <c r="EO116" i="4"/>
  <c r="BP116" i="4"/>
  <c r="BK116" i="4"/>
  <c r="EJ116" i="4"/>
  <c r="EW123" i="4"/>
  <c r="BX123" i="4"/>
  <c r="BY123" i="4"/>
  <c r="BK123" i="4"/>
  <c r="EJ123" i="4"/>
  <c r="DO123" i="4"/>
  <c r="AP123" i="4"/>
  <c r="CQ111" i="4"/>
  <c r="R111" i="4"/>
  <c r="EH111" i="4"/>
  <c r="BI111" i="4"/>
  <c r="DV121" i="4"/>
  <c r="AW121" i="4"/>
  <c r="AH131" i="4"/>
  <c r="DG131" i="4"/>
  <c r="DE160" i="4"/>
  <c r="AF160" i="4"/>
  <c r="CP160" i="4"/>
  <c r="Q160" i="4"/>
  <c r="R160" i="4"/>
  <c r="CQ160" i="4"/>
  <c r="CZ160" i="4"/>
  <c r="AA160" i="4"/>
  <c r="AJ160" i="4"/>
  <c r="DI160" i="4"/>
  <c r="AX160" i="4"/>
  <c r="DW160" i="4"/>
  <c r="AZ160" i="4"/>
  <c r="DY160" i="4"/>
  <c r="EB160" i="4"/>
  <c r="BC160" i="4"/>
  <c r="AD162" i="4"/>
  <c r="DC162" i="4"/>
  <c r="EQ162" i="4"/>
  <c r="BR162" i="4"/>
  <c r="BC162" i="4"/>
  <c r="EB162" i="4"/>
  <c r="DR162" i="4"/>
  <c r="AS162" i="4"/>
  <c r="CK162" i="4"/>
  <c r="L162" i="4"/>
  <c r="DK162" i="4"/>
  <c r="AL162" i="4"/>
  <c r="AV162" i="4"/>
  <c r="DU162" i="4"/>
  <c r="DO162" i="4"/>
  <c r="AP162" i="4"/>
  <c r="DH162" i="4"/>
  <c r="AI162" i="4"/>
  <c r="AG134" i="4"/>
  <c r="DF134" i="4"/>
  <c r="CQ134" i="4"/>
  <c r="R134" i="4"/>
  <c r="CJ134" i="4"/>
  <c r="K134" i="4"/>
  <c r="L134" i="4"/>
  <c r="CK134" i="4"/>
  <c r="M134" i="4"/>
  <c r="CL134" i="4"/>
  <c r="CM134" i="4"/>
  <c r="N134" i="4"/>
  <c r="BU134" i="4"/>
  <c r="ET134" i="4"/>
  <c r="EK134" i="4"/>
  <c r="BL134" i="4"/>
  <c r="CU149" i="4"/>
  <c r="V149" i="4"/>
  <c r="CL149" i="4"/>
  <c r="M149" i="4"/>
  <c r="DZ149" i="4"/>
  <c r="BA149" i="4"/>
  <c r="DC149" i="4"/>
  <c r="AD149" i="4"/>
  <c r="EQ149" i="4"/>
  <c r="BR149" i="4"/>
  <c r="CO149" i="4"/>
  <c r="P149" i="4"/>
  <c r="K149" i="4"/>
  <c r="CJ149" i="4"/>
  <c r="BW149" i="4"/>
  <c r="EV149" i="4"/>
  <c r="BP149" i="4"/>
  <c r="EO149" i="4"/>
  <c r="BI117" i="4"/>
  <c r="EH117" i="4"/>
  <c r="BB117" i="4"/>
  <c r="EA117" i="4"/>
  <c r="DT117" i="4"/>
  <c r="AU117" i="4"/>
  <c r="DN32" i="4" s="1"/>
  <c r="DM117" i="4"/>
  <c r="AN117" i="4"/>
  <c r="DF117" i="4"/>
  <c r="AG117" i="4"/>
  <c r="CY117" i="4"/>
  <c r="Z117" i="4"/>
  <c r="S117" i="4"/>
  <c r="CR117" i="4"/>
  <c r="L117" i="4"/>
  <c r="CK117" i="4"/>
  <c r="BY117" i="4"/>
  <c r="EW117" i="4"/>
  <c r="BX117" i="4"/>
  <c r="EH125" i="4"/>
  <c r="BI125" i="4"/>
  <c r="EQ125" i="4"/>
  <c r="BR125" i="4"/>
  <c r="EJ125" i="4"/>
  <c r="BK125" i="4"/>
  <c r="EC125" i="4"/>
  <c r="BD125" i="4"/>
  <c r="DV125" i="4"/>
  <c r="AW125" i="4"/>
  <c r="AP125" i="4"/>
  <c r="DO125" i="4"/>
  <c r="DH125" i="4"/>
  <c r="DD40" i="4" s="1"/>
  <c r="AI125" i="4"/>
  <c r="DA125" i="4"/>
  <c r="AB125" i="4"/>
  <c r="CS95" i="4"/>
  <c r="T95" i="4"/>
  <c r="DS95" i="4"/>
  <c r="AT95" i="4"/>
  <c r="DD95" i="4"/>
  <c r="AE95" i="4"/>
  <c r="ES95" i="4"/>
  <c r="BT95" i="4"/>
  <c r="BE95" i="4"/>
  <c r="ED95" i="4"/>
  <c r="AP95" i="4"/>
  <c r="DO95" i="4"/>
  <c r="CZ95" i="4"/>
  <c r="AA95" i="4"/>
  <c r="DP142" i="4"/>
  <c r="AQ142" i="4"/>
  <c r="CG142" i="4"/>
  <c r="H142" i="4"/>
  <c r="CA57" i="4" s="1"/>
  <c r="CM142" i="4"/>
  <c r="N142" i="4"/>
  <c r="BJ142" i="4"/>
  <c r="EI142" i="4"/>
  <c r="EL142" i="4"/>
  <c r="BM142" i="4"/>
  <c r="EE142" i="4"/>
  <c r="BF142" i="4"/>
  <c r="AZ142" i="4"/>
  <c r="DY142" i="4"/>
  <c r="AS142" i="4"/>
  <c r="DR142" i="4"/>
  <c r="DL142" i="4"/>
  <c r="DH57" i="4" s="1"/>
  <c r="AM142" i="4"/>
  <c r="BR127" i="4"/>
  <c r="EQ127" i="4"/>
  <c r="CH127" i="4"/>
  <c r="I127" i="4"/>
  <c r="AK127" i="4"/>
  <c r="DJ127" i="4"/>
  <c r="EK127" i="4"/>
  <c r="BL127" i="4"/>
  <c r="DN127" i="4"/>
  <c r="AO127" i="4"/>
  <c r="DH42" i="4" s="1"/>
  <c r="BS127" i="4"/>
  <c r="ER127" i="4"/>
  <c r="EM127" i="4"/>
  <c r="BN127" i="4"/>
  <c r="EF127" i="4"/>
  <c r="BG127" i="4"/>
  <c r="BD158" i="4"/>
  <c r="EC158" i="4"/>
  <c r="DR158" i="4"/>
  <c r="AS158" i="4"/>
  <c r="ER158" i="4"/>
  <c r="AG158" i="4"/>
  <c r="DF158" i="4"/>
  <c r="CY158" i="4"/>
  <c r="Z158" i="4"/>
  <c r="CR158" i="4"/>
  <c r="S158" i="4"/>
  <c r="CK158" i="4"/>
  <c r="L158" i="4"/>
  <c r="EW158" i="4"/>
  <c r="BX158" i="4"/>
  <c r="BY158" i="4"/>
  <c r="BR158" i="4"/>
  <c r="DH129" i="4"/>
  <c r="AI129" i="4"/>
  <c r="V129" i="4"/>
  <c r="CU129" i="4"/>
  <c r="BR129" i="4"/>
  <c r="EQ129" i="4"/>
  <c r="DF129" i="4"/>
  <c r="AG129" i="4"/>
  <c r="Z129" i="4"/>
  <c r="CY129" i="4"/>
  <c r="T129" i="4"/>
  <c r="CS129" i="4"/>
  <c r="CL129" i="4"/>
  <c r="M129" i="4"/>
  <c r="BS129" i="4"/>
  <c r="ER129" i="4"/>
  <c r="AT141" i="4"/>
  <c r="DS141" i="4"/>
  <c r="ET141" i="4"/>
  <c r="BU141" i="4"/>
  <c r="CP141" i="4"/>
  <c r="Q141" i="4"/>
  <c r="DY141" i="4"/>
  <c r="DU56" i="4" s="1"/>
  <c r="AZ141" i="4"/>
  <c r="DR141" i="4"/>
  <c r="AS141" i="4"/>
  <c r="AM141" i="4"/>
  <c r="DL141" i="4"/>
  <c r="DE141" i="4"/>
  <c r="AF141" i="4"/>
  <c r="CY141" i="4"/>
  <c r="Z141" i="4"/>
  <c r="DG144" i="4"/>
  <c r="AH144" i="4"/>
  <c r="DI144" i="4"/>
  <c r="AJ144" i="4"/>
  <c r="CY144" i="4"/>
  <c r="Z144" i="4"/>
  <c r="EV144" i="4"/>
  <c r="ER59" i="4" s="1"/>
  <c r="BW144" i="4"/>
  <c r="DR144" i="4"/>
  <c r="AS144" i="4"/>
  <c r="EI144" i="4"/>
  <c r="BJ144" i="4"/>
  <c r="EB144" i="4"/>
  <c r="DX59" i="4" s="1"/>
  <c r="BC144" i="4"/>
  <c r="AV144" i="4"/>
  <c r="DU144" i="4"/>
  <c r="AO144" i="4"/>
  <c r="DN144" i="4"/>
  <c r="DU145" i="4"/>
  <c r="AV145" i="4"/>
  <c r="EU145" i="4"/>
  <c r="BV145" i="4"/>
  <c r="DM145" i="4"/>
  <c r="AN145" i="4"/>
  <c r="CH145" i="4"/>
  <c r="I145" i="4"/>
  <c r="ET145" i="4"/>
  <c r="BU145" i="4"/>
  <c r="EN145" i="4"/>
  <c r="BO145" i="4"/>
  <c r="EG145" i="4"/>
  <c r="BH145" i="4"/>
  <c r="DZ145" i="4"/>
  <c r="BA145" i="4"/>
  <c r="BB145" i="4"/>
  <c r="EA145" i="4"/>
  <c r="W132" i="4"/>
  <c r="CV132" i="4"/>
  <c r="AN132" i="4"/>
  <c r="DM132" i="4"/>
  <c r="AG132" i="4"/>
  <c r="DF132" i="4"/>
  <c r="CY132" i="4"/>
  <c r="Z132" i="4"/>
  <c r="CR132" i="4"/>
  <c r="S132" i="4"/>
  <c r="L132" i="4"/>
  <c r="CK132" i="4"/>
  <c r="EW132" i="4"/>
  <c r="BX132" i="4"/>
  <c r="BY132" i="4"/>
  <c r="BQ132" i="4"/>
  <c r="EP132" i="4"/>
  <c r="EQ132" i="4"/>
  <c r="BR132" i="4"/>
  <c r="CN135" i="4"/>
  <c r="O135" i="4"/>
  <c r="EC135" i="4"/>
  <c r="BD135" i="4"/>
  <c r="DV135" i="4"/>
  <c r="AW135" i="4"/>
  <c r="DP50" i="4" s="1"/>
  <c r="AP135" i="4"/>
  <c r="DO135" i="4"/>
  <c r="AI135" i="4"/>
  <c r="DH135" i="4"/>
  <c r="DA135" i="4"/>
  <c r="AB135" i="4"/>
  <c r="CT135" i="4"/>
  <c r="U135" i="4"/>
  <c r="V135" i="4"/>
  <c r="CU135" i="4"/>
  <c r="DA155" i="4"/>
  <c r="AB155" i="4"/>
  <c r="EW155" i="4"/>
  <c r="BY155" i="4"/>
  <c r="BX155" i="4"/>
  <c r="DF155" i="4"/>
  <c r="AG155" i="4"/>
  <c r="CI155" i="4"/>
  <c r="J155" i="4"/>
  <c r="DW155" i="4"/>
  <c r="AX155" i="4"/>
  <c r="CR155" i="4"/>
  <c r="S155" i="4"/>
  <c r="CL155" i="4"/>
  <c r="M155" i="4"/>
  <c r="N155" i="4"/>
  <c r="CM155" i="4"/>
  <c r="BC155" i="4"/>
  <c r="EB155" i="4"/>
  <c r="DN139" i="4"/>
  <c r="AO139" i="4"/>
  <c r="CR139" i="4"/>
  <c r="S139" i="4"/>
  <c r="AU139" i="4"/>
  <c r="DT139" i="4"/>
  <c r="ET139" i="4"/>
  <c r="BU139" i="4"/>
  <c r="CX139" i="4"/>
  <c r="Y139" i="4"/>
  <c r="EE139" i="4"/>
  <c r="BF139" i="4"/>
  <c r="BA139" i="4"/>
  <c r="DT54" i="4" s="1"/>
  <c r="DZ139" i="4"/>
  <c r="EA139" i="4"/>
  <c r="BB139" i="4"/>
  <c r="I104" i="4"/>
  <c r="CH104" i="4"/>
  <c r="ET104" i="4"/>
  <c r="BU104" i="4"/>
  <c r="BF104" i="4"/>
  <c r="EE104" i="4"/>
  <c r="AQ104" i="4"/>
  <c r="DP104" i="4"/>
  <c r="DI104" i="4"/>
  <c r="AJ104" i="4"/>
  <c r="DB104" i="4"/>
  <c r="AC104" i="4"/>
  <c r="CU104" i="4"/>
  <c r="V104" i="4"/>
  <c r="ER104" i="4"/>
  <c r="BS104" i="4"/>
  <c r="EN107" i="4"/>
  <c r="BO107" i="4"/>
  <c r="CL107" i="4"/>
  <c r="M107" i="4"/>
  <c r="EI107" i="4"/>
  <c r="BJ107" i="4"/>
  <c r="EB107" i="4"/>
  <c r="BC107" i="4"/>
  <c r="DU107" i="4"/>
  <c r="AV107" i="4"/>
  <c r="DN107" i="4"/>
  <c r="AO107" i="4"/>
  <c r="DG107" i="4"/>
  <c r="AH107" i="4"/>
  <c r="AB107" i="4"/>
  <c r="DA107" i="4"/>
  <c r="BX100" i="4"/>
  <c r="BY100" i="4"/>
  <c r="EW100" i="4"/>
  <c r="CM100" i="4"/>
  <c r="N100" i="4"/>
  <c r="CG15" i="4" s="1"/>
  <c r="ER100" i="4"/>
  <c r="BS100" i="4"/>
  <c r="BL100" i="4"/>
  <c r="EK100" i="4"/>
  <c r="ED100" i="4"/>
  <c r="BE100" i="4"/>
  <c r="AX100" i="4"/>
  <c r="DW100" i="4"/>
  <c r="AQ100" i="4"/>
  <c r="DP100" i="4"/>
  <c r="Z118" i="4"/>
  <c r="CY118" i="4"/>
  <c r="AA118" i="4"/>
  <c r="CZ118" i="4"/>
  <c r="CS118" i="4"/>
  <c r="T118" i="4"/>
  <c r="CL118" i="4"/>
  <c r="M118" i="4"/>
  <c r="CM118" i="4"/>
  <c r="N118" i="4"/>
  <c r="ER118" i="4"/>
  <c r="BS118" i="4"/>
  <c r="EK118" i="4"/>
  <c r="BL118" i="4"/>
  <c r="ED118" i="4"/>
  <c r="BE118" i="4"/>
  <c r="CV109" i="4"/>
  <c r="W109" i="4"/>
  <c r="CP24" i="4" s="1"/>
  <c r="DM109" i="4"/>
  <c r="AN109" i="4"/>
  <c r="AG109" i="4"/>
  <c r="DF109" i="4"/>
  <c r="Z109" i="4"/>
  <c r="CY109" i="4"/>
  <c r="CR109" i="4"/>
  <c r="S109" i="4"/>
  <c r="CK109" i="4"/>
  <c r="L109" i="4"/>
  <c r="BX109" i="4"/>
  <c r="EW109" i="4"/>
  <c r="BY109" i="4"/>
  <c r="EP109" i="4"/>
  <c r="BQ109" i="4"/>
  <c r="EQ109" i="4"/>
  <c r="BR109" i="4"/>
  <c r="BU137" i="4"/>
  <c r="ET137" i="4"/>
  <c r="AQ137" i="4"/>
  <c r="DP137" i="4"/>
  <c r="DI137" i="4"/>
  <c r="AJ137" i="4"/>
  <c r="DB137" i="4"/>
  <c r="AC137" i="4"/>
  <c r="DC137" i="4"/>
  <c r="AD137" i="4"/>
  <c r="CV137" i="4"/>
  <c r="W137" i="4"/>
  <c r="P137" i="4"/>
  <c r="CO137" i="4"/>
  <c r="N138" i="4"/>
  <c r="CM138" i="4"/>
  <c r="BS138" i="4"/>
  <c r="ER138" i="4"/>
  <c r="EK138" i="4"/>
  <c r="BL138" i="4"/>
  <c r="BE138" i="4"/>
  <c r="ED138" i="4"/>
  <c r="DP138" i="4"/>
  <c r="AQ138" i="4"/>
  <c r="EE160" i="4"/>
  <c r="BF160" i="4"/>
  <c r="CS162" i="4"/>
  <c r="CO77" i="4" s="1"/>
  <c r="T162" i="4"/>
  <c r="CI162" i="4"/>
  <c r="J162" i="4"/>
  <c r="AX134" i="4"/>
  <c r="DW134" i="4"/>
  <c r="DL134" i="4"/>
  <c r="AM134" i="4"/>
  <c r="EJ149" i="4"/>
  <c r="BK149" i="4"/>
  <c r="ED64" i="4" s="1"/>
  <c r="AQ149" i="4"/>
  <c r="DP149" i="4"/>
  <c r="CG117" i="4"/>
  <c r="H117" i="4"/>
  <c r="CA32" i="4" s="1"/>
  <c r="DQ117" i="4"/>
  <c r="AR117" i="4"/>
  <c r="Q125" i="4"/>
  <c r="CP125" i="4"/>
  <c r="EO95" i="4"/>
  <c r="BP95" i="4"/>
  <c r="EJ95" i="4"/>
  <c r="BK95" i="4"/>
  <c r="EN142" i="4"/>
  <c r="BO142" i="4"/>
  <c r="M142" i="4"/>
  <c r="CL142" i="4"/>
  <c r="ES158" i="4"/>
  <c r="BT158" i="4"/>
  <c r="EM73" i="4" s="1"/>
  <c r="BW129" i="4"/>
  <c r="EV129" i="4"/>
  <c r="DJ144" i="4"/>
  <c r="AK144" i="4"/>
  <c r="BT145" i="4"/>
  <c r="ES145" i="4"/>
  <c r="EJ132" i="4"/>
  <c r="BK132" i="4"/>
  <c r="BO135" i="4"/>
  <c r="EN135" i="4"/>
  <c r="CP155" i="4"/>
  <c r="Q155" i="4"/>
  <c r="DM155" i="4"/>
  <c r="AN155" i="4"/>
  <c r="BS139" i="4"/>
  <c r="ER139" i="4"/>
  <c r="U139" i="4"/>
  <c r="CT139" i="4"/>
  <c r="BW104" i="4"/>
  <c r="EV104" i="4"/>
  <c r="K107" i="4"/>
  <c r="CJ107" i="4"/>
  <c r="CF22" i="4" s="1"/>
  <c r="EM107" i="4"/>
  <c r="BN107" i="4"/>
  <c r="AJ100" i="4"/>
  <c r="DI100" i="4"/>
  <c r="Y100" i="4"/>
  <c r="CX100" i="4"/>
  <c r="CT15" i="4" s="1"/>
  <c r="BF118" i="4"/>
  <c r="EE118" i="4"/>
  <c r="DS118" i="4"/>
  <c r="DO33" i="4" s="1"/>
  <c r="AT118" i="4"/>
  <c r="H109" i="4"/>
  <c r="CA24" i="4" s="1"/>
  <c r="CG109" i="4"/>
  <c r="AY109" i="4"/>
  <c r="DX109" i="4"/>
  <c r="R137" i="4"/>
  <c r="CQ137" i="4"/>
  <c r="EI137" i="4"/>
  <c r="BJ137" i="4"/>
  <c r="Y138" i="4"/>
  <c r="CX138" i="4"/>
  <c r="EV138" i="4"/>
  <c r="BW138" i="4"/>
  <c r="EU163" i="4"/>
  <c r="EQ78" i="4" s="1"/>
  <c r="BV163" i="4"/>
  <c r="CO163" i="4"/>
  <c r="P163" i="4"/>
  <c r="CL154" i="4"/>
  <c r="M154" i="4"/>
  <c r="DS154" i="4"/>
  <c r="AT154" i="4"/>
  <c r="CL103" i="4"/>
  <c r="M103" i="4"/>
  <c r="EK103" i="4"/>
  <c r="BL103" i="4"/>
  <c r="X122" i="4"/>
  <c r="CW122" i="4"/>
  <c r="DZ122" i="4"/>
  <c r="BA122" i="4"/>
  <c r="L124" i="4"/>
  <c r="CK124" i="4"/>
  <c r="DX116" i="4"/>
  <c r="AY116" i="4"/>
  <c r="AU116" i="4"/>
  <c r="DT116" i="4"/>
  <c r="BB123" i="4"/>
  <c r="EA123" i="4"/>
  <c r="Y111" i="4"/>
  <c r="CR26" i="4" s="1"/>
  <c r="CX111" i="4"/>
  <c r="DR111" i="4"/>
  <c r="AS111" i="4"/>
  <c r="CQ121" i="4"/>
  <c r="R121" i="4"/>
  <c r="BW121" i="4"/>
  <c r="EV121" i="4"/>
  <c r="DY133" i="4"/>
  <c r="AZ133" i="4"/>
  <c r="CG133" i="4"/>
  <c r="H133" i="4"/>
  <c r="CA48" i="4" s="1"/>
  <c r="DR143" i="4"/>
  <c r="AS143" i="4"/>
  <c r="DE143" i="4"/>
  <c r="AF143" i="4"/>
  <c r="DD153" i="4"/>
  <c r="AE153" i="4"/>
  <c r="CL153" i="4"/>
  <c r="M153" i="4"/>
  <c r="CO157" i="4"/>
  <c r="P157" i="4"/>
  <c r="DR157" i="4"/>
  <c r="AS157" i="4"/>
  <c r="CW131" i="4"/>
  <c r="X131" i="4"/>
  <c r="AZ131" i="4"/>
  <c r="DY131" i="4"/>
  <c r="DV131" i="4"/>
  <c r="AW131" i="4"/>
  <c r="CW148" i="4"/>
  <c r="X148" i="4"/>
  <c r="EJ148" i="4"/>
  <c r="BK148" i="4"/>
  <c r="AH119" i="4"/>
  <c r="DG119" i="4"/>
  <c r="CM119" i="4"/>
  <c r="N119" i="4"/>
  <c r="AK102" i="4"/>
  <c r="DJ102" i="4"/>
  <c r="BM161" i="4"/>
  <c r="EL161" i="4"/>
  <c r="EG161" i="4"/>
  <c r="BH161" i="4"/>
  <c r="EP147" i="4"/>
  <c r="BQ147" i="4"/>
  <c r="EQ164" i="4"/>
  <c r="BR164" i="4"/>
  <c r="L164" i="4"/>
  <c r="CK164" i="4"/>
  <c r="EN146" i="4"/>
  <c r="BO146" i="4"/>
  <c r="DL146" i="4"/>
  <c r="AM146" i="4"/>
  <c r="BB105" i="4"/>
  <c r="EA105" i="4"/>
  <c r="BQ105" i="4"/>
  <c r="EP105" i="4"/>
  <c r="AH96" i="4"/>
  <c r="DG96" i="4"/>
  <c r="ER96" i="4"/>
  <c r="BS96" i="4"/>
  <c r="DF136" i="4"/>
  <c r="AG136" i="4"/>
  <c r="EQ110" i="4"/>
  <c r="BR110" i="4"/>
  <c r="DH110" i="4"/>
  <c r="AI110" i="4"/>
  <c r="U128" i="4"/>
  <c r="CT128" i="4"/>
  <c r="AK130" i="4"/>
  <c r="DJ130" i="4"/>
  <c r="DF45" i="4" s="1"/>
  <c r="CV130" i="4"/>
  <c r="W130" i="4"/>
  <c r="DX151" i="4"/>
  <c r="AY151" i="4"/>
  <c r="BC151" i="4"/>
  <c r="EB151" i="4"/>
  <c r="CW152" i="4"/>
  <c r="X152" i="4"/>
  <c r="AR152" i="4"/>
  <c r="DQ152" i="4"/>
  <c r="EN150" i="4"/>
  <c r="BO150" i="4"/>
  <c r="DY150" i="4"/>
  <c r="AZ150" i="4"/>
  <c r="BY140" i="4"/>
  <c r="BX140" i="4"/>
  <c r="EW140" i="4"/>
  <c r="EM140" i="4"/>
  <c r="BN140" i="4"/>
  <c r="DH159" i="4"/>
  <c r="AI159" i="4"/>
  <c r="ED99" i="4"/>
  <c r="BE99" i="4"/>
  <c r="AQ99" i="4"/>
  <c r="DP99" i="4"/>
  <c r="EE126" i="4"/>
  <c r="BF126" i="4"/>
  <c r="M126" i="4"/>
  <c r="CL126" i="4"/>
  <c r="CT97" i="4"/>
  <c r="U97" i="4"/>
  <c r="Q97" i="4"/>
  <c r="CP97" i="4"/>
  <c r="V98" i="4"/>
  <c r="CU98" i="4"/>
  <c r="AQ108" i="4"/>
  <c r="DP108" i="4"/>
  <c r="P108" i="4"/>
  <c r="CO108" i="4"/>
  <c r="BJ120" i="4"/>
  <c r="EI120" i="4"/>
  <c r="CZ120" i="4"/>
  <c r="AA120" i="4"/>
  <c r="AX115" i="4"/>
  <c r="DW115" i="4"/>
  <c r="DS30" i="4" s="1"/>
  <c r="DG106" i="4"/>
  <c r="AH106" i="4"/>
  <c r="DC160" i="4"/>
  <c r="AD160" i="4"/>
  <c r="CV160" i="4"/>
  <c r="W160" i="4"/>
  <c r="BU162" i="4"/>
  <c r="ET162" i="4"/>
  <c r="EP77" i="4" s="1"/>
  <c r="CJ162" i="4"/>
  <c r="K162" i="4"/>
  <c r="CM149" i="4"/>
  <c r="CI64" i="4" s="1"/>
  <c r="N149" i="4"/>
  <c r="AY149" i="4"/>
  <c r="DX149" i="4"/>
  <c r="CV117" i="4"/>
  <c r="W117" i="4"/>
  <c r="ET117" i="4"/>
  <c r="BU117" i="4"/>
  <c r="DL125" i="4"/>
  <c r="AM125" i="4"/>
  <c r="DF40" i="4" s="1"/>
  <c r="BW125" i="4"/>
  <c r="EV125" i="4"/>
  <c r="AG95" i="4"/>
  <c r="DF95" i="4"/>
  <c r="DE142" i="4"/>
  <c r="AF142" i="4"/>
  <c r="AB142" i="4"/>
  <c r="DA142" i="4"/>
  <c r="AT127" i="4"/>
  <c r="DS127" i="4"/>
  <c r="AR127" i="4"/>
  <c r="DQ127" i="4"/>
  <c r="AN158" i="4"/>
  <c r="DM158" i="4"/>
  <c r="EF158" i="4"/>
  <c r="BG158" i="4"/>
  <c r="BO129" i="4"/>
  <c r="EN129" i="4"/>
  <c r="EG129" i="4"/>
  <c r="BH129" i="4"/>
  <c r="DA141" i="4"/>
  <c r="AB141" i="4"/>
  <c r="EM141" i="4"/>
  <c r="BN141" i="4"/>
  <c r="DD144" i="4"/>
  <c r="AE144" i="4"/>
  <c r="DB145" i="4"/>
  <c r="AC145" i="4"/>
  <c r="K160" i="4"/>
  <c r="CJ160" i="4"/>
  <c r="EK160" i="4"/>
  <c r="BL160" i="4"/>
  <c r="EG162" i="4"/>
  <c r="BH162" i="4"/>
  <c r="EV134" i="4"/>
  <c r="BW134" i="4"/>
  <c r="BJ134" i="4"/>
  <c r="EI134" i="4"/>
  <c r="BN149" i="4"/>
  <c r="EM149" i="4"/>
  <c r="DY149" i="4"/>
  <c r="AZ149" i="4"/>
  <c r="CP117" i="4"/>
  <c r="Q117" i="4"/>
  <c r="DR125" i="4"/>
  <c r="AS125" i="4"/>
  <c r="CR125" i="4"/>
  <c r="S125" i="4"/>
  <c r="DC95" i="4"/>
  <c r="AD95" i="4"/>
  <c r="AO95" i="4"/>
  <c r="DN95" i="4"/>
  <c r="DU142" i="4"/>
  <c r="AV142" i="4"/>
  <c r="CV142" i="4"/>
  <c r="W142" i="4"/>
  <c r="EC127" i="4"/>
  <c r="BD127" i="4"/>
  <c r="EJ158" i="4"/>
  <c r="BK158" i="4"/>
  <c r="EN158" i="4"/>
  <c r="BO158" i="4"/>
  <c r="AN129" i="4"/>
  <c r="DM129" i="4"/>
  <c r="DI44" i="4" s="1"/>
  <c r="EO129" i="4"/>
  <c r="BP129" i="4"/>
  <c r="EL141" i="4"/>
  <c r="BM141" i="4"/>
  <c r="W141" i="4"/>
  <c r="CV141" i="4"/>
  <c r="EN144" i="4"/>
  <c r="BO144" i="4"/>
  <c r="DX145" i="4"/>
  <c r="AY145" i="4"/>
  <c r="CI132" i="4"/>
  <c r="J132" i="4"/>
  <c r="EA132" i="4"/>
  <c r="BB132" i="4"/>
  <c r="S135" i="4"/>
  <c r="CR135" i="4"/>
  <c r="EQ135" i="4"/>
  <c r="BR135" i="4"/>
  <c r="CX155" i="4"/>
  <c r="Y155" i="4"/>
  <c r="CO139" i="4"/>
  <c r="P139" i="4"/>
  <c r="CZ139" i="4"/>
  <c r="AA139" i="4"/>
  <c r="DE104" i="4"/>
  <c r="AF104" i="4"/>
  <c r="BR104" i="4"/>
  <c r="EQ104" i="4"/>
  <c r="R107" i="4"/>
  <c r="CQ107" i="4"/>
  <c r="CM22" i="4" s="1"/>
  <c r="EI100" i="4"/>
  <c r="BJ100" i="4"/>
  <c r="K118" i="4"/>
  <c r="CJ118" i="4"/>
  <c r="CF33" i="4" s="1"/>
  <c r="EI118" i="4"/>
  <c r="BJ118" i="4"/>
  <c r="CW109" i="4"/>
  <c r="X109" i="4"/>
  <c r="BH109" i="4"/>
  <c r="EG109" i="4"/>
  <c r="AA137" i="4"/>
  <c r="CZ137" i="4"/>
  <c r="CM137" i="4"/>
  <c r="N137" i="4"/>
  <c r="BC138" i="4"/>
  <c r="EB138" i="4"/>
  <c r="CZ138" i="4"/>
  <c r="AA138" i="4"/>
  <c r="DA163" i="4"/>
  <c r="AB163" i="4"/>
  <c r="DR163" i="4"/>
  <c r="AS163" i="4"/>
  <c r="CJ154" i="4"/>
  <c r="K154" i="4"/>
  <c r="EI154" i="4"/>
  <c r="BJ154" i="4"/>
  <c r="DC103" i="4"/>
  <c r="AD103" i="4"/>
  <c r="DK122" i="4"/>
  <c r="DG37" i="4" s="1"/>
  <c r="AL122" i="4"/>
  <c r="CK122" i="4"/>
  <c r="L122" i="4"/>
  <c r="AB124" i="4"/>
  <c r="DA124" i="4"/>
  <c r="EP123" i="4"/>
  <c r="BQ123" i="4"/>
  <c r="EH157" i="4"/>
  <c r="BI157" i="4"/>
  <c r="DO160" i="4"/>
  <c r="AP160" i="4"/>
  <c r="Z160" i="4"/>
  <c r="CY160" i="4"/>
  <c r="CU75" i="4" s="1"/>
  <c r="DV160" i="4"/>
  <c r="AW160" i="4"/>
  <c r="EI160" i="4"/>
  <c r="BJ160" i="4"/>
  <c r="BN160" i="4"/>
  <c r="EM160" i="4"/>
  <c r="EJ160" i="4"/>
  <c r="BK160" i="4"/>
  <c r="DQ162" i="4"/>
  <c r="AR162" i="4"/>
  <c r="DB162" i="4"/>
  <c r="AC162" i="4"/>
  <c r="EO162" i="4"/>
  <c r="EK77" i="4" s="1"/>
  <c r="BP162" i="4"/>
  <c r="W162" i="4"/>
  <c r="CV162" i="4"/>
  <c r="CR77" i="4" s="1"/>
  <c r="DY162" i="4"/>
  <c r="AZ162" i="4"/>
  <c r="BD162" i="4"/>
  <c r="EC162" i="4"/>
  <c r="DW162" i="4"/>
  <c r="AX162" i="4"/>
  <c r="DP162" i="4"/>
  <c r="AQ162" i="4"/>
  <c r="DN134" i="4"/>
  <c r="AO134" i="4"/>
  <c r="CY134" i="4"/>
  <c r="Z134" i="4"/>
  <c r="S134" i="4"/>
  <c r="CR134" i="4"/>
  <c r="T134" i="4"/>
  <c r="CS134" i="4"/>
  <c r="U134" i="4"/>
  <c r="CT134" i="4"/>
  <c r="CU134" i="4"/>
  <c r="V134" i="4"/>
  <c r="CN134" i="4"/>
  <c r="O134" i="4"/>
  <c r="H134" i="4"/>
  <c r="CG134" i="4"/>
  <c r="EU134" i="4"/>
  <c r="BV134" i="4"/>
  <c r="AH149" i="4"/>
  <c r="DG149" i="4"/>
  <c r="Y149" i="4"/>
  <c r="CX149" i="4"/>
  <c r="EL149" i="4"/>
  <c r="BM149" i="4"/>
  <c r="AP149" i="4"/>
  <c r="DO149" i="4"/>
  <c r="CW149" i="4"/>
  <c r="X149" i="4"/>
  <c r="S149" i="4"/>
  <c r="CR149" i="4"/>
  <c r="CK149" i="4"/>
  <c r="L149" i="4"/>
  <c r="BX149" i="4"/>
  <c r="BY149" i="4"/>
  <c r="EW149" i="4"/>
  <c r="CM117" i="4"/>
  <c r="N117" i="4"/>
  <c r="BJ117" i="4"/>
  <c r="EI117" i="4"/>
  <c r="EB117" i="4"/>
  <c r="BC117" i="4"/>
  <c r="DU117" i="4"/>
  <c r="AV117" i="4"/>
  <c r="DN117" i="4"/>
  <c r="AO117" i="4"/>
  <c r="DG117" i="4"/>
  <c r="AH117" i="4"/>
  <c r="AA117" i="4"/>
  <c r="CZ117" i="4"/>
  <c r="CV32" i="4" s="1"/>
  <c r="T117" i="4"/>
  <c r="CS117" i="4"/>
  <c r="EP125" i="4"/>
  <c r="BQ125" i="4"/>
  <c r="CM125" i="4"/>
  <c r="N125" i="4"/>
  <c r="ER125" i="4"/>
  <c r="BS125" i="4"/>
  <c r="BL125" i="4"/>
  <c r="EK125" i="4"/>
  <c r="ED125" i="4"/>
  <c r="BE125" i="4"/>
  <c r="AX125" i="4"/>
  <c r="DW125" i="4"/>
  <c r="AQ125" i="4"/>
  <c r="DP125" i="4"/>
  <c r="DI125" i="4"/>
  <c r="DE40" i="4" s="1"/>
  <c r="AJ125" i="4"/>
  <c r="DA95" i="4"/>
  <c r="AB95" i="4"/>
  <c r="DI95" i="4"/>
  <c r="AJ95" i="4"/>
  <c r="EA95" i="4"/>
  <c r="BB95" i="4"/>
  <c r="DL95" i="4"/>
  <c r="AM95" i="4"/>
  <c r="CO95" i="4"/>
  <c r="P95" i="4"/>
  <c r="DZ95" i="4"/>
  <c r="BA95" i="4"/>
  <c r="BM95" i="4"/>
  <c r="EL95" i="4"/>
  <c r="AX95" i="4"/>
  <c r="DW95" i="4"/>
  <c r="DH95" i="4"/>
  <c r="AI95" i="4"/>
  <c r="EK142" i="4"/>
  <c r="BL142" i="4"/>
  <c r="DC142" i="4"/>
  <c r="AD142" i="4"/>
  <c r="DH142" i="4"/>
  <c r="AI142" i="4"/>
  <c r="CH142" i="4"/>
  <c r="I142" i="4"/>
  <c r="ET142" i="4"/>
  <c r="BU142" i="4"/>
  <c r="EM142" i="4"/>
  <c r="BN142" i="4"/>
  <c r="EG142" i="4"/>
  <c r="BH142" i="4"/>
  <c r="BA142" i="4"/>
  <c r="DZ142" i="4"/>
  <c r="DV57" i="4" s="1"/>
  <c r="DT142" i="4"/>
  <c r="AU142" i="4"/>
  <c r="CS127" i="4"/>
  <c r="T127" i="4"/>
  <c r="V127" i="4"/>
  <c r="CU127" i="4"/>
  <c r="DV127" i="4"/>
  <c r="AW127" i="4"/>
  <c r="N127" i="4"/>
  <c r="CM127" i="4"/>
  <c r="BB127" i="4"/>
  <c r="EA127" i="4"/>
  <c r="CN127" i="4"/>
  <c r="O127" i="4"/>
  <c r="CI127" i="4"/>
  <c r="J127" i="4"/>
  <c r="EU127" i="4"/>
  <c r="BV127" i="4"/>
  <c r="EN127" i="4"/>
  <c r="BO127" i="4"/>
  <c r="P158" i="4"/>
  <c r="CO158" i="4"/>
  <c r="BL158" i="4"/>
  <c r="EK158" i="4"/>
  <c r="H158" i="4"/>
  <c r="CA73" i="4" s="1"/>
  <c r="CG158" i="4"/>
  <c r="AO158" i="4"/>
  <c r="DN158" i="4"/>
  <c r="DG158" i="4"/>
  <c r="AH158" i="4"/>
  <c r="CZ158" i="4"/>
  <c r="CV73" i="4" s="1"/>
  <c r="AA158" i="4"/>
  <c r="CS158" i="4"/>
  <c r="T158" i="4"/>
  <c r="CM158" i="4"/>
  <c r="N158" i="4"/>
  <c r="BD129" i="4"/>
  <c r="EC129" i="4"/>
  <c r="AQ129" i="4"/>
  <c r="DJ44" i="4" s="1"/>
  <c r="DP129" i="4"/>
  <c r="DL44" i="4" s="1"/>
  <c r="CG129" i="4"/>
  <c r="H129" i="4"/>
  <c r="CA44" i="4" s="1"/>
  <c r="AO129" i="4"/>
  <c r="AH129" i="4"/>
  <c r="DG129" i="4"/>
  <c r="AB129" i="4"/>
  <c r="DA129" i="4"/>
  <c r="U129" i="4"/>
  <c r="CT129" i="4"/>
  <c r="O129" i="4"/>
  <c r="CN129" i="4"/>
  <c r="CR141" i="4"/>
  <c r="S141" i="4"/>
  <c r="EN141" i="4"/>
  <c r="BO141" i="4"/>
  <c r="CJ141" i="4"/>
  <c r="K141" i="4"/>
  <c r="AL141" i="4"/>
  <c r="DK141" i="4"/>
  <c r="EG141" i="4"/>
  <c r="BH141" i="4"/>
  <c r="BA141" i="4"/>
  <c r="AU141" i="4"/>
  <c r="DT141" i="4"/>
  <c r="DM141" i="4"/>
  <c r="AN141" i="4"/>
  <c r="DG141" i="4"/>
  <c r="AH141" i="4"/>
  <c r="DW144" i="4"/>
  <c r="AX144" i="4"/>
  <c r="DY144" i="4"/>
  <c r="AZ144" i="4"/>
  <c r="DO144" i="4"/>
  <c r="AP144" i="4"/>
  <c r="CK144" i="4"/>
  <c r="L144" i="4"/>
  <c r="EH144" i="4"/>
  <c r="BI144" i="4"/>
  <c r="EQ144" i="4"/>
  <c r="BR144" i="4"/>
  <c r="EJ144" i="4"/>
  <c r="BK144" i="4"/>
  <c r="BD144" i="4"/>
  <c r="AW144" i="4"/>
  <c r="DV144" i="4"/>
  <c r="CG145" i="4"/>
  <c r="H145" i="4"/>
  <c r="CA60" i="4" s="1"/>
  <c r="O145" i="4"/>
  <c r="CN145" i="4"/>
  <c r="BK145" i="4"/>
  <c r="EJ145" i="4"/>
  <c r="CP145" i="4"/>
  <c r="Q145" i="4"/>
  <c r="CJ145" i="4"/>
  <c r="K145" i="4"/>
  <c r="EV145" i="4"/>
  <c r="BW145" i="4"/>
  <c r="EO145" i="4"/>
  <c r="BP145" i="4"/>
  <c r="EH145" i="4"/>
  <c r="BI145" i="4"/>
  <c r="EI145" i="4"/>
  <c r="BJ145" i="4"/>
  <c r="DD132" i="4"/>
  <c r="AE132" i="4"/>
  <c r="DU132" i="4"/>
  <c r="AV132" i="4"/>
  <c r="AO132" i="4"/>
  <c r="DN132" i="4"/>
  <c r="BO160" i="4"/>
  <c r="EN160" i="4"/>
  <c r="M160" i="4"/>
  <c r="CL160" i="4"/>
  <c r="BB162" i="4"/>
  <c r="EA162" i="4"/>
  <c r="P162" i="4"/>
  <c r="CO162" i="4"/>
  <c r="DP134" i="4"/>
  <c r="AQ134" i="4"/>
  <c r="AF134" i="4"/>
  <c r="DE134" i="4"/>
  <c r="DI149" i="4"/>
  <c r="AJ149" i="4"/>
  <c r="EL117" i="4"/>
  <c r="BM117" i="4"/>
  <c r="DB125" i="4"/>
  <c r="AC125" i="4"/>
  <c r="BV125" i="4"/>
  <c r="EU125" i="4"/>
  <c r="Y95" i="4"/>
  <c r="CX95" i="4"/>
  <c r="DZ127" i="4"/>
  <c r="BA127" i="4"/>
  <c r="CT158" i="4"/>
  <c r="U158" i="4"/>
  <c r="DX158" i="4"/>
  <c r="AY158" i="4"/>
  <c r="BG129" i="4"/>
  <c r="EF129" i="4"/>
  <c r="AZ129" i="4"/>
  <c r="DY129" i="4"/>
  <c r="EV141" i="4"/>
  <c r="BW141" i="4"/>
  <c r="BL141" i="4"/>
  <c r="EK141" i="4"/>
  <c r="EG144" i="4"/>
  <c r="BH144" i="4"/>
  <c r="I144" i="4"/>
  <c r="CH144" i="4"/>
  <c r="BL145" i="4"/>
  <c r="EK145" i="4"/>
  <c r="V145" i="4"/>
  <c r="CU145" i="4"/>
  <c r="BM132" i="4"/>
  <c r="EL132" i="4"/>
  <c r="DJ132" i="4"/>
  <c r="AK132" i="4"/>
  <c r="BV135" i="4"/>
  <c r="EU135" i="4"/>
  <c r="EA135" i="4"/>
  <c r="BB135" i="4"/>
  <c r="DX155" i="4"/>
  <c r="AY155" i="4"/>
  <c r="DV139" i="4"/>
  <c r="DR54" i="4" s="1"/>
  <c r="AW139" i="4"/>
  <c r="CW104" i="4"/>
  <c r="CS19" i="4" s="1"/>
  <c r="X104" i="4"/>
  <c r="CJ104" i="4"/>
  <c r="K104" i="4"/>
  <c r="DL104" i="4"/>
  <c r="AM104" i="4"/>
  <c r="CH107" i="4"/>
  <c r="I107" i="4"/>
  <c r="DS100" i="4"/>
  <c r="AT100" i="4"/>
  <c r="BW100" i="4"/>
  <c r="EV100" i="4"/>
  <c r="DR118" i="4"/>
  <c r="AS118" i="4"/>
  <c r="EB109" i="4"/>
  <c r="BC109" i="4"/>
  <c r="BF109" i="4"/>
  <c r="EE109" i="4"/>
  <c r="DJ109" i="4"/>
  <c r="AK109" i="4"/>
  <c r="BP137" i="4"/>
  <c r="EO137" i="4"/>
  <c r="AV137" i="4"/>
  <c r="DU137" i="4"/>
  <c r="DQ52" i="4" s="1"/>
  <c r="CJ138" i="4"/>
  <c r="K138" i="4"/>
  <c r="CZ163" i="4"/>
  <c r="AA163" i="4"/>
  <c r="DR154" i="4"/>
  <c r="AS154" i="4"/>
  <c r="CU122" i="4"/>
  <c r="V122" i="4"/>
  <c r="EN122" i="4"/>
  <c r="BO122" i="4"/>
  <c r="CY124" i="4"/>
  <c r="Z124" i="4"/>
  <c r="EQ124" i="4"/>
  <c r="BR124" i="4"/>
  <c r="DZ116" i="4"/>
  <c r="BA116" i="4"/>
  <c r="EW116" i="4"/>
  <c r="BY116" i="4"/>
  <c r="BX116" i="4"/>
  <c r="DM123" i="4"/>
  <c r="AN123" i="4"/>
  <c r="BN111" i="4"/>
  <c r="EM111" i="4"/>
  <c r="DL111" i="4"/>
  <c r="AM111" i="4"/>
  <c r="EO121" i="4"/>
  <c r="BP121" i="4"/>
  <c r="V133" i="4"/>
  <c r="CU133" i="4"/>
  <c r="EE133" i="4"/>
  <c r="BF133" i="4"/>
  <c r="DL143" i="4"/>
  <c r="AM143" i="4"/>
  <c r="BP143" i="4"/>
  <c r="EO143" i="4"/>
  <c r="EH153" i="4"/>
  <c r="BI153" i="4"/>
  <c r="J157" i="4"/>
  <c r="CI157" i="4"/>
  <c r="DY157" i="4"/>
  <c r="AZ157" i="4"/>
  <c r="BG131" i="4"/>
  <c r="EF131" i="4"/>
  <c r="EB46" i="4" s="1"/>
  <c r="EC131" i="4"/>
  <c r="BD131" i="4"/>
  <c r="ES148" i="4"/>
  <c r="BT148" i="4"/>
  <c r="EV148" i="4"/>
  <c r="BW148" i="4"/>
  <c r="AO119" i="4"/>
  <c r="DN119" i="4"/>
  <c r="CL119" i="4"/>
  <c r="M119" i="4"/>
  <c r="EA112" i="4"/>
  <c r="BB112" i="4"/>
  <c r="AI112" i="4"/>
  <c r="DH112" i="4"/>
  <c r="AL102" i="4"/>
  <c r="DK102" i="4"/>
  <c r="BM102" i="4"/>
  <c r="EL102" i="4"/>
  <c r="DV161" i="4"/>
  <c r="AW161" i="4"/>
  <c r="AQ161" i="4"/>
  <c r="DP161" i="4"/>
  <c r="CW147" i="4"/>
  <c r="X147" i="4"/>
  <c r="Q147" i="4"/>
  <c r="CP147" i="4"/>
  <c r="CJ146" i="4"/>
  <c r="K146" i="4"/>
  <c r="AK146" i="4"/>
  <c r="DJ146" i="4"/>
  <c r="BH105" i="4"/>
  <c r="EG105" i="4"/>
  <c r="EC20" i="4" s="1"/>
  <c r="AO96" i="4"/>
  <c r="DN96" i="4"/>
  <c r="CL96" i="4"/>
  <c r="M96" i="4"/>
  <c r="BA136" i="4"/>
  <c r="DZ136" i="4"/>
  <c r="DT136" i="4"/>
  <c r="DP51" i="4" s="1"/>
  <c r="AU136" i="4"/>
  <c r="DQ110" i="4"/>
  <c r="AR110" i="4"/>
  <c r="AW110" i="4"/>
  <c r="DV110" i="4"/>
  <c r="Q128" i="4"/>
  <c r="CP128" i="4"/>
  <c r="BP128" i="4"/>
  <c r="EO128" i="4"/>
  <c r="DX130" i="4"/>
  <c r="AY130" i="4"/>
  <c r="CP130" i="4"/>
  <c r="Q130" i="4"/>
  <c r="BJ151" i="4"/>
  <c r="EI151" i="4"/>
  <c r="EE66" i="4" s="1"/>
  <c r="M152" i="4"/>
  <c r="CL152" i="4"/>
  <c r="BV150" i="4"/>
  <c r="EU150" i="4"/>
  <c r="EP159" i="4"/>
  <c r="BQ159" i="4"/>
  <c r="CI159" i="4"/>
  <c r="J159" i="4"/>
  <c r="AZ113" i="4"/>
  <c r="DY113" i="4"/>
  <c r="DL113" i="4"/>
  <c r="AM113" i="4"/>
  <c r="BL99" i="4"/>
  <c r="EK99" i="4"/>
  <c r="AJ99" i="4"/>
  <c r="DI99" i="4"/>
  <c r="CK126" i="4"/>
  <c r="L126" i="4"/>
  <c r="BL126" i="4"/>
  <c r="EK126" i="4"/>
  <c r="AL97" i="4"/>
  <c r="DK97" i="4"/>
  <c r="EU97" i="4"/>
  <c r="BV97" i="4"/>
  <c r="DH98" i="4"/>
  <c r="AI98" i="4"/>
  <c r="CG98" i="4"/>
  <c r="CC13" i="4" s="1"/>
  <c r="H98" i="4"/>
  <c r="CA13" i="4" s="1"/>
  <c r="EL98" i="4"/>
  <c r="BM98" i="4"/>
  <c r="K156" i="4"/>
  <c r="CJ156" i="4"/>
  <c r="EI156" i="4"/>
  <c r="BJ156" i="4"/>
  <c r="DB108" i="4"/>
  <c r="AC108" i="4"/>
  <c r="BU108" i="4"/>
  <c r="ET108" i="4"/>
  <c r="DN120" i="4"/>
  <c r="AO120" i="4"/>
  <c r="DG120" i="4"/>
  <c r="AH120" i="4"/>
  <c r="DA35" i="4" s="1"/>
  <c r="CM115" i="4"/>
  <c r="N115" i="4"/>
  <c r="ER115" i="4"/>
  <c r="BS115" i="4"/>
  <c r="DU114" i="4"/>
  <c r="AV114" i="4"/>
  <c r="EU114" i="4"/>
  <c r="BV114" i="4"/>
  <c r="BO114" i="4"/>
  <c r="EN114" i="4"/>
  <c r="DZ114" i="4"/>
  <c r="BA114" i="4"/>
  <c r="DT114" i="4"/>
  <c r="AU114" i="4"/>
  <c r="AH101" i="4"/>
  <c r="DG101" i="4"/>
  <c r="DC16" i="4" s="1"/>
  <c r="CZ101" i="4"/>
  <c r="AA101" i="4"/>
  <c r="CS101" i="4"/>
  <c r="T101" i="4"/>
  <c r="ER101" i="4"/>
  <c r="BS101" i="4"/>
  <c r="DE106" i="4"/>
  <c r="AF106" i="4"/>
  <c r="CW106" i="4"/>
  <c r="X106" i="4"/>
  <c r="DA106" i="4"/>
  <c r="AB106" i="4"/>
  <c r="CO160" i="4"/>
  <c r="P160" i="4"/>
  <c r="EC160" i="4"/>
  <c r="BD160" i="4"/>
  <c r="EV162" i="4"/>
  <c r="EC149" i="4"/>
  <c r="BD149" i="4"/>
  <c r="Y125" i="4"/>
  <c r="CX125" i="4"/>
  <c r="EO125" i="4"/>
  <c r="BP125" i="4"/>
  <c r="DU95" i="4"/>
  <c r="AV95" i="4"/>
  <c r="EN95" i="4"/>
  <c r="BO95" i="4"/>
  <c r="DG142" i="4"/>
  <c r="AH142" i="4"/>
  <c r="ET127" i="4"/>
  <c r="BU127" i="4"/>
  <c r="DO127" i="4"/>
  <c r="AP127" i="4"/>
  <c r="BU158" i="4"/>
  <c r="ET158" i="4"/>
  <c r="DY158" i="4"/>
  <c r="AZ158" i="4"/>
  <c r="CH129" i="4"/>
  <c r="I129" i="4"/>
  <c r="DP141" i="4"/>
  <c r="AQ141" i="4"/>
  <c r="CG141" i="4"/>
  <c r="H141" i="4"/>
  <c r="CA56" i="4" s="1"/>
  <c r="DZ144" i="4"/>
  <c r="BA144" i="4"/>
  <c r="DK144" i="4"/>
  <c r="AL144" i="4"/>
  <c r="CI145" i="4"/>
  <c r="J145" i="4"/>
  <c r="CW145" i="4"/>
  <c r="X145" i="4"/>
  <c r="DK160" i="4"/>
  <c r="AL160" i="4"/>
  <c r="AC160" i="4"/>
  <c r="DB160" i="4"/>
  <c r="EH162" i="4"/>
  <c r="BI162" i="4"/>
  <c r="CY162" i="4"/>
  <c r="Z162" i="4"/>
  <c r="EF134" i="4"/>
  <c r="BG134" i="4"/>
  <c r="EB134" i="4"/>
  <c r="BC134" i="4"/>
  <c r="Z149" i="4"/>
  <c r="CY149" i="4"/>
  <c r="BG149" i="4"/>
  <c r="EF149" i="4"/>
  <c r="EB64" i="4" s="1"/>
  <c r="CW117" i="4"/>
  <c r="X117" i="4"/>
  <c r="BH117" i="4"/>
  <c r="EG117" i="4"/>
  <c r="AG125" i="4"/>
  <c r="DF125" i="4"/>
  <c r="DQ95" i="4"/>
  <c r="AR95" i="4"/>
  <c r="EC95" i="4"/>
  <c r="BD95" i="4"/>
  <c r="CJ95" i="4"/>
  <c r="K95" i="4"/>
  <c r="DO142" i="4"/>
  <c r="AP142" i="4"/>
  <c r="DR127" i="4"/>
  <c r="AS127" i="4"/>
  <c r="AL127" i="4"/>
  <c r="DK127" i="4"/>
  <c r="DG42" i="4" s="1"/>
  <c r="DP127" i="4"/>
  <c r="AQ127" i="4"/>
  <c r="Q158" i="4"/>
  <c r="CP158" i="4"/>
  <c r="EG158" i="4"/>
  <c r="BH158" i="4"/>
  <c r="J129" i="4"/>
  <c r="CI129" i="4"/>
  <c r="EB129" i="4"/>
  <c r="BC129" i="4"/>
  <c r="DI141" i="4"/>
  <c r="AJ141" i="4"/>
  <c r="EU141" i="4"/>
  <c r="BV141" i="4"/>
  <c r="DP144" i="4"/>
  <c r="AQ144" i="4"/>
  <c r="Y144" i="4"/>
  <c r="CX144" i="4"/>
  <c r="AU145" i="4"/>
  <c r="DT145" i="4"/>
  <c r="DJ145" i="4"/>
  <c r="AK145" i="4"/>
  <c r="BV132" i="4"/>
  <c r="EU132" i="4"/>
  <c r="EN132" i="4"/>
  <c r="BO132" i="4"/>
  <c r="CW135" i="4"/>
  <c r="X135" i="4"/>
  <c r="BX135" i="4"/>
  <c r="BY135" i="4"/>
  <c r="EW135" i="4"/>
  <c r="DU155" i="4"/>
  <c r="AV155" i="4"/>
  <c r="BJ155" i="4"/>
  <c r="EI155" i="4"/>
  <c r="EV139" i="4"/>
  <c r="BW139" i="4"/>
  <c r="AL139" i="4"/>
  <c r="DK139" i="4"/>
  <c r="CL104" i="4"/>
  <c r="M104" i="4"/>
  <c r="BI107" i="4"/>
  <c r="EH107" i="4"/>
  <c r="DE107" i="4"/>
  <c r="AF107" i="4"/>
  <c r="AZ100" i="4"/>
  <c r="DY100" i="4"/>
  <c r="AH100" i="4"/>
  <c r="DG100" i="4"/>
  <c r="BP118" i="4"/>
  <c r="EO118" i="4"/>
  <c r="ER109" i="4"/>
  <c r="BS109" i="4"/>
  <c r="BV109" i="4"/>
  <c r="EU109" i="4"/>
  <c r="DZ109" i="4"/>
  <c r="DV24" i="4" s="1"/>
  <c r="BA109" i="4"/>
  <c r="CS137" i="4"/>
  <c r="T137" i="4"/>
  <c r="EK137" i="4"/>
  <c r="BL137" i="4"/>
  <c r="CX163" i="4"/>
  <c r="Y163" i="4"/>
  <c r="DF163" i="4"/>
  <c r="AG163" i="4"/>
  <c r="CQ154" i="4"/>
  <c r="R154" i="4"/>
  <c r="EM103" i="4"/>
  <c r="BN103" i="4"/>
  <c r="CY122" i="4"/>
  <c r="Z122" i="4"/>
  <c r="CG124" i="4"/>
  <c r="H124" i="4"/>
  <c r="CA39" i="4" s="1"/>
  <c r="DO124" i="4"/>
  <c r="AP124" i="4"/>
  <c r="CU124" i="4"/>
  <c r="V124" i="4"/>
  <c r="DO116" i="4"/>
  <c r="AP116" i="4"/>
  <c r="BR116" i="4"/>
  <c r="EQ116" i="4"/>
  <c r="DV123" i="4"/>
  <c r="AW123" i="4"/>
  <c r="AW157" i="4"/>
  <c r="DV157" i="4"/>
  <c r="EL160" i="4"/>
  <c r="BM160" i="4"/>
  <c r="AI160" i="4"/>
  <c r="DH160" i="4"/>
  <c r="Q162" i="4"/>
  <c r="CP162" i="4"/>
  <c r="CX160" i="4"/>
  <c r="Y160" i="4"/>
  <c r="CM160" i="4"/>
  <c r="N160" i="4"/>
  <c r="BY160" i="4"/>
  <c r="BX160" i="4"/>
  <c r="EW160" i="4"/>
  <c r="AH160" i="4"/>
  <c r="DG160" i="4"/>
  <c r="DS160" i="4"/>
  <c r="AT160" i="4"/>
  <c r="BH160" i="4"/>
  <c r="EG160" i="4"/>
  <c r="BW160" i="4"/>
  <c r="EP75" i="4" s="1"/>
  <c r="EV160" i="4"/>
  <c r="AS160" i="4"/>
  <c r="DR160" i="4"/>
  <c r="ER160" i="4"/>
  <c r="BS160" i="4"/>
  <c r="AU162" i="4"/>
  <c r="DT162" i="4"/>
  <c r="N162" i="4"/>
  <c r="CM162" i="4"/>
  <c r="AM162" i="4"/>
  <c r="DL162" i="4"/>
  <c r="CF162" i="4"/>
  <c r="DJ162" i="4"/>
  <c r="AK162" i="4"/>
  <c r="BK162" i="4"/>
  <c r="EJ162" i="4"/>
  <c r="BL162" i="4"/>
  <c r="EK162" i="4"/>
  <c r="EE162" i="4"/>
  <c r="BF162" i="4"/>
  <c r="DX162" i="4"/>
  <c r="AY162" i="4"/>
  <c r="AW134" i="4"/>
  <c r="DV134" i="4"/>
  <c r="DR49" i="4" s="1"/>
  <c r="DG134" i="4"/>
  <c r="AH134" i="4"/>
  <c r="CZ134" i="4"/>
  <c r="AA134" i="4"/>
  <c r="AB134" i="4"/>
  <c r="DA134" i="4"/>
  <c r="AC134" i="4"/>
  <c r="DB134" i="4"/>
  <c r="DC134" i="4"/>
  <c r="AD134" i="4"/>
  <c r="CV134" i="4"/>
  <c r="W134" i="4"/>
  <c r="P134" i="4"/>
  <c r="CO134" i="4"/>
  <c r="BR134" i="4"/>
  <c r="EQ134" i="4"/>
  <c r="J149" i="4"/>
  <c r="CI149" i="4"/>
  <c r="DK149" i="4"/>
  <c r="AL149" i="4"/>
  <c r="CN149" i="4"/>
  <c r="O149" i="4"/>
  <c r="EB149" i="4"/>
  <c r="BC149" i="4"/>
  <c r="CT149" i="4"/>
  <c r="U149" i="4"/>
  <c r="DE149" i="4"/>
  <c r="AF149" i="4"/>
  <c r="AA149" i="4"/>
  <c r="CZ149" i="4"/>
  <c r="CS149" i="4"/>
  <c r="T149" i="4"/>
  <c r="BQ117" i="4"/>
  <c r="EP117" i="4"/>
  <c r="BR117" i="4"/>
  <c r="EQ117" i="4"/>
  <c r="EJ117" i="4"/>
  <c r="BK117" i="4"/>
  <c r="EC117" i="4"/>
  <c r="BD117" i="4"/>
  <c r="DV117" i="4"/>
  <c r="AW117" i="4"/>
  <c r="DO117" i="4"/>
  <c r="AP117" i="4"/>
  <c r="DH117" i="4"/>
  <c r="AI117" i="4"/>
  <c r="AB117" i="4"/>
  <c r="DA117" i="4"/>
  <c r="CW32" i="4" s="1"/>
  <c r="CL125" i="4"/>
  <c r="M125" i="4"/>
  <c r="CU125" i="4"/>
  <c r="V125" i="4"/>
  <c r="CN125" i="4"/>
  <c r="CJ40" i="4" s="1"/>
  <c r="O125" i="4"/>
  <c r="CG125" i="4"/>
  <c r="CC40" i="4" s="1"/>
  <c r="H125" i="4"/>
  <c r="CA40" i="4" s="1"/>
  <c r="ES125" i="4"/>
  <c r="BT125" i="4"/>
  <c r="EL125" i="4"/>
  <c r="BM125" i="4"/>
  <c r="BF125" i="4"/>
  <c r="EE125" i="4"/>
  <c r="AY125" i="4"/>
  <c r="DX125" i="4"/>
  <c r="DQ125" i="4"/>
  <c r="AR125" i="4"/>
  <c r="DY95" i="4"/>
  <c r="AZ95" i="4"/>
  <c r="CL95" i="4"/>
  <c r="M95" i="4"/>
  <c r="EI95" i="4"/>
  <c r="BJ95" i="4"/>
  <c r="DT95" i="4"/>
  <c r="AU95" i="4"/>
  <c r="CW95" i="4"/>
  <c r="X95" i="4"/>
  <c r="I95" i="4"/>
  <c r="CB10" i="4" s="1"/>
  <c r="CH95" i="4"/>
  <c r="BU95" i="4"/>
  <c r="ET95" i="4"/>
  <c r="BF95" i="4"/>
  <c r="EE95" i="4"/>
  <c r="DP95" i="4"/>
  <c r="AQ95" i="4"/>
  <c r="CW142" i="4"/>
  <c r="X142" i="4"/>
  <c r="DX142" i="4"/>
  <c r="AY142" i="4"/>
  <c r="EC142" i="4"/>
  <c r="BD142" i="4"/>
  <c r="DW57" i="4" s="1"/>
  <c r="CP142" i="4"/>
  <c r="Q142" i="4"/>
  <c r="CI142" i="4"/>
  <c r="J142" i="4"/>
  <c r="EU142" i="4"/>
  <c r="BV142" i="4"/>
  <c r="EO142" i="4"/>
  <c r="BP142" i="4"/>
  <c r="BI142" i="4"/>
  <c r="EH142" i="4"/>
  <c r="EB142" i="4"/>
  <c r="CG127" i="4"/>
  <c r="H127" i="4"/>
  <c r="CA42" i="4" s="1"/>
  <c r="DI127" i="4"/>
  <c r="AJ127" i="4"/>
  <c r="BJ127" i="4"/>
  <c r="EI127" i="4"/>
  <c r="DA127" i="4"/>
  <c r="CW42" i="4" s="1"/>
  <c r="AB127" i="4"/>
  <c r="BP127" i="4"/>
  <c r="EO127" i="4"/>
  <c r="CV127" i="4"/>
  <c r="CR42" i="4" s="1"/>
  <c r="W127" i="4"/>
  <c r="CQ127" i="4"/>
  <c r="R127" i="4"/>
  <c r="CJ127" i="4"/>
  <c r="K127" i="4"/>
  <c r="EV127" i="4"/>
  <c r="BW127" i="4"/>
  <c r="AM158" i="4"/>
  <c r="DL158" i="4"/>
  <c r="X158" i="4"/>
  <c r="CW158" i="4"/>
  <c r="AE158" i="4"/>
  <c r="DD158" i="4"/>
  <c r="AW158" i="4"/>
  <c r="DV158" i="4"/>
  <c r="DO158" i="4"/>
  <c r="AP158" i="4"/>
  <c r="DH158" i="4"/>
  <c r="DD73" i="4" s="1"/>
  <c r="AI158" i="4"/>
  <c r="DA158" i="4"/>
  <c r="AB158" i="4"/>
  <c r="CU158" i="4"/>
  <c r="V158" i="4"/>
  <c r="CO129" i="4"/>
  <c r="P129" i="4"/>
  <c r="BL129" i="4"/>
  <c r="EK129" i="4"/>
  <c r="AD129" i="4"/>
  <c r="DC129" i="4"/>
  <c r="DV129" i="4"/>
  <c r="AW129" i="4"/>
  <c r="DO129" i="4"/>
  <c r="AJ129" i="4"/>
  <c r="DI129" i="4"/>
  <c r="AC129" i="4"/>
  <c r="DB129" i="4"/>
  <c r="W129" i="4"/>
  <c r="CV129" i="4"/>
  <c r="DN141" i="4"/>
  <c r="AO141" i="4"/>
  <c r="CZ141" i="4"/>
  <c r="AA141" i="4"/>
  <c r="DF141" i="4"/>
  <c r="AG141" i="4"/>
  <c r="EF141" i="4"/>
  <c r="BG141" i="4"/>
  <c r="EO141" i="4"/>
  <c r="EK56" i="4" s="1"/>
  <c r="BP141" i="4"/>
  <c r="EH141" i="4"/>
  <c r="BI141" i="4"/>
  <c r="BC141" i="4"/>
  <c r="DV56" i="4" s="1"/>
  <c r="EB141" i="4"/>
  <c r="DU141" i="4"/>
  <c r="AV141" i="4"/>
  <c r="DO141" i="4"/>
  <c r="AP141" i="4"/>
  <c r="BN144" i="4"/>
  <c r="EM144" i="4"/>
  <c r="EO144" i="4"/>
  <c r="BP144" i="4"/>
  <c r="BF144" i="4"/>
  <c r="DY59" i="4" s="1"/>
  <c r="EE144" i="4"/>
  <c r="DA144" i="4"/>
  <c r="AB144" i="4"/>
  <c r="CM144" i="4"/>
  <c r="N144" i="4"/>
  <c r="CF144" i="4"/>
  <c r="ER144" i="4"/>
  <c r="BS144" i="4"/>
  <c r="EK144" i="4"/>
  <c r="BL144" i="4"/>
  <c r="ED144" i="4"/>
  <c r="AE145" i="4"/>
  <c r="DD145" i="4"/>
  <c r="DG145" i="4"/>
  <c r="AH145" i="4"/>
  <c r="W145" i="4"/>
  <c r="CV145" i="4"/>
  <c r="CX145" i="4"/>
  <c r="Y145" i="4"/>
  <c r="DU160" i="4"/>
  <c r="DQ75" i="4" s="1"/>
  <c r="AV160" i="4"/>
  <c r="BJ162" i="4"/>
  <c r="EI162" i="4"/>
  <c r="DJ149" i="4"/>
  <c r="AK149" i="4"/>
  <c r="DU149" i="4"/>
  <c r="AV149" i="4"/>
  <c r="CN117" i="4"/>
  <c r="CJ32" i="4" s="1"/>
  <c r="O117" i="4"/>
  <c r="DX117" i="4"/>
  <c r="AY117" i="4"/>
  <c r="CW125" i="4"/>
  <c r="X125" i="4"/>
  <c r="EG125" i="4"/>
  <c r="EC40" i="4" s="1"/>
  <c r="BH125" i="4"/>
  <c r="EH95" i="4"/>
  <c r="BI95" i="4"/>
  <c r="BV95" i="4"/>
  <c r="EU95" i="4"/>
  <c r="DK142" i="4"/>
  <c r="AL142" i="4"/>
  <c r="EH127" i="4"/>
  <c r="BI127" i="4"/>
  <c r="AA127" i="4"/>
  <c r="CZ127" i="4"/>
  <c r="DQ158" i="4"/>
  <c r="AR158" i="4"/>
  <c r="BT129" i="4"/>
  <c r="ES129" i="4"/>
  <c r="DL129" i="4"/>
  <c r="AM129" i="4"/>
  <c r="CL141" i="4"/>
  <c r="M141" i="4"/>
  <c r="CJ144" i="4"/>
  <c r="K144" i="4"/>
  <c r="CV144" i="4"/>
  <c r="W144" i="4"/>
  <c r="CO145" i="4"/>
  <c r="P145" i="4"/>
  <c r="DA145" i="4"/>
  <c r="AB145" i="4"/>
  <c r="H132" i="4"/>
  <c r="CA47" i="4" s="1"/>
  <c r="CG132" i="4"/>
  <c r="DX132" i="4"/>
  <c r="AY132" i="4"/>
  <c r="DK132" i="4"/>
  <c r="DG47" i="4" s="1"/>
  <c r="AL132" i="4"/>
  <c r="BH135" i="4"/>
  <c r="EG135" i="4"/>
  <c r="W155" i="4"/>
  <c r="CV155" i="4"/>
  <c r="AT155" i="4"/>
  <c r="DS155" i="4"/>
  <c r="W139" i="4"/>
  <c r="CV139" i="4"/>
  <c r="V139" i="4"/>
  <c r="CU139" i="4"/>
  <c r="EO104" i="4"/>
  <c r="BP104" i="4"/>
  <c r="BG107" i="4"/>
  <c r="EF107" i="4"/>
  <c r="ET107" i="4"/>
  <c r="BU107" i="4"/>
  <c r="DR100" i="4"/>
  <c r="AS100" i="4"/>
  <c r="R100" i="4"/>
  <c r="CQ100" i="4"/>
  <c r="BG118" i="4"/>
  <c r="EF118" i="4"/>
  <c r="DL118" i="4"/>
  <c r="AM118" i="4"/>
  <c r="ES109" i="4"/>
  <c r="BT109" i="4"/>
  <c r="DQ109" i="4"/>
  <c r="AR109" i="4"/>
  <c r="BW137" i="4"/>
  <c r="EV137" i="4"/>
  <c r="EB137" i="4"/>
  <c r="BC137" i="4"/>
  <c r="CQ138" i="4"/>
  <c r="R138" i="4"/>
  <c r="EO138" i="4"/>
  <c r="BP138" i="4"/>
  <c r="EW163" i="4"/>
  <c r="BY163" i="4"/>
  <c r="ER78" i="4" s="1"/>
  <c r="CK154" i="4"/>
  <c r="L154" i="4"/>
  <c r="DD154" i="4"/>
  <c r="AE154" i="4"/>
  <c r="AN154" i="4"/>
  <c r="DM154" i="4"/>
  <c r="CM103" i="4"/>
  <c r="CI18" i="4" s="1"/>
  <c r="N103" i="4"/>
  <c r="DW103" i="4"/>
  <c r="AX103" i="4"/>
  <c r="CP122" i="4"/>
  <c r="Q122" i="4"/>
  <c r="EC124" i="4"/>
  <c r="BD124" i="4"/>
  <c r="BQ124" i="4"/>
  <c r="EP124" i="4"/>
  <c r="EA116" i="4"/>
  <c r="BB116" i="4"/>
  <c r="CZ123" i="4"/>
  <c r="AA123" i="4"/>
  <c r="AU123" i="4"/>
  <c r="DT123" i="4"/>
  <c r="BU111" i="4"/>
  <c r="ET111" i="4"/>
  <c r="BI121" i="4"/>
  <c r="EH121" i="4"/>
  <c r="DU121" i="4"/>
  <c r="AV121" i="4"/>
  <c r="O133" i="4"/>
  <c r="CN133" i="4"/>
  <c r="CJ48" i="4" s="1"/>
  <c r="AY133" i="4"/>
  <c r="DX133" i="4"/>
  <c r="R143" i="4"/>
  <c r="CQ143" i="4"/>
  <c r="CM58" i="4" s="1"/>
  <c r="DZ153" i="4"/>
  <c r="BA153" i="4"/>
  <c r="DF153" i="4"/>
  <c r="AG153" i="4"/>
  <c r="AA157" i="4"/>
  <c r="CZ157" i="4"/>
  <c r="CO131" i="4"/>
  <c r="P131" i="4"/>
  <c r="DR131" i="4"/>
  <c r="AS131" i="4"/>
  <c r="DL46" i="4" s="1"/>
  <c r="DN148" i="4"/>
  <c r="AO148" i="4"/>
  <c r="K148" i="4"/>
  <c r="CJ148" i="4"/>
  <c r="AV119" i="4"/>
  <c r="DU119" i="4"/>
  <c r="CS119" i="4"/>
  <c r="T119" i="4"/>
  <c r="BK112" i="4"/>
  <c r="EJ112" i="4"/>
  <c r="DA112" i="4"/>
  <c r="AB112" i="4"/>
  <c r="H102" i="4"/>
  <c r="CA17" i="4" s="1"/>
  <c r="CG102" i="4"/>
  <c r="AR102" i="4"/>
  <c r="DQ102" i="4"/>
  <c r="Y161" i="4"/>
  <c r="CX161" i="4"/>
  <c r="BN161" i="4"/>
  <c r="EM161" i="4"/>
  <c r="DY147" i="4"/>
  <c r="AZ147" i="4"/>
  <c r="EJ164" i="4"/>
  <c r="BK164" i="4"/>
  <c r="AR146" i="4"/>
  <c r="DQ146" i="4"/>
  <c r="BM105" i="4"/>
  <c r="EL105" i="4"/>
  <c r="AN105" i="4"/>
  <c r="DM105" i="4"/>
  <c r="CS96" i="4"/>
  <c r="T96" i="4"/>
  <c r="BB136" i="4"/>
  <c r="EA136" i="4"/>
  <c r="Z136" i="4"/>
  <c r="CY136" i="4"/>
  <c r="BK110" i="4"/>
  <c r="EJ110" i="4"/>
  <c r="DX128" i="4"/>
  <c r="AY128" i="4"/>
  <c r="DV128" i="4"/>
  <c r="AW128" i="4"/>
  <c r="X130" i="4"/>
  <c r="CW130" i="4"/>
  <c r="CS45" i="4" s="1"/>
  <c r="CI130" i="4"/>
  <c r="J130" i="4"/>
  <c r="EN151" i="4"/>
  <c r="BO151" i="4"/>
  <c r="DU151" i="4"/>
  <c r="AV151" i="4"/>
  <c r="EE152" i="4"/>
  <c r="EA67" i="4" s="1"/>
  <c r="BF152" i="4"/>
  <c r="DK152" i="4"/>
  <c r="AL152" i="4"/>
  <c r="CR150" i="4"/>
  <c r="S150" i="4"/>
  <c r="BD150" i="4"/>
  <c r="EC150" i="4"/>
  <c r="CU140" i="4"/>
  <c r="V140" i="4"/>
  <c r="CP140" i="4"/>
  <c r="Q140" i="4"/>
  <c r="AL159" i="4"/>
  <c r="DK159" i="4"/>
  <c r="CO159" i="4"/>
  <c r="P159" i="4"/>
  <c r="AS113" i="4"/>
  <c r="DR113" i="4"/>
  <c r="CQ113" i="4"/>
  <c r="R113" i="4"/>
  <c r="AX99" i="4"/>
  <c r="DW99" i="4"/>
  <c r="DC99" i="4"/>
  <c r="AD99" i="4"/>
  <c r="CJ126" i="4"/>
  <c r="K126" i="4"/>
  <c r="BE126" i="4"/>
  <c r="ED126" i="4"/>
  <c r="AE97" i="4"/>
  <c r="DD97" i="4"/>
  <c r="EN97" i="4"/>
  <c r="BO97" i="4"/>
  <c r="AB98" i="4"/>
  <c r="DA98" i="4"/>
  <c r="ES98" i="4"/>
  <c r="BT98" i="4"/>
  <c r="DE156" i="4"/>
  <c r="AF156" i="4"/>
  <c r="BI156" i="4"/>
  <c r="EH156" i="4"/>
  <c r="DI108" i="4"/>
  <c r="AJ108" i="4"/>
  <c r="I108" i="4"/>
  <c r="CH108" i="4"/>
  <c r="BC120" i="4"/>
  <c r="EB120" i="4"/>
  <c r="CL115" i="4"/>
  <c r="M115" i="4"/>
  <c r="DI115" i="4"/>
  <c r="AJ115" i="4"/>
  <c r="U106" i="4"/>
  <c r="CN21" i="4" s="1"/>
  <c r="CT106" i="4"/>
  <c r="EQ160" i="4"/>
  <c r="BR160" i="4"/>
  <c r="BQ160" i="4"/>
  <c r="EP160" i="4"/>
  <c r="AO162" i="4"/>
  <c r="DN162" i="4"/>
  <c r="CQ162" i="4"/>
  <c r="R162" i="4"/>
  <c r="CH134" i="4"/>
  <c r="I134" i="4"/>
  <c r="CB49" i="4" s="1"/>
  <c r="DY134" i="4"/>
  <c r="AZ134" i="4"/>
  <c r="AN134" i="4"/>
  <c r="DM134" i="4"/>
  <c r="EA149" i="4"/>
  <c r="BB149" i="4"/>
  <c r="DQ149" i="4"/>
  <c r="AR149" i="4"/>
  <c r="CO117" i="4"/>
  <c r="P117" i="4"/>
  <c r="EM117" i="4"/>
  <c r="BN117" i="4"/>
  <c r="DE125" i="4"/>
  <c r="AF125" i="4"/>
  <c r="CJ125" i="4"/>
  <c r="K125" i="4"/>
  <c r="DJ95" i="4"/>
  <c r="AK95" i="4"/>
  <c r="EF142" i="4"/>
  <c r="BG142" i="4"/>
  <c r="CN142" i="4"/>
  <c r="O142" i="4"/>
  <c r="EL127" i="4"/>
  <c r="BM127" i="4"/>
  <c r="EF42" i="4" s="1"/>
  <c r="AI127" i="4"/>
  <c r="DH127" i="4"/>
  <c r="EM158" i="4"/>
  <c r="BN158" i="4"/>
  <c r="CJ129" i="4"/>
  <c r="K129" i="4"/>
  <c r="ET129" i="4"/>
  <c r="BU129" i="4"/>
  <c r="AU129" i="4"/>
  <c r="DT129" i="4"/>
  <c r="CT141" i="4"/>
  <c r="U141" i="4"/>
  <c r="DX144" i="4"/>
  <c r="AY144" i="4"/>
  <c r="X144" i="4"/>
  <c r="CW144" i="4"/>
  <c r="DP145" i="4"/>
  <c r="AQ145" i="4"/>
  <c r="T160" i="4"/>
  <c r="CS160" i="4"/>
  <c r="O162" i="4"/>
  <c r="CN162" i="4"/>
  <c r="CL162" i="4"/>
  <c r="M162" i="4"/>
  <c r="CP134" i="4"/>
  <c r="Q134" i="4"/>
  <c r="BI134" i="4"/>
  <c r="EH134" i="4"/>
  <c r="ET149" i="4"/>
  <c r="BU149" i="4"/>
  <c r="ER149" i="4"/>
  <c r="BS149" i="4"/>
  <c r="AL117" i="4"/>
  <c r="DK117" i="4"/>
  <c r="EU117" i="4"/>
  <c r="BV117" i="4"/>
  <c r="EA125" i="4"/>
  <c r="BB125" i="4"/>
  <c r="Z125" i="4"/>
  <c r="CY125" i="4"/>
  <c r="CN95" i="4"/>
  <c r="O95" i="4"/>
  <c r="Z95" i="4"/>
  <c r="CY95" i="4"/>
  <c r="CR142" i="4"/>
  <c r="S142" i="4"/>
  <c r="AC142" i="4"/>
  <c r="DB142" i="4"/>
  <c r="CO127" i="4"/>
  <c r="P127" i="4"/>
  <c r="O158" i="4"/>
  <c r="CN158" i="4"/>
  <c r="BV158" i="4"/>
  <c r="EU158" i="4"/>
  <c r="AA129" i="4"/>
  <c r="CT44" i="4" s="1"/>
  <c r="CZ129" i="4"/>
  <c r="BI129" i="4"/>
  <c r="EH129" i="4"/>
  <c r="AD141" i="4"/>
  <c r="DC141" i="4"/>
  <c r="CI141" i="4"/>
  <c r="J141" i="4"/>
  <c r="EP144" i="4"/>
  <c r="BQ144" i="4"/>
  <c r="EJ59" i="4" s="1"/>
  <c r="DS144" i="4"/>
  <c r="AT144" i="4"/>
  <c r="AF144" i="4"/>
  <c r="DE144" i="4"/>
  <c r="DE145" i="4"/>
  <c r="AF145" i="4"/>
  <c r="DQ145" i="4"/>
  <c r="AR145" i="4"/>
  <c r="Q132" i="4"/>
  <c r="CP132" i="4"/>
  <c r="BA132" i="4"/>
  <c r="DZ132" i="4"/>
  <c r="Z135" i="4"/>
  <c r="CY135" i="4"/>
  <c r="EP135" i="4"/>
  <c r="BQ135" i="4"/>
  <c r="BT155" i="4"/>
  <c r="ES155" i="4"/>
  <c r="EO139" i="4"/>
  <c r="BP139" i="4"/>
  <c r="DO139" i="4"/>
  <c r="AP139" i="4"/>
  <c r="ED104" i="4"/>
  <c r="BE104" i="4"/>
  <c r="DM104" i="4"/>
  <c r="AN104" i="4"/>
  <c r="BW107" i="4"/>
  <c r="EV107" i="4"/>
  <c r="L107" i="4"/>
  <c r="CK107" i="4"/>
  <c r="EB100" i="4"/>
  <c r="BC100" i="4"/>
  <c r="BV118" i="4"/>
  <c r="EU118" i="4"/>
  <c r="EH118" i="4"/>
  <c r="BI118" i="4"/>
  <c r="Q109" i="4"/>
  <c r="CP109" i="4"/>
  <c r="AV138" i="4"/>
  <c r="DU138" i="4"/>
  <c r="CS138" i="4"/>
  <c r="T138" i="4"/>
  <c r="DH163" i="4"/>
  <c r="AI163" i="4"/>
  <c r="DE163" i="4"/>
  <c r="AF163" i="4"/>
  <c r="DL154" i="4"/>
  <c r="AM154" i="4"/>
  <c r="BD154" i="4"/>
  <c r="EC154" i="4"/>
  <c r="DY69" i="4" s="1"/>
  <c r="AC103" i="4"/>
  <c r="DB103" i="4"/>
  <c r="DT122" i="4"/>
  <c r="AU122" i="4"/>
  <c r="EW122" i="4"/>
  <c r="BX122" i="4"/>
  <c r="BY122" i="4"/>
  <c r="CT124" i="4"/>
  <c r="U124" i="4"/>
  <c r="DX123" i="4"/>
  <c r="AY123" i="4"/>
  <c r="K131" i="4"/>
  <c r="CJ131" i="4"/>
  <c r="EA160" i="4"/>
  <c r="DW75" i="4" s="1"/>
  <c r="BB160" i="4"/>
  <c r="DF160" i="4"/>
  <c r="AG160" i="4"/>
  <c r="CU160" i="4"/>
  <c r="V160" i="4"/>
  <c r="AR160" i="4"/>
  <c r="DQ160" i="4"/>
  <c r="BG160" i="4"/>
  <c r="EF160" i="4"/>
  <c r="EU160" i="4"/>
  <c r="BV160" i="4"/>
  <c r="EO75" i="4" s="1"/>
  <c r="CF160" i="4"/>
  <c r="CB75" i="4" s="1"/>
  <c r="BA160" i="4"/>
  <c r="DZ160" i="4"/>
  <c r="DM160" i="4"/>
  <c r="AN160" i="4"/>
  <c r="DZ162" i="4"/>
  <c r="DV77" i="4" s="1"/>
  <c r="BA162" i="4"/>
  <c r="AE162" i="4"/>
  <c r="DD162" i="4"/>
  <c r="BE162" i="4"/>
  <c r="ED162" i="4"/>
  <c r="CT162" i="4"/>
  <c r="U162" i="4"/>
  <c r="AW162" i="4"/>
  <c r="DV162" i="4"/>
  <c r="H162" i="4"/>
  <c r="CA77" i="4" s="1"/>
  <c r="CG162" i="4"/>
  <c r="BT162" i="4"/>
  <c r="ES162" i="4"/>
  <c r="EO77" i="4" s="1"/>
  <c r="EM162" i="4"/>
  <c r="BN162" i="4"/>
  <c r="EF162" i="4"/>
  <c r="EB77" i="4" s="1"/>
  <c r="BG162" i="4"/>
  <c r="BE134" i="4"/>
  <c r="ED134" i="4"/>
  <c r="DO134" i="4"/>
  <c r="AP134" i="4"/>
  <c r="AI134" i="4"/>
  <c r="DH134" i="4"/>
  <c r="AJ134" i="4"/>
  <c r="DI134" i="4"/>
  <c r="AK134" i="4"/>
  <c r="DJ134" i="4"/>
  <c r="DK134" i="4"/>
  <c r="AL134" i="4"/>
  <c r="DD134" i="4"/>
  <c r="CZ49" i="4" s="1"/>
  <c r="AE134" i="4"/>
  <c r="X134" i="4"/>
  <c r="CW134" i="4"/>
  <c r="ER134" i="4"/>
  <c r="EN49" i="4" s="1"/>
  <c r="BS134" i="4"/>
  <c r="CV149" i="4"/>
  <c r="W149" i="4"/>
  <c r="AX149" i="4"/>
  <c r="DW149" i="4"/>
  <c r="DB149" i="4"/>
  <c r="AC149" i="4"/>
  <c r="EP149" i="4"/>
  <c r="BQ149" i="4"/>
  <c r="AG149" i="4"/>
  <c r="DF149" i="4"/>
  <c r="DM149" i="4"/>
  <c r="AN149" i="4"/>
  <c r="AI149" i="4"/>
  <c r="DH149" i="4"/>
  <c r="DA149" i="4"/>
  <c r="AB149" i="4"/>
  <c r="U117" i="4"/>
  <c r="CT117" i="4"/>
  <c r="CF117" i="4"/>
  <c r="ER117" i="4"/>
  <c r="BS117" i="4"/>
  <c r="EK117" i="4"/>
  <c r="BL117" i="4"/>
  <c r="ED117" i="4"/>
  <c r="BE117" i="4"/>
  <c r="DW117" i="4"/>
  <c r="AX117" i="4"/>
  <c r="DP117" i="4"/>
  <c r="AQ117" i="4"/>
  <c r="AJ117" i="4"/>
  <c r="DI117" i="4"/>
  <c r="CT125" i="4"/>
  <c r="U125" i="4"/>
  <c r="DC125" i="4"/>
  <c r="CY40" i="4" s="1"/>
  <c r="AD125" i="4"/>
  <c r="CV125" i="4"/>
  <c r="W125" i="4"/>
  <c r="CO125" i="4"/>
  <c r="P125" i="4"/>
  <c r="I125" i="4"/>
  <c r="CH125" i="4"/>
  <c r="ET125" i="4"/>
  <c r="BU125" i="4"/>
  <c r="BN125" i="4"/>
  <c r="EM125" i="4"/>
  <c r="BG125" i="4"/>
  <c r="EF125" i="4"/>
  <c r="DY125" i="4"/>
  <c r="AZ125" i="4"/>
  <c r="EG95" i="4"/>
  <c r="BH95" i="4"/>
  <c r="EP95" i="4"/>
  <c r="BQ95" i="4"/>
  <c r="EQ95" i="4"/>
  <c r="BR95" i="4"/>
  <c r="EB95" i="4"/>
  <c r="DX10" i="4" s="1"/>
  <c r="BC95" i="4"/>
  <c r="DE95" i="4"/>
  <c r="AF95" i="4"/>
  <c r="Q95" i="4"/>
  <c r="CP95" i="4"/>
  <c r="DB95" i="4"/>
  <c r="AC95" i="4"/>
  <c r="BN95" i="4"/>
  <c r="EM95" i="4"/>
  <c r="DX95" i="4"/>
  <c r="AY95" i="4"/>
  <c r="DS142" i="4"/>
  <c r="AT142" i="4"/>
  <c r="ES142" i="4"/>
  <c r="BT142" i="4"/>
  <c r="CO142" i="4"/>
  <c r="P142" i="4"/>
  <c r="CX142" i="4"/>
  <c r="CT57" i="4" s="1"/>
  <c r="Y142" i="4"/>
  <c r="CQ142" i="4"/>
  <c r="CM57" i="4" s="1"/>
  <c r="R142" i="4"/>
  <c r="L142" i="4"/>
  <c r="CK142" i="4"/>
  <c r="BY142" i="4"/>
  <c r="EW142" i="4"/>
  <c r="BX142" i="4"/>
  <c r="BQ142" i="4"/>
  <c r="EP142" i="4"/>
  <c r="EJ142" i="4"/>
  <c r="BK142" i="4"/>
  <c r="U127" i="4"/>
  <c r="CT127" i="4"/>
  <c r="DU127" i="4"/>
  <c r="AV127" i="4"/>
  <c r="BY127" i="4"/>
  <c r="EW127" i="4"/>
  <c r="BX127" i="4"/>
  <c r="DM127" i="4"/>
  <c r="CP127" i="4"/>
  <c r="Q127" i="4"/>
  <c r="DD127" i="4"/>
  <c r="AE127" i="4"/>
  <c r="CY127" i="4"/>
  <c r="Z127" i="4"/>
  <c r="CR127" i="4"/>
  <c r="S127" i="4"/>
  <c r="CL158" i="4"/>
  <c r="CH73" i="4" s="1"/>
  <c r="M158" i="4"/>
  <c r="EH158" i="4"/>
  <c r="BI158" i="4"/>
  <c r="AU158" i="4"/>
  <c r="DT158" i="4"/>
  <c r="DZ158" i="4"/>
  <c r="BA158" i="4"/>
  <c r="BE158" i="4"/>
  <c r="ED158" i="4"/>
  <c r="DW158" i="4"/>
  <c r="DS73" i="4" s="1"/>
  <c r="AX158" i="4"/>
  <c r="DP158" i="4"/>
  <c r="DL73" i="4" s="1"/>
  <c r="AQ158" i="4"/>
  <c r="DI158" i="4"/>
  <c r="AJ158" i="4"/>
  <c r="DC158" i="4"/>
  <c r="AD158" i="4"/>
  <c r="BB129" i="4"/>
  <c r="EA129" i="4"/>
  <c r="AL129" i="4"/>
  <c r="DK129" i="4"/>
  <c r="DG44" i="4" s="1"/>
  <c r="CW129" i="4"/>
  <c r="X129" i="4"/>
  <c r="AY129" i="4"/>
  <c r="DX129" i="4"/>
  <c r="ED129" i="4"/>
  <c r="BE129" i="4"/>
  <c r="DW129" i="4"/>
  <c r="AX129" i="4"/>
  <c r="DQ129" i="4"/>
  <c r="AR129" i="4"/>
  <c r="AK129" i="4"/>
  <c r="DJ129" i="4"/>
  <c r="DD129" i="4"/>
  <c r="AE129" i="4"/>
  <c r="EI141" i="4"/>
  <c r="BJ141" i="4"/>
  <c r="DV141" i="4"/>
  <c r="AW141" i="4"/>
  <c r="L141" i="4"/>
  <c r="CK141" i="4"/>
  <c r="EW141" i="4"/>
  <c r="BX141" i="4"/>
  <c r="BY141" i="4"/>
  <c r="EP141" i="4"/>
  <c r="BQ141" i="4"/>
  <c r="BK141" i="4"/>
  <c r="EJ141" i="4"/>
  <c r="BD141" i="4"/>
  <c r="EC141" i="4"/>
  <c r="DW141" i="4"/>
  <c r="AX141" i="4"/>
  <c r="CR144" i="4"/>
  <c r="S144" i="4"/>
  <c r="CT144" i="4"/>
  <c r="U144" i="4"/>
  <c r="BV144" i="4"/>
  <c r="EU144" i="4"/>
  <c r="DQ144" i="4"/>
  <c r="AR144" i="4"/>
  <c r="CU144" i="4"/>
  <c r="V144" i="4"/>
  <c r="CN144" i="4"/>
  <c r="O144" i="4"/>
  <c r="H144" i="4"/>
  <c r="CA59" i="4" s="1"/>
  <c r="CG144" i="4"/>
  <c r="ES144" i="4"/>
  <c r="BT144" i="4"/>
  <c r="BM144" i="4"/>
  <c r="EL144" i="4"/>
  <c r="DW145" i="4"/>
  <c r="AX145" i="4"/>
  <c r="EC145" i="4"/>
  <c r="DY60" i="4" s="1"/>
  <c r="BD145" i="4"/>
  <c r="DO145" i="4"/>
  <c r="AP145" i="4"/>
  <c r="DF145" i="4"/>
  <c r="AG145" i="4"/>
  <c r="CZ145" i="4"/>
  <c r="AA145" i="4"/>
  <c r="CS145" i="4"/>
  <c r="T145" i="4"/>
  <c r="CL145" i="4"/>
  <c r="M145" i="4"/>
  <c r="CF132" i="4"/>
  <c r="P132" i="4"/>
  <c r="CO132" i="4"/>
  <c r="I132" i="4"/>
  <c r="CH132" i="4"/>
  <c r="BU132" i="4"/>
  <c r="ET132" i="4"/>
  <c r="BN132" i="4"/>
  <c r="EM132" i="4"/>
  <c r="EF132" i="4"/>
  <c r="BG132" i="4"/>
  <c r="DY132" i="4"/>
  <c r="AZ132" i="4"/>
  <c r="DS132" i="4"/>
  <c r="AT132" i="4"/>
  <c r="DM47" i="4" s="1"/>
  <c r="AM135" i="4"/>
  <c r="DL135" i="4"/>
  <c r="BC135" i="4"/>
  <c r="EB135" i="4"/>
  <c r="Y135" i="4"/>
  <c r="CX135" i="4"/>
  <c r="R135" i="4"/>
  <c r="CQ135" i="4"/>
  <c r="K135" i="4"/>
  <c r="CJ135" i="4"/>
  <c r="BW135" i="4"/>
  <c r="EV135" i="4"/>
  <c r="BP135" i="4"/>
  <c r="EO135" i="4"/>
  <c r="EH135" i="4"/>
  <c r="BI135" i="4"/>
  <c r="EI135" i="4"/>
  <c r="BJ135" i="4"/>
  <c r="AE155" i="4"/>
  <c r="DD155" i="4"/>
  <c r="EE155" i="4"/>
  <c r="BF155" i="4"/>
  <c r="DG155" i="4"/>
  <c r="AH155" i="4"/>
  <c r="CK155" i="4"/>
  <c r="L155" i="4"/>
  <c r="DY155" i="4"/>
  <c r="AZ155" i="4"/>
  <c r="EF155" i="4"/>
  <c r="BG155" i="4"/>
  <c r="BA155" i="4"/>
  <c r="DZ155" i="4"/>
  <c r="BB155" i="4"/>
  <c r="EA155" i="4"/>
  <c r="EN139" i="4"/>
  <c r="BO139" i="4"/>
  <c r="BD139" i="4"/>
  <c r="EC139" i="4"/>
  <c r="CG139" i="4"/>
  <c r="H139" i="4"/>
  <c r="CA54" i="4" s="1"/>
  <c r="DH139" i="4"/>
  <c r="AI139" i="4"/>
  <c r="BK139" i="4"/>
  <c r="EJ139" i="4"/>
  <c r="O139" i="4"/>
  <c r="CN139" i="4"/>
  <c r="DG139" i="4"/>
  <c r="AH139" i="4"/>
  <c r="AC139" i="4"/>
  <c r="DB139" i="4"/>
  <c r="AD139" i="4"/>
  <c r="DC139" i="4"/>
  <c r="DV104" i="4"/>
  <c r="AW104" i="4"/>
  <c r="AH104" i="4"/>
  <c r="DG104" i="4"/>
  <c r="S104" i="4"/>
  <c r="CR104" i="4"/>
  <c r="CK104" i="4"/>
  <c r="L104" i="4"/>
  <c r="EW104" i="4"/>
  <c r="BX104" i="4"/>
  <c r="BY104" i="4"/>
  <c r="EP104" i="4"/>
  <c r="BQ104" i="4"/>
  <c r="BJ104" i="4"/>
  <c r="EI104" i="4"/>
  <c r="DT104" i="4"/>
  <c r="AU104" i="4"/>
  <c r="AC107" i="4"/>
  <c r="DB107" i="4"/>
  <c r="AQ107" i="4"/>
  <c r="DP107" i="4"/>
  <c r="DK107" i="4"/>
  <c r="AL107" i="4"/>
  <c r="DD107" i="4"/>
  <c r="AE107" i="4"/>
  <c r="CW107" i="4"/>
  <c r="X107" i="4"/>
  <c r="CP107" i="4"/>
  <c r="Q107" i="4"/>
  <c r="J107" i="4"/>
  <c r="CI107" i="4"/>
  <c r="EU107" i="4"/>
  <c r="BV107" i="4"/>
  <c r="BP107" i="4"/>
  <c r="EO107" i="4"/>
  <c r="AR100" i="4"/>
  <c r="DQ100" i="4"/>
  <c r="DM15" i="4" s="1"/>
  <c r="DZ100" i="4"/>
  <c r="BA100" i="4"/>
  <c r="EA100" i="4"/>
  <c r="BB100" i="4"/>
  <c r="DT100" i="4"/>
  <c r="AU100" i="4"/>
  <c r="DM100" i="4"/>
  <c r="AN100" i="4"/>
  <c r="DF100" i="4"/>
  <c r="AG100" i="4"/>
  <c r="Z100" i="4"/>
  <c r="CY100" i="4"/>
  <c r="S100" i="4"/>
  <c r="CR100" i="4"/>
  <c r="J118" i="4"/>
  <c r="CI118" i="4"/>
  <c r="EM118" i="4"/>
  <c r="BN118" i="4"/>
  <c r="BO118" i="4"/>
  <c r="EN118" i="4"/>
  <c r="BH118" i="4"/>
  <c r="EA33" i="4" s="1"/>
  <c r="EG118" i="4"/>
  <c r="DZ118" i="4"/>
  <c r="BA118" i="4"/>
  <c r="EA118" i="4"/>
  <c r="BB118" i="4"/>
  <c r="DT118" i="4"/>
  <c r="AU118" i="4"/>
  <c r="DM118" i="4"/>
  <c r="AN118" i="4"/>
  <c r="DF118" i="4"/>
  <c r="AG118" i="4"/>
  <c r="CF109" i="4"/>
  <c r="P109" i="4"/>
  <c r="CO109" i="4"/>
  <c r="I109" i="4"/>
  <c r="CH109" i="4"/>
  <c r="BU109" i="4"/>
  <c r="ET109" i="4"/>
  <c r="BN109" i="4"/>
  <c r="EM109" i="4"/>
  <c r="BG109" i="4"/>
  <c r="EF109" i="4"/>
  <c r="AZ109" i="4"/>
  <c r="DY109" i="4"/>
  <c r="DR109" i="4"/>
  <c r="AS109" i="4"/>
  <c r="DS109" i="4"/>
  <c r="AT109" i="4"/>
  <c r="BE137" i="4"/>
  <c r="ED137" i="4"/>
  <c r="Z137" i="4"/>
  <c r="CY137" i="4"/>
  <c r="S137" i="4"/>
  <c r="CR137" i="4"/>
  <c r="CK137" i="4"/>
  <c r="L137" i="4"/>
  <c r="BX137" i="4"/>
  <c r="BY137" i="4"/>
  <c r="EW137" i="4"/>
  <c r="EP137" i="4"/>
  <c r="BQ137" i="4"/>
  <c r="EQ137" i="4"/>
  <c r="BR137" i="4"/>
  <c r="EJ137" i="4"/>
  <c r="BK137" i="4"/>
  <c r="EC137" i="4"/>
  <c r="BD137" i="4"/>
  <c r="EA138" i="4"/>
  <c r="BB138" i="4"/>
  <c r="AU138" i="4"/>
  <c r="DT138" i="4"/>
  <c r="AN138" i="4"/>
  <c r="DM138" i="4"/>
  <c r="AG138" i="4"/>
  <c r="DF138" i="4"/>
  <c r="CY138" i="4"/>
  <c r="Z138" i="4"/>
  <c r="CR138" i="4"/>
  <c r="S138" i="4"/>
  <c r="CK138" i="4"/>
  <c r="L138" i="4"/>
  <c r="EW138" i="4"/>
  <c r="BX138" i="4"/>
  <c r="BY138" i="4"/>
  <c r="EP138" i="4"/>
  <c r="BQ138" i="4"/>
  <c r="CI163" i="4"/>
  <c r="J163" i="4"/>
  <c r="CK163" i="4"/>
  <c r="L163" i="4"/>
  <c r="T163" i="4"/>
  <c r="CS163" i="4"/>
  <c r="DN163" i="4"/>
  <c r="AO163" i="4"/>
  <c r="CR163" i="4"/>
  <c r="S163" i="4"/>
  <c r="AK163" i="4"/>
  <c r="DJ163" i="4"/>
  <c r="AE163" i="4"/>
  <c r="DD163" i="4"/>
  <c r="CW163" i="4"/>
  <c r="X163" i="4"/>
  <c r="AU154" i="4"/>
  <c r="DT154" i="4"/>
  <c r="DP69" i="4" s="1"/>
  <c r="BK154" i="4"/>
  <c r="EJ154" i="4"/>
  <c r="EW154" i="4"/>
  <c r="BX154" i="4"/>
  <c r="BY154" i="4"/>
  <c r="CZ154" i="4"/>
  <c r="AA154" i="4"/>
  <c r="DQ154" i="4"/>
  <c r="AR154" i="4"/>
  <c r="EA154" i="4"/>
  <c r="BB154" i="4"/>
  <c r="AV154" i="4"/>
  <c r="DU154" i="4"/>
  <c r="AO154" i="4"/>
  <c r="DN154" i="4"/>
  <c r="CZ103" i="4"/>
  <c r="AA103" i="4"/>
  <c r="AB103" i="4"/>
  <c r="DA103" i="4"/>
  <c r="U103" i="4"/>
  <c r="CT103" i="4"/>
  <c r="CU103" i="4"/>
  <c r="V103" i="4"/>
  <c r="O103" i="4"/>
  <c r="CG103" i="4"/>
  <c r="H103" i="4"/>
  <c r="CA18" i="4" s="1"/>
  <c r="ES103" i="4"/>
  <c r="BT103" i="4"/>
  <c r="EL103" i="4"/>
  <c r="BM103" i="4"/>
  <c r="EE103" i="4"/>
  <c r="BF103" i="4"/>
  <c r="DC122" i="4"/>
  <c r="AD122" i="4"/>
  <c r="DL122" i="4"/>
  <c r="AM122" i="4"/>
  <c r="AF122" i="4"/>
  <c r="DE122" i="4"/>
  <c r="CX122" i="4"/>
  <c r="Y122" i="4"/>
  <c r="CQ122" i="4"/>
  <c r="R122" i="4"/>
  <c r="CJ122" i="4"/>
  <c r="K122" i="4"/>
  <c r="EV122" i="4"/>
  <c r="BW122" i="4"/>
  <c r="EO122" i="4"/>
  <c r="BP122" i="4"/>
  <c r="EH122" i="4"/>
  <c r="BI122" i="4"/>
  <c r="EK124" i="4"/>
  <c r="BL124" i="4"/>
  <c r="DN124" i="4"/>
  <c r="AO124" i="4"/>
  <c r="DG124" i="4"/>
  <c r="AH124" i="4"/>
  <c r="AA124" i="4"/>
  <c r="CZ124" i="4"/>
  <c r="T124" i="4"/>
  <c r="CS124" i="4"/>
  <c r="CL124" i="4"/>
  <c r="M124" i="4"/>
  <c r="CM124" i="4"/>
  <c r="N124" i="4"/>
  <c r="CF124" i="4"/>
  <c r="ER124" i="4"/>
  <c r="BS124" i="4"/>
  <c r="DG116" i="4"/>
  <c r="AH116" i="4"/>
  <c r="EF116" i="4"/>
  <c r="BG116" i="4"/>
  <c r="EG116" i="4"/>
  <c r="BH116" i="4"/>
  <c r="EH116" i="4"/>
  <c r="BI116" i="4"/>
  <c r="BJ116" i="4"/>
  <c r="EI116" i="4"/>
  <c r="BC116" i="4"/>
  <c r="EB116" i="4"/>
  <c r="AV116" i="4"/>
  <c r="DU116" i="4"/>
  <c r="DN116" i="4"/>
  <c r="AO116" i="4"/>
  <c r="DP123" i="4"/>
  <c r="AQ123" i="4"/>
  <c r="EO123" i="4"/>
  <c r="BP123" i="4"/>
  <c r="EH123" i="4"/>
  <c r="BI123" i="4"/>
  <c r="BJ123" i="4"/>
  <c r="EI123" i="4"/>
  <c r="BC123" i="4"/>
  <c r="EB123" i="4"/>
  <c r="DU123" i="4"/>
  <c r="AV123" i="4"/>
  <c r="DN123" i="4"/>
  <c r="AO123" i="4"/>
  <c r="DG123" i="4"/>
  <c r="DC38" i="4" s="1"/>
  <c r="AH123" i="4"/>
  <c r="Q111" i="4"/>
  <c r="CP111" i="4"/>
  <c r="CI111" i="4"/>
  <c r="J111" i="4"/>
  <c r="BV111" i="4"/>
  <c r="EU111" i="4"/>
  <c r="EN111" i="4"/>
  <c r="BO111" i="4"/>
  <c r="EG111" i="4"/>
  <c r="BH111" i="4"/>
  <c r="DZ111" i="4"/>
  <c r="BA111" i="4"/>
  <c r="EA111" i="4"/>
  <c r="BB111" i="4"/>
  <c r="DT111" i="4"/>
  <c r="AU111" i="4"/>
  <c r="DM111" i="4"/>
  <c r="AN111" i="4"/>
  <c r="DN121" i="4"/>
  <c r="AO121" i="4"/>
  <c r="Z121" i="4"/>
  <c r="CY121" i="4"/>
  <c r="S121" i="4"/>
  <c r="CR121" i="4"/>
  <c r="L121" i="4"/>
  <c r="CK121" i="4"/>
  <c r="BY121" i="4"/>
  <c r="EW121" i="4"/>
  <c r="BX121" i="4"/>
  <c r="BQ121" i="4"/>
  <c r="EP121" i="4"/>
  <c r="BR121" i="4"/>
  <c r="EQ121" i="4"/>
  <c r="EJ121" i="4"/>
  <c r="BK121" i="4"/>
  <c r="EC121" i="4"/>
  <c r="BD121" i="4"/>
  <c r="EG133" i="4"/>
  <c r="BH133" i="4"/>
  <c r="AC133" i="4"/>
  <c r="DB133" i="4"/>
  <c r="AD133" i="4"/>
  <c r="DC133" i="4"/>
  <c r="W133" i="4"/>
  <c r="CV133" i="4"/>
  <c r="CO133" i="4"/>
  <c r="P133" i="4"/>
  <c r="CH133" i="4"/>
  <c r="I133" i="4"/>
  <c r="ET133" i="4"/>
  <c r="BU133" i="4"/>
  <c r="EM133" i="4"/>
  <c r="BN133" i="4"/>
  <c r="BG133" i="4"/>
  <c r="EF133" i="4"/>
  <c r="DZ143" i="4"/>
  <c r="BA143" i="4"/>
  <c r="EA143" i="4"/>
  <c r="DW58" i="4" s="1"/>
  <c r="BB143" i="4"/>
  <c r="DT143" i="4"/>
  <c r="AU143" i="4"/>
  <c r="DM143" i="4"/>
  <c r="AN143" i="4"/>
  <c r="DF143" i="4"/>
  <c r="AG143" i="4"/>
  <c r="Z143" i="4"/>
  <c r="CY143" i="4"/>
  <c r="S143" i="4"/>
  <c r="CR143" i="4"/>
  <c r="CK143" i="4"/>
  <c r="L143" i="4"/>
  <c r="BX143" i="4"/>
  <c r="BY143" i="4"/>
  <c r="EW143" i="4"/>
  <c r="CO153" i="4"/>
  <c r="P153" i="4"/>
  <c r="DS153" i="4"/>
  <c r="AT153" i="4"/>
  <c r="ES153" i="4"/>
  <c r="BT153" i="4"/>
  <c r="CW153" i="4"/>
  <c r="X153" i="4"/>
  <c r="AO153" i="4"/>
  <c r="DN153" i="4"/>
  <c r="AI153" i="4"/>
  <c r="DH153" i="4"/>
  <c r="DA153" i="4"/>
  <c r="AB153" i="4"/>
  <c r="DE157" i="4"/>
  <c r="AF157" i="4"/>
  <c r="AI157" i="4"/>
  <c r="DH157" i="4"/>
  <c r="CW157" i="4"/>
  <c r="X157" i="4"/>
  <c r="AX157" i="4"/>
  <c r="DW157" i="4"/>
  <c r="EG157" i="4"/>
  <c r="EC72" i="4" s="1"/>
  <c r="BH157" i="4"/>
  <c r="DZ157" i="4"/>
  <c r="BA157" i="4"/>
  <c r="EA157" i="4"/>
  <c r="BB157" i="4"/>
  <c r="DT157" i="4"/>
  <c r="AU157" i="4"/>
  <c r="AO157" i="4"/>
  <c r="DN157" i="4"/>
  <c r="DJ72" i="4" s="1"/>
  <c r="Z131" i="4"/>
  <c r="CY131" i="4"/>
  <c r="BN131" i="4"/>
  <c r="EM131" i="4"/>
  <c r="BO131" i="4"/>
  <c r="EN131" i="4"/>
  <c r="BH131" i="4"/>
  <c r="EG131" i="4"/>
  <c r="DZ131" i="4"/>
  <c r="BA131" i="4"/>
  <c r="EA131" i="4"/>
  <c r="DW46" i="4" s="1"/>
  <c r="BB131" i="4"/>
  <c r="AU131" i="4"/>
  <c r="DT131" i="4"/>
  <c r="EK131" i="4"/>
  <c r="BL131" i="4"/>
  <c r="ED131" i="4"/>
  <c r="BE131" i="4"/>
  <c r="CP148" i="4"/>
  <c r="Q148" i="4"/>
  <c r="ED148" i="4"/>
  <c r="BE148" i="4"/>
  <c r="CH148" i="4"/>
  <c r="I148" i="4"/>
  <c r="AJ148" i="4"/>
  <c r="DI148" i="4"/>
  <c r="EK148" i="4"/>
  <c r="BL148" i="4"/>
  <c r="S148" i="4"/>
  <c r="CR148" i="4"/>
  <c r="CM148" i="4"/>
  <c r="N148" i="4"/>
  <c r="CF148" i="4"/>
  <c r="ER148" i="4"/>
  <c r="BS148" i="4"/>
  <c r="DL119" i="4"/>
  <c r="AM119" i="4"/>
  <c r="EC119" i="4"/>
  <c r="BD119" i="4"/>
  <c r="AW119" i="4"/>
  <c r="DV119" i="4"/>
  <c r="AP119" i="4"/>
  <c r="DO119" i="4"/>
  <c r="DH119" i="4"/>
  <c r="AI119" i="4"/>
  <c r="DA119" i="4"/>
  <c r="AB119" i="4"/>
  <c r="CT119" i="4"/>
  <c r="U119" i="4"/>
  <c r="CU119" i="4"/>
  <c r="V119" i="4"/>
  <c r="EQ112" i="4"/>
  <c r="BR112" i="4"/>
  <c r="CF112" i="4"/>
  <c r="BS112" i="4"/>
  <c r="ER112" i="4"/>
  <c r="BL112" i="4"/>
  <c r="EK112" i="4"/>
  <c r="ED112" i="4"/>
  <c r="BE112" i="4"/>
  <c r="DW112" i="4"/>
  <c r="AX112" i="4"/>
  <c r="AQ112" i="4"/>
  <c r="DP112" i="4"/>
  <c r="DI112" i="4"/>
  <c r="AJ112" i="4"/>
  <c r="DB112" i="4"/>
  <c r="AC112" i="4"/>
  <c r="AT102" i="4"/>
  <c r="DS102" i="4"/>
  <c r="W102" i="4"/>
  <c r="CV102" i="4"/>
  <c r="P102" i="4"/>
  <c r="CI17" i="4" s="1"/>
  <c r="CO102" i="4"/>
  <c r="I102" i="4"/>
  <c r="CH102" i="4"/>
  <c r="ET102" i="4"/>
  <c r="BU102" i="4"/>
  <c r="EM102" i="4"/>
  <c r="BN102" i="4"/>
  <c r="BG102" i="4"/>
  <c r="EF102" i="4"/>
  <c r="DY102" i="4"/>
  <c r="AZ102" i="4"/>
  <c r="AS102" i="4"/>
  <c r="DR102" i="4"/>
  <c r="CV161" i="4"/>
  <c r="W161" i="4"/>
  <c r="DL161" i="4"/>
  <c r="AM161" i="4"/>
  <c r="CO161" i="4"/>
  <c r="P161" i="4"/>
  <c r="BD161" i="4"/>
  <c r="EC161" i="4"/>
  <c r="J161" i="4"/>
  <c r="CI161" i="4"/>
  <c r="EU161" i="4"/>
  <c r="EO161" i="4"/>
  <c r="BP161" i="4"/>
  <c r="EH161" i="4"/>
  <c r="BI161" i="4"/>
  <c r="K147" i="4"/>
  <c r="CJ147" i="4"/>
  <c r="DJ147" i="4"/>
  <c r="AK147" i="4"/>
  <c r="BL147" i="4"/>
  <c r="EK147" i="4"/>
  <c r="DP147" i="4"/>
  <c r="AQ147" i="4"/>
  <c r="CF147" i="4"/>
  <c r="AD147" i="4"/>
  <c r="DC147" i="4"/>
  <c r="CX147" i="4"/>
  <c r="Y147" i="4"/>
  <c r="R147" i="4"/>
  <c r="CQ147" i="4"/>
  <c r="CF164" i="4"/>
  <c r="I164" i="4"/>
  <c r="CH164" i="4"/>
  <c r="N164" i="4"/>
  <c r="CM164" i="4"/>
  <c r="P164" i="4"/>
  <c r="CO164" i="4"/>
  <c r="Z164" i="4"/>
  <c r="CY164" i="4"/>
  <c r="AA164" i="4"/>
  <c r="CZ164" i="4"/>
  <c r="T164" i="4"/>
  <c r="CS164" i="4"/>
  <c r="CL164" i="4"/>
  <c r="M164" i="4"/>
  <c r="DE164" i="4"/>
  <c r="AF164" i="4"/>
  <c r="CZ146" i="4"/>
  <c r="AA146" i="4"/>
  <c r="CQ146" i="4"/>
  <c r="R146" i="4"/>
  <c r="AT146" i="4"/>
  <c r="DS146" i="4"/>
  <c r="ES146" i="4"/>
  <c r="BT146" i="4"/>
  <c r="CW146" i="4"/>
  <c r="X146" i="4"/>
  <c r="DX146" i="4"/>
  <c r="AY146" i="4"/>
  <c r="ED146" i="4"/>
  <c r="DZ61" i="4" s="1"/>
  <c r="BE146" i="4"/>
  <c r="AZ146" i="4"/>
  <c r="DY146" i="4"/>
  <c r="AS146" i="4"/>
  <c r="DR146" i="4"/>
  <c r="EV105" i="4"/>
  <c r="BW105" i="4"/>
  <c r="P105" i="4"/>
  <c r="CO105" i="4"/>
  <c r="CK20" i="4" s="1"/>
  <c r="AO105" i="4"/>
  <c r="DN105" i="4"/>
  <c r="AY105" i="4"/>
  <c r="DX105" i="4"/>
  <c r="T105" i="4"/>
  <c r="CM20" i="4" s="1"/>
  <c r="CS105" i="4"/>
  <c r="EO105" i="4"/>
  <c r="BP105" i="4"/>
  <c r="AE105" i="4"/>
  <c r="DD105" i="4"/>
  <c r="AV105" i="4"/>
  <c r="DU105" i="4"/>
  <c r="EM105" i="4"/>
  <c r="BN105" i="4"/>
  <c r="BD96" i="4"/>
  <c r="EC96" i="4"/>
  <c r="AW96" i="4"/>
  <c r="DV96" i="4"/>
  <c r="AP96" i="4"/>
  <c r="DO96" i="4"/>
  <c r="AI96" i="4"/>
  <c r="DH96" i="4"/>
  <c r="DA96" i="4"/>
  <c r="AB96" i="4"/>
  <c r="CT96" i="4"/>
  <c r="U96" i="4"/>
  <c r="V96" i="4"/>
  <c r="CU96" i="4"/>
  <c r="O96" i="4"/>
  <c r="CN96" i="4"/>
  <c r="AJ136" i="4"/>
  <c r="DI136" i="4"/>
  <c r="BI136" i="4"/>
  <c r="EH136" i="4"/>
  <c r="BJ136" i="4"/>
  <c r="EI136" i="4"/>
  <c r="EB136" i="4"/>
  <c r="BC136" i="4"/>
  <c r="AV136" i="4"/>
  <c r="DN136" i="4"/>
  <c r="AO136" i="4"/>
  <c r="AH136" i="4"/>
  <c r="DG136" i="4"/>
  <c r="AA136" i="4"/>
  <c r="CZ136" i="4"/>
  <c r="AZ110" i="4"/>
  <c r="DY110" i="4"/>
  <c r="CL110" i="4"/>
  <c r="M110" i="4"/>
  <c r="N110" i="4"/>
  <c r="CM110" i="4"/>
  <c r="CF110" i="4"/>
  <c r="ER110" i="4"/>
  <c r="BS110" i="4"/>
  <c r="BL110" i="4"/>
  <c r="EK110" i="4"/>
  <c r="BE110" i="4"/>
  <c r="ED110" i="4"/>
  <c r="AX110" i="4"/>
  <c r="DW110" i="4"/>
  <c r="DP110" i="4"/>
  <c r="AQ110" i="4"/>
  <c r="EL128" i="4"/>
  <c r="BM128" i="4"/>
  <c r="AC128" i="4"/>
  <c r="DB128" i="4"/>
  <c r="BQ128" i="4"/>
  <c r="EP128" i="4"/>
  <c r="DG128" i="4"/>
  <c r="AH128" i="4"/>
  <c r="BI128" i="4"/>
  <c r="EH128" i="4"/>
  <c r="L128" i="4"/>
  <c r="CK128" i="4"/>
  <c r="BY128" i="4"/>
  <c r="BX128" i="4"/>
  <c r="EW128" i="4"/>
  <c r="EJ128" i="4"/>
  <c r="BK128" i="4"/>
  <c r="BD128" i="4"/>
  <c r="EC128" i="4"/>
  <c r="EF130" i="4"/>
  <c r="BG130" i="4"/>
  <c r="AS130" i="4"/>
  <c r="DL45" i="4" s="1"/>
  <c r="DR130" i="4"/>
  <c r="ES130" i="4"/>
  <c r="BT130" i="4"/>
  <c r="DK130" i="4"/>
  <c r="AL130" i="4"/>
  <c r="DD130" i="4"/>
  <c r="AE130" i="4"/>
  <c r="CX130" i="4"/>
  <c r="Y130" i="4"/>
  <c r="CQ130" i="4"/>
  <c r="R130" i="4"/>
  <c r="L130" i="4"/>
  <c r="CK130" i="4"/>
  <c r="BY130" i="4"/>
  <c r="BX130" i="4"/>
  <c r="EW130" i="4"/>
  <c r="CS151" i="4"/>
  <c r="T151" i="4"/>
  <c r="AT151" i="4"/>
  <c r="DS151" i="4"/>
  <c r="M151" i="4"/>
  <c r="CL151" i="4"/>
  <c r="BA151" i="4"/>
  <c r="DZ151" i="4"/>
  <c r="EQ151" i="4"/>
  <c r="BR151" i="4"/>
  <c r="BK151" i="4"/>
  <c r="EC151" i="4"/>
  <c r="BD151" i="4"/>
  <c r="DV151" i="4"/>
  <c r="AW151" i="4"/>
  <c r="DV152" i="4"/>
  <c r="AW152" i="4"/>
  <c r="CH152" i="4"/>
  <c r="I152" i="4"/>
  <c r="BL152" i="4"/>
  <c r="CY152" i="4"/>
  <c r="Z152" i="4"/>
  <c r="EM152" i="4"/>
  <c r="BN152" i="4"/>
  <c r="EG67" i="4" s="1"/>
  <c r="AQ152" i="4"/>
  <c r="DP152" i="4"/>
  <c r="AZ152" i="4"/>
  <c r="DY152" i="4"/>
  <c r="DS152" i="4"/>
  <c r="AT152" i="4"/>
  <c r="DL152" i="4"/>
  <c r="AM152" i="4"/>
  <c r="O150" i="4"/>
  <c r="CN150" i="4"/>
  <c r="AE150" i="4"/>
  <c r="DD150" i="4"/>
  <c r="EF150" i="4"/>
  <c r="BG150" i="4"/>
  <c r="CJ150" i="4"/>
  <c r="K150" i="4"/>
  <c r="DK150" i="4"/>
  <c r="AL150" i="4"/>
  <c r="BN150" i="4"/>
  <c r="EM150" i="4"/>
  <c r="EP150" i="4"/>
  <c r="BQ150" i="4"/>
  <c r="BL150" i="4"/>
  <c r="EE65" i="4" s="1"/>
  <c r="EK150" i="4"/>
  <c r="BE150" i="4"/>
  <c r="ED150" i="4"/>
  <c r="AJ140" i="4"/>
  <c r="DI140" i="4"/>
  <c r="M140" i="4"/>
  <c r="CL140" i="4"/>
  <c r="DZ140" i="4"/>
  <c r="DC140" i="4"/>
  <c r="AD140" i="4"/>
  <c r="BR140" i="4"/>
  <c r="EQ140" i="4"/>
  <c r="CN140" i="4"/>
  <c r="O140" i="4"/>
  <c r="J140" i="4"/>
  <c r="CI140" i="4"/>
  <c r="EU140" i="4"/>
  <c r="BV140" i="4"/>
  <c r="BO140" i="4"/>
  <c r="EN140" i="4"/>
  <c r="CJ159" i="4"/>
  <c r="K159" i="4"/>
  <c r="DP159" i="4"/>
  <c r="AQ159" i="4"/>
  <c r="CS159" i="4"/>
  <c r="T159" i="4"/>
  <c r="AT159" i="4"/>
  <c r="DS159" i="4"/>
  <c r="AK159" i="4"/>
  <c r="DJ159" i="4"/>
  <c r="AE159" i="4"/>
  <c r="DD159" i="4"/>
  <c r="CW159" i="4"/>
  <c r="CS74" i="4" s="1"/>
  <c r="X159" i="4"/>
  <c r="CQ159" i="4"/>
  <c r="R159" i="4"/>
  <c r="AA113" i="4"/>
  <c r="CT28" i="4" s="1"/>
  <c r="CZ113" i="4"/>
  <c r="EG113" i="4"/>
  <c r="BH113" i="4"/>
  <c r="BA113" i="4"/>
  <c r="DT28" i="4" s="1"/>
  <c r="DZ113" i="4"/>
  <c r="BB113" i="4"/>
  <c r="EA113" i="4"/>
  <c r="DT113" i="4"/>
  <c r="AU113" i="4"/>
  <c r="AN113" i="4"/>
  <c r="DM113" i="4"/>
  <c r="AG113" i="4"/>
  <c r="DF113" i="4"/>
  <c r="CY113" i="4"/>
  <c r="CV99" i="4"/>
  <c r="W99" i="4"/>
  <c r="CG99" i="4"/>
  <c r="H99" i="4"/>
  <c r="CA14" i="4" s="1"/>
  <c r="ES99" i="4"/>
  <c r="BT99" i="4"/>
  <c r="EL99" i="4"/>
  <c r="BM99" i="4"/>
  <c r="EE99" i="4"/>
  <c r="BF99" i="4"/>
  <c r="AY99" i="4"/>
  <c r="DX99" i="4"/>
  <c r="AR99" i="4"/>
  <c r="DQ99" i="4"/>
  <c r="AK99" i="4"/>
  <c r="DJ99" i="4"/>
  <c r="DK99" i="4"/>
  <c r="AL99" i="4"/>
  <c r="EM126" i="4"/>
  <c r="BN126" i="4"/>
  <c r="CR126" i="4"/>
  <c r="S126" i="4"/>
  <c r="CS126" i="4"/>
  <c r="T126" i="4"/>
  <c r="CT126" i="4"/>
  <c r="U126" i="4"/>
  <c r="CU126" i="4"/>
  <c r="V126" i="4"/>
  <c r="O126" i="4"/>
  <c r="CN126" i="4"/>
  <c r="H126" i="4"/>
  <c r="CA41" i="4" s="1"/>
  <c r="CG126" i="4"/>
  <c r="BU126" i="4"/>
  <c r="ET126" i="4"/>
  <c r="BM126" i="4"/>
  <c r="EL126" i="4"/>
  <c r="DR97" i="4"/>
  <c r="AS97" i="4"/>
  <c r="AT97" i="4"/>
  <c r="DS97" i="4"/>
  <c r="DL97" i="4"/>
  <c r="AM97" i="4"/>
  <c r="AF97" i="4"/>
  <c r="DE97" i="4"/>
  <c r="Y97" i="4"/>
  <c r="CX97" i="4"/>
  <c r="CQ97" i="4"/>
  <c r="R97" i="4"/>
  <c r="CJ97" i="4"/>
  <c r="K97" i="4"/>
  <c r="CD12" i="4" s="1"/>
  <c r="EV97" i="4"/>
  <c r="BW97" i="4"/>
  <c r="EO97" i="4"/>
  <c r="BP97" i="4"/>
  <c r="DP98" i="4"/>
  <c r="AQ98" i="4"/>
  <c r="AJ98" i="4"/>
  <c r="DI98" i="4"/>
  <c r="DB98" i="4"/>
  <c r="AC98" i="4"/>
  <c r="AD98" i="4"/>
  <c r="DC98" i="4"/>
  <c r="W98" i="4"/>
  <c r="CV98" i="4"/>
  <c r="CO98" i="4"/>
  <c r="P98" i="4"/>
  <c r="I98" i="4"/>
  <c r="CH98" i="4"/>
  <c r="CD13" i="4" s="1"/>
  <c r="ET98" i="4"/>
  <c r="BU98" i="4"/>
  <c r="CV156" i="4"/>
  <c r="W156" i="4"/>
  <c r="DM156" i="4"/>
  <c r="AN156" i="4"/>
  <c r="DF156" i="4"/>
  <c r="AG156" i="4"/>
  <c r="CY156" i="4"/>
  <c r="Z156" i="4"/>
  <c r="S156" i="4"/>
  <c r="CR156" i="4"/>
  <c r="L156" i="4"/>
  <c r="CK156" i="4"/>
  <c r="BY156" i="4"/>
  <c r="EW156" i="4"/>
  <c r="BX156" i="4"/>
  <c r="BR156" i="4"/>
  <c r="EK71" i="4" s="1"/>
  <c r="EQ156" i="4"/>
  <c r="BF108" i="4"/>
  <c r="EE108" i="4"/>
  <c r="AY108" i="4"/>
  <c r="DX108" i="4"/>
  <c r="DQ108" i="4"/>
  <c r="AR108" i="4"/>
  <c r="DJ108" i="4"/>
  <c r="AK108" i="4"/>
  <c r="DK108" i="4"/>
  <c r="AL108" i="4"/>
  <c r="DD108" i="4"/>
  <c r="AE108" i="4"/>
  <c r="CW108" i="4"/>
  <c r="X108" i="4"/>
  <c r="Q108" i="4"/>
  <c r="CP108" i="4"/>
  <c r="DI120" i="4"/>
  <c r="AJ120" i="4"/>
  <c r="DA120" i="4"/>
  <c r="AB120" i="4"/>
  <c r="EP120" i="4"/>
  <c r="BQ120" i="4"/>
  <c r="BR120" i="4"/>
  <c r="EQ120" i="4"/>
  <c r="BK120" i="4"/>
  <c r="EJ120" i="4"/>
  <c r="BD120" i="4"/>
  <c r="EC120" i="4"/>
  <c r="DV120" i="4"/>
  <c r="AW120" i="4"/>
  <c r="DO120" i="4"/>
  <c r="AP120" i="4"/>
  <c r="DH120" i="4"/>
  <c r="AI120" i="4"/>
  <c r="CT115" i="4"/>
  <c r="U115" i="4"/>
  <c r="CU115" i="4"/>
  <c r="V115" i="4"/>
  <c r="O115" i="4"/>
  <c r="CN115" i="4"/>
  <c r="H115" i="4"/>
  <c r="CA30" i="4" s="1"/>
  <c r="CG115" i="4"/>
  <c r="BT115" i="4"/>
  <c r="ES115" i="4"/>
  <c r="BM115" i="4"/>
  <c r="EL115" i="4"/>
  <c r="BF115" i="4"/>
  <c r="EE115" i="4"/>
  <c r="DX115" i="4"/>
  <c r="AY115" i="4"/>
  <c r="DQ115" i="4"/>
  <c r="AR115" i="4"/>
  <c r="CW114" i="4"/>
  <c r="X114" i="4"/>
  <c r="Y114" i="4"/>
  <c r="CX114" i="4"/>
  <c r="CT29" i="4" s="1"/>
  <c r="R114" i="4"/>
  <c r="CQ114" i="4"/>
  <c r="K114" i="4"/>
  <c r="CJ114" i="4"/>
  <c r="BW114" i="4"/>
  <c r="EV114" i="4"/>
  <c r="BP114" i="4"/>
  <c r="EO114" i="4"/>
  <c r="EH114" i="4"/>
  <c r="BI114" i="4"/>
  <c r="EI114" i="4"/>
  <c r="BJ114" i="4"/>
  <c r="EB114" i="4"/>
  <c r="BC114" i="4"/>
  <c r="I101" i="4"/>
  <c r="CH101" i="4"/>
  <c r="AP101" i="4"/>
  <c r="DO101" i="4"/>
  <c r="DH101" i="4"/>
  <c r="AI101" i="4"/>
  <c r="DA101" i="4"/>
  <c r="AB101" i="4"/>
  <c r="CT101" i="4"/>
  <c r="U101" i="4"/>
  <c r="V101" i="4"/>
  <c r="CU101" i="4"/>
  <c r="CN101" i="4"/>
  <c r="O101" i="4"/>
  <c r="CH16" i="4" s="1"/>
  <c r="H101" i="4"/>
  <c r="CA16" i="4" s="1"/>
  <c r="CG101" i="4"/>
  <c r="BT101" i="4"/>
  <c r="ES101" i="4"/>
  <c r="AT106" i="4"/>
  <c r="DS106" i="4"/>
  <c r="AD106" i="4"/>
  <c r="DC106" i="4"/>
  <c r="DV106" i="4"/>
  <c r="AW106" i="4"/>
  <c r="DO106" i="4"/>
  <c r="AP106" i="4"/>
  <c r="DI106" i="4"/>
  <c r="AJ106" i="4"/>
  <c r="AC106" i="4"/>
  <c r="DB106" i="4"/>
  <c r="W106" i="4"/>
  <c r="CV106" i="4"/>
  <c r="AT145" i="4"/>
  <c r="DS145" i="4"/>
  <c r="CN132" i="4"/>
  <c r="O132" i="4"/>
  <c r="AF132" i="4"/>
  <c r="DE132" i="4"/>
  <c r="Y132" i="4"/>
  <c r="CX132" i="4"/>
  <c r="CQ132" i="4"/>
  <c r="R132" i="4"/>
  <c r="CJ132" i="4"/>
  <c r="K132" i="4"/>
  <c r="EV132" i="4"/>
  <c r="BW132" i="4"/>
  <c r="EO132" i="4"/>
  <c r="BP132" i="4"/>
  <c r="BI132" i="4"/>
  <c r="EH132" i="4"/>
  <c r="EI132" i="4"/>
  <c r="BJ132" i="4"/>
  <c r="DM135" i="4"/>
  <c r="AN135" i="4"/>
  <c r="BK135" i="4"/>
  <c r="EJ135" i="4"/>
  <c r="DN135" i="4"/>
  <c r="AO135" i="4"/>
  <c r="AH135" i="4"/>
  <c r="DG135" i="4"/>
  <c r="AA135" i="4"/>
  <c r="CZ135" i="4"/>
  <c r="CS135" i="4"/>
  <c r="T135" i="4"/>
  <c r="CL135" i="4"/>
  <c r="M135" i="4"/>
  <c r="N135" i="4"/>
  <c r="CM135" i="4"/>
  <c r="CO155" i="4"/>
  <c r="P155" i="4"/>
  <c r="ED155" i="4"/>
  <c r="BE155" i="4"/>
  <c r="CS155" i="4"/>
  <c r="T155" i="4"/>
  <c r="EK155" i="4"/>
  <c r="BL155" i="4"/>
  <c r="AM155" i="4"/>
  <c r="DL155" i="4"/>
  <c r="CJ155" i="4"/>
  <c r="K155" i="4"/>
  <c r="EV155" i="4"/>
  <c r="BW155" i="4"/>
  <c r="EP155" i="4"/>
  <c r="BQ155" i="4"/>
  <c r="EJ70" i="4" s="1"/>
  <c r="EQ155" i="4"/>
  <c r="BR155" i="4"/>
  <c r="AB139" i="4"/>
  <c r="DA139" i="4"/>
  <c r="DF139" i="4"/>
  <c r="AG139" i="4"/>
  <c r="EG139" i="4"/>
  <c r="BH139" i="4"/>
  <c r="L139" i="4"/>
  <c r="CK139" i="4"/>
  <c r="DM139" i="4"/>
  <c r="AN139" i="4"/>
  <c r="DW139" i="4"/>
  <c r="DS54" i="4" s="1"/>
  <c r="AX139" i="4"/>
  <c r="AS139" i="4"/>
  <c r="DR139" i="4"/>
  <c r="AT139" i="4"/>
  <c r="DS139" i="4"/>
  <c r="DU104" i="4"/>
  <c r="AV104" i="4"/>
  <c r="EL104" i="4"/>
  <c r="BM104" i="4"/>
  <c r="AX104" i="4"/>
  <c r="DW104" i="4"/>
  <c r="AI104" i="4"/>
  <c r="DH104" i="4"/>
  <c r="DA104" i="4"/>
  <c r="AB104" i="4"/>
  <c r="CT104" i="4"/>
  <c r="U104" i="4"/>
  <c r="CM104" i="4"/>
  <c r="CI19" i="4" s="1"/>
  <c r="N104" i="4"/>
  <c r="ES104" i="4"/>
  <c r="BT104" i="4"/>
  <c r="EJ104" i="4"/>
  <c r="BK104" i="4"/>
  <c r="DH107" i="4"/>
  <c r="AI107" i="4"/>
  <c r="S107" i="4"/>
  <c r="EA107" i="4"/>
  <c r="BB107" i="4"/>
  <c r="DT107" i="4"/>
  <c r="AU107" i="4"/>
  <c r="DM107" i="4"/>
  <c r="AN107" i="4"/>
  <c r="DF107" i="4"/>
  <c r="AG107" i="4"/>
  <c r="CY107" i="4"/>
  <c r="Z107" i="4"/>
  <c r="CS107" i="4"/>
  <c r="L100" i="4"/>
  <c r="BH100" i="4"/>
  <c r="EG100" i="4"/>
  <c r="EP100" i="4"/>
  <c r="BQ100" i="4"/>
  <c r="EQ100" i="4"/>
  <c r="BR100" i="4"/>
  <c r="EJ100" i="4"/>
  <c r="BK100" i="4"/>
  <c r="EC100" i="4"/>
  <c r="BD100" i="4"/>
  <c r="DV100" i="4"/>
  <c r="AW100" i="4"/>
  <c r="AP100" i="4"/>
  <c r="DO100" i="4"/>
  <c r="AI100" i="4"/>
  <c r="DH100" i="4"/>
  <c r="R118" i="4"/>
  <c r="CQ118" i="4"/>
  <c r="S118" i="4"/>
  <c r="CR118" i="4"/>
  <c r="CK118" i="4"/>
  <c r="L118" i="4"/>
  <c r="BX118" i="4"/>
  <c r="BY118" i="4"/>
  <c r="EW118" i="4"/>
  <c r="EP118" i="4"/>
  <c r="BQ118" i="4"/>
  <c r="EQ118" i="4"/>
  <c r="BR118" i="4"/>
  <c r="EJ118" i="4"/>
  <c r="BK118" i="4"/>
  <c r="EC118" i="4"/>
  <c r="BD118" i="4"/>
  <c r="DV118" i="4"/>
  <c r="AW118" i="4"/>
  <c r="O109" i="4"/>
  <c r="CN109" i="4"/>
  <c r="DE109" i="4"/>
  <c r="AF109" i="4"/>
  <c r="Y109" i="4"/>
  <c r="CX109" i="4"/>
  <c r="R109" i="4"/>
  <c r="CQ109" i="4"/>
  <c r="CJ109" i="4"/>
  <c r="K109" i="4"/>
  <c r="BW109" i="4"/>
  <c r="EV109" i="4"/>
  <c r="BP109" i="4"/>
  <c r="EO109" i="4"/>
  <c r="EH109" i="4"/>
  <c r="BI109" i="4"/>
  <c r="EI109" i="4"/>
  <c r="BJ109" i="4"/>
  <c r="CH137" i="4"/>
  <c r="I137" i="4"/>
  <c r="AP137" i="4"/>
  <c r="DO137" i="4"/>
  <c r="AI137" i="4"/>
  <c r="DH137" i="4"/>
  <c r="DA137" i="4"/>
  <c r="AB137" i="4"/>
  <c r="CT137" i="4"/>
  <c r="U137" i="4"/>
  <c r="CU137" i="4"/>
  <c r="V137" i="4"/>
  <c r="CN137" i="4"/>
  <c r="O137" i="4"/>
  <c r="H137" i="4"/>
  <c r="CG137" i="4"/>
  <c r="ES137" i="4"/>
  <c r="BT137" i="4"/>
  <c r="EQ138" i="4"/>
  <c r="BR138" i="4"/>
  <c r="BK138" i="4"/>
  <c r="EJ138" i="4"/>
  <c r="BD138" i="4"/>
  <c r="EC138" i="4"/>
  <c r="AW138" i="4"/>
  <c r="DV138" i="4"/>
  <c r="DR53" i="4" s="1"/>
  <c r="DO138" i="4"/>
  <c r="AP138" i="4"/>
  <c r="DH138" i="4"/>
  <c r="AI138" i="4"/>
  <c r="DA138" i="4"/>
  <c r="AB138" i="4"/>
  <c r="CT138" i="4"/>
  <c r="U138" i="4"/>
  <c r="AT163" i="4"/>
  <c r="DS163" i="4"/>
  <c r="DW163" i="4"/>
  <c r="AX163" i="4"/>
  <c r="BB163" i="4"/>
  <c r="EA163" i="4"/>
  <c r="EG163" i="4"/>
  <c r="BH163" i="4"/>
  <c r="EM163" i="4"/>
  <c r="BN163" i="4"/>
  <c r="AR163" i="4"/>
  <c r="DQ163" i="4"/>
  <c r="BA163" i="4"/>
  <c r="DZ163" i="4"/>
  <c r="AU163" i="4"/>
  <c r="DT163" i="4"/>
  <c r="DM163" i="4"/>
  <c r="AN163" i="4"/>
  <c r="DX154" i="4"/>
  <c r="AY154" i="4"/>
  <c r="ER154" i="4"/>
  <c r="BS154" i="4"/>
  <c r="CV154" i="4"/>
  <c r="W154" i="4"/>
  <c r="DY154" i="4"/>
  <c r="AZ154" i="4"/>
  <c r="DB154" i="4"/>
  <c r="AC154" i="4"/>
  <c r="EP154" i="4"/>
  <c r="BQ154" i="4"/>
  <c r="EQ154" i="4"/>
  <c r="BR154" i="4"/>
  <c r="BL154" i="4"/>
  <c r="EK154" i="4"/>
  <c r="EG69" i="4" s="1"/>
  <c r="BE154" i="4"/>
  <c r="ED154" i="4"/>
  <c r="DH103" i="4"/>
  <c r="AI103" i="4"/>
  <c r="AR103" i="4"/>
  <c r="DQ103" i="4"/>
  <c r="AK103" i="4"/>
  <c r="DJ103" i="4"/>
  <c r="DK103" i="4"/>
  <c r="AL103" i="4"/>
  <c r="DD103" i="4"/>
  <c r="AE103" i="4"/>
  <c r="CW103" i="4"/>
  <c r="X103" i="4"/>
  <c r="CP103" i="4"/>
  <c r="Q103" i="4"/>
  <c r="CJ18" i="4" s="1"/>
  <c r="CI103" i="4"/>
  <c r="J103" i="4"/>
  <c r="EU103" i="4"/>
  <c r="BV103" i="4"/>
  <c r="DS122" i="4"/>
  <c r="AT122" i="4"/>
  <c r="EB122" i="4"/>
  <c r="BC122" i="4"/>
  <c r="AV122" i="4"/>
  <c r="DU122" i="4"/>
  <c r="AO122" i="4"/>
  <c r="DN122" i="4"/>
  <c r="AH122" i="4"/>
  <c r="CZ122" i="4"/>
  <c r="AA122" i="4"/>
  <c r="CS122" i="4"/>
  <c r="T122" i="4"/>
  <c r="CL122" i="4"/>
  <c r="M122" i="4"/>
  <c r="ES124" i="4"/>
  <c r="BT124" i="4"/>
  <c r="ED124" i="4"/>
  <c r="BE124" i="4"/>
  <c r="DW124" i="4"/>
  <c r="AX124" i="4"/>
  <c r="DP124" i="4"/>
  <c r="AQ124" i="4"/>
  <c r="AJ124" i="4"/>
  <c r="DB124" i="4"/>
  <c r="AC124" i="4"/>
  <c r="DC124" i="4"/>
  <c r="AD124" i="4"/>
  <c r="CV124" i="4"/>
  <c r="W124" i="4"/>
  <c r="EE116" i="4"/>
  <c r="BF116" i="4"/>
  <c r="CJ116" i="4"/>
  <c r="K116" i="4"/>
  <c r="CK116" i="4"/>
  <c r="L116" i="4"/>
  <c r="M116" i="4"/>
  <c r="CL116" i="4"/>
  <c r="N116" i="4"/>
  <c r="CM116" i="4"/>
  <c r="CF116" i="4"/>
  <c r="BS116" i="4"/>
  <c r="ER116" i="4"/>
  <c r="BL116" i="4"/>
  <c r="EK116" i="4"/>
  <c r="ED116" i="4"/>
  <c r="BE116" i="4"/>
  <c r="EF123" i="4"/>
  <c r="BG123" i="4"/>
  <c r="CS123" i="4"/>
  <c r="T123" i="4"/>
  <c r="M123" i="4"/>
  <c r="CL123" i="4"/>
  <c r="N123" i="4"/>
  <c r="CM123" i="4"/>
  <c r="CF123" i="4"/>
  <c r="BS123" i="4"/>
  <c r="ER123" i="4"/>
  <c r="EK123" i="4"/>
  <c r="BL123" i="4"/>
  <c r="ED123" i="4"/>
  <c r="BE123" i="4"/>
  <c r="DW123" i="4"/>
  <c r="AX123" i="4"/>
  <c r="AO111" i="4"/>
  <c r="DN111" i="4"/>
  <c r="Z111" i="4"/>
  <c r="CY111" i="4"/>
  <c r="CR111" i="4"/>
  <c r="S111" i="4"/>
  <c r="CK111" i="4"/>
  <c r="L111" i="4"/>
  <c r="EW111" i="4"/>
  <c r="BX111" i="4"/>
  <c r="BY111" i="4"/>
  <c r="EP111" i="4"/>
  <c r="BQ111" i="4"/>
  <c r="EQ111" i="4"/>
  <c r="BR111" i="4"/>
  <c r="EJ111" i="4"/>
  <c r="BK111" i="4"/>
  <c r="EC111" i="4"/>
  <c r="BD111" i="4"/>
  <c r="ED121" i="4"/>
  <c r="BE121" i="4"/>
  <c r="DO121" i="4"/>
  <c r="AP121" i="4"/>
  <c r="AI121" i="4"/>
  <c r="DB36" i="4" s="1"/>
  <c r="DH121" i="4"/>
  <c r="AB121" i="4"/>
  <c r="DA121" i="4"/>
  <c r="U121" i="4"/>
  <c r="CT121" i="4"/>
  <c r="CU121" i="4"/>
  <c r="V121" i="4"/>
  <c r="CN121" i="4"/>
  <c r="O121" i="4"/>
  <c r="CG121" i="4"/>
  <c r="H121" i="4"/>
  <c r="CA36" i="4" s="1"/>
  <c r="BT121" i="4"/>
  <c r="ES121" i="4"/>
  <c r="CK133" i="4"/>
  <c r="L133" i="4"/>
  <c r="DS133" i="4"/>
  <c r="AM133" i="4"/>
  <c r="DL133" i="4"/>
  <c r="DE133" i="4"/>
  <c r="AF133" i="4"/>
  <c r="CX133" i="4"/>
  <c r="Y133" i="4"/>
  <c r="R133" i="4"/>
  <c r="CQ133" i="4"/>
  <c r="CJ133" i="4"/>
  <c r="K133" i="4"/>
  <c r="BW133" i="4"/>
  <c r="EV133" i="4"/>
  <c r="EP143" i="4"/>
  <c r="BQ143" i="4"/>
  <c r="EQ143" i="4"/>
  <c r="BR143" i="4"/>
  <c r="EJ143" i="4"/>
  <c r="BK143" i="4"/>
  <c r="EC143" i="4"/>
  <c r="DV143" i="4"/>
  <c r="AW143" i="4"/>
  <c r="AP143" i="4"/>
  <c r="DO143" i="4"/>
  <c r="AI143" i="4"/>
  <c r="DH143" i="4"/>
  <c r="DA143" i="4"/>
  <c r="AB143" i="4"/>
  <c r="EA153" i="4"/>
  <c r="BB153" i="4"/>
  <c r="EQ153" i="4"/>
  <c r="BR153" i="4"/>
  <c r="AP153" i="4"/>
  <c r="DO153" i="4"/>
  <c r="ER153" i="4"/>
  <c r="BS153" i="4"/>
  <c r="CV153" i="4"/>
  <c r="W153" i="4"/>
  <c r="AX153" i="4"/>
  <c r="DW153" i="4"/>
  <c r="BE153" i="4"/>
  <c r="ED153" i="4"/>
  <c r="AY153" i="4"/>
  <c r="DX153" i="4"/>
  <c r="DQ153" i="4"/>
  <c r="AR153" i="4"/>
  <c r="BV157" i="4"/>
  <c r="EU157" i="4"/>
  <c r="R157" i="4"/>
  <c r="CQ157" i="4"/>
  <c r="BN157" i="4"/>
  <c r="EM157" i="4"/>
  <c r="CK157" i="4"/>
  <c r="L157" i="4"/>
  <c r="CE72" i="4" s="1"/>
  <c r="BX157" i="4"/>
  <c r="BY157" i="4"/>
  <c r="EW157" i="4"/>
  <c r="BQ157" i="4"/>
  <c r="EQ157" i="4"/>
  <c r="EJ157" i="4"/>
  <c r="BK157" i="4"/>
  <c r="ED157" i="4"/>
  <c r="BE157" i="4"/>
  <c r="AP131" i="4"/>
  <c r="DO131" i="4"/>
  <c r="DK46" i="4" s="1"/>
  <c r="S131" i="4"/>
  <c r="CR131" i="4"/>
  <c r="CK131" i="4"/>
  <c r="L131" i="4"/>
  <c r="BX131" i="4"/>
  <c r="BY131" i="4"/>
  <c r="EW131" i="4"/>
  <c r="EP131" i="4"/>
  <c r="BQ131" i="4"/>
  <c r="EQ131" i="4"/>
  <c r="BR131" i="4"/>
  <c r="BK131" i="4"/>
  <c r="EJ131" i="4"/>
  <c r="CH131" i="4"/>
  <c r="I131" i="4"/>
  <c r="ET131" i="4"/>
  <c r="BU131" i="4"/>
  <c r="DO148" i="4"/>
  <c r="AP148" i="4"/>
  <c r="CG148" i="4"/>
  <c r="H148" i="4"/>
  <c r="CA63" i="4" s="1"/>
  <c r="DG148" i="4"/>
  <c r="AH148" i="4"/>
  <c r="M148" i="4"/>
  <c r="CL148" i="4"/>
  <c r="AI148" i="4"/>
  <c r="DH148" i="4"/>
  <c r="DC148" i="4"/>
  <c r="AD148" i="4"/>
  <c r="CV148" i="4"/>
  <c r="W148" i="4"/>
  <c r="EJ119" i="4"/>
  <c r="BK119" i="4"/>
  <c r="H119" i="4"/>
  <c r="CA34" i="4" s="1"/>
  <c r="CG119" i="4"/>
  <c r="BT119" i="4"/>
  <c r="ES119" i="4"/>
  <c r="BM119" i="4"/>
  <c r="EL119" i="4"/>
  <c r="BF119" i="4"/>
  <c r="EE119" i="4"/>
  <c r="DX119" i="4"/>
  <c r="AY119" i="4"/>
  <c r="DQ119" i="4"/>
  <c r="AR119" i="4"/>
  <c r="DJ119" i="4"/>
  <c r="AK119" i="4"/>
  <c r="DK119" i="4"/>
  <c r="AL119" i="4"/>
  <c r="N112" i="4"/>
  <c r="CM112" i="4"/>
  <c r="W112" i="4"/>
  <c r="CV112" i="4"/>
  <c r="CR27" i="4" s="1"/>
  <c r="CO112" i="4"/>
  <c r="P112" i="4"/>
  <c r="CH112" i="4"/>
  <c r="I112" i="4"/>
  <c r="ET112" i="4"/>
  <c r="BU112" i="4"/>
  <c r="EM112" i="4"/>
  <c r="BN112" i="4"/>
  <c r="BG112" i="4"/>
  <c r="EF112" i="4"/>
  <c r="DY112" i="4"/>
  <c r="AZ112" i="4"/>
  <c r="DR112" i="4"/>
  <c r="AS112" i="4"/>
  <c r="BJ102" i="4"/>
  <c r="EI102" i="4"/>
  <c r="AM102" i="4"/>
  <c r="DL102" i="4"/>
  <c r="AF102" i="4"/>
  <c r="DE102" i="4"/>
  <c r="Y102" i="4"/>
  <c r="CX102" i="4"/>
  <c r="CQ102" i="4"/>
  <c r="R102" i="4"/>
  <c r="K102" i="4"/>
  <c r="CJ102" i="4"/>
  <c r="EV102" i="4"/>
  <c r="BW102" i="4"/>
  <c r="EO102" i="4"/>
  <c r="BP102" i="4"/>
  <c r="BI102" i="4"/>
  <c r="EH102" i="4"/>
  <c r="X161" i="4"/>
  <c r="CW161" i="4"/>
  <c r="BU161" i="4"/>
  <c r="BL161" i="4"/>
  <c r="EK161" i="4"/>
  <c r="AO161" i="4"/>
  <c r="DN161" i="4"/>
  <c r="H161" i="4"/>
  <c r="CA76" i="4" s="1"/>
  <c r="CG161" i="4"/>
  <c r="Z161" i="4"/>
  <c r="CY161" i="4"/>
  <c r="CS161" i="4"/>
  <c r="T161" i="4"/>
  <c r="CL161" i="4"/>
  <c r="M161" i="4"/>
  <c r="EG147" i="4"/>
  <c r="DI147" i="4"/>
  <c r="AJ147" i="4"/>
  <c r="BK147" i="4"/>
  <c r="EJ147" i="4"/>
  <c r="AB147" i="4"/>
  <c r="DA147" i="4"/>
  <c r="EO147" i="4"/>
  <c r="BP147" i="4"/>
  <c r="DE147" i="4"/>
  <c r="AF147" i="4"/>
  <c r="AT147" i="4"/>
  <c r="DS147" i="4"/>
  <c r="DN147" i="4"/>
  <c r="AO147" i="4"/>
  <c r="DG147" i="4"/>
  <c r="AH147" i="4"/>
  <c r="AM164" i="4"/>
  <c r="DL164" i="4"/>
  <c r="AT164" i="4"/>
  <c r="DS164" i="4"/>
  <c r="AW164" i="4"/>
  <c r="DV164" i="4"/>
  <c r="BC164" i="4"/>
  <c r="EB164" i="4"/>
  <c r="AP164" i="4"/>
  <c r="DO164" i="4"/>
  <c r="AQ164" i="4"/>
  <c r="DP164" i="4"/>
  <c r="AJ164" i="4"/>
  <c r="DI164" i="4"/>
  <c r="DB164" i="4"/>
  <c r="AC164" i="4"/>
  <c r="DU164" i="4"/>
  <c r="AV164" i="4"/>
  <c r="BB146" i="4"/>
  <c r="EA146" i="4"/>
  <c r="DP146" i="4"/>
  <c r="AQ146" i="4"/>
  <c r="BS146" i="4"/>
  <c r="ER146" i="4"/>
  <c r="CV146" i="4"/>
  <c r="W146" i="4"/>
  <c r="DW146" i="4"/>
  <c r="AX146" i="4"/>
  <c r="CH146" i="4"/>
  <c r="I146" i="4"/>
  <c r="ET146" i="4"/>
  <c r="BU146" i="4"/>
  <c r="EO146" i="4"/>
  <c r="BP146" i="4"/>
  <c r="BI146" i="4"/>
  <c r="EH146" i="4"/>
  <c r="O105" i="4"/>
  <c r="CN105" i="4"/>
  <c r="AL105" i="4"/>
  <c r="DK105" i="4"/>
  <c r="U105" i="4"/>
  <c r="CT105" i="4"/>
  <c r="S105" i="4"/>
  <c r="CL20" i="4" s="1"/>
  <c r="CR105" i="4"/>
  <c r="AW105" i="4"/>
  <c r="DV105" i="4"/>
  <c r="AC105" i="4"/>
  <c r="DB105" i="4"/>
  <c r="AU105" i="4"/>
  <c r="DT105" i="4"/>
  <c r="BL105" i="4"/>
  <c r="EK105" i="4"/>
  <c r="BL96" i="4"/>
  <c r="EK96" i="4"/>
  <c r="BT96" i="4"/>
  <c r="ES96" i="4"/>
  <c r="BM96" i="4"/>
  <c r="EL96" i="4"/>
  <c r="BF96" i="4"/>
  <c r="EE96" i="4"/>
  <c r="AY96" i="4"/>
  <c r="DX96" i="4"/>
  <c r="DQ96" i="4"/>
  <c r="AR96" i="4"/>
  <c r="DJ96" i="4"/>
  <c r="AK96" i="4"/>
  <c r="DK96" i="4"/>
  <c r="AL96" i="4"/>
  <c r="AE96" i="4"/>
  <c r="DD96" i="4"/>
  <c r="BH136" i="4"/>
  <c r="EG136" i="4"/>
  <c r="M136" i="4"/>
  <c r="CL136" i="4"/>
  <c r="CM136" i="4"/>
  <c r="N136" i="4"/>
  <c r="CF136" i="4"/>
  <c r="ER136" i="4"/>
  <c r="BS136" i="4"/>
  <c r="EK136" i="4"/>
  <c r="BL136" i="4"/>
  <c r="ED136" i="4"/>
  <c r="BE136" i="4"/>
  <c r="DW136" i="4"/>
  <c r="DS51" i="4" s="1"/>
  <c r="AX136" i="4"/>
  <c r="DQ51" i="4" s="1"/>
  <c r="DP136" i="4"/>
  <c r="AQ136" i="4"/>
  <c r="BP110" i="4"/>
  <c r="EO110" i="4"/>
  <c r="DB110" i="4"/>
  <c r="AC110" i="4"/>
  <c r="DC110" i="4"/>
  <c r="AD110" i="4"/>
  <c r="CV110" i="4"/>
  <c r="P110" i="4"/>
  <c r="CO110" i="4"/>
  <c r="I110" i="4"/>
  <c r="CH110" i="4"/>
  <c r="BU110" i="4"/>
  <c r="ET110" i="4"/>
  <c r="BN110" i="4"/>
  <c r="EM110" i="4"/>
  <c r="BG110" i="4"/>
  <c r="EF110" i="4"/>
  <c r="CM128" i="4"/>
  <c r="N128" i="4"/>
  <c r="BB128" i="4"/>
  <c r="EA128" i="4"/>
  <c r="DW43" i="4" s="1"/>
  <c r="DF128" i="4"/>
  <c r="AG128" i="4"/>
  <c r="EF128" i="4"/>
  <c r="BG128" i="4"/>
  <c r="K128" i="4"/>
  <c r="CJ128" i="4"/>
  <c r="AB128" i="4"/>
  <c r="DA128" i="4"/>
  <c r="O128" i="4"/>
  <c r="CN128" i="4"/>
  <c r="CG128" i="4"/>
  <c r="H128" i="4"/>
  <c r="CA43" i="4" s="1"/>
  <c r="ES128" i="4"/>
  <c r="BT128" i="4"/>
  <c r="AN130" i="4"/>
  <c r="DM130" i="4"/>
  <c r="AA130" i="4"/>
  <c r="CZ130" i="4"/>
  <c r="AF130" i="4"/>
  <c r="DE130" i="4"/>
  <c r="BB130" i="4"/>
  <c r="EA130" i="4"/>
  <c r="DT130" i="4"/>
  <c r="AU130" i="4"/>
  <c r="DN130" i="4"/>
  <c r="DJ45" i="4" s="1"/>
  <c r="AO130" i="4"/>
  <c r="DG130" i="4"/>
  <c r="AH130" i="4"/>
  <c r="AB130" i="4"/>
  <c r="DA130" i="4"/>
  <c r="AK151" i="4"/>
  <c r="DJ151" i="4"/>
  <c r="CY151" i="4"/>
  <c r="Z151" i="4"/>
  <c r="CJ151" i="4"/>
  <c r="K151" i="4"/>
  <c r="AL151" i="4"/>
  <c r="DK151" i="4"/>
  <c r="CR151" i="4"/>
  <c r="S151" i="4"/>
  <c r="O151" i="4"/>
  <c r="CN151" i="4"/>
  <c r="CG151" i="4"/>
  <c r="H151" i="4"/>
  <c r="CA66" i="4" s="1"/>
  <c r="EV151" i="4"/>
  <c r="BW151" i="4"/>
  <c r="EL151" i="4"/>
  <c r="BM151" i="4"/>
  <c r="EF66" i="4" s="1"/>
  <c r="CX152" i="4"/>
  <c r="Y152" i="4"/>
  <c r="EF152" i="4"/>
  <c r="BG152" i="4"/>
  <c r="AS152" i="4"/>
  <c r="DR152" i="4"/>
  <c r="DX152" i="4"/>
  <c r="AY152" i="4"/>
  <c r="AC152" i="4"/>
  <c r="DB152" i="4"/>
  <c r="BQ152" i="4"/>
  <c r="EP152" i="4"/>
  <c r="BP152" i="4"/>
  <c r="EO152" i="4"/>
  <c r="EI152" i="4"/>
  <c r="BJ152" i="4"/>
  <c r="EB152" i="4"/>
  <c r="BC152" i="4"/>
  <c r="CQ150" i="4"/>
  <c r="R150" i="4"/>
  <c r="EE150" i="4"/>
  <c r="BF150" i="4"/>
  <c r="CI150" i="4"/>
  <c r="J150" i="4"/>
  <c r="DI150" i="4"/>
  <c r="AJ150" i="4"/>
  <c r="CT150" i="4"/>
  <c r="U150" i="4"/>
  <c r="P150" i="4"/>
  <c r="CO150" i="4"/>
  <c r="I150" i="4"/>
  <c r="CH150" i="4"/>
  <c r="BU150" i="4"/>
  <c r="ET150" i="4"/>
  <c r="L140" i="4"/>
  <c r="CK140" i="4"/>
  <c r="DK140" i="4"/>
  <c r="AL140" i="4"/>
  <c r="CO140" i="4"/>
  <c r="CK55" i="4" s="1"/>
  <c r="P140" i="4"/>
  <c r="BD140" i="4"/>
  <c r="EC140" i="4"/>
  <c r="U140" i="4"/>
  <c r="CT140" i="4"/>
  <c r="CP55" i="4" s="1"/>
  <c r="DD140" i="4"/>
  <c r="AE140" i="4"/>
  <c r="Z140" i="4"/>
  <c r="CY140" i="4"/>
  <c r="S140" i="4"/>
  <c r="CR140" i="4"/>
  <c r="V159" i="4"/>
  <c r="CU159" i="4"/>
  <c r="M159" i="4"/>
  <c r="CL159" i="4"/>
  <c r="BP159" i="4"/>
  <c r="EO159" i="4"/>
  <c r="AS159" i="4"/>
  <c r="DR159" i="4"/>
  <c r="ET159" i="4"/>
  <c r="BU159" i="4"/>
  <c r="EN74" i="4" s="1"/>
  <c r="BJ159" i="4"/>
  <c r="EI159" i="4"/>
  <c r="AU159" i="4"/>
  <c r="DT159" i="4"/>
  <c r="DM159" i="4"/>
  <c r="AN159" i="4"/>
  <c r="DG159" i="4"/>
  <c r="AH159" i="4"/>
  <c r="EF113" i="4"/>
  <c r="BG113" i="4"/>
  <c r="L113" i="4"/>
  <c r="CK113" i="4"/>
  <c r="BX113" i="4"/>
  <c r="BY113" i="4"/>
  <c r="EW113" i="4"/>
  <c r="BQ113" i="4"/>
  <c r="EP113" i="4"/>
  <c r="BR113" i="4"/>
  <c r="EQ113" i="4"/>
  <c r="BK113" i="4"/>
  <c r="EJ113" i="4"/>
  <c r="BD113" i="4"/>
  <c r="EC113" i="4"/>
  <c r="AW113" i="4"/>
  <c r="DV113" i="4"/>
  <c r="DR28" i="4" s="1"/>
  <c r="AP113" i="4"/>
  <c r="DO113" i="4"/>
  <c r="EB99" i="4"/>
  <c r="BC99" i="4"/>
  <c r="CW99" i="4"/>
  <c r="X99" i="4"/>
  <c r="CP99" i="4"/>
  <c r="Q99" i="4"/>
  <c r="J99" i="4"/>
  <c r="CI99" i="4"/>
  <c r="CE14" i="4" s="1"/>
  <c r="BV99" i="4"/>
  <c r="EU99" i="4"/>
  <c r="BO99" i="4"/>
  <c r="EN99" i="4"/>
  <c r="BH99" i="4"/>
  <c r="EG99" i="4"/>
  <c r="BA99" i="4"/>
  <c r="DZ99" i="4"/>
  <c r="EA99" i="4"/>
  <c r="BB99" i="4"/>
  <c r="EW126" i="4"/>
  <c r="BY126" i="4"/>
  <c r="BX126" i="4"/>
  <c r="DH126" i="4"/>
  <c r="AI126" i="4"/>
  <c r="DI126" i="4"/>
  <c r="AJ126" i="4"/>
  <c r="AK126" i="4"/>
  <c r="DJ126" i="4"/>
  <c r="DF41" i="4" s="1"/>
  <c r="AL126" i="4"/>
  <c r="AE126" i="4"/>
  <c r="DD126" i="4"/>
  <c r="X126" i="4"/>
  <c r="CW126" i="4"/>
  <c r="CP126" i="4"/>
  <c r="Q126" i="4"/>
  <c r="EU126" i="4"/>
  <c r="BV126" i="4"/>
  <c r="DJ97" i="4"/>
  <c r="AK97" i="4"/>
  <c r="BJ97" i="4"/>
  <c r="EI97" i="4"/>
  <c r="EB97" i="4"/>
  <c r="BC97" i="4"/>
  <c r="AV97" i="4"/>
  <c r="DU97" i="4"/>
  <c r="AO97" i="4"/>
  <c r="DN97" i="4"/>
  <c r="DG97" i="4"/>
  <c r="AH97" i="4"/>
  <c r="CZ97" i="4"/>
  <c r="AA97" i="4"/>
  <c r="T97" i="4"/>
  <c r="CS97" i="4"/>
  <c r="Z98" i="4"/>
  <c r="CY98" i="4"/>
  <c r="EF98" i="4"/>
  <c r="BG98" i="4"/>
  <c r="AZ98" i="4"/>
  <c r="DY98" i="4"/>
  <c r="DR98" i="4"/>
  <c r="AS98" i="4"/>
  <c r="AT98" i="4"/>
  <c r="DS98" i="4"/>
  <c r="AM98" i="4"/>
  <c r="DL98" i="4"/>
  <c r="DE98" i="4"/>
  <c r="AF98" i="4"/>
  <c r="CX98" i="4"/>
  <c r="Y98" i="4"/>
  <c r="DL156" i="4"/>
  <c r="AM156" i="4"/>
  <c r="EC156" i="4"/>
  <c r="BD156" i="4"/>
  <c r="DV156" i="4"/>
  <c r="AW156" i="4"/>
  <c r="DO156" i="4"/>
  <c r="AP156" i="4"/>
  <c r="DH156" i="4"/>
  <c r="AI156" i="4"/>
  <c r="AB156" i="4"/>
  <c r="DA156" i="4"/>
  <c r="U156" i="4"/>
  <c r="CT156" i="4"/>
  <c r="CU156" i="4"/>
  <c r="V156" i="4"/>
  <c r="R108" i="4"/>
  <c r="CQ108" i="4"/>
  <c r="CM23" i="4" s="1"/>
  <c r="BN108" i="4"/>
  <c r="EM108" i="4"/>
  <c r="BO108" i="4"/>
  <c r="EN108" i="4"/>
  <c r="EG108" i="4"/>
  <c r="BH108" i="4"/>
  <c r="BA108" i="4"/>
  <c r="DZ108" i="4"/>
  <c r="EA108" i="4"/>
  <c r="BB108" i="4"/>
  <c r="DT108" i="4"/>
  <c r="AU108" i="4"/>
  <c r="DM108" i="4"/>
  <c r="AN108" i="4"/>
  <c r="AG108" i="4"/>
  <c r="DF108" i="4"/>
  <c r="DY120" i="4"/>
  <c r="AZ120" i="4"/>
  <c r="U120" i="4"/>
  <c r="CT120" i="4"/>
  <c r="V120" i="4"/>
  <c r="CU120" i="4"/>
  <c r="O120" i="4"/>
  <c r="CN120" i="4"/>
  <c r="CG120" i="4"/>
  <c r="H120" i="4"/>
  <c r="CA35" i="4" s="1"/>
  <c r="BT120" i="4"/>
  <c r="ES120" i="4"/>
  <c r="EL120" i="4"/>
  <c r="BM120" i="4"/>
  <c r="EE120" i="4"/>
  <c r="BF120" i="4"/>
  <c r="DX120" i="4"/>
  <c r="AY120" i="4"/>
  <c r="DJ115" i="4"/>
  <c r="AK115" i="4"/>
  <c r="DK115" i="4"/>
  <c r="AL115" i="4"/>
  <c r="DD115" i="4"/>
  <c r="AE115" i="4"/>
  <c r="X115" i="4"/>
  <c r="CW115" i="4"/>
  <c r="Q115" i="4"/>
  <c r="CP115" i="4"/>
  <c r="CI115" i="4"/>
  <c r="J115" i="4"/>
  <c r="BV115" i="4"/>
  <c r="EU115" i="4"/>
  <c r="EN115" i="4"/>
  <c r="BO115" i="4"/>
  <c r="EG115" i="4"/>
  <c r="BH115" i="4"/>
  <c r="EK114" i="4"/>
  <c r="BL114" i="4"/>
  <c r="DN114" i="4"/>
  <c r="AO114" i="4"/>
  <c r="AH114" i="4"/>
  <c r="DG114" i="4"/>
  <c r="CS114" i="4"/>
  <c r="T114" i="4"/>
  <c r="CL114" i="4"/>
  <c r="M114" i="4"/>
  <c r="CM114" i="4"/>
  <c r="N114" i="4"/>
  <c r="CF114" i="4"/>
  <c r="ER114" i="4"/>
  <c r="BS114" i="4"/>
  <c r="AG101" i="4"/>
  <c r="DF101" i="4"/>
  <c r="BF101" i="4"/>
  <c r="EE101" i="4"/>
  <c r="DX101" i="4"/>
  <c r="AY101" i="4"/>
  <c r="DQ101" i="4"/>
  <c r="AR101" i="4"/>
  <c r="DJ101" i="4"/>
  <c r="AK101" i="4"/>
  <c r="AL101" i="4"/>
  <c r="DK101" i="4"/>
  <c r="DD101" i="4"/>
  <c r="AE101" i="4"/>
  <c r="X101" i="4"/>
  <c r="CW101" i="4"/>
  <c r="DH106" i="4"/>
  <c r="AI106" i="4"/>
  <c r="BJ106" i="4"/>
  <c r="EI106" i="4"/>
  <c r="CJ106" i="4"/>
  <c r="K106" i="4"/>
  <c r="ES106" i="4"/>
  <c r="BT106" i="4"/>
  <c r="EL106" i="4"/>
  <c r="BM106" i="4"/>
  <c r="EE106" i="4"/>
  <c r="BF106" i="4"/>
  <c r="DY106" i="4"/>
  <c r="AZ106" i="4"/>
  <c r="DR106" i="4"/>
  <c r="AS106" i="4"/>
  <c r="AM106" i="4"/>
  <c r="DL106" i="4"/>
  <c r="DI138" i="4"/>
  <c r="AJ138" i="4"/>
  <c r="DB138" i="4"/>
  <c r="AC138" i="4"/>
  <c r="EL163" i="4"/>
  <c r="BM163" i="4"/>
  <c r="ET163" i="4"/>
  <c r="BU163" i="4"/>
  <c r="BW163" i="4"/>
  <c r="V163" i="4"/>
  <c r="CU163" i="4"/>
  <c r="CQ163" i="4"/>
  <c r="R163" i="4"/>
  <c r="EE163" i="4"/>
  <c r="BF163" i="4"/>
  <c r="BI163" i="4"/>
  <c r="EH163" i="4"/>
  <c r="BC163" i="4"/>
  <c r="EB163" i="4"/>
  <c r="DU163" i="4"/>
  <c r="AV163" i="4"/>
  <c r="CT154" i="4"/>
  <c r="U154" i="4"/>
  <c r="DI154" i="4"/>
  <c r="AJ154" i="4"/>
  <c r="DP154" i="4"/>
  <c r="AQ154" i="4"/>
  <c r="CM154" i="4"/>
  <c r="N154" i="4"/>
  <c r="H154" i="4"/>
  <c r="CA69" i="4" s="1"/>
  <c r="CG154" i="4"/>
  <c r="BT154" i="4"/>
  <c r="ES154" i="4"/>
  <c r="BM154" i="4"/>
  <c r="EL154" i="4"/>
  <c r="EH69" i="4" s="1"/>
  <c r="DX103" i="4"/>
  <c r="AY103" i="4"/>
  <c r="AZ103" i="4"/>
  <c r="DY103" i="4"/>
  <c r="AS103" i="4"/>
  <c r="DR103" i="4"/>
  <c r="DS103" i="4"/>
  <c r="AT103" i="4"/>
  <c r="DL103" i="4"/>
  <c r="AM103" i="4"/>
  <c r="DE103" i="4"/>
  <c r="AF103" i="4"/>
  <c r="CX103" i="4"/>
  <c r="Y103" i="4"/>
  <c r="CQ103" i="4"/>
  <c r="R103" i="4"/>
  <c r="EA122" i="4"/>
  <c r="BB122" i="4"/>
  <c r="EJ122" i="4"/>
  <c r="BK122" i="4"/>
  <c r="BD122" i="4"/>
  <c r="EC122" i="4"/>
  <c r="AW122" i="4"/>
  <c r="DV122" i="4"/>
  <c r="DO122" i="4"/>
  <c r="AP122" i="4"/>
  <c r="DA122" i="4"/>
  <c r="AB122" i="4"/>
  <c r="CT122" i="4"/>
  <c r="U122" i="4"/>
  <c r="CW124" i="4"/>
  <c r="X124" i="4"/>
  <c r="CO124" i="4"/>
  <c r="P124" i="4"/>
  <c r="EL124" i="4"/>
  <c r="BM124" i="4"/>
  <c r="EE124" i="4"/>
  <c r="BF124" i="4"/>
  <c r="DX124" i="4"/>
  <c r="AY124" i="4"/>
  <c r="AR124" i="4"/>
  <c r="DQ124" i="4"/>
  <c r="DK124" i="4"/>
  <c r="AL124" i="4"/>
  <c r="DE39" i="4" s="1"/>
  <c r="DD124" i="4"/>
  <c r="AE124" i="4"/>
  <c r="DW116" i="4"/>
  <c r="AX116" i="4"/>
  <c r="CR116" i="4"/>
  <c r="S116" i="4"/>
  <c r="CS116" i="4"/>
  <c r="T116" i="4"/>
  <c r="CT116" i="4"/>
  <c r="U116" i="4"/>
  <c r="V116" i="4"/>
  <c r="CU116" i="4"/>
  <c r="O116" i="4"/>
  <c r="CN116" i="4"/>
  <c r="CG116" i="4"/>
  <c r="H116" i="4"/>
  <c r="CA31" i="4" s="1"/>
  <c r="BT116" i="4"/>
  <c r="ES116" i="4"/>
  <c r="EL116" i="4"/>
  <c r="BM116" i="4"/>
  <c r="EN123" i="4"/>
  <c r="BO123" i="4"/>
  <c r="DA123" i="4"/>
  <c r="AB123" i="4"/>
  <c r="U123" i="4"/>
  <c r="CT123" i="4"/>
  <c r="V123" i="4"/>
  <c r="CU123" i="4"/>
  <c r="CN123" i="4"/>
  <c r="O123" i="4"/>
  <c r="CG123" i="4"/>
  <c r="H123" i="4"/>
  <c r="CA38" i="4" s="1"/>
  <c r="ES123" i="4"/>
  <c r="BT123" i="4"/>
  <c r="EL123" i="4"/>
  <c r="BM123" i="4"/>
  <c r="EE123" i="4"/>
  <c r="BF123" i="4"/>
  <c r="AW111" i="4"/>
  <c r="DV111" i="4"/>
  <c r="AH111" i="4"/>
  <c r="DG111" i="4"/>
  <c r="CZ111" i="4"/>
  <c r="AA111" i="4"/>
  <c r="CS111" i="4"/>
  <c r="T111" i="4"/>
  <c r="CL111" i="4"/>
  <c r="M111" i="4"/>
  <c r="CM111" i="4"/>
  <c r="N111" i="4"/>
  <c r="ER111" i="4"/>
  <c r="BS111" i="4"/>
  <c r="EK111" i="4"/>
  <c r="BL111" i="4"/>
  <c r="EL121" i="4"/>
  <c r="BM121" i="4"/>
  <c r="DW121" i="4"/>
  <c r="AX121" i="4"/>
  <c r="AQ121" i="4"/>
  <c r="DP121" i="4"/>
  <c r="DI121" i="4"/>
  <c r="AJ121" i="4"/>
  <c r="AC121" i="4"/>
  <c r="DB121" i="4"/>
  <c r="DC121" i="4"/>
  <c r="AD121" i="4"/>
  <c r="CV121" i="4"/>
  <c r="W121" i="4"/>
  <c r="CO121" i="4"/>
  <c r="P121" i="4"/>
  <c r="EW133" i="4"/>
  <c r="BX133" i="4"/>
  <c r="BY133" i="4"/>
  <c r="DZ133" i="4"/>
  <c r="BA133" i="4"/>
  <c r="EA133" i="4"/>
  <c r="BB133" i="4"/>
  <c r="AU133" i="4"/>
  <c r="DN48" i="4" s="1"/>
  <c r="DT133" i="4"/>
  <c r="DM133" i="4"/>
  <c r="AN133" i="4"/>
  <c r="DF133" i="4"/>
  <c r="AG133" i="4"/>
  <c r="Z133" i="4"/>
  <c r="CY133" i="4"/>
  <c r="CR133" i="4"/>
  <c r="S133" i="4"/>
  <c r="CL143" i="4"/>
  <c r="M143" i="4"/>
  <c r="CF58" i="4" s="1"/>
  <c r="CM143" i="4"/>
  <c r="N143" i="4"/>
  <c r="ER143" i="4"/>
  <c r="BS143" i="4"/>
  <c r="EK143" i="4"/>
  <c r="BL143" i="4"/>
  <c r="ED143" i="4"/>
  <c r="BE143" i="4"/>
  <c r="DX58" i="4" s="1"/>
  <c r="AX143" i="4"/>
  <c r="DW143" i="4"/>
  <c r="AQ143" i="4"/>
  <c r="DP143" i="4"/>
  <c r="DI143" i="4"/>
  <c r="AJ143" i="4"/>
  <c r="Z153" i="4"/>
  <c r="CY153" i="4"/>
  <c r="DM153" i="4"/>
  <c r="AN153" i="4"/>
  <c r="EB153" i="4"/>
  <c r="BC153" i="4"/>
  <c r="CG153" i="4"/>
  <c r="H153" i="4"/>
  <c r="CA68" i="4" s="1"/>
  <c r="DJ153" i="4"/>
  <c r="AK153" i="4"/>
  <c r="EJ153" i="4"/>
  <c r="BK153" i="4"/>
  <c r="BG153" i="4"/>
  <c r="EF153" i="4"/>
  <c r="DY153" i="4"/>
  <c r="AZ153" i="4"/>
  <c r="K157" i="4"/>
  <c r="CJ157" i="4"/>
  <c r="DM157" i="4"/>
  <c r="AN157" i="4"/>
  <c r="Z157" i="4"/>
  <c r="CY157" i="4"/>
  <c r="CS157" i="4"/>
  <c r="T157" i="4"/>
  <c r="CL157" i="4"/>
  <c r="M157" i="4"/>
  <c r="CM157" i="4"/>
  <c r="N157" i="4"/>
  <c r="ER157" i="4"/>
  <c r="BS157" i="4"/>
  <c r="EL72" i="4" s="1"/>
  <c r="BM157" i="4"/>
  <c r="EL157" i="4"/>
  <c r="CG131" i="4"/>
  <c r="H131" i="4"/>
  <c r="CA46" i="4" s="1"/>
  <c r="AA131" i="4"/>
  <c r="CZ131" i="4"/>
  <c r="CS131" i="4"/>
  <c r="T131" i="4"/>
  <c r="CL131" i="4"/>
  <c r="M131" i="4"/>
  <c r="N131" i="4"/>
  <c r="CM131" i="4"/>
  <c r="CF131" i="4"/>
  <c r="BS131" i="4"/>
  <c r="ER131" i="4"/>
  <c r="Q131" i="4"/>
  <c r="CP131" i="4"/>
  <c r="BA148" i="4"/>
  <c r="DZ148" i="4"/>
  <c r="EC148" i="4"/>
  <c r="BD148" i="4"/>
  <c r="T148" i="4"/>
  <c r="CS148" i="4"/>
  <c r="DU148" i="4"/>
  <c r="AV148" i="4"/>
  <c r="EU148" i="4"/>
  <c r="BV148" i="4"/>
  <c r="CY148" i="4"/>
  <c r="Z148" i="4"/>
  <c r="AQ148" i="4"/>
  <c r="DP148" i="4"/>
  <c r="DK148" i="4"/>
  <c r="AL148" i="4"/>
  <c r="DD148" i="4"/>
  <c r="AE148" i="4"/>
  <c r="P119" i="4"/>
  <c r="CO119" i="4"/>
  <c r="I119" i="4"/>
  <c r="CH119" i="4"/>
  <c r="BU119" i="4"/>
  <c r="ET119" i="4"/>
  <c r="BN119" i="4"/>
  <c r="EM119" i="4"/>
  <c r="EF119" i="4"/>
  <c r="BG119" i="4"/>
  <c r="DY119" i="4"/>
  <c r="AZ119" i="4"/>
  <c r="DS34" i="4" s="1"/>
  <c r="DR119" i="4"/>
  <c r="AS119" i="4"/>
  <c r="DS119" i="4"/>
  <c r="AT119" i="4"/>
  <c r="V112" i="4"/>
  <c r="CU112" i="4"/>
  <c r="AE112" i="4"/>
  <c r="DD112" i="4"/>
  <c r="CP112" i="4"/>
  <c r="Q112" i="4"/>
  <c r="J112" i="4"/>
  <c r="CI112" i="4"/>
  <c r="EU112" i="4"/>
  <c r="BV112" i="4"/>
  <c r="BO112" i="4"/>
  <c r="EN112" i="4"/>
  <c r="EG112" i="4"/>
  <c r="BH112" i="4"/>
  <c r="DZ112" i="4"/>
  <c r="BA112" i="4"/>
  <c r="BR102" i="4"/>
  <c r="EQ102" i="4"/>
  <c r="AU102" i="4"/>
  <c r="DT102" i="4"/>
  <c r="AN102" i="4"/>
  <c r="DM102" i="4"/>
  <c r="AG102" i="4"/>
  <c r="DF102" i="4"/>
  <c r="Z102" i="4"/>
  <c r="CY102" i="4"/>
  <c r="S102" i="4"/>
  <c r="CR102" i="4"/>
  <c r="L102" i="4"/>
  <c r="CK102" i="4"/>
  <c r="CG17" i="4" s="1"/>
  <c r="EW102" i="4"/>
  <c r="BX102" i="4"/>
  <c r="BY102" i="4"/>
  <c r="BQ102" i="4"/>
  <c r="EP102" i="4"/>
  <c r="EI161" i="4"/>
  <c r="BJ161" i="4"/>
  <c r="I161" i="4"/>
  <c r="CH161" i="4"/>
  <c r="CN161" i="4"/>
  <c r="O161" i="4"/>
  <c r="EB161" i="4"/>
  <c r="BC161" i="4"/>
  <c r="CU161" i="4"/>
  <c r="CQ76" i="4" s="1"/>
  <c r="V161" i="4"/>
  <c r="AH161" i="4"/>
  <c r="DG161" i="4"/>
  <c r="DA161" i="4"/>
  <c r="AB161" i="4"/>
  <c r="CT161" i="4"/>
  <c r="U161" i="4"/>
  <c r="BT147" i="4"/>
  <c r="ES147" i="4"/>
  <c r="DU147" i="4"/>
  <c r="AV147" i="4"/>
  <c r="EW147" i="4"/>
  <c r="BX147" i="4"/>
  <c r="BY147" i="4"/>
  <c r="DM147" i="4"/>
  <c r="AN147" i="4"/>
  <c r="S147" i="4"/>
  <c r="CR147" i="4"/>
  <c r="AS147" i="4"/>
  <c r="DR147" i="4"/>
  <c r="BB147" i="4"/>
  <c r="EA147" i="4"/>
  <c r="DV147" i="4"/>
  <c r="AW147" i="4"/>
  <c r="DO147" i="4"/>
  <c r="AP147" i="4"/>
  <c r="EI164" i="4"/>
  <c r="BJ164" i="4"/>
  <c r="EL164" i="4"/>
  <c r="BM164" i="4"/>
  <c r="ER164" i="4"/>
  <c r="BS164" i="4"/>
  <c r="CP164" i="4"/>
  <c r="Q164" i="4"/>
  <c r="AX164" i="4"/>
  <c r="DW164" i="4"/>
  <c r="AY164" i="4"/>
  <c r="DX164" i="4"/>
  <c r="AR164" i="4"/>
  <c r="DQ164" i="4"/>
  <c r="AK164" i="4"/>
  <c r="DJ164" i="4"/>
  <c r="EC164" i="4"/>
  <c r="BD164" i="4"/>
  <c r="CO146" i="4"/>
  <c r="P146" i="4"/>
  <c r="EC146" i="4"/>
  <c r="DY61" i="4" s="1"/>
  <c r="BD146" i="4"/>
  <c r="CG146" i="4"/>
  <c r="H146" i="4"/>
  <c r="CA61" i="4" s="1"/>
  <c r="DH146" i="4"/>
  <c r="AI146" i="4"/>
  <c r="BK146" i="4"/>
  <c r="EJ146" i="4"/>
  <c r="CP146" i="4"/>
  <c r="Q146" i="4"/>
  <c r="L146" i="4"/>
  <c r="CK146" i="4"/>
  <c r="BY146" i="4"/>
  <c r="EW146" i="4"/>
  <c r="BX146" i="4"/>
  <c r="BQ146" i="4"/>
  <c r="EP146" i="4"/>
  <c r="W105" i="4"/>
  <c r="CV105" i="4"/>
  <c r="BG105" i="4"/>
  <c r="EF105" i="4"/>
  <c r="CI105" i="4"/>
  <c r="J105" i="4"/>
  <c r="AA105" i="4"/>
  <c r="CZ105" i="4"/>
  <c r="BR105" i="4"/>
  <c r="EQ105" i="4"/>
  <c r="AK105" i="4"/>
  <c r="DJ105" i="4"/>
  <c r="BC105" i="4"/>
  <c r="EB105" i="4"/>
  <c r="BT105" i="4"/>
  <c r="ES105" i="4"/>
  <c r="X96" i="4"/>
  <c r="CW96" i="4"/>
  <c r="BU96" i="4"/>
  <c r="ET96" i="4"/>
  <c r="BN96" i="4"/>
  <c r="EM96" i="4"/>
  <c r="BG96" i="4"/>
  <c r="EF96" i="4"/>
  <c r="DY96" i="4"/>
  <c r="AZ96" i="4"/>
  <c r="DR96" i="4"/>
  <c r="AS96" i="4"/>
  <c r="AT96" i="4"/>
  <c r="DS96" i="4"/>
  <c r="DL96" i="4"/>
  <c r="AM96" i="4"/>
  <c r="BP136" i="4"/>
  <c r="EO136" i="4"/>
  <c r="EK51" i="4" s="1"/>
  <c r="U136" i="4"/>
  <c r="CT136" i="4"/>
  <c r="CU136" i="4"/>
  <c r="V136" i="4"/>
  <c r="CN136" i="4"/>
  <c r="O136" i="4"/>
  <c r="H136" i="4"/>
  <c r="CA51" i="4" s="1"/>
  <c r="CG136" i="4"/>
  <c r="ES136" i="4"/>
  <c r="BT136" i="4"/>
  <c r="EL136" i="4"/>
  <c r="BM136" i="4"/>
  <c r="EE136" i="4"/>
  <c r="EA51" i="4" s="1"/>
  <c r="BF136" i="4"/>
  <c r="AY136" i="4"/>
  <c r="DR51" i="4" s="1"/>
  <c r="DX136" i="4"/>
  <c r="DI110" i="4"/>
  <c r="AJ110" i="4"/>
  <c r="AK110" i="4"/>
  <c r="DJ110" i="4"/>
  <c r="DK110" i="4"/>
  <c r="AL110" i="4"/>
  <c r="DD110" i="4"/>
  <c r="AE110" i="4"/>
  <c r="X110" i="4"/>
  <c r="CQ25" i="4" s="1"/>
  <c r="CW110" i="4"/>
  <c r="Q110" i="4"/>
  <c r="CP110" i="4"/>
  <c r="CI110" i="4"/>
  <c r="J110" i="4"/>
  <c r="BV110" i="4"/>
  <c r="EU110" i="4"/>
  <c r="BO110" i="4"/>
  <c r="EN110" i="4"/>
  <c r="AA128" i="4"/>
  <c r="CZ128" i="4"/>
  <c r="EN128" i="4"/>
  <c r="EJ43" i="4" s="1"/>
  <c r="BO128" i="4"/>
  <c r="AS128" i="4"/>
  <c r="DR128" i="4"/>
  <c r="ET128" i="4"/>
  <c r="BU128" i="4"/>
  <c r="Y128" i="4"/>
  <c r="CX128" i="4"/>
  <c r="AJ128" i="4"/>
  <c r="DI128" i="4"/>
  <c r="CV128" i="4"/>
  <c r="W128" i="4"/>
  <c r="CO128" i="4"/>
  <c r="P128" i="4"/>
  <c r="M130" i="4"/>
  <c r="CL130" i="4"/>
  <c r="BI130" i="4"/>
  <c r="EH130" i="4"/>
  <c r="DU130" i="4"/>
  <c r="AV130" i="4"/>
  <c r="BA130" i="4"/>
  <c r="DZ130" i="4"/>
  <c r="BJ130" i="4"/>
  <c r="EI130" i="4"/>
  <c r="EB130" i="4"/>
  <c r="BC130" i="4"/>
  <c r="AW130" i="4"/>
  <c r="DV130" i="4"/>
  <c r="AJ130" i="4"/>
  <c r="DI130" i="4"/>
  <c r="DP151" i="4"/>
  <c r="AQ151" i="4"/>
  <c r="EG151" i="4"/>
  <c r="BH151" i="4"/>
  <c r="V151" i="4"/>
  <c r="CU151" i="4"/>
  <c r="DY151" i="4"/>
  <c r="AZ151" i="4"/>
  <c r="AD151" i="4"/>
  <c r="DC151" i="4"/>
  <c r="W151" i="4"/>
  <c r="CV151" i="4"/>
  <c r="CO151" i="4"/>
  <c r="P151" i="4"/>
  <c r="CH151" i="4"/>
  <c r="I151" i="4"/>
  <c r="EW151" i="4"/>
  <c r="BY151" i="4"/>
  <c r="BX151" i="4"/>
  <c r="DW152" i="4"/>
  <c r="AX152" i="4"/>
  <c r="CI152" i="4"/>
  <c r="J152" i="4"/>
  <c r="ES152" i="4"/>
  <c r="EO67" i="4" s="1"/>
  <c r="BT152" i="4"/>
  <c r="DO152" i="4"/>
  <c r="AP152" i="4"/>
  <c r="L152" i="4"/>
  <c r="CK152" i="4"/>
  <c r="BY152" i="4"/>
  <c r="BX152" i="4"/>
  <c r="EW152" i="4"/>
  <c r="BR152" i="4"/>
  <c r="EQ152" i="4"/>
  <c r="EJ152" i="4"/>
  <c r="EF67" i="4" s="1"/>
  <c r="BK152" i="4"/>
  <c r="DC150" i="4"/>
  <c r="AD150" i="4"/>
  <c r="EQ150" i="4"/>
  <c r="BR150" i="4"/>
  <c r="CU150" i="4"/>
  <c r="V150" i="4"/>
  <c r="DW150" i="4"/>
  <c r="AX150" i="4"/>
  <c r="EW150" i="4"/>
  <c r="BX150" i="4"/>
  <c r="BY150" i="4"/>
  <c r="DB150" i="4"/>
  <c r="AC150" i="4"/>
  <c r="X150" i="4"/>
  <c r="CW150" i="4"/>
  <c r="Q150" i="4"/>
  <c r="CP150" i="4"/>
  <c r="CW140" i="4"/>
  <c r="X140" i="4"/>
  <c r="AC140" i="4"/>
  <c r="DB140" i="4"/>
  <c r="BQ140" i="4"/>
  <c r="EP140" i="4"/>
  <c r="DF140" i="4"/>
  <c r="AG140" i="4"/>
  <c r="DL140" i="4"/>
  <c r="AM140" i="4"/>
  <c r="AH140" i="4"/>
  <c r="DG140" i="4"/>
  <c r="AA140" i="4"/>
  <c r="CZ140" i="4"/>
  <c r="EN159" i="4"/>
  <c r="EJ74" i="4" s="1"/>
  <c r="BO159" i="4"/>
  <c r="DY159" i="4"/>
  <c r="AZ159" i="4"/>
  <c r="CR159" i="4"/>
  <c r="S159" i="4"/>
  <c r="EF159" i="4"/>
  <c r="BG159" i="4"/>
  <c r="DV159" i="4"/>
  <c r="AW159" i="4"/>
  <c r="EW159" i="4"/>
  <c r="BX159" i="4"/>
  <c r="BY159" i="4"/>
  <c r="BC159" i="4"/>
  <c r="EB159" i="4"/>
  <c r="DU159" i="4"/>
  <c r="AV159" i="4"/>
  <c r="DO159" i="4"/>
  <c r="AP159" i="4"/>
  <c r="DP113" i="4"/>
  <c r="AQ113" i="4"/>
  <c r="T113" i="4"/>
  <c r="CS113" i="4"/>
  <c r="M113" i="4"/>
  <c r="CL113" i="4"/>
  <c r="CM113" i="4"/>
  <c r="N113" i="4"/>
  <c r="ER113" i="4"/>
  <c r="BS113" i="4"/>
  <c r="BL113" i="4"/>
  <c r="EK113" i="4"/>
  <c r="ED113" i="4"/>
  <c r="BE113" i="4"/>
  <c r="AX113" i="4"/>
  <c r="DW113" i="4"/>
  <c r="DT99" i="4"/>
  <c r="AU99" i="4"/>
  <c r="DE99" i="4"/>
  <c r="AF99" i="4"/>
  <c r="CX99" i="4"/>
  <c r="Y99" i="4"/>
  <c r="R99" i="4"/>
  <c r="CQ99" i="4"/>
  <c r="BW99" i="4"/>
  <c r="EV99" i="4"/>
  <c r="BP99" i="4"/>
  <c r="EO99" i="4"/>
  <c r="BI99" i="4"/>
  <c r="EH99" i="4"/>
  <c r="EI99" i="4"/>
  <c r="BJ99" i="4"/>
  <c r="CQ126" i="4"/>
  <c r="R126" i="4"/>
  <c r="DP126" i="4"/>
  <c r="AQ126" i="4"/>
  <c r="DQ126" i="4"/>
  <c r="AR126" i="4"/>
  <c r="DR126" i="4"/>
  <c r="AS126" i="4"/>
  <c r="AT126" i="4"/>
  <c r="DS126" i="4"/>
  <c r="AF126" i="4"/>
  <c r="DE126" i="4"/>
  <c r="CX126" i="4"/>
  <c r="Y126" i="4"/>
  <c r="BR126" i="4"/>
  <c r="EQ126" i="4"/>
  <c r="DZ97" i="4"/>
  <c r="BA97" i="4"/>
  <c r="BR97" i="4"/>
  <c r="EQ97" i="4"/>
  <c r="BK97" i="4"/>
  <c r="EJ97" i="4"/>
  <c r="BD97" i="4"/>
  <c r="EC97" i="4"/>
  <c r="AW97" i="4"/>
  <c r="DV97" i="4"/>
  <c r="DO97" i="4"/>
  <c r="AP97" i="4"/>
  <c r="DH97" i="4"/>
  <c r="AI97" i="4"/>
  <c r="DA97" i="4"/>
  <c r="AB97" i="4"/>
  <c r="AX98" i="4"/>
  <c r="DW98" i="4"/>
  <c r="DS13" i="4" s="1"/>
  <c r="DG98" i="4"/>
  <c r="AH98" i="4"/>
  <c r="EN98" i="4"/>
  <c r="BO98" i="4"/>
  <c r="BH98" i="4"/>
  <c r="EG98" i="4"/>
  <c r="BA98" i="4"/>
  <c r="DZ98" i="4"/>
  <c r="BB98" i="4"/>
  <c r="EA98" i="4"/>
  <c r="AU98" i="4"/>
  <c r="DT98" i="4"/>
  <c r="DM98" i="4"/>
  <c r="AN98" i="4"/>
  <c r="DF98" i="4"/>
  <c r="AG98" i="4"/>
  <c r="EB156" i="4"/>
  <c r="BC156" i="4"/>
  <c r="DT156" i="4"/>
  <c r="AU156" i="4"/>
  <c r="EK156" i="4"/>
  <c r="BL156" i="4"/>
  <c r="ED156" i="4"/>
  <c r="BE156" i="4"/>
  <c r="DW156" i="4"/>
  <c r="AX156" i="4"/>
  <c r="AQ156" i="4"/>
  <c r="DP156" i="4"/>
  <c r="AJ156" i="4"/>
  <c r="DI156" i="4"/>
  <c r="AC156" i="4"/>
  <c r="DB156" i="4"/>
  <c r="DC156" i="4"/>
  <c r="AD156" i="4"/>
  <c r="Z108" i="4"/>
  <c r="CY108" i="4"/>
  <c r="CJ108" i="4"/>
  <c r="K108" i="4"/>
  <c r="BW108" i="4"/>
  <c r="EV108" i="4"/>
  <c r="EO108" i="4"/>
  <c r="BP108" i="4"/>
  <c r="BI108" i="4"/>
  <c r="EH108" i="4"/>
  <c r="EI108" i="4"/>
  <c r="BJ108" i="4"/>
  <c r="EB108" i="4"/>
  <c r="BC108" i="4"/>
  <c r="DU108" i="4"/>
  <c r="AV108" i="4"/>
  <c r="AO108" i="4"/>
  <c r="DN108" i="4"/>
  <c r="DJ23" i="4" s="1"/>
  <c r="EG120" i="4"/>
  <c r="BH120" i="4"/>
  <c r="AC120" i="4"/>
  <c r="DB120" i="4"/>
  <c r="AD120" i="4"/>
  <c r="DC120" i="4"/>
  <c r="W120" i="4"/>
  <c r="CV120" i="4"/>
  <c r="CO120" i="4"/>
  <c r="P120" i="4"/>
  <c r="CH120" i="4"/>
  <c r="I120" i="4"/>
  <c r="ET120" i="4"/>
  <c r="BU120" i="4"/>
  <c r="EM120" i="4"/>
  <c r="BN120" i="4"/>
  <c r="EF120" i="4"/>
  <c r="BG120" i="4"/>
  <c r="DR115" i="4"/>
  <c r="AS115" i="4"/>
  <c r="DS115" i="4"/>
  <c r="AT115" i="4"/>
  <c r="DL115" i="4"/>
  <c r="AM115" i="4"/>
  <c r="DE115" i="4"/>
  <c r="AF115" i="4"/>
  <c r="Y115" i="4"/>
  <c r="CX115" i="4"/>
  <c r="CQ115" i="4"/>
  <c r="R115" i="4"/>
  <c r="CJ115" i="4"/>
  <c r="K115" i="4"/>
  <c r="EV115" i="4"/>
  <c r="BW115" i="4"/>
  <c r="EO115" i="4"/>
  <c r="BP115" i="4"/>
  <c r="CG114" i="4"/>
  <c r="H114" i="4"/>
  <c r="CA29" i="4" s="1"/>
  <c r="DV114" i="4"/>
  <c r="AW114" i="4"/>
  <c r="DO114" i="4"/>
  <c r="AP114" i="4"/>
  <c r="AI114" i="4"/>
  <c r="DH114" i="4"/>
  <c r="AB114" i="4"/>
  <c r="CU29" i="4" s="1"/>
  <c r="DA114" i="4"/>
  <c r="CT114" i="4"/>
  <c r="U114" i="4"/>
  <c r="CU114" i="4"/>
  <c r="V114" i="4"/>
  <c r="CN114" i="4"/>
  <c r="O114" i="4"/>
  <c r="AW101" i="4"/>
  <c r="DV101" i="4"/>
  <c r="AO101" i="4"/>
  <c r="DN101" i="4"/>
  <c r="DJ16" i="4" s="1"/>
  <c r="BN101" i="4"/>
  <c r="EM101" i="4"/>
  <c r="EF101" i="4"/>
  <c r="BG101" i="4"/>
  <c r="DY101" i="4"/>
  <c r="AZ101" i="4"/>
  <c r="DR101" i="4"/>
  <c r="AS101" i="4"/>
  <c r="DS101" i="4"/>
  <c r="AT101" i="4"/>
  <c r="DL101" i="4"/>
  <c r="AM101" i="4"/>
  <c r="AF101" i="4"/>
  <c r="DE101" i="4"/>
  <c r="EC106" i="4"/>
  <c r="BD106" i="4"/>
  <c r="EV106" i="4"/>
  <c r="BW106" i="4"/>
  <c r="CZ106" i="4"/>
  <c r="AA106" i="4"/>
  <c r="CH106" i="4"/>
  <c r="I106" i="4"/>
  <c r="ET106" i="4"/>
  <c r="BU106" i="4"/>
  <c r="EM106" i="4"/>
  <c r="BN106" i="4"/>
  <c r="EG106" i="4"/>
  <c r="BH106" i="4"/>
  <c r="BA106" i="4"/>
  <c r="DZ106" i="4"/>
  <c r="AU106" i="4"/>
  <c r="DT106" i="4"/>
  <c r="DG132" i="4"/>
  <c r="AH132" i="4"/>
  <c r="CZ132" i="4"/>
  <c r="AA132" i="4"/>
  <c r="T132" i="4"/>
  <c r="CS132" i="4"/>
  <c r="CL132" i="4"/>
  <c r="M132" i="4"/>
  <c r="CM132" i="4"/>
  <c r="N132" i="4"/>
  <c r="DD135" i="4"/>
  <c r="AE135" i="4"/>
  <c r="BL135" i="4"/>
  <c r="EK135" i="4"/>
  <c r="ED135" i="4"/>
  <c r="BE135" i="4"/>
  <c r="AX135" i="4"/>
  <c r="DW135" i="4"/>
  <c r="AQ135" i="4"/>
  <c r="DP135" i="4"/>
  <c r="DI135" i="4"/>
  <c r="AJ135" i="4"/>
  <c r="DB135" i="4"/>
  <c r="AC135" i="4"/>
  <c r="AD135" i="4"/>
  <c r="DC135" i="4"/>
  <c r="DN155" i="4"/>
  <c r="AO155" i="4"/>
  <c r="CF155" i="4"/>
  <c r="AU155" i="4"/>
  <c r="DT155" i="4"/>
  <c r="CW155" i="4"/>
  <c r="X155" i="4"/>
  <c r="CZ155" i="4"/>
  <c r="AA155" i="4"/>
  <c r="CT155" i="4"/>
  <c r="U155" i="4"/>
  <c r="V155" i="4"/>
  <c r="CU155" i="4"/>
  <c r="BK155" i="4"/>
  <c r="EJ155" i="4"/>
  <c r="BC139" i="4"/>
  <c r="EB139" i="4"/>
  <c r="DE139" i="4"/>
  <c r="AF139" i="4"/>
  <c r="EF139" i="4"/>
  <c r="BG139" i="4"/>
  <c r="CJ139" i="4"/>
  <c r="K139" i="4"/>
  <c r="AM139" i="4"/>
  <c r="DL139" i="4"/>
  <c r="EL139" i="4"/>
  <c r="BM139" i="4"/>
  <c r="EM139" i="4"/>
  <c r="BN139" i="4"/>
  <c r="BI139" i="4"/>
  <c r="EH139" i="4"/>
  <c r="BJ139" i="4"/>
  <c r="EI139" i="4"/>
  <c r="EC104" i="4"/>
  <c r="BD104" i="4"/>
  <c r="BN104" i="4"/>
  <c r="EM104" i="4"/>
  <c r="AY104" i="4"/>
  <c r="DX104" i="4"/>
  <c r="DQ104" i="4"/>
  <c r="AR104" i="4"/>
  <c r="DJ104" i="4"/>
  <c r="AK104" i="4"/>
  <c r="DC104" i="4"/>
  <c r="AD104" i="4"/>
  <c r="CN104" i="4"/>
  <c r="CJ19" i="4" s="1"/>
  <c r="O104" i="4"/>
  <c r="U107" i="4"/>
  <c r="CN22" i="4" s="1"/>
  <c r="CT107" i="4"/>
  <c r="AK107" i="4"/>
  <c r="DJ107" i="4"/>
  <c r="AS107" i="4"/>
  <c r="DR107" i="4"/>
  <c r="EQ107" i="4"/>
  <c r="BR107" i="4"/>
  <c r="EJ107" i="4"/>
  <c r="BK107" i="4"/>
  <c r="EC107" i="4"/>
  <c r="BD107" i="4"/>
  <c r="DV107" i="4"/>
  <c r="AW107" i="4"/>
  <c r="DO107" i="4"/>
  <c r="AP107" i="4"/>
  <c r="AJ107" i="4"/>
  <c r="DI107" i="4"/>
  <c r="BP100" i="4"/>
  <c r="EO100" i="4"/>
  <c r="CT100" i="4"/>
  <c r="U100" i="4"/>
  <c r="CU100" i="4"/>
  <c r="V100" i="4"/>
  <c r="CN100" i="4"/>
  <c r="O100" i="4"/>
  <c r="CH15" i="4" s="1"/>
  <c r="H100" i="4"/>
  <c r="CA15" i="4" s="1"/>
  <c r="CG100" i="4"/>
  <c r="ES100" i="4"/>
  <c r="BT100" i="4"/>
  <c r="EL100" i="4"/>
  <c r="BM100" i="4"/>
  <c r="BF100" i="4"/>
  <c r="EE100" i="4"/>
  <c r="AY100" i="4"/>
  <c r="DX100" i="4"/>
  <c r="DT15" i="4" s="1"/>
  <c r="DG118" i="4"/>
  <c r="AH118" i="4"/>
  <c r="AI118" i="4"/>
  <c r="DH118" i="4"/>
  <c r="DA118" i="4"/>
  <c r="AB118" i="4"/>
  <c r="CT118" i="4"/>
  <c r="U118" i="4"/>
  <c r="CU118" i="4"/>
  <c r="V118" i="4"/>
  <c r="CN118" i="4"/>
  <c r="O118" i="4"/>
  <c r="CG118" i="4"/>
  <c r="CC33" i="4" s="1"/>
  <c r="H118" i="4"/>
  <c r="CA33" i="4" s="1"/>
  <c r="ES118" i="4"/>
  <c r="BT118" i="4"/>
  <c r="EL118" i="4"/>
  <c r="EH33" i="4" s="1"/>
  <c r="BM118" i="4"/>
  <c r="AE109" i="4"/>
  <c r="DD109" i="4"/>
  <c r="DU109" i="4"/>
  <c r="AV109" i="4"/>
  <c r="AO109" i="4"/>
  <c r="DN109" i="4"/>
  <c r="AH109" i="4"/>
  <c r="DG109" i="4"/>
  <c r="AA109" i="4"/>
  <c r="CZ109" i="4"/>
  <c r="CS109" i="4"/>
  <c r="CO24" i="4" s="1"/>
  <c r="T109" i="4"/>
  <c r="CL109" i="4"/>
  <c r="M109" i="4"/>
  <c r="N109" i="4"/>
  <c r="CM109" i="4"/>
  <c r="Q137" i="4"/>
  <c r="CP137" i="4"/>
  <c r="CL52" i="4" s="1"/>
  <c r="BF137" i="4"/>
  <c r="EE137" i="4"/>
  <c r="AY137" i="4"/>
  <c r="DR52" i="4" s="1"/>
  <c r="DX137" i="4"/>
  <c r="DQ137" i="4"/>
  <c r="AR137" i="4"/>
  <c r="DJ137" i="4"/>
  <c r="AK137" i="4"/>
  <c r="DK137" i="4"/>
  <c r="AL137" i="4"/>
  <c r="DD137" i="4"/>
  <c r="AE137" i="4"/>
  <c r="X137" i="4"/>
  <c r="CW137" i="4"/>
  <c r="CS52" i="4" s="1"/>
  <c r="V138" i="4"/>
  <c r="CU138" i="4"/>
  <c r="O138" i="4"/>
  <c r="CN138" i="4"/>
  <c r="H138" i="4"/>
  <c r="CA53" i="4" s="1"/>
  <c r="CG138" i="4"/>
  <c r="BT138" i="4"/>
  <c r="ES138" i="4"/>
  <c r="BM138" i="4"/>
  <c r="EL138" i="4"/>
  <c r="BF138" i="4"/>
  <c r="EE138" i="4"/>
  <c r="DQ138" i="4"/>
  <c r="AR138" i="4"/>
  <c r="DJ138" i="4"/>
  <c r="AK138" i="4"/>
  <c r="CH163" i="4"/>
  <c r="I163" i="4"/>
  <c r="CJ163" i="4"/>
  <c r="K163" i="4"/>
  <c r="CP163" i="4"/>
  <c r="Q163" i="4"/>
  <c r="DO163" i="4"/>
  <c r="AP163" i="4"/>
  <c r="AD163" i="4"/>
  <c r="DC163" i="4"/>
  <c r="BR163" i="4"/>
  <c r="EQ163" i="4"/>
  <c r="BQ163" i="4"/>
  <c r="EP163" i="4"/>
  <c r="BK163" i="4"/>
  <c r="EJ163" i="4"/>
  <c r="EC163" i="4"/>
  <c r="BD163" i="4"/>
  <c r="EF154" i="4"/>
  <c r="BG154" i="4"/>
  <c r="DJ154" i="4"/>
  <c r="DF69" i="4" s="1"/>
  <c r="AK154" i="4"/>
  <c r="DW154" i="4"/>
  <c r="AX154" i="4"/>
  <c r="O154" i="4"/>
  <c r="CN154" i="4"/>
  <c r="EB154" i="4"/>
  <c r="BC154" i="4"/>
  <c r="CU154" i="4"/>
  <c r="V154" i="4"/>
  <c r="P154" i="4"/>
  <c r="CO154" i="4"/>
  <c r="I154" i="4"/>
  <c r="CB69" i="4" s="1"/>
  <c r="CH154" i="4"/>
  <c r="BU154" i="4"/>
  <c r="ET154" i="4"/>
  <c r="EF103" i="4"/>
  <c r="BG103" i="4"/>
  <c r="BH103" i="4"/>
  <c r="EG103" i="4"/>
  <c r="BA103" i="4"/>
  <c r="DZ103" i="4"/>
  <c r="EA103" i="4"/>
  <c r="BB103" i="4"/>
  <c r="DT103" i="4"/>
  <c r="AU103" i="4"/>
  <c r="DM103" i="4"/>
  <c r="AN103" i="4"/>
  <c r="DF103" i="4"/>
  <c r="AG103" i="4"/>
  <c r="CY103" i="4"/>
  <c r="CU18" i="4" s="1"/>
  <c r="Z103" i="4"/>
  <c r="EI122" i="4"/>
  <c r="BJ122" i="4"/>
  <c r="ER122" i="4"/>
  <c r="BS122" i="4"/>
  <c r="BL122" i="4"/>
  <c r="EK122" i="4"/>
  <c r="BE122" i="4"/>
  <c r="ED122" i="4"/>
  <c r="DW122" i="4"/>
  <c r="AX122" i="4"/>
  <c r="DP122" i="4"/>
  <c r="AQ122" i="4"/>
  <c r="DI122" i="4"/>
  <c r="AJ122" i="4"/>
  <c r="DC37" i="4" s="1"/>
  <c r="DB122" i="4"/>
  <c r="AC122" i="4"/>
  <c r="DE124" i="4"/>
  <c r="DA39" i="4" s="1"/>
  <c r="AF124" i="4"/>
  <c r="CH124" i="4"/>
  <c r="I124" i="4"/>
  <c r="ET124" i="4"/>
  <c r="BU124" i="4"/>
  <c r="EM124" i="4"/>
  <c r="BN124" i="4"/>
  <c r="EF124" i="4"/>
  <c r="BG124" i="4"/>
  <c r="AZ124" i="4"/>
  <c r="DY124" i="4"/>
  <c r="AS124" i="4"/>
  <c r="DR124" i="4"/>
  <c r="DS124" i="4"/>
  <c r="AT124" i="4"/>
  <c r="DL124" i="4"/>
  <c r="AM124" i="4"/>
  <c r="DF39" i="4" s="1"/>
  <c r="EM116" i="4"/>
  <c r="BN116" i="4"/>
  <c r="CZ116" i="4"/>
  <c r="CV31" i="4" s="1"/>
  <c r="AA116" i="4"/>
  <c r="AB116" i="4"/>
  <c r="AD116" i="4"/>
  <c r="CW31" i="4" s="1"/>
  <c r="DC116" i="4"/>
  <c r="W116" i="4"/>
  <c r="CV116" i="4"/>
  <c r="CO116" i="4"/>
  <c r="P116" i="4"/>
  <c r="CH116" i="4"/>
  <c r="I116" i="4"/>
  <c r="ET116" i="4"/>
  <c r="BU116" i="4"/>
  <c r="CJ123" i="4"/>
  <c r="K123" i="4"/>
  <c r="AC123" i="4"/>
  <c r="DB123" i="4"/>
  <c r="AD123" i="4"/>
  <c r="DC123" i="4"/>
  <c r="CV123" i="4"/>
  <c r="W123" i="4"/>
  <c r="CO123" i="4"/>
  <c r="P123" i="4"/>
  <c r="CH123" i="4"/>
  <c r="I123" i="4"/>
  <c r="ET123" i="4"/>
  <c r="BU123" i="4"/>
  <c r="EM123" i="4"/>
  <c r="BN123" i="4"/>
  <c r="BE111" i="4"/>
  <c r="ED111" i="4"/>
  <c r="DZ26" i="4" s="1"/>
  <c r="AP111" i="4"/>
  <c r="DO111" i="4"/>
  <c r="DH111" i="4"/>
  <c r="AI111" i="4"/>
  <c r="DA111" i="4"/>
  <c r="AB111" i="4"/>
  <c r="CT111" i="4"/>
  <c r="U111" i="4"/>
  <c r="CU111" i="4"/>
  <c r="CQ26" i="4" s="1"/>
  <c r="V111" i="4"/>
  <c r="CN111" i="4"/>
  <c r="O111" i="4"/>
  <c r="H111" i="4"/>
  <c r="CA26" i="4" s="1"/>
  <c r="CG111" i="4"/>
  <c r="ES111" i="4"/>
  <c r="BT111" i="4"/>
  <c r="CH121" i="4"/>
  <c r="CD36" i="4" s="1"/>
  <c r="I121" i="4"/>
  <c r="EE121" i="4"/>
  <c r="BF121" i="4"/>
  <c r="AY121" i="4"/>
  <c r="DX121" i="4"/>
  <c r="AR121" i="4"/>
  <c r="DQ121" i="4"/>
  <c r="AK121" i="4"/>
  <c r="DJ121" i="4"/>
  <c r="AL121" i="4"/>
  <c r="DK121" i="4"/>
  <c r="DD121" i="4"/>
  <c r="AE121" i="4"/>
  <c r="CW121" i="4"/>
  <c r="X121" i="4"/>
  <c r="CS133" i="4"/>
  <c r="T133" i="4"/>
  <c r="EH133" i="4"/>
  <c r="BI133" i="4"/>
  <c r="BJ133" i="4"/>
  <c r="EI133" i="4"/>
  <c r="BC133" i="4"/>
  <c r="EB133" i="4"/>
  <c r="AV133" i="4"/>
  <c r="DU133" i="4"/>
  <c r="DN133" i="4"/>
  <c r="AO133" i="4"/>
  <c r="AH133" i="4"/>
  <c r="DG133" i="4"/>
  <c r="CZ133" i="4"/>
  <c r="AA133" i="4"/>
  <c r="CT143" i="4"/>
  <c r="U143" i="4"/>
  <c r="CU143" i="4"/>
  <c r="V143" i="4"/>
  <c r="CN143" i="4"/>
  <c r="O143" i="4"/>
  <c r="CG143" i="4"/>
  <c r="H143" i="4"/>
  <c r="CA58" i="4" s="1"/>
  <c r="ES143" i="4"/>
  <c r="BT143" i="4"/>
  <c r="EL143" i="4"/>
  <c r="BM143" i="4"/>
  <c r="EE143" i="4"/>
  <c r="BF143" i="4"/>
  <c r="AY143" i="4"/>
  <c r="DX143" i="4"/>
  <c r="DQ143" i="4"/>
  <c r="AR143" i="4"/>
  <c r="EC153" i="4"/>
  <c r="DY68" i="4" s="1"/>
  <c r="BD153" i="4"/>
  <c r="CM153" i="4"/>
  <c r="CI68" i="4" s="1"/>
  <c r="N153" i="4"/>
  <c r="EP153" i="4"/>
  <c r="BQ153" i="4"/>
  <c r="CU153" i="4"/>
  <c r="V153" i="4"/>
  <c r="DU153" i="4"/>
  <c r="DQ68" i="4" s="1"/>
  <c r="AV153" i="4"/>
  <c r="I153" i="4"/>
  <c r="CH153" i="4"/>
  <c r="ET153" i="4"/>
  <c r="BU153" i="4"/>
  <c r="BO153" i="4"/>
  <c r="EH68" i="4" s="1"/>
  <c r="EN153" i="4"/>
  <c r="EG153" i="4"/>
  <c r="BH153" i="4"/>
  <c r="AH157" i="4"/>
  <c r="DG157" i="4"/>
  <c r="BG157" i="4"/>
  <c r="EF157" i="4"/>
  <c r="DU157" i="4"/>
  <c r="AV157" i="4"/>
  <c r="DA157" i="4"/>
  <c r="AB157" i="4"/>
  <c r="CT157" i="4"/>
  <c r="U157" i="4"/>
  <c r="CU157" i="4"/>
  <c r="CQ72" i="4" s="1"/>
  <c r="V157" i="4"/>
  <c r="CN157" i="4"/>
  <c r="O157" i="4"/>
  <c r="CH157" i="4"/>
  <c r="I157" i="4"/>
  <c r="ET157" i="4"/>
  <c r="BU157" i="4"/>
  <c r="AX131" i="4"/>
  <c r="DW131" i="4"/>
  <c r="AI131" i="4"/>
  <c r="DH131" i="4"/>
  <c r="DA131" i="4"/>
  <c r="AB131" i="4"/>
  <c r="CT131" i="4"/>
  <c r="U131" i="4"/>
  <c r="V131" i="4"/>
  <c r="CU131" i="4"/>
  <c r="CN131" i="4"/>
  <c r="O131" i="4"/>
  <c r="DE131" i="4"/>
  <c r="AF131" i="4"/>
  <c r="CX131" i="4"/>
  <c r="Y131" i="4"/>
  <c r="EM148" i="4"/>
  <c r="BN148" i="4"/>
  <c r="BP148" i="4"/>
  <c r="EO148" i="4"/>
  <c r="DF148" i="4"/>
  <c r="AG148" i="4"/>
  <c r="L148" i="4"/>
  <c r="CK148" i="4"/>
  <c r="DM148" i="4"/>
  <c r="AN148" i="4"/>
  <c r="AY148" i="4"/>
  <c r="DX148" i="4"/>
  <c r="DS148" i="4"/>
  <c r="AT148" i="4"/>
  <c r="DL148" i="4"/>
  <c r="AM148" i="4"/>
  <c r="ER119" i="4"/>
  <c r="BS119" i="4"/>
  <c r="X119" i="4"/>
  <c r="CW119" i="4"/>
  <c r="Q119" i="4"/>
  <c r="CP119" i="4"/>
  <c r="CI119" i="4"/>
  <c r="J119" i="4"/>
  <c r="BV119" i="4"/>
  <c r="EU119" i="4"/>
  <c r="EN119" i="4"/>
  <c r="BO119" i="4"/>
  <c r="EG119" i="4"/>
  <c r="BH119" i="4"/>
  <c r="DZ119" i="4"/>
  <c r="BA119" i="4"/>
  <c r="EA119" i="4"/>
  <c r="BB119" i="4"/>
  <c r="DC112" i="4"/>
  <c r="AD112" i="4"/>
  <c r="AM112" i="4"/>
  <c r="DL112" i="4"/>
  <c r="AF112" i="4"/>
  <c r="DE112" i="4"/>
  <c r="R112" i="4"/>
  <c r="CQ112" i="4"/>
  <c r="CJ112" i="4"/>
  <c r="K112" i="4"/>
  <c r="BW112" i="4"/>
  <c r="EV112" i="4"/>
  <c r="EO112" i="4"/>
  <c r="BP112" i="4"/>
  <c r="EH112" i="4"/>
  <c r="ED27" i="4" s="1"/>
  <c r="BI112" i="4"/>
  <c r="BC102" i="4"/>
  <c r="EB102" i="4"/>
  <c r="AV102" i="4"/>
  <c r="DU102" i="4"/>
  <c r="AO102" i="4"/>
  <c r="DN102" i="4"/>
  <c r="DG102" i="4"/>
  <c r="AH102" i="4"/>
  <c r="AA102" i="4"/>
  <c r="CZ102" i="4"/>
  <c r="CS102" i="4"/>
  <c r="T102" i="4"/>
  <c r="M102" i="4"/>
  <c r="CL102" i="4"/>
  <c r="CH17" i="4" s="1"/>
  <c r="DU161" i="4"/>
  <c r="AV161" i="4"/>
  <c r="DE161" i="4"/>
  <c r="AF161" i="4"/>
  <c r="DS161" i="4"/>
  <c r="AT161" i="4"/>
  <c r="AA161" i="4"/>
  <c r="CZ161" i="4"/>
  <c r="BO161" i="4"/>
  <c r="EN161" i="4"/>
  <c r="AG161" i="4"/>
  <c r="DF161" i="4"/>
  <c r="AP161" i="4"/>
  <c r="DO161" i="4"/>
  <c r="DI161" i="4"/>
  <c r="AJ161" i="4"/>
  <c r="DB161" i="4"/>
  <c r="AC161" i="4"/>
  <c r="CG147" i="4"/>
  <c r="H147" i="4"/>
  <c r="CA62" i="4" s="1"/>
  <c r="EH147" i="4"/>
  <c r="BI147" i="4"/>
  <c r="EB62" i="4" s="1"/>
  <c r="M147" i="4"/>
  <c r="CL147" i="4"/>
  <c r="BA147" i="4"/>
  <c r="DZ147" i="4"/>
  <c r="AE147" i="4"/>
  <c r="DD147" i="4"/>
  <c r="BJ147" i="4"/>
  <c r="EI147" i="4"/>
  <c r="ED147" i="4"/>
  <c r="BE147" i="4"/>
  <c r="DW147" i="4"/>
  <c r="AX147" i="4"/>
  <c r="H164" i="4"/>
  <c r="CA79" i="4" s="1"/>
  <c r="CG164" i="4"/>
  <c r="K164" i="4"/>
  <c r="CJ164" i="4"/>
  <c r="O164" i="4"/>
  <c r="CN164" i="4"/>
  <c r="AL164" i="4"/>
  <c r="DK164" i="4"/>
  <c r="BF164" i="4"/>
  <c r="EE164" i="4"/>
  <c r="EF164" i="4"/>
  <c r="BG164" i="4"/>
  <c r="AZ164" i="4"/>
  <c r="DY164" i="4"/>
  <c r="AS164" i="4"/>
  <c r="DR164" i="4"/>
  <c r="EK164" i="4"/>
  <c r="BL164" i="4"/>
  <c r="AD146" i="4"/>
  <c r="DC146" i="4"/>
  <c r="BR146" i="4"/>
  <c r="EQ146" i="4"/>
  <c r="V146" i="4"/>
  <c r="CU146" i="4"/>
  <c r="DU146" i="4"/>
  <c r="AV146" i="4"/>
  <c r="EV146" i="4"/>
  <c r="BW146" i="4"/>
  <c r="CX146" i="4"/>
  <c r="Y146" i="4"/>
  <c r="T146" i="4"/>
  <c r="CS146" i="4"/>
  <c r="M146" i="4"/>
  <c r="CL146" i="4"/>
  <c r="N105" i="4"/>
  <c r="CM105" i="4"/>
  <c r="AI105" i="4"/>
  <c r="DH105" i="4"/>
  <c r="AD105" i="4"/>
  <c r="DC105" i="4"/>
  <c r="DS105" i="4"/>
  <c r="DO20" i="4" s="1"/>
  <c r="AT105" i="4"/>
  <c r="AJ105" i="4"/>
  <c r="DI105" i="4"/>
  <c r="AS105" i="4"/>
  <c r="DR105" i="4"/>
  <c r="BK105" i="4"/>
  <c r="EJ105" i="4"/>
  <c r="DG105" i="4"/>
  <c r="AH105" i="4"/>
  <c r="AF96" i="4"/>
  <c r="DE96" i="4"/>
  <c r="Q96" i="4"/>
  <c r="CP96" i="4"/>
  <c r="J96" i="4"/>
  <c r="CC11" i="4" s="1"/>
  <c r="CI96" i="4"/>
  <c r="BV96" i="4"/>
  <c r="EU96" i="4"/>
  <c r="BO96" i="4"/>
  <c r="EN96" i="4"/>
  <c r="EG96" i="4"/>
  <c r="BH96" i="4"/>
  <c r="DZ96" i="4"/>
  <c r="BA96" i="4"/>
  <c r="BB96" i="4"/>
  <c r="EA96" i="4"/>
  <c r="DT96" i="4"/>
  <c r="AU96" i="4"/>
  <c r="L136" i="4"/>
  <c r="CK136" i="4"/>
  <c r="CG51" i="4" s="1"/>
  <c r="AC136" i="4"/>
  <c r="DB136" i="4"/>
  <c r="DC136" i="4"/>
  <c r="AD136" i="4"/>
  <c r="CV136" i="4"/>
  <c r="W136" i="4"/>
  <c r="CO136" i="4"/>
  <c r="P136" i="4"/>
  <c r="I136" i="4"/>
  <c r="CH136" i="4"/>
  <c r="ET136" i="4"/>
  <c r="BU136" i="4"/>
  <c r="EM136" i="4"/>
  <c r="EI51" i="4" s="1"/>
  <c r="BN136" i="4"/>
  <c r="BG136" i="4"/>
  <c r="EF136" i="4"/>
  <c r="L110" i="4"/>
  <c r="CK110" i="4"/>
  <c r="CG25" i="4" s="1"/>
  <c r="DR110" i="4"/>
  <c r="AS110" i="4"/>
  <c r="DS110" i="4"/>
  <c r="AT110" i="4"/>
  <c r="AM110" i="4"/>
  <c r="DL110" i="4"/>
  <c r="DE110" i="4"/>
  <c r="AF110" i="4"/>
  <c r="Y110" i="4"/>
  <c r="CX110" i="4"/>
  <c r="CQ110" i="4"/>
  <c r="R110" i="4"/>
  <c r="CJ110" i="4"/>
  <c r="K110" i="4"/>
  <c r="BW110" i="4"/>
  <c r="EV110" i="4"/>
  <c r="DN128" i="4"/>
  <c r="CQ128" i="4"/>
  <c r="R128" i="4"/>
  <c r="EE128" i="4"/>
  <c r="BF128" i="4"/>
  <c r="CI128" i="4"/>
  <c r="J128" i="4"/>
  <c r="AK128" i="4"/>
  <c r="DJ128" i="4"/>
  <c r="AR128" i="4"/>
  <c r="DQ128" i="4"/>
  <c r="DD128" i="4"/>
  <c r="CZ43" i="4" s="1"/>
  <c r="AE128" i="4"/>
  <c r="CW128" i="4"/>
  <c r="X128" i="4"/>
  <c r="DH130" i="4"/>
  <c r="AI130" i="4"/>
  <c r="U130" i="4"/>
  <c r="CT130" i="4"/>
  <c r="BQ130" i="4"/>
  <c r="EP130" i="4"/>
  <c r="EV130" i="4"/>
  <c r="BW130" i="4"/>
  <c r="BR130" i="4"/>
  <c r="EQ130" i="4"/>
  <c r="EJ130" i="4"/>
  <c r="BK130" i="4"/>
  <c r="BE130" i="4"/>
  <c r="ED130" i="4"/>
  <c r="DW130" i="4"/>
  <c r="AX130" i="4"/>
  <c r="AR130" i="4"/>
  <c r="DQ130" i="4"/>
  <c r="CK151" i="4"/>
  <c r="L151" i="4"/>
  <c r="DB151" i="4"/>
  <c r="AC151" i="4"/>
  <c r="DI151" i="4"/>
  <c r="AJ151" i="4"/>
  <c r="EO151" i="4"/>
  <c r="BP151" i="4"/>
  <c r="DQ151" i="4"/>
  <c r="AR151" i="4"/>
  <c r="AE151" i="4"/>
  <c r="DD151" i="4"/>
  <c r="CW151" i="4"/>
  <c r="X151" i="4"/>
  <c r="CP151" i="4"/>
  <c r="Q151" i="4"/>
  <c r="BS151" i="4"/>
  <c r="ER151" i="4"/>
  <c r="EV152" i="4"/>
  <c r="BW152" i="4"/>
  <c r="AI152" i="4"/>
  <c r="DH152" i="4"/>
  <c r="U152" i="4"/>
  <c r="CT152" i="4"/>
  <c r="CO152" i="4"/>
  <c r="P152" i="4"/>
  <c r="EC152" i="4"/>
  <c r="BD152" i="4"/>
  <c r="T152" i="4"/>
  <c r="CS152" i="4"/>
  <c r="CM152" i="4"/>
  <c r="N152" i="4"/>
  <c r="CF152" i="4"/>
  <c r="ER152" i="4"/>
  <c r="BS152" i="4"/>
  <c r="DP150" i="4"/>
  <c r="AQ150" i="4"/>
  <c r="CF150" i="4"/>
  <c r="DH150" i="4"/>
  <c r="AI150" i="4"/>
  <c r="BJ150" i="4"/>
  <c r="CM150" i="4"/>
  <c r="N150" i="4"/>
  <c r="DJ150" i="4"/>
  <c r="AK150" i="4"/>
  <c r="AF150" i="4"/>
  <c r="DE150" i="4"/>
  <c r="Y150" i="4"/>
  <c r="CX150" i="4"/>
  <c r="BI140" i="4"/>
  <c r="EH140" i="4"/>
  <c r="AK140" i="4"/>
  <c r="DJ140" i="4"/>
  <c r="BL140" i="4"/>
  <c r="EK140" i="4"/>
  <c r="DN140" i="4"/>
  <c r="AO140" i="4"/>
  <c r="T140" i="4"/>
  <c r="CS140" i="4"/>
  <c r="DS140" i="4"/>
  <c r="AT140" i="4"/>
  <c r="AU140" i="4"/>
  <c r="DT140" i="4"/>
  <c r="AP140" i="4"/>
  <c r="DO140" i="4"/>
  <c r="AI140" i="4"/>
  <c r="DH140" i="4"/>
  <c r="CZ159" i="4"/>
  <c r="CV74" i="4" s="1"/>
  <c r="AA159" i="4"/>
  <c r="N159" i="4"/>
  <c r="CM159" i="4"/>
  <c r="AD159" i="4"/>
  <c r="DC159" i="4"/>
  <c r="BR159" i="4"/>
  <c r="EQ159" i="4"/>
  <c r="EM74" i="4" s="1"/>
  <c r="BI159" i="4"/>
  <c r="EH159" i="4"/>
  <c r="EL159" i="4"/>
  <c r="BM159" i="4"/>
  <c r="BK159" i="4"/>
  <c r="EJ159" i="4"/>
  <c r="EC159" i="4"/>
  <c r="BD159" i="4"/>
  <c r="DW159" i="4"/>
  <c r="DS74" i="4" s="1"/>
  <c r="AX159" i="4"/>
  <c r="BO113" i="4"/>
  <c r="EN113" i="4"/>
  <c r="AB113" i="4"/>
  <c r="DA113" i="4"/>
  <c r="U113" i="4"/>
  <c r="CT113" i="4"/>
  <c r="V113" i="4"/>
  <c r="CU113" i="4"/>
  <c r="O113" i="4"/>
  <c r="CN113" i="4"/>
  <c r="H113" i="4"/>
  <c r="CA28" i="4" s="1"/>
  <c r="CG113" i="4"/>
  <c r="ES113" i="4"/>
  <c r="BT113" i="4"/>
  <c r="BM113" i="4"/>
  <c r="EL113" i="4"/>
  <c r="BF113" i="4"/>
  <c r="EE113" i="4"/>
  <c r="EJ99" i="4"/>
  <c r="BK99" i="4"/>
  <c r="AN99" i="4"/>
  <c r="DM99" i="4"/>
  <c r="DF99" i="4"/>
  <c r="AG99" i="4"/>
  <c r="Z99" i="4"/>
  <c r="CY99" i="4"/>
  <c r="CR99" i="4"/>
  <c r="S99" i="4"/>
  <c r="CL14" i="4" s="1"/>
  <c r="CK99" i="4"/>
  <c r="BX99" i="4"/>
  <c r="BY99" i="4"/>
  <c r="EW99" i="4"/>
  <c r="BQ99" i="4"/>
  <c r="EP99" i="4"/>
  <c r="EQ99" i="4"/>
  <c r="BR99" i="4"/>
  <c r="CY126" i="4"/>
  <c r="Z126" i="4"/>
  <c r="DX126" i="4"/>
  <c r="AY126" i="4"/>
  <c r="DY126" i="4"/>
  <c r="AZ126" i="4"/>
  <c r="DZ126" i="4"/>
  <c r="BA126" i="4"/>
  <c r="BB126" i="4"/>
  <c r="EA126" i="4"/>
  <c r="DT126" i="4"/>
  <c r="AU126" i="4"/>
  <c r="AN126" i="4"/>
  <c r="DG41" i="4" s="1"/>
  <c r="DM126" i="4"/>
  <c r="DF126" i="4"/>
  <c r="AG126" i="4"/>
  <c r="EP97" i="4"/>
  <c r="BQ97" i="4"/>
  <c r="CM97" i="4"/>
  <c r="N97" i="4"/>
  <c r="CF97" i="4"/>
  <c r="CB12" i="4" s="1"/>
  <c r="BS97" i="4"/>
  <c r="ER97" i="4"/>
  <c r="BL97" i="4"/>
  <c r="EK97" i="4"/>
  <c r="BE97" i="4"/>
  <c r="ED97" i="4"/>
  <c r="DW97" i="4"/>
  <c r="AX97" i="4"/>
  <c r="DP97" i="4"/>
  <c r="AQ97" i="4"/>
  <c r="AJ97" i="4"/>
  <c r="DI97" i="4"/>
  <c r="EE98" i="4"/>
  <c r="BF98" i="4"/>
  <c r="CJ98" i="4"/>
  <c r="EV98" i="4"/>
  <c r="BW98" i="4"/>
  <c r="EO98" i="4"/>
  <c r="BP98" i="4"/>
  <c r="BI98" i="4"/>
  <c r="EH98" i="4"/>
  <c r="BJ98" i="4"/>
  <c r="EI98" i="4"/>
  <c r="BC98" i="4"/>
  <c r="EB98" i="4"/>
  <c r="DU98" i="4"/>
  <c r="AV98" i="4"/>
  <c r="DN98" i="4"/>
  <c r="AO98" i="4"/>
  <c r="EJ156" i="4"/>
  <c r="BK156" i="4"/>
  <c r="CG156" i="4"/>
  <c r="H156" i="4"/>
  <c r="CA71" i="4" s="1"/>
  <c r="ES156" i="4"/>
  <c r="BT156" i="4"/>
  <c r="EL156" i="4"/>
  <c r="BM156" i="4"/>
  <c r="EE156" i="4"/>
  <c r="BF156" i="4"/>
  <c r="DX156" i="4"/>
  <c r="AY156" i="4"/>
  <c r="AR156" i="4"/>
  <c r="DQ156" i="4"/>
  <c r="AK156" i="4"/>
  <c r="DJ156" i="4"/>
  <c r="DK156" i="4"/>
  <c r="AL156" i="4"/>
  <c r="J108" i="4"/>
  <c r="CI108" i="4"/>
  <c r="CR108" i="4"/>
  <c r="CN23" i="4" s="1"/>
  <c r="S108" i="4"/>
  <c r="CK108" i="4"/>
  <c r="L108" i="4"/>
  <c r="EW108" i="4"/>
  <c r="BX108" i="4"/>
  <c r="BY108" i="4"/>
  <c r="BQ108" i="4"/>
  <c r="EP108" i="4"/>
  <c r="EQ108" i="4"/>
  <c r="BR108" i="4"/>
  <c r="EJ108" i="4"/>
  <c r="BK108" i="4"/>
  <c r="EC108" i="4"/>
  <c r="BD108" i="4"/>
  <c r="AW108" i="4"/>
  <c r="DV108" i="4"/>
  <c r="EO120" i="4"/>
  <c r="BP120" i="4"/>
  <c r="DJ120" i="4"/>
  <c r="AK120" i="4"/>
  <c r="AL120" i="4"/>
  <c r="DK120" i="4"/>
  <c r="AE120" i="4"/>
  <c r="DD120" i="4"/>
  <c r="CZ35" i="4" s="1"/>
  <c r="CW120" i="4"/>
  <c r="X120" i="4"/>
  <c r="CP120" i="4"/>
  <c r="Q120" i="4"/>
  <c r="CI120" i="4"/>
  <c r="J120" i="4"/>
  <c r="EU120" i="4"/>
  <c r="BV120" i="4"/>
  <c r="EN120" i="4"/>
  <c r="BO120" i="4"/>
  <c r="DZ115" i="4"/>
  <c r="BA115" i="4"/>
  <c r="EA115" i="4"/>
  <c r="BB115" i="4"/>
  <c r="DT115" i="4"/>
  <c r="AU115" i="4"/>
  <c r="AN115" i="4"/>
  <c r="DM115" i="4"/>
  <c r="AG115" i="4"/>
  <c r="DF115" i="4"/>
  <c r="CY115" i="4"/>
  <c r="CU30" i="4" s="1"/>
  <c r="Z115" i="4"/>
  <c r="CR115" i="4"/>
  <c r="S115" i="4"/>
  <c r="CK115" i="4"/>
  <c r="L115" i="4"/>
  <c r="EW115" i="4"/>
  <c r="BX115" i="4"/>
  <c r="BY115" i="4"/>
  <c r="ES114" i="4"/>
  <c r="BT114" i="4"/>
  <c r="ED114" i="4"/>
  <c r="BE114" i="4"/>
  <c r="AX114" i="4"/>
  <c r="DW114" i="4"/>
  <c r="AQ114" i="4"/>
  <c r="DP114" i="4"/>
  <c r="AJ114" i="4"/>
  <c r="DI114" i="4"/>
  <c r="DB114" i="4"/>
  <c r="AC114" i="4"/>
  <c r="DC114" i="4"/>
  <c r="AD114" i="4"/>
  <c r="CV114" i="4"/>
  <c r="W114" i="4"/>
  <c r="BE101" i="4"/>
  <c r="ED101" i="4"/>
  <c r="CI101" i="4"/>
  <c r="J101" i="4"/>
  <c r="BV101" i="4"/>
  <c r="EU101" i="4"/>
  <c r="EN101" i="4"/>
  <c r="BO101" i="4"/>
  <c r="EG101" i="4"/>
  <c r="BH101" i="4"/>
  <c r="DZ101" i="4"/>
  <c r="BA101" i="4"/>
  <c r="BB101" i="4"/>
  <c r="EA101" i="4"/>
  <c r="DT101" i="4"/>
  <c r="AU101" i="4"/>
  <c r="AN101" i="4"/>
  <c r="DM101" i="4"/>
  <c r="CO106" i="4"/>
  <c r="P106" i="4"/>
  <c r="V106" i="4"/>
  <c r="CU106" i="4"/>
  <c r="DU106" i="4"/>
  <c r="AV106" i="4"/>
  <c r="CP106" i="4"/>
  <c r="CL21" i="4" s="1"/>
  <c r="Q106" i="4"/>
  <c r="CI106" i="4"/>
  <c r="J106" i="4"/>
  <c r="EU106" i="4"/>
  <c r="BV106" i="4"/>
  <c r="EO106" i="4"/>
  <c r="BP106" i="4"/>
  <c r="BI106" i="4"/>
  <c r="EH106" i="4"/>
  <c r="BC106" i="4"/>
  <c r="EB106" i="4"/>
  <c r="CR145" i="4"/>
  <c r="S145" i="4"/>
  <c r="CK145" i="4"/>
  <c r="L145" i="4"/>
  <c r="EW145" i="4"/>
  <c r="BX145" i="4"/>
  <c r="BY145" i="4"/>
  <c r="EP145" i="4"/>
  <c r="BQ145" i="4"/>
  <c r="EQ145" i="4"/>
  <c r="BR145" i="4"/>
  <c r="AM132" i="4"/>
  <c r="DL132" i="4"/>
  <c r="BD132" i="4"/>
  <c r="EC132" i="4"/>
  <c r="DY47" i="4" s="1"/>
  <c r="AW132" i="4"/>
  <c r="DV132" i="4"/>
  <c r="DO132" i="4"/>
  <c r="AP132" i="4"/>
  <c r="DH132" i="4"/>
  <c r="AI132" i="4"/>
  <c r="AB132" i="4"/>
  <c r="DA132" i="4"/>
  <c r="CT132" i="4"/>
  <c r="U132" i="4"/>
  <c r="CU132" i="4"/>
  <c r="V132" i="4"/>
  <c r="BS135" i="4"/>
  <c r="ER135" i="4"/>
  <c r="CO135" i="4"/>
  <c r="P135" i="4"/>
  <c r="ES135" i="4"/>
  <c r="BT135" i="4"/>
  <c r="EL135" i="4"/>
  <c r="BM135" i="4"/>
  <c r="EE135" i="4"/>
  <c r="BF135" i="4"/>
  <c r="AY135" i="4"/>
  <c r="DX135" i="4"/>
  <c r="DQ135" i="4"/>
  <c r="AR135" i="4"/>
  <c r="DJ135" i="4"/>
  <c r="AK135" i="4"/>
  <c r="AL135" i="4"/>
  <c r="DK135" i="4"/>
  <c r="DG50" i="4" s="1"/>
  <c r="EC155" i="4"/>
  <c r="BD155" i="4"/>
  <c r="CQ155" i="4"/>
  <c r="R155" i="4"/>
  <c r="EG155" i="4"/>
  <c r="BH155" i="4"/>
  <c r="DI155" i="4"/>
  <c r="AJ155" i="4"/>
  <c r="O155" i="4"/>
  <c r="CN155" i="4"/>
  <c r="DH155" i="4"/>
  <c r="AI155" i="4"/>
  <c r="DB155" i="4"/>
  <c r="AC155" i="4"/>
  <c r="AD155" i="4"/>
  <c r="DC155" i="4"/>
  <c r="BS155" i="4"/>
  <c r="ER155" i="4"/>
  <c r="EN70" i="4" s="1"/>
  <c r="CP139" i="4"/>
  <c r="Q139" i="4"/>
  <c r="AR139" i="4"/>
  <c r="DQ139" i="4"/>
  <c r="BT139" i="4"/>
  <c r="ES139" i="4"/>
  <c r="CW139" i="4"/>
  <c r="X139" i="4"/>
  <c r="CI139" i="4"/>
  <c r="J139" i="4"/>
  <c r="EU139" i="4"/>
  <c r="EQ54" i="4" s="1"/>
  <c r="BV139" i="4"/>
  <c r="BQ139" i="4"/>
  <c r="EP139" i="4"/>
  <c r="BR139" i="4"/>
  <c r="EQ139" i="4"/>
  <c r="CX104" i="4"/>
  <c r="CT19" i="4" s="1"/>
  <c r="Y104" i="4"/>
  <c r="J104" i="4"/>
  <c r="CI104" i="4"/>
  <c r="BV104" i="4"/>
  <c r="EU104" i="4"/>
  <c r="BG104" i="4"/>
  <c r="EF104" i="4"/>
  <c r="DY104" i="4"/>
  <c r="AZ104" i="4"/>
  <c r="DR104" i="4"/>
  <c r="AS104" i="4"/>
  <c r="DK104" i="4"/>
  <c r="DG19" i="4" s="1"/>
  <c r="AL104" i="4"/>
  <c r="CV104" i="4"/>
  <c r="W104" i="4"/>
  <c r="BA107" i="4"/>
  <c r="DZ107" i="4"/>
  <c r="BQ107" i="4"/>
  <c r="EP107" i="4"/>
  <c r="CM107" i="4"/>
  <c r="N107" i="4"/>
  <c r="ER107" i="4"/>
  <c r="BS107" i="4"/>
  <c r="EK107" i="4"/>
  <c r="BL107" i="4"/>
  <c r="ED107" i="4"/>
  <c r="BE107" i="4"/>
  <c r="DW107" i="4"/>
  <c r="AX107" i="4"/>
  <c r="AR107" i="4"/>
  <c r="DQ107" i="4"/>
  <c r="T100" i="4"/>
  <c r="CS100" i="4"/>
  <c r="CO15" i="4" s="1"/>
  <c r="DB100" i="4"/>
  <c r="AC100" i="4"/>
  <c r="DC100" i="4"/>
  <c r="AD100" i="4"/>
  <c r="CV100" i="4"/>
  <c r="W100" i="4"/>
  <c r="CO100" i="4"/>
  <c r="P100" i="4"/>
  <c r="I100" i="4"/>
  <c r="CH100" i="4"/>
  <c r="ET100" i="4"/>
  <c r="EP15" i="4" s="1"/>
  <c r="BU100" i="4"/>
  <c r="BN100" i="4"/>
  <c r="EM100" i="4"/>
  <c r="BG100" i="4"/>
  <c r="EF100" i="4"/>
  <c r="AP118" i="4"/>
  <c r="DO118" i="4"/>
  <c r="AQ118" i="4"/>
  <c r="DP118" i="4"/>
  <c r="AJ118" i="4"/>
  <c r="DI118" i="4"/>
  <c r="DB118" i="4"/>
  <c r="CX33" i="4" s="1"/>
  <c r="AC118" i="4"/>
  <c r="AD118" i="4"/>
  <c r="CV118" i="4"/>
  <c r="W118" i="4"/>
  <c r="CO118" i="4"/>
  <c r="P118" i="4"/>
  <c r="I118" i="4"/>
  <c r="CB33" i="4" s="1"/>
  <c r="CH118" i="4"/>
  <c r="CD33" i="4" s="1"/>
  <c r="ET118" i="4"/>
  <c r="BU118" i="4"/>
  <c r="DL109" i="4"/>
  <c r="AM109" i="4"/>
  <c r="EC109" i="4"/>
  <c r="BD109" i="4"/>
  <c r="AW109" i="4"/>
  <c r="DV109" i="4"/>
  <c r="AP109" i="4"/>
  <c r="DO109" i="4"/>
  <c r="AI109" i="4"/>
  <c r="DH109" i="4"/>
  <c r="DA109" i="4"/>
  <c r="AB109" i="4"/>
  <c r="U109" i="4"/>
  <c r="CU109" i="4"/>
  <c r="DF137" i="4"/>
  <c r="AG137" i="4"/>
  <c r="Y137" i="4"/>
  <c r="CX137" i="4"/>
  <c r="BN137" i="4"/>
  <c r="EM137" i="4"/>
  <c r="BG137" i="4"/>
  <c r="EF137" i="4"/>
  <c r="AZ137" i="4"/>
  <c r="DY137" i="4"/>
  <c r="DR137" i="4"/>
  <c r="AS137" i="4"/>
  <c r="DS137" i="4"/>
  <c r="AT137" i="4"/>
  <c r="DL137" i="4"/>
  <c r="AM137" i="4"/>
  <c r="AF137" i="4"/>
  <c r="DE137" i="4"/>
  <c r="AD138" i="4"/>
  <c r="DC138" i="4"/>
  <c r="CV138" i="4"/>
  <c r="W138" i="4"/>
  <c r="P138" i="4"/>
  <c r="CO138" i="4"/>
  <c r="I138" i="4"/>
  <c r="CB53" i="4" s="1"/>
  <c r="CH138" i="4"/>
  <c r="BU138" i="4"/>
  <c r="ET138" i="4"/>
  <c r="BN138" i="4"/>
  <c r="EM138" i="4"/>
  <c r="EI53" i="4" s="1"/>
  <c r="EF138" i="4"/>
  <c r="BG138" i="4"/>
  <c r="DY138" i="4"/>
  <c r="DU53" i="4" s="1"/>
  <c r="AZ138" i="4"/>
  <c r="DS53" i="4" s="1"/>
  <c r="DR138" i="4"/>
  <c r="AS138" i="4"/>
  <c r="CY163" i="4"/>
  <c r="Z163" i="4"/>
  <c r="DG163" i="4"/>
  <c r="AH163" i="4"/>
  <c r="AJ163" i="4"/>
  <c r="DI163" i="4"/>
  <c r="BJ163" i="4"/>
  <c r="EI163" i="4"/>
  <c r="DP163" i="4"/>
  <c r="AQ163" i="4"/>
  <c r="M163" i="4"/>
  <c r="CL163" i="4"/>
  <c r="CF163" i="4"/>
  <c r="CB78" i="4" s="1"/>
  <c r="BS163" i="4"/>
  <c r="ER163" i="4"/>
  <c r="EK163" i="4"/>
  <c r="BL163" i="4"/>
  <c r="CY154" i="4"/>
  <c r="Z154" i="4"/>
  <c r="BV154" i="4"/>
  <c r="EU154" i="4"/>
  <c r="EH154" i="4"/>
  <c r="BI154" i="4"/>
  <c r="DA154" i="4"/>
  <c r="AB154" i="4"/>
  <c r="EO154" i="4"/>
  <c r="BP154" i="4"/>
  <c r="EI69" i="4" s="1"/>
  <c r="DC154" i="4"/>
  <c r="AD154" i="4"/>
  <c r="X154" i="4"/>
  <c r="CW154" i="4"/>
  <c r="Q154" i="4"/>
  <c r="CP154" i="4"/>
  <c r="K103" i="4"/>
  <c r="CJ103" i="4"/>
  <c r="EN103" i="4"/>
  <c r="BO103" i="4"/>
  <c r="BP103" i="4"/>
  <c r="EO103" i="4"/>
  <c r="BI103" i="4"/>
  <c r="EH103" i="4"/>
  <c r="EI103" i="4"/>
  <c r="BJ103" i="4"/>
  <c r="EB103" i="4"/>
  <c r="DX18" i="4" s="1"/>
  <c r="BC103" i="4"/>
  <c r="DU103" i="4"/>
  <c r="DQ18" i="4" s="1"/>
  <c r="AV103" i="4"/>
  <c r="DN103" i="4"/>
  <c r="AO103" i="4"/>
  <c r="DG103" i="4"/>
  <c r="AH103" i="4"/>
  <c r="EQ122" i="4"/>
  <c r="BR122" i="4"/>
  <c r="O122" i="4"/>
  <c r="CN122" i="4"/>
  <c r="H122" i="4"/>
  <c r="CA37" i="4" s="1"/>
  <c r="CG122" i="4"/>
  <c r="BT122" i="4"/>
  <c r="ES122" i="4"/>
  <c r="BM122" i="4"/>
  <c r="EL122" i="4"/>
  <c r="EE122" i="4"/>
  <c r="BF122" i="4"/>
  <c r="DX122" i="4"/>
  <c r="DT37" i="4" s="1"/>
  <c r="AY122" i="4"/>
  <c r="DQ122" i="4"/>
  <c r="AR122" i="4"/>
  <c r="DJ122" i="4"/>
  <c r="DF37" i="4" s="1"/>
  <c r="AK122" i="4"/>
  <c r="DM124" i="4"/>
  <c r="AN124" i="4"/>
  <c r="CP124" i="4"/>
  <c r="Q124" i="4"/>
  <c r="CI124" i="4"/>
  <c r="J124" i="4"/>
  <c r="EU124" i="4"/>
  <c r="BV124" i="4"/>
  <c r="EN124" i="4"/>
  <c r="BO124" i="4"/>
  <c r="BH124" i="4"/>
  <c r="EG124" i="4"/>
  <c r="BA124" i="4"/>
  <c r="DZ124" i="4"/>
  <c r="EA124" i="4"/>
  <c r="BB124" i="4"/>
  <c r="DT124" i="4"/>
  <c r="AU124" i="4"/>
  <c r="CI116" i="4"/>
  <c r="J116" i="4"/>
  <c r="DH116" i="4"/>
  <c r="AI116" i="4"/>
  <c r="DI116" i="4"/>
  <c r="AJ116" i="4"/>
  <c r="DJ116" i="4"/>
  <c r="AK116" i="4"/>
  <c r="AL116" i="4"/>
  <c r="DK116" i="4"/>
  <c r="AE116" i="4"/>
  <c r="CX31" i="4" s="1"/>
  <c r="DD116" i="4"/>
  <c r="CW116" i="4"/>
  <c r="CS31" i="4" s="1"/>
  <c r="X116" i="4"/>
  <c r="CP116" i="4"/>
  <c r="Q116" i="4"/>
  <c r="EU116" i="4"/>
  <c r="BV116" i="4"/>
  <c r="EV123" i="4"/>
  <c r="BW123" i="4"/>
  <c r="DQ123" i="4"/>
  <c r="AR123" i="4"/>
  <c r="DJ123" i="4"/>
  <c r="AK123" i="4"/>
  <c r="DD38" i="4" s="1"/>
  <c r="AL123" i="4"/>
  <c r="DK123" i="4"/>
  <c r="DD123" i="4"/>
  <c r="AE123" i="4"/>
  <c r="CW123" i="4"/>
  <c r="X123" i="4"/>
  <c r="CP123" i="4"/>
  <c r="Q123" i="4"/>
  <c r="CI123" i="4"/>
  <c r="CE38" i="4" s="1"/>
  <c r="J123" i="4"/>
  <c r="EU123" i="4"/>
  <c r="BV123" i="4"/>
  <c r="BM111" i="4"/>
  <c r="EL111" i="4"/>
  <c r="AX111" i="4"/>
  <c r="DW111" i="4"/>
  <c r="DP111" i="4"/>
  <c r="AQ111" i="4"/>
  <c r="DI111" i="4"/>
  <c r="AJ111" i="4"/>
  <c r="DB111" i="4"/>
  <c r="AC111" i="4"/>
  <c r="DC111" i="4"/>
  <c r="AD111" i="4"/>
  <c r="W111" i="4"/>
  <c r="P111" i="4"/>
  <c r="CO111" i="4"/>
  <c r="CP121" i="4"/>
  <c r="Q121" i="4"/>
  <c r="BU121" i="4"/>
  <c r="ET121" i="4"/>
  <c r="EM121" i="4"/>
  <c r="BN121" i="4"/>
  <c r="BG121" i="4"/>
  <c r="EF121" i="4"/>
  <c r="DY121" i="4"/>
  <c r="AZ121" i="4"/>
  <c r="AS121" i="4"/>
  <c r="DR121" i="4"/>
  <c r="AT121" i="4"/>
  <c r="DS121" i="4"/>
  <c r="DO36" i="4" s="1"/>
  <c r="DL121" i="4"/>
  <c r="AM121" i="4"/>
  <c r="DE121" i="4"/>
  <c r="DA36" i="4" s="1"/>
  <c r="AF121" i="4"/>
  <c r="DI133" i="4"/>
  <c r="AJ133" i="4"/>
  <c r="DA133" i="4"/>
  <c r="AB133" i="4"/>
  <c r="EP133" i="4"/>
  <c r="BQ133" i="4"/>
  <c r="EQ133" i="4"/>
  <c r="BR133" i="4"/>
  <c r="BK133" i="4"/>
  <c r="EJ133" i="4"/>
  <c r="BD133" i="4"/>
  <c r="EC133" i="4"/>
  <c r="DV133" i="4"/>
  <c r="AW133" i="4"/>
  <c r="AP133" i="4"/>
  <c r="DO133" i="4"/>
  <c r="DH133" i="4"/>
  <c r="AI133" i="4"/>
  <c r="DB143" i="4"/>
  <c r="AC143" i="4"/>
  <c r="DC143" i="4"/>
  <c r="AD143" i="4"/>
  <c r="CV143" i="4"/>
  <c r="W143" i="4"/>
  <c r="CO143" i="4"/>
  <c r="CK58" i="4" s="1"/>
  <c r="P143" i="4"/>
  <c r="CH143" i="4"/>
  <c r="I143" i="4"/>
  <c r="ET143" i="4"/>
  <c r="BU143" i="4"/>
  <c r="EM143" i="4"/>
  <c r="BN143" i="4"/>
  <c r="BG143" i="4"/>
  <c r="EF143" i="4"/>
  <c r="DY143" i="4"/>
  <c r="AZ143" i="4"/>
  <c r="DB153" i="4"/>
  <c r="AC153" i="4"/>
  <c r="DR153" i="4"/>
  <c r="AS153" i="4"/>
  <c r="CF153" i="4"/>
  <c r="AH153" i="4"/>
  <c r="DG153" i="4"/>
  <c r="EI153" i="4"/>
  <c r="BJ153" i="4"/>
  <c r="Q153" i="4"/>
  <c r="CP153" i="4"/>
  <c r="K153" i="4"/>
  <c r="CJ153" i="4"/>
  <c r="BW153" i="4"/>
  <c r="EV153" i="4"/>
  <c r="BP153" i="4"/>
  <c r="EI68" i="4" s="1"/>
  <c r="EO153" i="4"/>
  <c r="EC157" i="4"/>
  <c r="BD157" i="4"/>
  <c r="S157" i="4"/>
  <c r="CR157" i="4"/>
  <c r="BO157" i="4"/>
  <c r="EN157" i="4"/>
  <c r="DI157" i="4"/>
  <c r="AJ157" i="4"/>
  <c r="DB157" i="4"/>
  <c r="AC157" i="4"/>
  <c r="DC157" i="4"/>
  <c r="AD157" i="4"/>
  <c r="CV157" i="4"/>
  <c r="W157" i="4"/>
  <c r="Q157" i="4"/>
  <c r="CP157" i="4"/>
  <c r="R131" i="4"/>
  <c r="CQ131" i="4"/>
  <c r="J131" i="4"/>
  <c r="CI131" i="4"/>
  <c r="AQ131" i="4"/>
  <c r="DI131" i="4"/>
  <c r="AJ131" i="4"/>
  <c r="DB131" i="4"/>
  <c r="AC131" i="4"/>
  <c r="AD131" i="4"/>
  <c r="DC131" i="4"/>
  <c r="CV131" i="4"/>
  <c r="W131" i="4"/>
  <c r="DM131" i="4"/>
  <c r="AN131" i="4"/>
  <c r="AG131" i="4"/>
  <c r="DF131" i="4"/>
  <c r="CO148" i="4"/>
  <c r="P148" i="4"/>
  <c r="CI63" i="4" s="1"/>
  <c r="CQ148" i="4"/>
  <c r="R148" i="4"/>
  <c r="AS148" i="4"/>
  <c r="DR148" i="4"/>
  <c r="ET148" i="4"/>
  <c r="BU148" i="4"/>
  <c r="CX148" i="4"/>
  <c r="Y148" i="4"/>
  <c r="AZ148" i="4"/>
  <c r="DY148" i="4"/>
  <c r="EF148" i="4"/>
  <c r="EB63" i="4" s="1"/>
  <c r="BG148" i="4"/>
  <c r="EA148" i="4"/>
  <c r="BB148" i="4"/>
  <c r="DT148" i="4"/>
  <c r="AU148" i="4"/>
  <c r="O119" i="4"/>
  <c r="CN119" i="4"/>
  <c r="DE119" i="4"/>
  <c r="Y119" i="4"/>
  <c r="CX119" i="4"/>
  <c r="CQ119" i="4"/>
  <c r="R119" i="4"/>
  <c r="CJ119" i="4"/>
  <c r="K119" i="4"/>
  <c r="EV119" i="4"/>
  <c r="BW119" i="4"/>
  <c r="EO119" i="4"/>
  <c r="BP119" i="4"/>
  <c r="EH119" i="4"/>
  <c r="BI119" i="4"/>
  <c r="EI119" i="4"/>
  <c r="BJ119" i="4"/>
  <c r="DK112" i="4"/>
  <c r="AL112" i="4"/>
  <c r="AU112" i="4"/>
  <c r="DT112" i="4"/>
  <c r="AN112" i="4"/>
  <c r="DM112" i="4"/>
  <c r="DF112" i="4"/>
  <c r="AG112" i="4"/>
  <c r="CY112" i="4"/>
  <c r="Z112" i="4"/>
  <c r="CS27" i="4" s="1"/>
  <c r="CR112" i="4"/>
  <c r="S112" i="4"/>
  <c r="CK112" i="4"/>
  <c r="L112" i="4"/>
  <c r="EW112" i="4"/>
  <c r="BX112" i="4"/>
  <c r="BY112" i="4"/>
  <c r="EP112" i="4"/>
  <c r="BQ112" i="4"/>
  <c r="V102" i="4"/>
  <c r="CU102" i="4"/>
  <c r="BK102" i="4"/>
  <c r="EJ102" i="4"/>
  <c r="BD102" i="4"/>
  <c r="EC102" i="4"/>
  <c r="AW102" i="4"/>
  <c r="DV102" i="4"/>
  <c r="AP102" i="4"/>
  <c r="DO102" i="4"/>
  <c r="AI102" i="4"/>
  <c r="DH102" i="4"/>
  <c r="AB102" i="4"/>
  <c r="DA102" i="4"/>
  <c r="U102" i="4"/>
  <c r="CT102" i="4"/>
  <c r="K161" i="4"/>
  <c r="CJ161" i="4"/>
  <c r="EJ161" i="4"/>
  <c r="BK161" i="4"/>
  <c r="BW161" i="4"/>
  <c r="EP76" i="4" s="1"/>
  <c r="EV161" i="4"/>
  <c r="AN161" i="4"/>
  <c r="DM161" i="4"/>
  <c r="Q161" i="4"/>
  <c r="CP161" i="4"/>
  <c r="DT161" i="4"/>
  <c r="AU161" i="4"/>
  <c r="AX161" i="4"/>
  <c r="DW161" i="4"/>
  <c r="DQ161" i="4"/>
  <c r="AR161" i="4"/>
  <c r="DJ161" i="4"/>
  <c r="AK161" i="4"/>
  <c r="U147" i="4"/>
  <c r="CT147" i="4"/>
  <c r="EV147" i="4"/>
  <c r="BW147" i="4"/>
  <c r="CZ147" i="4"/>
  <c r="AA147" i="4"/>
  <c r="EN147" i="4"/>
  <c r="BO147" i="4"/>
  <c r="DQ147" i="4"/>
  <c r="AR147" i="4"/>
  <c r="BS147" i="4"/>
  <c r="ER147" i="4"/>
  <c r="EQ147" i="4"/>
  <c r="BR147" i="4"/>
  <c r="EL147" i="4"/>
  <c r="BM147" i="4"/>
  <c r="EE147" i="4"/>
  <c r="EA62" i="4" s="1"/>
  <c r="BF147" i="4"/>
  <c r="W164" i="4"/>
  <c r="CV164" i="4"/>
  <c r="Y164" i="4"/>
  <c r="CX164" i="4"/>
  <c r="AE164" i="4"/>
  <c r="DD164" i="4"/>
  <c r="ED164" i="4"/>
  <c r="BE164" i="4"/>
  <c r="EM164" i="4"/>
  <c r="BN164" i="4"/>
  <c r="BO164" i="4"/>
  <c r="EN164" i="4"/>
  <c r="BH164" i="4"/>
  <c r="EG164" i="4"/>
  <c r="BA164" i="4"/>
  <c r="DZ164" i="4"/>
  <c r="ES164" i="4"/>
  <c r="BT164" i="4"/>
  <c r="DO146" i="4"/>
  <c r="AP146" i="4"/>
  <c r="CF146" i="4"/>
  <c r="DG146" i="4"/>
  <c r="AH146" i="4"/>
  <c r="BJ146" i="4"/>
  <c r="EI146" i="4"/>
  <c r="N146" i="4"/>
  <c r="CM146" i="4"/>
  <c r="DF146" i="4"/>
  <c r="AG146" i="4"/>
  <c r="AB146" i="4"/>
  <c r="DA146" i="4"/>
  <c r="U146" i="4"/>
  <c r="CT146" i="4"/>
  <c r="CU105" i="4"/>
  <c r="V105" i="4"/>
  <c r="BE105" i="4"/>
  <c r="ED105" i="4"/>
  <c r="I105" i="4"/>
  <c r="CH105" i="4"/>
  <c r="CY105" i="4"/>
  <c r="CU20" i="4" s="1"/>
  <c r="Z105" i="4"/>
  <c r="BO105" i="4"/>
  <c r="EN105" i="4"/>
  <c r="AR105" i="4"/>
  <c r="DQ105" i="4"/>
  <c r="BA105" i="4"/>
  <c r="DZ105" i="4"/>
  <c r="BS105" i="4"/>
  <c r="ER105" i="4"/>
  <c r="DO105" i="4"/>
  <c r="AP105" i="4"/>
  <c r="P96" i="4"/>
  <c r="CO96" i="4"/>
  <c r="Y96" i="4"/>
  <c r="CX96" i="4"/>
  <c r="R96" i="4"/>
  <c r="CQ96" i="4"/>
  <c r="K96" i="4"/>
  <c r="CJ96" i="4"/>
  <c r="BW96" i="4"/>
  <c r="EV96" i="4"/>
  <c r="EO96" i="4"/>
  <c r="BP96" i="4"/>
  <c r="EH96" i="4"/>
  <c r="BI96" i="4"/>
  <c r="EI96" i="4"/>
  <c r="BJ96" i="4"/>
  <c r="EB96" i="4"/>
  <c r="DX11" i="4" s="1"/>
  <c r="BC96" i="4"/>
  <c r="BY136" i="4"/>
  <c r="BX136" i="4"/>
  <c r="EW136" i="4"/>
  <c r="AK136" i="4"/>
  <c r="DJ136" i="4"/>
  <c r="DK136" i="4"/>
  <c r="DG51" i="4" s="1"/>
  <c r="AL136" i="4"/>
  <c r="DD136" i="4"/>
  <c r="AE136" i="4"/>
  <c r="CW136" i="4"/>
  <c r="CS51" i="4" s="1"/>
  <c r="X136" i="4"/>
  <c r="Q136" i="4"/>
  <c r="CP136" i="4"/>
  <c r="J136" i="4"/>
  <c r="CI136" i="4"/>
  <c r="EU136" i="4"/>
  <c r="BV136" i="4"/>
  <c r="BO136" i="4"/>
  <c r="EN136" i="4"/>
  <c r="BX110" i="4"/>
  <c r="BY110" i="4"/>
  <c r="EW110" i="4"/>
  <c r="DZ110" i="4"/>
  <c r="BA110" i="4"/>
  <c r="EA110" i="4"/>
  <c r="BB110" i="4"/>
  <c r="AU110" i="4"/>
  <c r="DT110" i="4"/>
  <c r="AN110" i="4"/>
  <c r="DM110" i="4"/>
  <c r="AG110" i="4"/>
  <c r="DF110" i="4"/>
  <c r="Z110" i="4"/>
  <c r="CY110" i="4"/>
  <c r="CR110" i="4"/>
  <c r="S110" i="4"/>
  <c r="CY128" i="4"/>
  <c r="Z128" i="4"/>
  <c r="BA128" i="4"/>
  <c r="DZ128" i="4"/>
  <c r="DC128" i="4"/>
  <c r="AD128" i="4"/>
  <c r="EQ128" i="4"/>
  <c r="BR128" i="4"/>
  <c r="CU128" i="4"/>
  <c r="V128" i="4"/>
  <c r="AX128" i="4"/>
  <c r="DW128" i="4"/>
  <c r="AZ128" i="4"/>
  <c r="DY128" i="4"/>
  <c r="DL128" i="4"/>
  <c r="DH43" i="4" s="1"/>
  <c r="AM128" i="4"/>
  <c r="DE128" i="4"/>
  <c r="DA43" i="4" s="1"/>
  <c r="AF128" i="4"/>
  <c r="EC130" i="4"/>
  <c r="BD130" i="4"/>
  <c r="H130" i="4"/>
  <c r="CA45" i="4" s="1"/>
  <c r="CG130" i="4"/>
  <c r="CM130" i="4"/>
  <c r="N130" i="4"/>
  <c r="CF130" i="4"/>
  <c r="ER130" i="4"/>
  <c r="BS130" i="4"/>
  <c r="BM130" i="4"/>
  <c r="EL130" i="4"/>
  <c r="EE130" i="4"/>
  <c r="BF130" i="4"/>
  <c r="DY130" i="4"/>
  <c r="DU45" i="4" s="1"/>
  <c r="AZ130" i="4"/>
  <c r="AS151" i="4"/>
  <c r="DR151" i="4"/>
  <c r="CI151" i="4"/>
  <c r="J151" i="4"/>
  <c r="DW151" i="4"/>
  <c r="AX151" i="4"/>
  <c r="N151" i="4"/>
  <c r="CM151" i="4"/>
  <c r="CI66" i="4" s="1"/>
  <c r="EF151" i="4"/>
  <c r="BG151" i="4"/>
  <c r="AM151" i="4"/>
  <c r="DL151" i="4"/>
  <c r="DH66" i="4" s="1"/>
  <c r="DE151" i="4"/>
  <c r="AF151" i="4"/>
  <c r="CX151" i="4"/>
  <c r="Y151" i="4"/>
  <c r="ET151" i="4"/>
  <c r="BU151" i="4"/>
  <c r="CG152" i="4"/>
  <c r="H152" i="4"/>
  <c r="CA67" i="4" s="1"/>
  <c r="BI152" i="4"/>
  <c r="EH152" i="4"/>
  <c r="ED67" i="4" s="1"/>
  <c r="DU152" i="4"/>
  <c r="DQ67" i="4" s="1"/>
  <c r="AV152" i="4"/>
  <c r="AA152" i="4"/>
  <c r="CZ152" i="4"/>
  <c r="EN152" i="4"/>
  <c r="BO152" i="4"/>
  <c r="AB152" i="4"/>
  <c r="DA152" i="4"/>
  <c r="CU152" i="4"/>
  <c r="V152" i="4"/>
  <c r="CN152" i="4"/>
  <c r="O152" i="4"/>
  <c r="DO150" i="4"/>
  <c r="AP150" i="4"/>
  <c r="BC150" i="4"/>
  <c r="EB150" i="4"/>
  <c r="CS150" i="4"/>
  <c r="T150" i="4"/>
  <c r="AU150" i="4"/>
  <c r="DT150" i="4"/>
  <c r="EV150" i="4"/>
  <c r="BW150" i="4"/>
  <c r="CZ150" i="4"/>
  <c r="AA150" i="4"/>
  <c r="DR150" i="4"/>
  <c r="AS150" i="4"/>
  <c r="AN150" i="4"/>
  <c r="DM150" i="4"/>
  <c r="AG150" i="4"/>
  <c r="DF150" i="4"/>
  <c r="ET140" i="4"/>
  <c r="EP55" i="4" s="1"/>
  <c r="BU140" i="4"/>
  <c r="DV140" i="4"/>
  <c r="AW140" i="4"/>
  <c r="CM140" i="4"/>
  <c r="N140" i="4"/>
  <c r="BB140" i="4"/>
  <c r="DU55" i="4" s="1"/>
  <c r="EA140" i="4"/>
  <c r="DE140" i="4"/>
  <c r="AF140" i="4"/>
  <c r="CY55" i="4" s="1"/>
  <c r="EG140" i="4"/>
  <c r="BH140" i="4"/>
  <c r="EB140" i="4"/>
  <c r="BC140" i="4"/>
  <c r="AX140" i="4"/>
  <c r="DW140" i="4"/>
  <c r="DP140" i="4"/>
  <c r="AQ140" i="4"/>
  <c r="DA159" i="4"/>
  <c r="AB159" i="4"/>
  <c r="DZ159" i="4"/>
  <c r="BA159" i="4"/>
  <c r="AR159" i="4"/>
  <c r="DQ159" i="4"/>
  <c r="CH159" i="4"/>
  <c r="I159" i="4"/>
  <c r="EV159" i="4"/>
  <c r="BW159" i="4"/>
  <c r="CF159" i="4"/>
  <c r="BS159" i="4"/>
  <c r="EK159" i="4"/>
  <c r="BL159" i="4"/>
  <c r="EE159" i="4"/>
  <c r="EA74" i="4" s="1"/>
  <c r="BF159" i="4"/>
  <c r="K113" i="4"/>
  <c r="CJ113" i="4"/>
  <c r="AJ113" i="4"/>
  <c r="DI113" i="4"/>
  <c r="AC113" i="4"/>
  <c r="DB113" i="4"/>
  <c r="AD113" i="4"/>
  <c r="DC113" i="4"/>
  <c r="CY28" i="4" s="1"/>
  <c r="W113" i="4"/>
  <c r="CV113" i="4"/>
  <c r="CR28" i="4" s="1"/>
  <c r="P113" i="4"/>
  <c r="CO113" i="4"/>
  <c r="I113" i="4"/>
  <c r="CH113" i="4"/>
  <c r="ET113" i="4"/>
  <c r="BU113" i="4"/>
  <c r="BN113" i="4"/>
  <c r="EM113" i="4"/>
  <c r="DU99" i="4"/>
  <c r="DQ14" i="4" s="1"/>
  <c r="AV99" i="4"/>
  <c r="DN99" i="4"/>
  <c r="AO99" i="4"/>
  <c r="DG99" i="4"/>
  <c r="AH99" i="4"/>
  <c r="AA99" i="4"/>
  <c r="CZ99" i="4"/>
  <c r="T99" i="4"/>
  <c r="CS99" i="4"/>
  <c r="M99" i="4"/>
  <c r="CF14" i="4" s="1"/>
  <c r="CL99" i="4"/>
  <c r="CM99" i="4"/>
  <c r="N99" i="4"/>
  <c r="DG126" i="4"/>
  <c r="AH126" i="4"/>
  <c r="EF126" i="4"/>
  <c r="BG126" i="4"/>
  <c r="EG126" i="4"/>
  <c r="BH126" i="4"/>
  <c r="EH126" i="4"/>
  <c r="BI126" i="4"/>
  <c r="EI126" i="4"/>
  <c r="BJ126" i="4"/>
  <c r="EB126" i="4"/>
  <c r="BC126" i="4"/>
  <c r="AV126" i="4"/>
  <c r="DU126" i="4"/>
  <c r="AO126" i="4"/>
  <c r="DN126" i="4"/>
  <c r="CL97" i="4"/>
  <c r="M97" i="4"/>
  <c r="V97" i="4"/>
  <c r="CU97" i="4"/>
  <c r="CQ12" i="4" s="1"/>
  <c r="CN97" i="4"/>
  <c r="O97" i="4"/>
  <c r="H97" i="4"/>
  <c r="CA12" i="4" s="1"/>
  <c r="CG97" i="4"/>
  <c r="CC12" i="4" s="1"/>
  <c r="BT97" i="4"/>
  <c r="ES97" i="4"/>
  <c r="EO12" i="4" s="1"/>
  <c r="BM97" i="4"/>
  <c r="EL97" i="4"/>
  <c r="EH12" i="4" s="1"/>
  <c r="EE97" i="4"/>
  <c r="BF97" i="4"/>
  <c r="DX97" i="4"/>
  <c r="AY97" i="4"/>
  <c r="DQ97" i="4"/>
  <c r="AR97" i="4"/>
  <c r="BN98" i="4"/>
  <c r="EM98" i="4"/>
  <c r="CR98" i="4"/>
  <c r="S98" i="4"/>
  <c r="L98" i="4"/>
  <c r="CE13" i="4" s="1"/>
  <c r="CK98" i="4"/>
  <c r="BX98" i="4"/>
  <c r="BY98" i="4"/>
  <c r="EW98" i="4"/>
  <c r="EP98" i="4"/>
  <c r="BQ98" i="4"/>
  <c r="BR98" i="4"/>
  <c r="EQ98" i="4"/>
  <c r="BK98" i="4"/>
  <c r="EJ98" i="4"/>
  <c r="EC98" i="4"/>
  <c r="BD98" i="4"/>
  <c r="DV98" i="4"/>
  <c r="AW98" i="4"/>
  <c r="CO156" i="4"/>
  <c r="CK71" i="4" s="1"/>
  <c r="P156" i="4"/>
  <c r="CH156" i="4"/>
  <c r="I156" i="4"/>
  <c r="CB71" i="4" s="1"/>
  <c r="ET156" i="4"/>
  <c r="BU156" i="4"/>
  <c r="EM156" i="4"/>
  <c r="BN156" i="4"/>
  <c r="BG156" i="4"/>
  <c r="EF156" i="4"/>
  <c r="AZ156" i="4"/>
  <c r="DY156" i="4"/>
  <c r="AS156" i="4"/>
  <c r="DR156" i="4"/>
  <c r="DS156" i="4"/>
  <c r="AT156" i="4"/>
  <c r="AH108" i="4"/>
  <c r="DG108" i="4"/>
  <c r="AA108" i="4"/>
  <c r="CZ108" i="4"/>
  <c r="CL108" i="4"/>
  <c r="M108" i="4"/>
  <c r="CM108" i="4"/>
  <c r="CI23" i="4" s="1"/>
  <c r="N108" i="4"/>
  <c r="CF108" i="4"/>
  <c r="ER108" i="4"/>
  <c r="EN23" i="4" s="1"/>
  <c r="BS108" i="4"/>
  <c r="EK108" i="4"/>
  <c r="BL108" i="4"/>
  <c r="ED108" i="4"/>
  <c r="BE108" i="4"/>
  <c r="CK120" i="4"/>
  <c r="L120" i="4"/>
  <c r="DR120" i="4"/>
  <c r="AS120" i="4"/>
  <c r="DS120" i="4"/>
  <c r="AT120" i="4"/>
  <c r="AM120" i="4"/>
  <c r="DL120" i="4"/>
  <c r="AF120" i="4"/>
  <c r="CX120" i="4"/>
  <c r="Y120" i="4"/>
  <c r="CQ120" i="4"/>
  <c r="CM35" i="4" s="1"/>
  <c r="R120" i="4"/>
  <c r="CJ120" i="4"/>
  <c r="K120" i="4"/>
  <c r="EV120" i="4"/>
  <c r="BW120" i="4"/>
  <c r="EP115" i="4"/>
  <c r="BQ115" i="4"/>
  <c r="EI115" i="4"/>
  <c r="BJ115" i="4"/>
  <c r="EB115" i="4"/>
  <c r="BC115" i="4"/>
  <c r="AV115" i="4"/>
  <c r="DU115" i="4"/>
  <c r="AO115" i="4"/>
  <c r="DN115" i="4"/>
  <c r="AH115" i="4"/>
  <c r="DG115" i="4"/>
  <c r="AA115" i="4"/>
  <c r="CS115" i="4"/>
  <c r="T115" i="4"/>
  <c r="DE114" i="4"/>
  <c r="AF114" i="4"/>
  <c r="CO114" i="4"/>
  <c r="P114" i="4"/>
  <c r="EL114" i="4"/>
  <c r="BM114" i="4"/>
  <c r="BF114" i="4"/>
  <c r="EE114" i="4"/>
  <c r="AY114" i="4"/>
  <c r="DX114" i="4"/>
  <c r="AR114" i="4"/>
  <c r="DQ114" i="4"/>
  <c r="DJ114" i="4"/>
  <c r="AK114" i="4"/>
  <c r="DK114" i="4"/>
  <c r="AL114" i="4"/>
  <c r="DD114" i="4"/>
  <c r="AE114" i="4"/>
  <c r="BM101" i="4"/>
  <c r="EL101" i="4"/>
  <c r="R101" i="4"/>
  <c r="CQ101" i="4"/>
  <c r="CJ101" i="4"/>
  <c r="K101" i="4"/>
  <c r="EV101" i="4"/>
  <c r="BW101" i="4"/>
  <c r="EO101" i="4"/>
  <c r="BP101" i="4"/>
  <c r="EH101" i="4"/>
  <c r="BI101" i="4"/>
  <c r="EI101" i="4"/>
  <c r="BJ101" i="4"/>
  <c r="EB101" i="4"/>
  <c r="BC101" i="4"/>
  <c r="AV101" i="4"/>
  <c r="DU101" i="4"/>
  <c r="AL106" i="4"/>
  <c r="DK106" i="4"/>
  <c r="DP106" i="4"/>
  <c r="AQ106" i="4"/>
  <c r="BR106" i="4"/>
  <c r="EQ106" i="4"/>
  <c r="CX106" i="4"/>
  <c r="Y106" i="4"/>
  <c r="R106" i="4"/>
  <c r="CK106" i="4"/>
  <c r="L106" i="4"/>
  <c r="EW106" i="4"/>
  <c r="BX106" i="4"/>
  <c r="BY106" i="4"/>
  <c r="BQ106" i="4"/>
  <c r="EP106" i="4"/>
  <c r="BK106" i="4"/>
  <c r="EJ106" i="4"/>
  <c r="N145" i="4"/>
  <c r="CM145" i="4"/>
  <c r="EB132" i="4"/>
  <c r="BC132" i="4"/>
  <c r="DT132" i="4"/>
  <c r="AU132" i="4"/>
  <c r="DN47" i="4" s="1"/>
  <c r="EK132" i="4"/>
  <c r="BL132" i="4"/>
  <c r="BE132" i="4"/>
  <c r="ED132" i="4"/>
  <c r="DZ47" i="4" s="1"/>
  <c r="AX132" i="4"/>
  <c r="DW132" i="4"/>
  <c r="DP132" i="4"/>
  <c r="DL47" i="4" s="1"/>
  <c r="AQ132" i="4"/>
  <c r="AJ132" i="4"/>
  <c r="DI132" i="4"/>
  <c r="DE47" i="4" s="1"/>
  <c r="DB132" i="4"/>
  <c r="AC132" i="4"/>
  <c r="DC132" i="4"/>
  <c r="AD132" i="4"/>
  <c r="DE135" i="4"/>
  <c r="AF135" i="4"/>
  <c r="DU135" i="4"/>
  <c r="DQ50" i="4" s="1"/>
  <c r="I135" i="4"/>
  <c r="CH135" i="4"/>
  <c r="ET135" i="4"/>
  <c r="BU135" i="4"/>
  <c r="EM135" i="4"/>
  <c r="BN135" i="4"/>
  <c r="BG135" i="4"/>
  <c r="EF135" i="4"/>
  <c r="AZ135" i="4"/>
  <c r="DY135" i="4"/>
  <c r="DR135" i="4"/>
  <c r="AS135" i="4"/>
  <c r="AT135" i="4"/>
  <c r="DS135" i="4"/>
  <c r="DO50" i="4" s="1"/>
  <c r="EU155" i="4"/>
  <c r="BV155" i="4"/>
  <c r="DE155" i="4"/>
  <c r="DA70" i="4" s="1"/>
  <c r="AF155" i="4"/>
  <c r="CH155" i="4"/>
  <c r="I155" i="4"/>
  <c r="DV155" i="4"/>
  <c r="AW155" i="4"/>
  <c r="CY155" i="4"/>
  <c r="Z155" i="4"/>
  <c r="DP155" i="4"/>
  <c r="AQ155" i="4"/>
  <c r="AK155" i="4"/>
  <c r="DJ155" i="4"/>
  <c r="AL155" i="4"/>
  <c r="DK155" i="4"/>
  <c r="EL155" i="4"/>
  <c r="EH70" i="4" s="1"/>
  <c r="BM155" i="4"/>
  <c r="AE139" i="4"/>
  <c r="DD139" i="4"/>
  <c r="ED139" i="4"/>
  <c r="BE139" i="4"/>
  <c r="CH139" i="4"/>
  <c r="I139" i="4"/>
  <c r="AJ139" i="4"/>
  <c r="DI139" i="4"/>
  <c r="BL139" i="4"/>
  <c r="EK139" i="4"/>
  <c r="CQ139" i="4"/>
  <c r="CM54" i="4" s="1"/>
  <c r="R139" i="4"/>
  <c r="CL139" i="4"/>
  <c r="M139" i="4"/>
  <c r="N139" i="4"/>
  <c r="CM139" i="4"/>
  <c r="CG104" i="4"/>
  <c r="CC19" i="4" s="1"/>
  <c r="H104" i="4"/>
  <c r="CA19" i="4" s="1"/>
  <c r="DF104" i="4"/>
  <c r="DB19" i="4" s="1"/>
  <c r="AG104" i="4"/>
  <c r="R104" i="4"/>
  <c r="CQ104" i="4"/>
  <c r="EK104" i="4"/>
  <c r="BL104" i="4"/>
  <c r="BO104" i="4"/>
  <c r="EN104" i="4"/>
  <c r="EJ19" i="4" s="1"/>
  <c r="EG104" i="4"/>
  <c r="EC19" i="4" s="1"/>
  <c r="BH104" i="4"/>
  <c r="DZ104" i="4"/>
  <c r="BA104" i="4"/>
  <c r="DS104" i="4"/>
  <c r="AT104" i="4"/>
  <c r="DD104" i="4"/>
  <c r="AE104" i="4"/>
  <c r="AA107" i="4"/>
  <c r="CZ107" i="4"/>
  <c r="AY107" i="4"/>
  <c r="DX107" i="4"/>
  <c r="CU107" i="4"/>
  <c r="V107" i="4"/>
  <c r="CN107" i="4"/>
  <c r="O107" i="4"/>
  <c r="CG107" i="4"/>
  <c r="CC22" i="4" s="1"/>
  <c r="H107" i="4"/>
  <c r="CA22" i="4" s="1"/>
  <c r="ES107" i="4"/>
  <c r="BT107" i="4"/>
  <c r="EL107" i="4"/>
  <c r="BM107" i="4"/>
  <c r="EE107" i="4"/>
  <c r="BF107" i="4"/>
  <c r="AZ107" i="4"/>
  <c r="DY107" i="4"/>
  <c r="AB100" i="4"/>
  <c r="DA100" i="4"/>
  <c r="DJ100" i="4"/>
  <c r="AK100" i="4"/>
  <c r="DK100" i="4"/>
  <c r="AL100" i="4"/>
  <c r="DD100" i="4"/>
  <c r="AE100" i="4"/>
  <c r="X100" i="4"/>
  <c r="CW100" i="4"/>
  <c r="Q100" i="4"/>
  <c r="CP100" i="4"/>
  <c r="J100" i="4"/>
  <c r="CI100" i="4"/>
  <c r="BV100" i="4"/>
  <c r="EU100" i="4"/>
  <c r="BO100" i="4"/>
  <c r="EN100" i="4"/>
  <c r="AX118" i="4"/>
  <c r="DW118" i="4"/>
  <c r="AY118" i="4"/>
  <c r="DX118" i="4"/>
  <c r="DT33" i="4" s="1"/>
  <c r="AR118" i="4"/>
  <c r="DQ118" i="4"/>
  <c r="DJ118" i="4"/>
  <c r="AK118" i="4"/>
  <c r="DK118" i="4"/>
  <c r="AL118" i="4"/>
  <c r="DD118" i="4"/>
  <c r="CW118" i="4"/>
  <c r="X118" i="4"/>
  <c r="Q118" i="4"/>
  <c r="CP118" i="4"/>
  <c r="BK109" i="4"/>
  <c r="EJ109" i="4"/>
  <c r="AU109" i="4"/>
  <c r="DT109" i="4"/>
  <c r="EK109" i="4"/>
  <c r="EG24" i="4" s="1"/>
  <c r="BL109" i="4"/>
  <c r="BE109" i="4"/>
  <c r="ED109" i="4"/>
  <c r="AX109" i="4"/>
  <c r="DW109" i="4"/>
  <c r="AQ109" i="4"/>
  <c r="DP109" i="4"/>
  <c r="DL24" i="4" s="1"/>
  <c r="DI109" i="4"/>
  <c r="AJ109" i="4"/>
  <c r="DB109" i="4"/>
  <c r="AC109" i="4"/>
  <c r="DC109" i="4"/>
  <c r="AD109" i="4"/>
  <c r="AO137" i="4"/>
  <c r="DN137" i="4"/>
  <c r="J137" i="4"/>
  <c r="CI137" i="4"/>
  <c r="CE52" i="4" s="1"/>
  <c r="EU137" i="4"/>
  <c r="EQ52" i="4" s="1"/>
  <c r="BV137" i="4"/>
  <c r="BO137" i="4"/>
  <c r="EN137" i="4"/>
  <c r="BH137" i="4"/>
  <c r="EG137" i="4"/>
  <c r="EC52" i="4" s="1"/>
  <c r="DZ137" i="4"/>
  <c r="BA137" i="4"/>
  <c r="EA137" i="4"/>
  <c r="BB137" i="4"/>
  <c r="DT137" i="4"/>
  <c r="DP52" i="4" s="1"/>
  <c r="AU137" i="4"/>
  <c r="AN137" i="4"/>
  <c r="DM137" i="4"/>
  <c r="DI52" i="4" s="1"/>
  <c r="AL138" i="4"/>
  <c r="DK138" i="4"/>
  <c r="DG53" i="4" s="1"/>
  <c r="AE138" i="4"/>
  <c r="DD138" i="4"/>
  <c r="CZ53" i="4" s="1"/>
  <c r="X138" i="4"/>
  <c r="CW138" i="4"/>
  <c r="Q138" i="4"/>
  <c r="CP138" i="4"/>
  <c r="CI138" i="4"/>
  <c r="J138" i="4"/>
  <c r="BV138" i="4"/>
  <c r="EU138" i="4"/>
  <c r="EN138" i="4"/>
  <c r="BO138" i="4"/>
  <c r="EG138" i="4"/>
  <c r="BH138" i="4"/>
  <c r="DZ138" i="4"/>
  <c r="BA138" i="4"/>
  <c r="DV163" i="4"/>
  <c r="AW163" i="4"/>
  <c r="DX163" i="4"/>
  <c r="AY163" i="4"/>
  <c r="EF163" i="4"/>
  <c r="BG163" i="4"/>
  <c r="N163" i="4"/>
  <c r="CM163" i="4"/>
  <c r="ED163" i="4"/>
  <c r="BE163" i="4"/>
  <c r="U163" i="4"/>
  <c r="CT163" i="4"/>
  <c r="O163" i="4"/>
  <c r="CN163" i="4"/>
  <c r="CG163" i="4"/>
  <c r="H163" i="4"/>
  <c r="CA78" i="4" s="1"/>
  <c r="ES163" i="4"/>
  <c r="BT163" i="4"/>
  <c r="EG154" i="4"/>
  <c r="BH154" i="4"/>
  <c r="CI154" i="4"/>
  <c r="J154" i="4"/>
  <c r="EV154" i="4"/>
  <c r="BW154" i="4"/>
  <c r="DO154" i="4"/>
  <c r="DK69" i="4" s="1"/>
  <c r="AP154" i="4"/>
  <c r="CR154" i="4"/>
  <c r="S154" i="4"/>
  <c r="DK154" i="4"/>
  <c r="AL154" i="4"/>
  <c r="AF154" i="4"/>
  <c r="DE154" i="4"/>
  <c r="DA69" i="4" s="1"/>
  <c r="Y154" i="4"/>
  <c r="CX154" i="4"/>
  <c r="EV103" i="4"/>
  <c r="BW103" i="4"/>
  <c r="L103" i="4"/>
  <c r="CK103" i="4"/>
  <c r="BX103" i="4"/>
  <c r="BY103" i="4"/>
  <c r="EW103" i="4"/>
  <c r="BQ103" i="4"/>
  <c r="EP103" i="4"/>
  <c r="EQ103" i="4"/>
  <c r="EM18" i="4" s="1"/>
  <c r="BR103" i="4"/>
  <c r="EJ103" i="4"/>
  <c r="EF18" i="4" s="1"/>
  <c r="BK103" i="4"/>
  <c r="EC103" i="4"/>
  <c r="DY18" i="4" s="1"/>
  <c r="BD103" i="4"/>
  <c r="DV103" i="4"/>
  <c r="AW103" i="4"/>
  <c r="DO103" i="4"/>
  <c r="AP103" i="4"/>
  <c r="CM122" i="4"/>
  <c r="N122" i="4"/>
  <c r="W122" i="4"/>
  <c r="CV122" i="4"/>
  <c r="P122" i="4"/>
  <c r="CO122" i="4"/>
  <c r="CH122" i="4"/>
  <c r="CD37" i="4" s="1"/>
  <c r="I122" i="4"/>
  <c r="BU122" i="4"/>
  <c r="ET122" i="4"/>
  <c r="EM122" i="4"/>
  <c r="EI37" i="4" s="1"/>
  <c r="BN122" i="4"/>
  <c r="EF122" i="4"/>
  <c r="EB37" i="4" s="1"/>
  <c r="BG122" i="4"/>
  <c r="DY122" i="4"/>
  <c r="AZ122" i="4"/>
  <c r="DR122" i="4"/>
  <c r="DN37" i="4" s="1"/>
  <c r="AS122" i="4"/>
  <c r="DU124" i="4"/>
  <c r="AV124" i="4"/>
  <c r="CX124" i="4"/>
  <c r="Y124" i="4"/>
  <c r="CQ124" i="4"/>
  <c r="R124" i="4"/>
  <c r="K124" i="4"/>
  <c r="CJ124" i="4"/>
  <c r="EV124" i="4"/>
  <c r="BW124" i="4"/>
  <c r="BP124" i="4"/>
  <c r="EO124" i="4"/>
  <c r="EK39" i="4" s="1"/>
  <c r="BI124" i="4"/>
  <c r="EH124" i="4"/>
  <c r="EI124" i="4"/>
  <c r="BJ124" i="4"/>
  <c r="EB124" i="4"/>
  <c r="BC124" i="4"/>
  <c r="CQ116" i="4"/>
  <c r="R116" i="4"/>
  <c r="DP116" i="4"/>
  <c r="AQ116" i="4"/>
  <c r="DQ116" i="4"/>
  <c r="AR116" i="4"/>
  <c r="DR116" i="4"/>
  <c r="AS116" i="4"/>
  <c r="AT116" i="4"/>
  <c r="DS116" i="4"/>
  <c r="AM116" i="4"/>
  <c r="DL116" i="4"/>
  <c r="AF116" i="4"/>
  <c r="DE116" i="4"/>
  <c r="CX116" i="4"/>
  <c r="Y116" i="4"/>
  <c r="EV116" i="4"/>
  <c r="BW116" i="4"/>
  <c r="CR123" i="4"/>
  <c r="S123" i="4"/>
  <c r="DY123" i="4"/>
  <c r="AZ123" i="4"/>
  <c r="DR123" i="4"/>
  <c r="AS123" i="4"/>
  <c r="AT123" i="4"/>
  <c r="DS123" i="4"/>
  <c r="AM123" i="4"/>
  <c r="DL123" i="4"/>
  <c r="DE123" i="4"/>
  <c r="AF123" i="4"/>
  <c r="CX123" i="4"/>
  <c r="CT38" i="4" s="1"/>
  <c r="Y123" i="4"/>
  <c r="CQ123" i="4"/>
  <c r="CM38" i="4" s="1"/>
  <c r="R123" i="4"/>
  <c r="I111" i="4"/>
  <c r="CH111" i="4"/>
  <c r="BF111" i="4"/>
  <c r="EE111" i="4"/>
  <c r="DX111" i="4"/>
  <c r="AY111" i="4"/>
  <c r="DQ111" i="4"/>
  <c r="AR111" i="4"/>
  <c r="DJ111" i="4"/>
  <c r="AK111" i="4"/>
  <c r="DK111" i="4"/>
  <c r="AL111" i="4"/>
  <c r="DD111" i="4"/>
  <c r="AE111" i="4"/>
  <c r="CW111" i="4"/>
  <c r="CS26" i="4" s="1"/>
  <c r="CX121" i="4"/>
  <c r="CT36" i="4" s="1"/>
  <c r="Y121" i="4"/>
  <c r="CR36" i="4" s="1"/>
  <c r="CI121" i="4"/>
  <c r="J121" i="4"/>
  <c r="BV121" i="4"/>
  <c r="EU121" i="4"/>
  <c r="EQ36" i="4" s="1"/>
  <c r="BO121" i="4"/>
  <c r="EN121" i="4"/>
  <c r="EG121" i="4"/>
  <c r="BH121" i="4"/>
  <c r="BA121" i="4"/>
  <c r="DZ121" i="4"/>
  <c r="BB121" i="4"/>
  <c r="EA121" i="4"/>
  <c r="DW36" i="4" s="1"/>
  <c r="DT121" i="4"/>
  <c r="AU121" i="4"/>
  <c r="DM121" i="4"/>
  <c r="AN121" i="4"/>
  <c r="DQ133" i="4"/>
  <c r="DM48" i="4" s="1"/>
  <c r="AR133" i="4"/>
  <c r="M133" i="4"/>
  <c r="CL133" i="4"/>
  <c r="N133" i="4"/>
  <c r="CM133" i="4"/>
  <c r="CF133" i="4"/>
  <c r="BS133" i="4"/>
  <c r="ER133" i="4"/>
  <c r="BL133" i="4"/>
  <c r="EK133" i="4"/>
  <c r="ED133" i="4"/>
  <c r="BE133" i="4"/>
  <c r="DW133" i="4"/>
  <c r="AX133" i="4"/>
  <c r="DP133" i="4"/>
  <c r="AQ133" i="4"/>
  <c r="DJ143" i="4"/>
  <c r="DF58" i="4" s="1"/>
  <c r="AK143" i="4"/>
  <c r="DK143" i="4"/>
  <c r="DG58" i="4" s="1"/>
  <c r="AL143" i="4"/>
  <c r="DD143" i="4"/>
  <c r="AE143" i="4"/>
  <c r="CW143" i="4"/>
  <c r="X143" i="4"/>
  <c r="CP143" i="4"/>
  <c r="Q143" i="4"/>
  <c r="J143" i="4"/>
  <c r="CI143" i="4"/>
  <c r="EU143" i="4"/>
  <c r="BV143" i="4"/>
  <c r="BO143" i="4"/>
  <c r="EN143" i="4"/>
  <c r="EJ58" i="4" s="1"/>
  <c r="BH143" i="4"/>
  <c r="EG143" i="4"/>
  <c r="EK153" i="4"/>
  <c r="EG68" i="4" s="1"/>
  <c r="BL153" i="4"/>
  <c r="CN153" i="4"/>
  <c r="CJ68" i="4" s="1"/>
  <c r="O153" i="4"/>
  <c r="CT153" i="4"/>
  <c r="CP68" i="4" s="1"/>
  <c r="U153" i="4"/>
  <c r="DT153" i="4"/>
  <c r="AU153" i="4"/>
  <c r="EU153" i="4"/>
  <c r="BV153" i="4"/>
  <c r="Y153" i="4"/>
  <c r="CX153" i="4"/>
  <c r="S153" i="4"/>
  <c r="CR153" i="4"/>
  <c r="CN68" i="4" s="1"/>
  <c r="CK153" i="4"/>
  <c r="L153" i="4"/>
  <c r="BX153" i="4"/>
  <c r="BY153" i="4"/>
  <c r="EW153" i="4"/>
  <c r="BW157" i="4"/>
  <c r="EV157" i="4"/>
  <c r="AP157" i="4"/>
  <c r="DO157" i="4"/>
  <c r="CG157" i="4"/>
  <c r="H157" i="4"/>
  <c r="CA72" i="4" s="1"/>
  <c r="DQ157" i="4"/>
  <c r="AR157" i="4"/>
  <c r="DJ157" i="4"/>
  <c r="AK157" i="4"/>
  <c r="DK157" i="4"/>
  <c r="AL157" i="4"/>
  <c r="DD157" i="4"/>
  <c r="AE157" i="4"/>
  <c r="Y157" i="4"/>
  <c r="CX157" i="4"/>
  <c r="EU131" i="4"/>
  <c r="BV131" i="4"/>
  <c r="EE131" i="4"/>
  <c r="BF131" i="4"/>
  <c r="AY131" i="4"/>
  <c r="DX131" i="4"/>
  <c r="DQ131" i="4"/>
  <c r="DJ131" i="4"/>
  <c r="AK131" i="4"/>
  <c r="AL131" i="4"/>
  <c r="DK131" i="4"/>
  <c r="DD131" i="4"/>
  <c r="AE131" i="4"/>
  <c r="DU131" i="4"/>
  <c r="AV131" i="4"/>
  <c r="DN131" i="4"/>
  <c r="AO131" i="4"/>
  <c r="AB148" i="4"/>
  <c r="DA148" i="4"/>
  <c r="DE148" i="4"/>
  <c r="DA63" i="4" s="1"/>
  <c r="AF148" i="4"/>
  <c r="EE148" i="4"/>
  <c r="BF148" i="4"/>
  <c r="CI148" i="4"/>
  <c r="J148" i="4"/>
  <c r="AK148" i="4"/>
  <c r="DJ148" i="4"/>
  <c r="EL148" i="4"/>
  <c r="BM148" i="4"/>
  <c r="EN148" i="4"/>
  <c r="BO148" i="4"/>
  <c r="BJ148" i="4"/>
  <c r="EC63" i="4" s="1"/>
  <c r="EI148" i="4"/>
  <c r="EB148" i="4"/>
  <c r="BC148" i="4"/>
  <c r="CV119" i="4"/>
  <c r="W119" i="4"/>
  <c r="AN119" i="4"/>
  <c r="DM119" i="4"/>
  <c r="AG119" i="4"/>
  <c r="CZ34" i="4" s="1"/>
  <c r="DF119" i="4"/>
  <c r="CY119" i="4"/>
  <c r="CU34" i="4" s="1"/>
  <c r="Z119" i="4"/>
  <c r="CR119" i="4"/>
  <c r="S119" i="4"/>
  <c r="CK119" i="4"/>
  <c r="CG34" i="4" s="1"/>
  <c r="L119" i="4"/>
  <c r="EW119" i="4"/>
  <c r="BX119" i="4"/>
  <c r="BY119" i="4"/>
  <c r="EP119" i="4"/>
  <c r="BQ119" i="4"/>
  <c r="EQ119" i="4"/>
  <c r="BR119" i="4"/>
  <c r="DS112" i="4"/>
  <c r="AT112" i="4"/>
  <c r="BC112" i="4"/>
  <c r="EB112" i="4"/>
  <c r="AV112" i="4"/>
  <c r="DU112" i="4"/>
  <c r="DN112" i="4"/>
  <c r="AO112" i="4"/>
  <c r="DG112" i="4"/>
  <c r="AH112" i="4"/>
  <c r="AA112" i="4"/>
  <c r="CZ112" i="4"/>
  <c r="CS112" i="4"/>
  <c r="T112" i="4"/>
  <c r="CL112" i="4"/>
  <c r="M112" i="4"/>
  <c r="AD102" i="4"/>
  <c r="DC102" i="4"/>
  <c r="CF102" i="4"/>
  <c r="BS102" i="4"/>
  <c r="ER102" i="4"/>
  <c r="BL102" i="4"/>
  <c r="EK102" i="4"/>
  <c r="BE102" i="4"/>
  <c r="ED102" i="4"/>
  <c r="DW102" i="4"/>
  <c r="AX102" i="4"/>
  <c r="AQ102" i="4"/>
  <c r="DP102" i="4"/>
  <c r="DI102" i="4"/>
  <c r="AJ102" i="4"/>
  <c r="AC102" i="4"/>
  <c r="DB102" i="4"/>
  <c r="S161" i="4"/>
  <c r="CR161" i="4"/>
  <c r="AI161" i="4"/>
  <c r="DH161" i="4"/>
  <c r="CM161" i="4"/>
  <c r="N161" i="4"/>
  <c r="EA161" i="4"/>
  <c r="DW76" i="4" s="1"/>
  <c r="BB161" i="4"/>
  <c r="DD161" i="4"/>
  <c r="AE161" i="4"/>
  <c r="BG161" i="4"/>
  <c r="EF161" i="4"/>
  <c r="BF161" i="4"/>
  <c r="EE161" i="4"/>
  <c r="DY161" i="4"/>
  <c r="AZ161" i="4"/>
  <c r="DR161" i="4"/>
  <c r="AS161" i="4"/>
  <c r="DH147" i="4"/>
  <c r="AI147" i="4"/>
  <c r="L147" i="4"/>
  <c r="CK147" i="4"/>
  <c r="AM147" i="4"/>
  <c r="DL147" i="4"/>
  <c r="P147" i="4"/>
  <c r="CO147" i="4"/>
  <c r="EC147" i="4"/>
  <c r="DY62" i="4" s="1"/>
  <c r="BD147" i="4"/>
  <c r="N147" i="4"/>
  <c r="CM147" i="4"/>
  <c r="CH147" i="4"/>
  <c r="I147" i="4"/>
  <c r="ET147" i="4"/>
  <c r="BU147" i="4"/>
  <c r="EM147" i="4"/>
  <c r="EI62" i="4" s="1"/>
  <c r="BN147" i="4"/>
  <c r="AO164" i="4"/>
  <c r="DH79" i="4" s="1"/>
  <c r="DN164" i="4"/>
  <c r="DJ79" i="4" s="1"/>
  <c r="AU164" i="4"/>
  <c r="DT164" i="4"/>
  <c r="DP79" i="4" s="1"/>
  <c r="BB164" i="4"/>
  <c r="EA164" i="4"/>
  <c r="J164" i="4"/>
  <c r="CI164" i="4"/>
  <c r="BV164" i="4"/>
  <c r="EU164" i="4"/>
  <c r="EV164" i="4"/>
  <c r="ER79" i="4" s="1"/>
  <c r="BW164" i="4"/>
  <c r="BP164" i="4"/>
  <c r="EO164" i="4"/>
  <c r="BI164" i="4"/>
  <c r="EH164" i="4"/>
  <c r="EM146" i="4"/>
  <c r="EI61" i="4" s="1"/>
  <c r="BN146" i="4"/>
  <c r="EB146" i="4"/>
  <c r="DX61" i="4" s="1"/>
  <c r="BC146" i="4"/>
  <c r="CR146" i="4"/>
  <c r="S146" i="4"/>
  <c r="DT146" i="4"/>
  <c r="AU146" i="4"/>
  <c r="EU146" i="4"/>
  <c r="BV146" i="4"/>
  <c r="CY146" i="4"/>
  <c r="Z146" i="4"/>
  <c r="DN146" i="4"/>
  <c r="DJ61" i="4" s="1"/>
  <c r="AO146" i="4"/>
  <c r="AJ146" i="4"/>
  <c r="DI146" i="4"/>
  <c r="DE61" i="4" s="1"/>
  <c r="AC146" i="4"/>
  <c r="DB146" i="4"/>
  <c r="AG105" i="4"/>
  <c r="DF105" i="4"/>
  <c r="M105" i="4"/>
  <c r="CL105" i="4"/>
  <c r="AQ105" i="4"/>
  <c r="DP105" i="4"/>
  <c r="BU105" i="4"/>
  <c r="ET105" i="4"/>
  <c r="AZ105" i="4"/>
  <c r="DY105" i="4"/>
  <c r="DU20" i="4" s="1"/>
  <c r="BI105" i="4"/>
  <c r="EH105" i="4"/>
  <c r="AF105" i="4"/>
  <c r="DE105" i="4"/>
  <c r="AX105" i="4"/>
  <c r="DW105" i="4"/>
  <c r="AV96" i="4"/>
  <c r="DU96" i="4"/>
  <c r="AG96" i="4"/>
  <c r="DF96" i="4"/>
  <c r="Z96" i="4"/>
  <c r="CY96" i="4"/>
  <c r="S96" i="4"/>
  <c r="CR96" i="4"/>
  <c r="CK96" i="4"/>
  <c r="L96" i="4"/>
  <c r="EW96" i="4"/>
  <c r="BY96" i="4"/>
  <c r="BX96" i="4"/>
  <c r="EP96" i="4"/>
  <c r="BQ96" i="4"/>
  <c r="BR96" i="4"/>
  <c r="EQ96" i="4"/>
  <c r="EJ96" i="4"/>
  <c r="BK96" i="4"/>
  <c r="T136" i="4"/>
  <c r="CS136" i="4"/>
  <c r="AS136" i="4"/>
  <c r="DR136" i="4"/>
  <c r="DS136" i="4"/>
  <c r="DO51" i="4" s="1"/>
  <c r="AT136" i="4"/>
  <c r="DL136" i="4"/>
  <c r="DH51" i="4" s="1"/>
  <c r="AM136" i="4"/>
  <c r="DE136" i="4"/>
  <c r="AF136" i="4"/>
  <c r="CX136" i="4"/>
  <c r="Y136" i="4"/>
  <c r="R136" i="4"/>
  <c r="CQ136" i="4"/>
  <c r="K136" i="4"/>
  <c r="CJ136" i="4"/>
  <c r="BW136" i="4"/>
  <c r="EV136" i="4"/>
  <c r="CS110" i="4"/>
  <c r="T110" i="4"/>
  <c r="BI110" i="4"/>
  <c r="EH110" i="4"/>
  <c r="BJ110" i="4"/>
  <c r="EI110" i="4"/>
  <c r="EB110" i="4"/>
  <c r="BC110" i="4"/>
  <c r="AV110" i="4"/>
  <c r="DU110" i="4"/>
  <c r="AO110" i="4"/>
  <c r="DN110" i="4"/>
  <c r="AH110" i="4"/>
  <c r="DG110" i="4"/>
  <c r="CZ110" i="4"/>
  <c r="AA110" i="4"/>
  <c r="DK128" i="4"/>
  <c r="AL128" i="4"/>
  <c r="BN128" i="4"/>
  <c r="EM128" i="4"/>
  <c r="DP128" i="4"/>
  <c r="AQ128" i="4"/>
  <c r="I128" i="4"/>
  <c r="CH128" i="4"/>
  <c r="AI128" i="4"/>
  <c r="DH128" i="4"/>
  <c r="EI128" i="4"/>
  <c r="EE43" i="4" s="1"/>
  <c r="BJ128" i="4"/>
  <c r="EG128" i="4"/>
  <c r="BH128" i="4"/>
  <c r="DT128" i="4"/>
  <c r="AU128" i="4"/>
  <c r="P130" i="4"/>
  <c r="CO130" i="4"/>
  <c r="EK130" i="4"/>
  <c r="BL130" i="4"/>
  <c r="AC130" i="4"/>
  <c r="DB130" i="4"/>
  <c r="CU130" i="4"/>
  <c r="CQ45" i="4" s="1"/>
  <c r="V130" i="4"/>
  <c r="CN130" i="4"/>
  <c r="O130" i="4"/>
  <c r="CH130" i="4"/>
  <c r="I130" i="4"/>
  <c r="BU130" i="4"/>
  <c r="ET130" i="4"/>
  <c r="EM130" i="4"/>
  <c r="BN130" i="4"/>
  <c r="BH130" i="4"/>
  <c r="EG130" i="4"/>
  <c r="CQ151" i="4"/>
  <c r="R151" i="4"/>
  <c r="U151" i="4"/>
  <c r="CT151" i="4"/>
  <c r="EM151" i="4"/>
  <c r="EI66" i="4" s="1"/>
  <c r="BN151" i="4"/>
  <c r="DA151" i="4"/>
  <c r="AB151" i="4"/>
  <c r="BB151" i="4"/>
  <c r="EA151" i="4"/>
  <c r="AU151" i="4"/>
  <c r="DT151" i="4"/>
  <c r="DM151" i="4"/>
  <c r="AN151" i="4"/>
  <c r="DF151" i="4"/>
  <c r="DB66" i="4" s="1"/>
  <c r="AG151" i="4"/>
  <c r="EU151" i="4"/>
  <c r="BV151" i="4"/>
  <c r="DF152" i="4"/>
  <c r="AG152" i="4"/>
  <c r="K152" i="4"/>
  <c r="CJ152" i="4"/>
  <c r="ET152" i="4"/>
  <c r="BU152" i="4"/>
  <c r="DN152" i="4"/>
  <c r="AO152" i="4"/>
  <c r="CQ152" i="4"/>
  <c r="R152" i="4"/>
  <c r="AJ152" i="4"/>
  <c r="DI152" i="4"/>
  <c r="DC152" i="4"/>
  <c r="AD152" i="4"/>
  <c r="CV152" i="4"/>
  <c r="W152" i="4"/>
  <c r="EA150" i="4"/>
  <c r="BB150" i="4"/>
  <c r="EO150" i="4"/>
  <c r="BP150" i="4"/>
  <c r="DG150" i="4"/>
  <c r="AH150" i="4"/>
  <c r="EG150" i="4"/>
  <c r="BH150" i="4"/>
  <c r="CK150" i="4"/>
  <c r="L150" i="4"/>
  <c r="DL150" i="4"/>
  <c r="AM150" i="4"/>
  <c r="DZ150" i="4"/>
  <c r="BA150" i="4"/>
  <c r="AV150" i="4"/>
  <c r="DU150" i="4"/>
  <c r="AO150" i="4"/>
  <c r="DN150" i="4"/>
  <c r="CH140" i="4"/>
  <c r="I140" i="4"/>
  <c r="BJ140" i="4"/>
  <c r="EI140" i="4"/>
  <c r="AB140" i="4"/>
  <c r="DA140" i="4"/>
  <c r="EO140" i="4"/>
  <c r="BP140" i="4"/>
  <c r="AS140" i="4"/>
  <c r="DR140" i="4"/>
  <c r="BT140" i="4"/>
  <c r="ES140" i="4"/>
  <c r="EJ140" i="4"/>
  <c r="BK140" i="4"/>
  <c r="EE140" i="4"/>
  <c r="BF140" i="4"/>
  <c r="AY140" i="4"/>
  <c r="DX140" i="4"/>
  <c r="DT55" i="4" s="1"/>
  <c r="DI159" i="4"/>
  <c r="AJ159" i="4"/>
  <c r="CP159" i="4"/>
  <c r="Q159" i="4"/>
  <c r="ED159" i="4"/>
  <c r="BE159" i="4"/>
  <c r="U159" i="4"/>
  <c r="CT159" i="4"/>
  <c r="CK159" i="4"/>
  <c r="L159" i="4"/>
  <c r="O159" i="4"/>
  <c r="CN159" i="4"/>
  <c r="CG159" i="4"/>
  <c r="H159" i="4"/>
  <c r="CA74" i="4" s="1"/>
  <c r="ES159" i="4"/>
  <c r="EM159" i="4"/>
  <c r="BN159" i="4"/>
  <c r="EV113" i="4"/>
  <c r="BW113" i="4"/>
  <c r="AR113" i="4"/>
  <c r="DQ113" i="4"/>
  <c r="AK113" i="4"/>
  <c r="DJ113" i="4"/>
  <c r="AL113" i="4"/>
  <c r="DK113" i="4"/>
  <c r="DD113" i="4"/>
  <c r="AE113" i="4"/>
  <c r="X113" i="4"/>
  <c r="CW113" i="4"/>
  <c r="CS28" i="4" s="1"/>
  <c r="Q113" i="4"/>
  <c r="CP113" i="4"/>
  <c r="J113" i="4"/>
  <c r="CI113" i="4"/>
  <c r="BV113" i="4"/>
  <c r="EU113" i="4"/>
  <c r="BS99" i="4"/>
  <c r="ER99" i="4"/>
  <c r="BD99" i="4"/>
  <c r="EC99" i="4"/>
  <c r="DV99" i="4"/>
  <c r="AW99" i="4"/>
  <c r="AP99" i="4"/>
  <c r="DO99" i="4"/>
  <c r="DH99" i="4"/>
  <c r="AI99" i="4"/>
  <c r="AB99" i="4"/>
  <c r="DA99" i="4"/>
  <c r="U99" i="4"/>
  <c r="CT99" i="4"/>
  <c r="CU99" i="4"/>
  <c r="V99" i="4"/>
  <c r="DW126" i="4"/>
  <c r="AX126" i="4"/>
  <c r="DO126" i="4"/>
  <c r="AP126" i="4"/>
  <c r="EN126" i="4"/>
  <c r="BO126" i="4"/>
  <c r="EO126" i="4"/>
  <c r="BP126" i="4"/>
  <c r="EP126" i="4"/>
  <c r="BQ126" i="4"/>
  <c r="ER126" i="4"/>
  <c r="BS126" i="4"/>
  <c r="EJ126" i="4"/>
  <c r="BK126" i="4"/>
  <c r="BD126" i="4"/>
  <c r="EC126" i="4"/>
  <c r="AW126" i="4"/>
  <c r="DV126" i="4"/>
  <c r="EH97" i="4"/>
  <c r="BI97" i="4"/>
  <c r="DC97" i="4"/>
  <c r="AD97" i="4"/>
  <c r="W97" i="4"/>
  <c r="CV97" i="4"/>
  <c r="P97" i="4"/>
  <c r="CO97" i="4"/>
  <c r="BU97" i="4"/>
  <c r="ET97" i="4"/>
  <c r="EM97" i="4"/>
  <c r="EI12" i="4" s="1"/>
  <c r="BN97" i="4"/>
  <c r="EF97" i="4"/>
  <c r="BG97" i="4"/>
  <c r="DY97" i="4"/>
  <c r="AZ97" i="4"/>
  <c r="BV98" i="4"/>
  <c r="EU98" i="4"/>
  <c r="CZ98" i="4"/>
  <c r="AA98" i="4"/>
  <c r="CS98" i="4"/>
  <c r="T98" i="4"/>
  <c r="M98" i="4"/>
  <c r="CL98" i="4"/>
  <c r="N98" i="4"/>
  <c r="CM98" i="4"/>
  <c r="CF98" i="4"/>
  <c r="BS98" i="4"/>
  <c r="ER98" i="4"/>
  <c r="EK98" i="4"/>
  <c r="EG13" i="4" s="1"/>
  <c r="BL98" i="4"/>
  <c r="ED98" i="4"/>
  <c r="BE98" i="4"/>
  <c r="ER156" i="4"/>
  <c r="BS156" i="4"/>
  <c r="EL71" i="4" s="1"/>
  <c r="CW156" i="4"/>
  <c r="X156" i="4"/>
  <c r="CP156" i="4"/>
  <c r="Q156" i="4"/>
  <c r="CI156" i="4"/>
  <c r="J156" i="4"/>
  <c r="EU156" i="4"/>
  <c r="EQ71" i="4" s="1"/>
  <c r="BV156" i="4"/>
  <c r="EN156" i="4"/>
  <c r="EJ71" i="4" s="1"/>
  <c r="BO156" i="4"/>
  <c r="BH156" i="4"/>
  <c r="EG156" i="4"/>
  <c r="EC71" i="4" s="1"/>
  <c r="BA156" i="4"/>
  <c r="DZ156" i="4"/>
  <c r="DV71" i="4" s="1"/>
  <c r="EA156" i="4"/>
  <c r="BB156" i="4"/>
  <c r="AP108" i="4"/>
  <c r="DO108" i="4"/>
  <c r="AI108" i="4"/>
  <c r="DH108" i="4"/>
  <c r="DA108" i="4"/>
  <c r="AB108" i="4"/>
  <c r="CU108" i="4"/>
  <c r="CQ23" i="4" s="1"/>
  <c r="V108" i="4"/>
  <c r="CO23" i="4" s="1"/>
  <c r="CN108" i="4"/>
  <c r="O108" i="4"/>
  <c r="H108" i="4"/>
  <c r="CA23" i="4" s="1"/>
  <c r="CG108" i="4"/>
  <c r="ES108" i="4"/>
  <c r="BT108" i="4"/>
  <c r="BM108" i="4"/>
  <c r="EL108" i="4"/>
  <c r="EW120" i="4"/>
  <c r="BY120" i="4"/>
  <c r="BX120" i="4"/>
  <c r="DZ120" i="4"/>
  <c r="BA120" i="4"/>
  <c r="BB120" i="4"/>
  <c r="EA120" i="4"/>
  <c r="AU120" i="4"/>
  <c r="DT120" i="4"/>
  <c r="AN120" i="4"/>
  <c r="DM120" i="4"/>
  <c r="DF120" i="4"/>
  <c r="CY120" i="4"/>
  <c r="CU35" i="4" s="1"/>
  <c r="Z120" i="4"/>
  <c r="CR120" i="4"/>
  <c r="S120" i="4"/>
  <c r="EH115" i="4"/>
  <c r="BI115" i="4"/>
  <c r="EQ115" i="4"/>
  <c r="BR115" i="4"/>
  <c r="EJ115" i="4"/>
  <c r="BK115" i="4"/>
  <c r="BD115" i="4"/>
  <c r="EC115" i="4"/>
  <c r="AW115" i="4"/>
  <c r="DV115" i="4"/>
  <c r="AP115" i="4"/>
  <c r="DO115" i="4"/>
  <c r="DH115" i="4"/>
  <c r="DD30" i="4" s="1"/>
  <c r="AI115" i="4"/>
  <c r="DA115" i="4"/>
  <c r="DM114" i="4"/>
  <c r="AN114" i="4"/>
  <c r="CH114" i="4"/>
  <c r="I114" i="4"/>
  <c r="ET114" i="4"/>
  <c r="EP29" i="4" s="1"/>
  <c r="BU114" i="4"/>
  <c r="BN114" i="4"/>
  <c r="EM114" i="4"/>
  <c r="BG114" i="4"/>
  <c r="EF114" i="4"/>
  <c r="AZ114" i="4"/>
  <c r="DY114" i="4"/>
  <c r="DR114" i="4"/>
  <c r="AS114" i="4"/>
  <c r="DS114" i="4"/>
  <c r="AT114" i="4"/>
  <c r="DL114" i="4"/>
  <c r="AM114" i="4"/>
  <c r="BU101" i="4"/>
  <c r="ET101" i="4"/>
  <c r="Z101" i="4"/>
  <c r="CY101" i="4"/>
  <c r="CR101" i="4"/>
  <c r="S101" i="4"/>
  <c r="CK101" i="4"/>
  <c r="CG16" i="4" s="1"/>
  <c r="L101" i="4"/>
  <c r="EW101" i="4"/>
  <c r="BY101" i="4"/>
  <c r="BX101" i="4"/>
  <c r="EP101" i="4"/>
  <c r="BQ101" i="4"/>
  <c r="BR101" i="4"/>
  <c r="EQ101" i="4"/>
  <c r="EM16" i="4" s="1"/>
  <c r="EJ101" i="4"/>
  <c r="BK101" i="4"/>
  <c r="BD101" i="4"/>
  <c r="EC101" i="4"/>
  <c r="EF106" i="4"/>
  <c r="EB21" i="4" s="1"/>
  <c r="BG106" i="4"/>
  <c r="EK106" i="4"/>
  <c r="BL106" i="4"/>
  <c r="EE21" i="4" s="1"/>
  <c r="BB106" i="4"/>
  <c r="EA106" i="4"/>
  <c r="DF106" i="4"/>
  <c r="AG106" i="4"/>
  <c r="CY106" i="4"/>
  <c r="Z106" i="4"/>
  <c r="CS106" i="4"/>
  <c r="T106" i="4"/>
  <c r="CM21" i="4" s="1"/>
  <c r="M106" i="4"/>
  <c r="CL106" i="4"/>
  <c r="CF106" i="4"/>
  <c r="BS106" i="4"/>
  <c r="ER106" i="4"/>
  <c r="EQ77" i="4"/>
  <c r="DO49" i="4"/>
  <c r="CX34" i="4"/>
  <c r="CV30" i="4"/>
  <c r="CB30" i="4"/>
  <c r="CA52" i="4"/>
  <c r="EI72" i="4"/>
  <c r="CA21" i="4"/>
  <c r="CA49" i="4"/>
  <c r="DK45" i="4"/>
  <c r="EN75" i="4"/>
  <c r="CK19" i="4"/>
  <c r="CI48" i="4"/>
  <c r="CX40" i="4" l="1"/>
  <c r="EN13" i="4"/>
  <c r="CO13" i="4"/>
  <c r="CZ28" i="4"/>
  <c r="DS56" i="4"/>
  <c r="EP40" i="4"/>
  <c r="CB55" i="4"/>
  <c r="CB26" i="4"/>
  <c r="EJ35" i="4"/>
  <c r="CB34" i="4"/>
  <c r="DS78" i="4"/>
  <c r="DR64" i="4"/>
  <c r="EA42" i="4"/>
  <c r="DG40" i="4"/>
  <c r="EK70" i="4"/>
  <c r="CQ27" i="4"/>
  <c r="CB57" i="4"/>
  <c r="CB41" i="4"/>
  <c r="CO30" i="4"/>
  <c r="EM75" i="4"/>
  <c r="DU57" i="4"/>
  <c r="CB50" i="4"/>
  <c r="DK47" i="4"/>
  <c r="EO59" i="4"/>
  <c r="DW44" i="4"/>
  <c r="DI54" i="4"/>
  <c r="DX42" i="4"/>
  <c r="ER62" i="4"/>
  <c r="DU40" i="4"/>
  <c r="EI71" i="4"/>
  <c r="CK65" i="4"/>
  <c r="DR21" i="4"/>
  <c r="DN34" i="4"/>
  <c r="CB16" i="4"/>
  <c r="CR60" i="4"/>
  <c r="ER31" i="4"/>
  <c r="DS55" i="4"/>
  <c r="CF52" i="4"/>
  <c r="CB28" i="4"/>
  <c r="CP43" i="4"/>
  <c r="CB46" i="4"/>
  <c r="CL22" i="4"/>
  <c r="CD23" i="4"/>
  <c r="CD44" i="4"/>
  <c r="CT73" i="4"/>
  <c r="CX42" i="4"/>
  <c r="CJ17" i="4"/>
  <c r="EP33" i="4"/>
  <c r="DM43" i="4"/>
  <c r="CK18" i="4"/>
  <c r="EI17" i="4"/>
  <c r="DR25" i="4"/>
  <c r="CN56" i="4"/>
  <c r="DM67" i="4"/>
  <c r="CH57" i="4"/>
  <c r="CO25" i="4"/>
  <c r="CK39" i="4"/>
  <c r="CP61" i="4"/>
  <c r="DD37" i="4"/>
  <c r="CU41" i="4"/>
  <c r="CW50" i="4"/>
  <c r="CT26" i="4"/>
  <c r="CX30" i="4"/>
  <c r="CB25" i="4"/>
  <c r="CG79" i="4"/>
  <c r="DA19" i="4"/>
  <c r="EN47" i="4"/>
  <c r="CZ44" i="4"/>
  <c r="CM77" i="4"/>
  <c r="EK42" i="4"/>
  <c r="EE10" i="4"/>
  <c r="DP49" i="4"/>
  <c r="CQ32" i="4"/>
  <c r="DP54" i="4"/>
  <c r="EA56" i="4"/>
  <c r="CB18" i="4"/>
  <c r="CL28" i="4"/>
  <c r="CN76" i="4"/>
  <c r="EQ46" i="4"/>
  <c r="CB48" i="4"/>
  <c r="DI36" i="4"/>
  <c r="DG70" i="4"/>
  <c r="DA50" i="4"/>
  <c r="CK29" i="4"/>
  <c r="DJ30" i="4"/>
  <c r="DC23" i="4"/>
  <c r="DP76" i="4"/>
  <c r="DI27" i="4"/>
  <c r="CR58" i="4"/>
  <c r="CZ31" i="4"/>
  <c r="CF18" i="4"/>
  <c r="CN24" i="4"/>
  <c r="EM14" i="4"/>
  <c r="CT41" i="4"/>
  <c r="DI11" i="4"/>
  <c r="CF41" i="4"/>
  <c r="DZ33" i="4"/>
  <c r="EP73" i="4"/>
  <c r="EH10" i="4"/>
  <c r="CC49" i="4"/>
  <c r="CL40" i="4"/>
  <c r="CI56" i="4"/>
  <c r="DH15" i="4"/>
  <c r="DS23" i="4"/>
  <c r="CV11" i="4"/>
  <c r="DB33" i="4"/>
  <c r="DJ46" i="4"/>
  <c r="DF33" i="4"/>
  <c r="DW25" i="4"/>
  <c r="CK26" i="4"/>
  <c r="CJ21" i="4"/>
  <c r="DI16" i="4"/>
  <c r="DL12" i="4"/>
  <c r="EK66" i="4"/>
  <c r="EJ76" i="4"/>
  <c r="CQ46" i="4"/>
  <c r="CI38" i="4"/>
  <c r="CK61" i="4"/>
  <c r="DW37" i="4"/>
  <c r="CU58" i="4"/>
  <c r="DD18" i="4"/>
  <c r="CR24" i="4"/>
  <c r="DQ19" i="4"/>
  <c r="DZ70" i="4"/>
  <c r="CP21" i="4"/>
  <c r="CJ59" i="4"/>
  <c r="DK44" i="4"/>
  <c r="EM32" i="4"/>
  <c r="CR75" i="4"/>
  <c r="EJ29" i="4"/>
  <c r="CG49" i="4"/>
  <c r="DZ17" i="4"/>
  <c r="DM46" i="4"/>
  <c r="EO78" i="4"/>
  <c r="DM33" i="4"/>
  <c r="DQ30" i="4"/>
  <c r="DK65" i="4"/>
  <c r="DW45" i="4"/>
  <c r="DB25" i="4"/>
  <c r="CX68" i="4"/>
  <c r="DY50" i="4"/>
  <c r="EH76" i="4"/>
  <c r="CI70" i="4"/>
  <c r="DU46" i="4"/>
  <c r="EC77" i="4"/>
  <c r="CB59" i="4"/>
  <c r="CS73" i="4"/>
  <c r="CT75" i="4"/>
  <c r="DO10" i="4"/>
  <c r="DE10" i="4"/>
  <c r="DB51" i="4"/>
  <c r="DF42" i="4"/>
  <c r="ED40" i="4"/>
  <c r="DX60" i="4"/>
  <c r="DO28" i="4"/>
  <c r="DT53" i="4"/>
  <c r="CI60" i="4"/>
  <c r="DH35" i="4"/>
  <c r="CK28" i="4"/>
  <c r="CN27" i="4"/>
  <c r="CB58" i="4"/>
  <c r="DY48" i="4"/>
  <c r="CU48" i="4"/>
  <c r="DL26" i="4"/>
  <c r="CT52" i="4"/>
  <c r="DY23" i="4"/>
  <c r="DH39" i="4"/>
  <c r="CH24" i="4"/>
  <c r="DA54" i="4"/>
  <c r="EQ63" i="4"/>
  <c r="DA37" i="4"/>
  <c r="DK15" i="4"/>
  <c r="DE14" i="4"/>
  <c r="CG39" i="4"/>
  <c r="DQ44" i="4"/>
  <c r="DX19" i="4"/>
  <c r="EN44" i="4"/>
  <c r="CU60" i="4"/>
  <c r="DN29" i="4"/>
  <c r="DU12" i="4"/>
  <c r="DJ25" i="4"/>
  <c r="CB29" i="4"/>
  <c r="EQ79" i="4"/>
  <c r="CF39" i="4"/>
  <c r="DV52" i="4"/>
  <c r="CS33" i="4"/>
  <c r="CF11" i="4"/>
  <c r="EL27" i="4"/>
  <c r="DI46" i="4"/>
  <c r="DU58" i="4"/>
  <c r="DN53" i="4"/>
  <c r="CD15" i="4"/>
  <c r="DL19" i="4"/>
  <c r="CZ36" i="4"/>
  <c r="CV35" i="4"/>
  <c r="DD66" i="4"/>
  <c r="EB61" i="4"/>
  <c r="DX46" i="4"/>
  <c r="CL19" i="4"/>
  <c r="DS44" i="4"/>
  <c r="DR10" i="4"/>
  <c r="CL37" i="4"/>
  <c r="DM40" i="4"/>
  <c r="CI77" i="4"/>
  <c r="DJ42" i="4"/>
  <c r="CV40" i="4"/>
  <c r="DJ49" i="4"/>
  <c r="DR42" i="4"/>
  <c r="EP49" i="4"/>
  <c r="CC10" i="4"/>
  <c r="DK60" i="4"/>
  <c r="DG74" i="4"/>
  <c r="DM17" i="4"/>
  <c r="ED15" i="4"/>
  <c r="DG73" i="4"/>
  <c r="DG61" i="4"/>
  <c r="CQ63" i="4"/>
  <c r="ED63" i="4"/>
  <c r="DG27" i="4"/>
  <c r="DE49" i="4"/>
  <c r="DM59" i="4"/>
  <c r="EG41" i="4"/>
  <c r="CI42" i="4"/>
  <c r="DT10" i="4"/>
  <c r="EE69" i="4"/>
  <c r="DT24" i="4"/>
  <c r="CR47" i="4"/>
  <c r="CQ42" i="4"/>
  <c r="CY79" i="4"/>
  <c r="EM63" i="4"/>
  <c r="DI10" i="4"/>
  <c r="CB56" i="4"/>
  <c r="EF30" i="4"/>
  <c r="DH62" i="4"/>
  <c r="CX17" i="4"/>
  <c r="CW17" i="4"/>
  <c r="CE58" i="4"/>
  <c r="DP36" i="4"/>
  <c r="CR37" i="4"/>
  <c r="DU22" i="4"/>
  <c r="DQ47" i="4"/>
  <c r="DA29" i="4"/>
  <c r="CY35" i="4"/>
  <c r="CG35" i="4"/>
  <c r="CN13" i="4"/>
  <c r="CJ12" i="4"/>
  <c r="DJ14" i="4"/>
  <c r="DS43" i="4"/>
  <c r="DV43" i="4"/>
  <c r="CZ51" i="4"/>
  <c r="CB61" i="4"/>
  <c r="EJ62" i="4"/>
  <c r="CY58" i="4"/>
  <c r="DG38" i="4"/>
  <c r="CU69" i="4"/>
  <c r="DI63" i="4"/>
  <c r="EL68" i="4"/>
  <c r="DF68" i="4"/>
  <c r="DP20" i="4"/>
  <c r="DJ62" i="4"/>
  <c r="EM46" i="4"/>
  <c r="CN53" i="4"/>
  <c r="DB16" i="4"/>
  <c r="CN30" i="4"/>
  <c r="CH55" i="4"/>
  <c r="CF55" i="4"/>
  <c r="DE45" i="4"/>
  <c r="CV43" i="4"/>
  <c r="CJ63" i="4"/>
  <c r="EA31" i="4"/>
  <c r="CT18" i="4"/>
  <c r="ED52" i="4"/>
  <c r="EG33" i="4"/>
  <c r="CL10" i="4"/>
  <c r="CJ47" i="4"/>
  <c r="DM73" i="4"/>
  <c r="EO10" i="4"/>
  <c r="DT32" i="4"/>
  <c r="EG44" i="4"/>
  <c r="DL10" i="4"/>
  <c r="DK32" i="4"/>
  <c r="DN75" i="4"/>
  <c r="DI42" i="4"/>
  <c r="CV16" i="4"/>
  <c r="DM32" i="4"/>
  <c r="CX10" i="4"/>
  <c r="EM76" i="4"/>
  <c r="CE12" i="4"/>
  <c r="EF65" i="4"/>
  <c r="DM49" i="4"/>
  <c r="DU54" i="4"/>
  <c r="DS41" i="4"/>
  <c r="CB21" i="4"/>
  <c r="DB21" i="4"/>
  <c r="EP16" i="4"/>
  <c r="EF55" i="4"/>
  <c r="CR67" i="4"/>
  <c r="CN11" i="4"/>
  <c r="CX61" i="4"/>
  <c r="CI62" i="4"/>
  <c r="CH27" i="4"/>
  <c r="EG48" i="4"/>
  <c r="CC78" i="4"/>
  <c r="DV53" i="4"/>
  <c r="DE24" i="4"/>
  <c r="CE15" i="4"/>
  <c r="CF16" i="4"/>
  <c r="CM14" i="4"/>
  <c r="CJ67" i="4"/>
  <c r="DI25" i="4"/>
  <c r="EI36" i="4"/>
  <c r="DS26" i="4"/>
  <c r="CJ38" i="4"/>
  <c r="DD31" i="4"/>
  <c r="CR33" i="4"/>
  <c r="CE19" i="4"/>
  <c r="DM54" i="4"/>
  <c r="CO47" i="4"/>
  <c r="EK60" i="4"/>
  <c r="DG71" i="4"/>
  <c r="CT76" i="4"/>
  <c r="CF17" i="4"/>
  <c r="DH17" i="4"/>
  <c r="EK27" i="4"/>
  <c r="DH63" i="4"/>
  <c r="DV69" i="4"/>
  <c r="CP22" i="4"/>
  <c r="CV21" i="4"/>
  <c r="EM65" i="4"/>
  <c r="EP43" i="4"/>
  <c r="EE67" i="4"/>
  <c r="DI15" i="4"/>
  <c r="DM61" i="4"/>
  <c r="DT72" i="4"/>
  <c r="CP77" i="4"/>
  <c r="EJ66" i="4"/>
  <c r="CW60" i="4"/>
  <c r="CI59" i="4"/>
  <c r="CY49" i="4"/>
  <c r="CM69" i="4"/>
  <c r="CT59" i="4"/>
  <c r="EA44" i="4"/>
  <c r="DQ49" i="4"/>
  <c r="DO26" i="4"/>
  <c r="EQ20" i="4"/>
  <c r="EI39" i="4"/>
  <c r="CL62" i="4"/>
  <c r="DY65" i="4"/>
  <c r="DN67" i="4"/>
  <c r="EB27" i="4"/>
  <c r="DM74" i="4"/>
  <c r="DZ65" i="4"/>
  <c r="ER36" i="4"/>
  <c r="DH78" i="4"/>
  <c r="ED36" i="4"/>
  <c r="EN22" i="4"/>
  <c r="EB42" i="4"/>
  <c r="EQ75" i="4"/>
  <c r="EA32" i="4"/>
  <c r="CP73" i="4"/>
  <c r="EN77" i="4"/>
  <c r="CN75" i="4"/>
  <c r="EH60" i="4"/>
  <c r="DZ64" i="4"/>
  <c r="EA38" i="4"/>
  <c r="CZ71" i="4"/>
  <c r="DH74" i="4"/>
  <c r="CR62" i="4"/>
  <c r="EG64" i="4"/>
  <c r="DP64" i="4"/>
  <c r="DX39" i="4"/>
  <c r="DY58" i="4"/>
  <c r="ER28" i="4"/>
  <c r="CI37" i="4"/>
  <c r="EF21" i="4"/>
  <c r="EB58" i="4"/>
  <c r="DG28" i="4"/>
  <c r="DC65" i="4"/>
  <c r="EB76" i="4"/>
  <c r="DD76" i="4"/>
  <c r="DL17" i="4"/>
  <c r="EL34" i="4"/>
  <c r="CD26" i="4"/>
  <c r="EB78" i="4"/>
  <c r="EC53" i="4"/>
  <c r="EO70" i="4"/>
  <c r="CV23" i="4"/>
  <c r="CO65" i="4"/>
  <c r="CQ67" i="4"/>
  <c r="EE61" i="4"/>
  <c r="DD48" i="4"/>
  <c r="DS52" i="4"/>
  <c r="EB55" i="4"/>
  <c r="CI67" i="4"/>
  <c r="CP20" i="4"/>
  <c r="DF17" i="4"/>
  <c r="DF34" i="4"/>
  <c r="CD46" i="4"/>
  <c r="DM78" i="4"/>
  <c r="EF19" i="4"/>
  <c r="CO41" i="4"/>
  <c r="ER19" i="4"/>
  <c r="EQ59" i="4"/>
  <c r="DS40" i="4"/>
  <c r="DH33" i="4"/>
  <c r="EK31" i="4"/>
  <c r="ED59" i="4"/>
  <c r="DH10" i="4"/>
  <c r="DJ64" i="4"/>
  <c r="EN19" i="4"/>
  <c r="DK51" i="4"/>
  <c r="CX72" i="4"/>
  <c r="DX20" i="4"/>
  <c r="EM61" i="4"/>
  <c r="EH54" i="4"/>
  <c r="CW37" i="4"/>
  <c r="DD43" i="4"/>
  <c r="EQ61" i="4"/>
  <c r="DV36" i="4"/>
  <c r="CB15" i="4"/>
  <c r="DI29" i="4"/>
  <c r="CV13" i="4"/>
  <c r="ER51" i="4"/>
  <c r="CO51" i="4"/>
  <c r="CU63" i="4"/>
  <c r="CN38" i="4"/>
  <c r="EF24" i="4"/>
  <c r="EH22" i="4"/>
  <c r="EG19" i="4"/>
  <c r="DJ41" i="4"/>
  <c r="EE34" i="4"/>
  <c r="CS38" i="4"/>
  <c r="DW39" i="4"/>
  <c r="EM37" i="4"/>
  <c r="CK53" i="4"/>
  <c r="CM15" i="4"/>
  <c r="DU19" i="4"/>
  <c r="CL54" i="4"/>
  <c r="DX21" i="4"/>
  <c r="CV29" i="4"/>
  <c r="CY74" i="4"/>
  <c r="CZ62" i="4"/>
  <c r="EJ68" i="4"/>
  <c r="EH31" i="4"/>
  <c r="EF46" i="4"/>
  <c r="EQ55" i="4"/>
  <c r="DZ32" i="4"/>
  <c r="DF49" i="4"/>
  <c r="CQ75" i="4"/>
  <c r="EP26" i="4"/>
  <c r="ED32" i="4"/>
  <c r="CK49" i="4"/>
  <c r="EF75" i="4"/>
  <c r="DV59" i="4"/>
  <c r="DY49" i="4"/>
  <c r="CX14" i="4"/>
  <c r="CU61" i="4"/>
  <c r="CS66" i="4"/>
  <c r="ER45" i="4"/>
  <c r="CM27" i="4"/>
  <c r="DM31" i="4"/>
  <c r="EP62" i="4"/>
  <c r="DU63" i="4"/>
  <c r="EF48" i="4"/>
  <c r="DW74" i="4"/>
  <c r="CX66" i="4"/>
  <c r="EP12" i="4"/>
  <c r="CW14" i="4"/>
  <c r="DF28" i="4"/>
  <c r="EI45" i="4"/>
  <c r="DP43" i="4"/>
  <c r="DA51" i="4"/>
  <c r="EK79" i="4"/>
  <c r="DB34" i="4"/>
  <c r="CK37" i="4"/>
  <c r="CS15" i="4"/>
  <c r="EG50" i="4"/>
  <c r="DA66" i="4"/>
  <c r="EB34" i="4"/>
  <c r="DP63" i="4"/>
  <c r="CM46" i="4"/>
  <c r="CL36" i="4"/>
  <c r="DR23" i="4"/>
  <c r="CR25" i="4"/>
  <c r="CJ46" i="4"/>
  <c r="DQ72" i="4"/>
  <c r="CD38" i="4"/>
  <c r="CO33" i="4"/>
  <c r="DN22" i="4"/>
  <c r="CW19" i="4"/>
  <c r="EI19" i="4"/>
  <c r="CF30" i="4"/>
  <c r="EF61" i="4"/>
  <c r="DX76" i="4"/>
  <c r="EF68" i="4"/>
  <c r="CG26" i="4"/>
  <c r="CY48" i="4"/>
  <c r="DN33" i="4"/>
  <c r="CN39" i="4"/>
  <c r="CM75" i="4"/>
  <c r="EP52" i="4"/>
  <c r="CR59" i="4"/>
  <c r="EM44" i="4"/>
  <c r="CP60" i="4"/>
  <c r="CL45" i="4"/>
  <c r="CL12" i="4"/>
  <c r="CK52" i="4"/>
  <c r="EN48" i="4"/>
  <c r="CE69" i="4"/>
  <c r="EB50" i="4"/>
  <c r="EG23" i="4"/>
  <c r="CF68" i="4"/>
  <c r="EH11" i="4"/>
  <c r="CY78" i="4"/>
  <c r="CQ78" i="4"/>
  <c r="DI79" i="4"/>
  <c r="DC63" i="4"/>
  <c r="ER46" i="4"/>
  <c r="EQ72" i="4"/>
  <c r="ED47" i="4"/>
  <c r="CM79" i="4"/>
  <c r="CB63" i="4"/>
  <c r="EI10" i="4"/>
  <c r="DG67" i="4"/>
  <c r="DE75" i="4"/>
  <c r="EC76" i="4"/>
  <c r="CE77" i="4"/>
  <c r="DE67" i="4"/>
  <c r="DG66" i="4"/>
  <c r="DD62" i="4"/>
  <c r="EM43" i="4"/>
  <c r="EQ39" i="4"/>
  <c r="EG22" i="4"/>
  <c r="EO50" i="4"/>
  <c r="DR74" i="4"/>
  <c r="EL43" i="4"/>
  <c r="CC77" i="4"/>
  <c r="CR78" i="4"/>
  <c r="EG21" i="4"/>
  <c r="EN62" i="4"/>
  <c r="DF72" i="4"/>
  <c r="DT78" i="4"/>
  <c r="EJ53" i="4"/>
  <c r="EJ15" i="4"/>
  <c r="DZ79" i="4"/>
  <c r="CK63" i="4"/>
  <c r="CF78" i="4"/>
  <c r="CC62" i="4"/>
  <c r="EL55" i="4"/>
  <c r="DX70" i="4"/>
  <c r="CY73" i="4"/>
  <c r="CW64" i="4"/>
  <c r="CI75" i="4"/>
  <c r="EH75" i="4"/>
  <c r="EA73" i="4"/>
  <c r="DW77" i="4"/>
  <c r="EE35" i="4"/>
  <c r="EL16" i="4"/>
  <c r="EO23" i="4"/>
  <c r="EN14" i="4"/>
  <c r="EK55" i="4"/>
  <c r="CG65" i="4"/>
  <c r="DM72" i="4"/>
  <c r="EK68" i="4"/>
  <c r="DS62" i="4"/>
  <c r="EN34" i="4"/>
  <c r="EK67" i="4"/>
  <c r="EC79" i="4"/>
  <c r="EH21" i="4"/>
  <c r="EM52" i="4"/>
  <c r="EB75" i="4"/>
  <c r="EK19" i="4"/>
  <c r="DA64" i="4"/>
  <c r="EG57" i="4"/>
  <c r="EE49" i="4"/>
  <c r="CK64" i="4"/>
  <c r="CI78" i="4"/>
  <c r="EJ25" i="4"/>
  <c r="DD74" i="4"/>
  <c r="EL63" i="4"/>
  <c r="EK75" i="4"/>
  <c r="EO48" i="4"/>
  <c r="CM66" i="4"/>
  <c r="EP20" i="4"/>
  <c r="EP37" i="4"/>
  <c r="EP66" i="4"/>
  <c r="EB66" i="4"/>
  <c r="EB69" i="4"/>
  <c r="CE63" i="4"/>
  <c r="EL69" i="4"/>
  <c r="CE78" i="4"/>
  <c r="ER56" i="4"/>
  <c r="CQ79" i="4"/>
  <c r="EA63" i="4"/>
  <c r="DN50" i="4"/>
  <c r="EQ50" i="4"/>
  <c r="DZ55" i="4"/>
  <c r="DU74" i="4"/>
  <c r="EH55" i="4"/>
  <c r="EH48" i="4"/>
  <c r="EP54" i="4"/>
  <c r="DR75" i="4"/>
  <c r="DG56" i="4"/>
  <c r="CE43" i="4"/>
  <c r="CH62" i="4"/>
  <c r="EN41" i="4"/>
  <c r="CT69" i="4"/>
  <c r="CQ59" i="4"/>
  <c r="CV56" i="4"/>
  <c r="CS49" i="4"/>
  <c r="CP32" i="4"/>
  <c r="CG73" i="4"/>
  <c r="DY17" i="4"/>
  <c r="CX41" i="4"/>
  <c r="DH14" i="4"/>
  <c r="DD27" i="4"/>
  <c r="EF27" i="4"/>
  <c r="EC27" i="4"/>
  <c r="DE68" i="4"/>
  <c r="CE40" i="4"/>
  <c r="CK40" i="4"/>
  <c r="CO32" i="4"/>
  <c r="CY32" i="4"/>
  <c r="EH29" i="4"/>
  <c r="CK50" i="4"/>
  <c r="CL43" i="4"/>
  <c r="DW20" i="4"/>
  <c r="DS32" i="4"/>
  <c r="CJ61" i="4"/>
  <c r="EQ41" i="4"/>
  <c r="EI25" i="4"/>
  <c r="DP19" i="4"/>
  <c r="DL42" i="4"/>
  <c r="CH12" i="4"/>
  <c r="CJ14" i="4"/>
  <c r="CH13" i="4"/>
  <c r="CC53" i="4"/>
  <c r="DN11" i="4"/>
  <c r="ED10" i="4"/>
  <c r="DA10" i="4"/>
  <c r="CR10" i="4"/>
  <c r="CB22" i="4"/>
  <c r="CB54" i="4"/>
  <c r="DF51" i="4"/>
  <c r="CF67" i="4"/>
  <c r="EK48" i="4"/>
  <c r="DX28" i="4"/>
  <c r="DZ43" i="4"/>
  <c r="DW56" i="4"/>
  <c r="CB40" i="4"/>
  <c r="CT68" i="4"/>
  <c r="EC36" i="4"/>
  <c r="EL18" i="4"/>
  <c r="EJ21" i="4"/>
  <c r="DC14" i="4"/>
  <c r="CT63" i="4"/>
  <c r="EI58" i="4"/>
  <c r="DB31" i="4"/>
  <c r="EB53" i="4"/>
  <c r="DM22" i="4"/>
  <c r="DT50" i="4"/>
  <c r="DB65" i="4"/>
  <c r="DM45" i="4"/>
  <c r="DJ43" i="4"/>
  <c r="CZ76" i="4"/>
  <c r="DB46" i="4"/>
  <c r="DA33" i="4"/>
  <c r="EP21" i="4"/>
  <c r="EM20" i="4"/>
  <c r="EJ17" i="4"/>
  <c r="EO27" i="4"/>
  <c r="CN31" i="4"/>
  <c r="CN55" i="4"/>
  <c r="CP65" i="4"/>
  <c r="EL51" i="4"/>
  <c r="CP27" i="4"/>
  <c r="DS69" i="4"/>
  <c r="DG78" i="4"/>
  <c r="ED19" i="4"/>
  <c r="CU19" i="4"/>
  <c r="DJ74" i="4"/>
  <c r="EQ45" i="4"/>
  <c r="ER43" i="4"/>
  <c r="DR20" i="4"/>
  <c r="CB79" i="4"/>
  <c r="CU68" i="4"/>
  <c r="EB31" i="4"/>
  <c r="DU69" i="4"/>
  <c r="CH10" i="4"/>
  <c r="CJ64" i="4"/>
  <c r="EE75" i="4"/>
  <c r="CG64" i="4"/>
  <c r="CV63" i="4"/>
  <c r="EQ15" i="4"/>
  <c r="EA12" i="4"/>
  <c r="CR53" i="4"/>
  <c r="CK27" i="4"/>
  <c r="CN70" i="4"/>
  <c r="CB70" i="4"/>
  <c r="DC13" i="4"/>
  <c r="CW66" i="4"/>
  <c r="CU38" i="4"/>
  <c r="CM31" i="4"/>
  <c r="DW55" i="4"/>
  <c r="CB51" i="4"/>
  <c r="EE11" i="4"/>
  <c r="CG27" i="4"/>
  <c r="DM37" i="4"/>
  <c r="EK69" i="4"/>
  <c r="DS17" i="4"/>
  <c r="EJ36" i="4"/>
  <c r="EB38" i="4"/>
  <c r="CT39" i="4"/>
  <c r="ED69" i="4"/>
  <c r="DX52" i="4"/>
  <c r="DZ24" i="4"/>
  <c r="CX70" i="4"/>
  <c r="CI47" i="4"/>
  <c r="DR56" i="4"/>
  <c r="DV73" i="4"/>
  <c r="CY14" i="4"/>
  <c r="DB56" i="4"/>
  <c r="DC75" i="4"/>
  <c r="CS21" i="4"/>
  <c r="EO65" i="4"/>
  <c r="CH75" i="4"/>
  <c r="EI77" i="4"/>
  <c r="CN12" i="4"/>
  <c r="CS67" i="4"/>
  <c r="DD45" i="4"/>
  <c r="EP36" i="4"/>
  <c r="CR15" i="4"/>
  <c r="DJ22" i="4"/>
  <c r="DN57" i="4"/>
  <c r="EE57" i="4"/>
  <c r="CH64" i="4"/>
  <c r="DR36" i="4"/>
  <c r="CJ44" i="4"/>
  <c r="CR20" i="4"/>
  <c r="EH61" i="4"/>
  <c r="DY27" i="4"/>
  <c r="DU26" i="4"/>
  <c r="DU31" i="4"/>
  <c r="EP59" i="4"/>
  <c r="EL57" i="4"/>
  <c r="DZ13" i="4"/>
  <c r="DC27" i="4"/>
  <c r="DB35" i="4"/>
  <c r="DP41" i="4"/>
  <c r="EI43" i="4"/>
  <c r="DT46" i="4"/>
  <c r="DN31" i="4"/>
  <c r="ER39" i="4"/>
  <c r="DO14" i="4"/>
  <c r="DT43" i="4"/>
  <c r="CE51" i="4"/>
  <c r="DL29" i="4"/>
  <c r="DF55" i="4"/>
  <c r="DD20" i="4"/>
  <c r="CJ79" i="4"/>
  <c r="DL30" i="4"/>
  <c r="CX71" i="4"/>
  <c r="CX65" i="4"/>
  <c r="CE33" i="4"/>
  <c r="CH48" i="4"/>
  <c r="EP50" i="4"/>
  <c r="EA29" i="4"/>
  <c r="DB61" i="4"/>
  <c r="DD24" i="4"/>
  <c r="EQ28" i="4"/>
  <c r="CE53" i="4"/>
  <c r="DU50" i="4"/>
  <c r="CX47" i="4"/>
  <c r="DL21" i="4"/>
  <c r="DV74" i="4"/>
  <c r="CI55" i="4"/>
  <c r="DK61" i="4"/>
  <c r="EJ72" i="4"/>
  <c r="EO54" i="4"/>
  <c r="DP16" i="4"/>
  <c r="CF25" i="4"/>
  <c r="DS79" i="4"/>
  <c r="EP19" i="4"/>
  <c r="CC23" i="4"/>
  <c r="DN38" i="4"/>
  <c r="DT52" i="4"/>
  <c r="CV67" i="4"/>
  <c r="CP26" i="4"/>
  <c r="CL39" i="4"/>
  <c r="CP69" i="4"/>
  <c r="DX14" i="4"/>
  <c r="DC17" i="4"/>
  <c r="CZ46" i="4"/>
  <c r="EQ42" i="4"/>
  <c r="DK30" i="4"/>
  <c r="DQ46" i="4"/>
  <c r="DZ48" i="4"/>
  <c r="CZ15" i="4"/>
  <c r="DE50" i="4"/>
  <c r="EH28" i="4"/>
  <c r="CL74" i="4"/>
  <c r="DS20" i="4"/>
  <c r="CX23" i="4"/>
  <c r="DR17" i="4"/>
  <c r="EB51" i="4"/>
  <c r="CP70" i="4"/>
  <c r="EA78" i="4"/>
  <c r="DI57" i="4"/>
  <c r="DW66" i="4"/>
  <c r="DP65" i="4"/>
  <c r="EO33" i="4"/>
  <c r="DX71" i="4"/>
  <c r="DU18" i="4"/>
  <c r="DE22" i="4"/>
  <c r="DV12" i="4"/>
  <c r="DT45" i="4"/>
  <c r="DS61" i="4"/>
  <c r="EA54" i="4"/>
  <c r="CK74" i="4"/>
  <c r="CB19" i="4"/>
  <c r="CL75" i="4"/>
  <c r="DG35" i="4"/>
  <c r="EE55" i="4"/>
  <c r="EC45" i="4"/>
  <c r="CI76" i="4"/>
  <c r="DU38" i="4"/>
  <c r="CJ78" i="4"/>
  <c r="DP39" i="4"/>
  <c r="CG74" i="4"/>
  <c r="DV65" i="4"/>
  <c r="EP67" i="4"/>
  <c r="DH38" i="4"/>
  <c r="CO22" i="4"/>
  <c r="CI54" i="4"/>
  <c r="EG47" i="4"/>
  <c r="ED16" i="4"/>
  <c r="EE41" i="4"/>
  <c r="DC41" i="4"/>
  <c r="ER74" i="4"/>
  <c r="DN65" i="4"/>
  <c r="EO79" i="4"/>
  <c r="EI79" i="4"/>
  <c r="DQ76" i="4"/>
  <c r="CR46" i="4"/>
  <c r="EB15" i="4"/>
  <c r="CE66" i="4"/>
  <c r="DP11" i="4"/>
  <c r="ED62" i="4"/>
  <c r="DB63" i="4"/>
  <c r="CD72" i="4"/>
  <c r="CD31" i="4"/>
  <c r="ED54" i="4"/>
  <c r="CD54" i="4"/>
  <c r="EA13" i="4"/>
  <c r="DK74" i="4"/>
  <c r="EH74" i="4"/>
  <c r="CY65" i="4"/>
  <c r="DL43" i="4"/>
  <c r="DF71" i="4"/>
  <c r="DD41" i="4"/>
  <c r="EC14" i="4"/>
  <c r="ER66" i="4"/>
  <c r="CF51" i="4"/>
  <c r="EF11" i="4"/>
  <c r="CR61" i="4"/>
  <c r="DF79" i="4"/>
  <c r="DE62" i="4"/>
  <c r="EO72" i="4"/>
  <c r="CG48" i="4"/>
  <c r="CQ36" i="4"/>
  <c r="DK36" i="4"/>
  <c r="EM26" i="4"/>
  <c r="DZ31" i="4"/>
  <c r="CL33" i="4"/>
  <c r="EH23" i="4"/>
  <c r="CB13" i="4"/>
  <c r="CY12" i="4"/>
  <c r="EF41" i="4"/>
  <c r="EJ41" i="4"/>
  <c r="DR14" i="4"/>
  <c r="EI74" i="4"/>
  <c r="DN55" i="4"/>
  <c r="CV27" i="4"/>
  <c r="DX27" i="4"/>
  <c r="DL48" i="4"/>
  <c r="DU37" i="4"/>
  <c r="DK18" i="4"/>
  <c r="DD17" i="4"/>
  <c r="EF17" i="4"/>
  <c r="DE31" i="4"/>
  <c r="CQ24" i="4"/>
  <c r="DR24" i="4"/>
  <c r="CP47" i="4"/>
  <c r="EL60" i="4"/>
  <c r="CC21" i="4"/>
  <c r="CB67" i="4"/>
  <c r="DW11" i="4"/>
  <c r="CB38" i="4"/>
  <c r="DY78" i="4"/>
  <c r="DE25" i="4"/>
  <c r="ED68" i="4"/>
  <c r="CX20" i="4"/>
  <c r="EL33" i="4"/>
  <c r="DH65" i="4"/>
  <c r="DX25" i="4"/>
  <c r="CH20" i="4"/>
  <c r="DW79" i="4"/>
  <c r="CX76" i="4"/>
  <c r="EE63" i="4"/>
  <c r="DZ37" i="4"/>
  <c r="CN69" i="4"/>
  <c r="CY24" i="4"/>
  <c r="CW15" i="4"/>
  <c r="CT21" i="4"/>
  <c r="EB71" i="4"/>
  <c r="CD74" i="4"/>
  <c r="DA55" i="4"/>
  <c r="CV65" i="4"/>
  <c r="EQ51" i="4"/>
  <c r="DB17" i="4"/>
  <c r="CE27" i="4"/>
  <c r="DQ13" i="4"/>
  <c r="DY79" i="4"/>
  <c r="DA76" i="4"/>
  <c r="CO48" i="4"/>
  <c r="CB39" i="4"/>
  <c r="CI24" i="4"/>
  <c r="DP71" i="4"/>
  <c r="CF28" i="4"/>
  <c r="DZ74" i="4"/>
  <c r="CS65" i="4"/>
  <c r="CP66" i="4"/>
  <c r="DH11" i="4"/>
  <c r="CI61" i="4"/>
  <c r="DW63" i="4"/>
  <c r="EP78" i="4"/>
  <c r="EA21" i="4"/>
  <c r="EC21" i="4"/>
  <c r="EJ67" i="4"/>
  <c r="CF66" i="4"/>
  <c r="DE20" i="4"/>
  <c r="CF76" i="4"/>
  <c r="DM68" i="4"/>
  <c r="CF38" i="4"/>
  <c r="CK33" i="4"/>
  <c r="DY15" i="4"/>
  <c r="CW54" i="4"/>
  <c r="CU16" i="4"/>
  <c r="DK14" i="4"/>
  <c r="EA28" i="4"/>
  <c r="DP66" i="4"/>
  <c r="CX45" i="4"/>
  <c r="DQ25" i="4"/>
  <c r="DL61" i="4"/>
  <c r="CV61" i="4"/>
  <c r="CB62" i="4"/>
  <c r="DQ27" i="4"/>
  <c r="DN72" i="4"/>
  <c r="EQ58" i="4"/>
  <c r="CV48" i="4"/>
  <c r="DA38" i="4"/>
  <c r="CM78" i="4"/>
  <c r="EQ53" i="4"/>
  <c r="DW52" i="4"/>
  <c r="EO22" i="4"/>
  <c r="DN19" i="4"/>
  <c r="CH54" i="4"/>
  <c r="EI50" i="4"/>
  <c r="CR50" i="4"/>
  <c r="CN42" i="4"/>
  <c r="CG57" i="4"/>
  <c r="DD78" i="4"/>
  <c r="CS10" i="4"/>
  <c r="DH77" i="4"/>
  <c r="DE23" i="4"/>
  <c r="EF20" i="4"/>
  <c r="EG76" i="4"/>
  <c r="EM70" i="4"/>
  <c r="CO34" i="4"/>
  <c r="DB68" i="4"/>
  <c r="DO57" i="4"/>
  <c r="CJ10" i="4"/>
  <c r="DL32" i="4"/>
  <c r="EN32" i="4"/>
  <c r="DX35" i="4"/>
  <c r="DJ34" i="4"/>
  <c r="DW50" i="4"/>
  <c r="CF75" i="4"/>
  <c r="CO44" i="4"/>
  <c r="DS75" i="4"/>
  <c r="DK70" i="4"/>
  <c r="CZ54" i="4"/>
  <c r="DB28" i="4"/>
  <c r="EO55" i="4"/>
  <c r="DP67" i="4"/>
  <c r="CR17" i="4"/>
  <c r="DL27" i="4"/>
  <c r="EN27" i="4"/>
  <c r="CG63" i="4"/>
  <c r="CY72" i="4"/>
  <c r="EP48" i="4"/>
  <c r="CW48" i="4"/>
  <c r="EF36" i="4"/>
  <c r="DG26" i="4"/>
  <c r="ER37" i="4"/>
  <c r="EN24" i="4"/>
  <c r="DN15" i="4"/>
  <c r="DY56" i="4"/>
  <c r="DV10" i="4"/>
  <c r="CJ24" i="4"/>
  <c r="CN57" i="4"/>
  <c r="CB23" i="4"/>
  <c r="CL55" i="4"/>
  <c r="CK46" i="4"/>
  <c r="DJ56" i="4"/>
  <c r="CO73" i="4"/>
  <c r="DR73" i="4"/>
  <c r="EQ57" i="4"/>
  <c r="DB75" i="4"/>
  <c r="CD71" i="4"/>
  <c r="CE74" i="4"/>
  <c r="DU72" i="4"/>
  <c r="CD59" i="4"/>
  <c r="DU44" i="4"/>
  <c r="CK77" i="4"/>
  <c r="DR59" i="4"/>
  <c r="DD57" i="4"/>
  <c r="CP49" i="4"/>
  <c r="EJ38" i="4"/>
  <c r="CU78" i="4"/>
  <c r="DW42" i="4"/>
  <c r="CW10" i="4"/>
  <c r="EA77" i="4"/>
  <c r="CP75" i="4"/>
  <c r="CT35" i="4"/>
  <c r="EJ65" i="4"/>
  <c r="DT31" i="4"/>
  <c r="EG18" i="4"/>
  <c r="EL54" i="4"/>
  <c r="EL24" i="4"/>
  <c r="DS70" i="4"/>
  <c r="CU70" i="4"/>
  <c r="CS44" i="4"/>
  <c r="CN73" i="4"/>
  <c r="EG49" i="4"/>
  <c r="EL47" i="4"/>
  <c r="ER54" i="4"/>
  <c r="DB59" i="4"/>
  <c r="EK73" i="4"/>
  <c r="CV42" i="4"/>
  <c r="DS57" i="4"/>
  <c r="DD75" i="4"/>
  <c r="EI75" i="4"/>
  <c r="DI19" i="4"/>
  <c r="EL25" i="4"/>
  <c r="EC38" i="4"/>
  <c r="DM21" i="4"/>
  <c r="EM29" i="4"/>
  <c r="ED66" i="4"/>
  <c r="CM76" i="4"/>
  <c r="CS17" i="4"/>
  <c r="DV34" i="4"/>
  <c r="DW24" i="4"/>
  <c r="DJ15" i="4"/>
  <c r="CH56" i="4"/>
  <c r="CB77" i="4"/>
  <c r="CJ29" i="4"/>
  <c r="DK13" i="4"/>
  <c r="DM28" i="4"/>
  <c r="DY25" i="4"/>
  <c r="CV62" i="4"/>
  <c r="CL18" i="4"/>
  <c r="EC22" i="4"/>
  <c r="CJ50" i="4"/>
  <c r="CM56" i="4"/>
  <c r="DJ75" i="4"/>
  <c r="DK35" i="4"/>
  <c r="DF67" i="4"/>
  <c r="CR76" i="4"/>
  <c r="DO69" i="4"/>
  <c r="ER53" i="4"/>
  <c r="CD41" i="4"/>
  <c r="CU51" i="4"/>
  <c r="EO44" i="4"/>
  <c r="CQ40" i="4"/>
  <c r="CC44" i="4"/>
  <c r="EG14" i="4"/>
  <c r="EA47" i="4"/>
  <c r="DR48" i="4"/>
  <c r="EJ39" i="4"/>
  <c r="DZ22" i="4"/>
  <c r="CU37" i="4"/>
  <c r="CQ60" i="4"/>
  <c r="CO16" i="4"/>
  <c r="CC72" i="4"/>
  <c r="EA48" i="4"/>
  <c r="EG26" i="4"/>
  <c r="EK52" i="4"/>
  <c r="DR70" i="4"/>
  <c r="EB44" i="4"/>
  <c r="EF60" i="4"/>
  <c r="CO49" i="4"/>
  <c r="ED75" i="4"/>
  <c r="EH59" i="4"/>
  <c r="EG56" i="4"/>
  <c r="EJ20" i="4"/>
  <c r="CZ68" i="4"/>
  <c r="DY33" i="4"/>
  <c r="DI70" i="4"/>
  <c r="EM60" i="4"/>
  <c r="DJ52" i="4"/>
  <c r="CQ50" i="4"/>
  <c r="CU56" i="4"/>
  <c r="EE42" i="4"/>
  <c r="EF57" i="4"/>
  <c r="EM10" i="4"/>
  <c r="DN77" i="4"/>
  <c r="DX75" i="4"/>
  <c r="CV75" i="4"/>
  <c r="EI31" i="4"/>
  <c r="DO54" i="4"/>
  <c r="DU49" i="4"/>
  <c r="DQ43" i="4"/>
  <c r="DA26" i="4"/>
  <c r="DY44" i="4"/>
  <c r="DS60" i="4"/>
  <c r="DZ59" i="4"/>
  <c r="DO73" i="4"/>
  <c r="DT40" i="4"/>
  <c r="DF60" i="4"/>
  <c r="DM77" i="4"/>
  <c r="CO35" i="4"/>
  <c r="DT67" i="4"/>
  <c r="CY22" i="4"/>
  <c r="DB42" i="4"/>
  <c r="DQ16" i="4"/>
  <c r="CZ29" i="4"/>
  <c r="DQ35" i="4"/>
  <c r="CY23" i="4"/>
  <c r="DH28" i="4"/>
  <c r="CC55" i="4"/>
  <c r="DW51" i="4"/>
  <c r="CE61" i="4"/>
  <c r="DB79" i="4"/>
  <c r="DV62" i="4"/>
  <c r="DY72" i="4"/>
  <c r="CE50" i="4"/>
  <c r="CF59" i="4"/>
  <c r="CC73" i="4"/>
  <c r="EP10" i="4"/>
  <c r="EH32" i="4"/>
  <c r="CG56" i="4"/>
  <c r="DN42" i="4"/>
  <c r="CE75" i="4"/>
  <c r="ER71" i="4"/>
  <c r="EM41" i="4"/>
  <c r="DA67" i="4"/>
  <c r="CW25" i="4"/>
  <c r="DN62" i="4"/>
  <c r="EP58" i="4"/>
  <c r="DG31" i="4"/>
  <c r="EA37" i="4"/>
  <c r="CY42" i="4"/>
  <c r="CB72" i="4"/>
  <c r="CZ55" i="4"/>
  <c r="DT42" i="4"/>
  <c r="CE49" i="4"/>
  <c r="EQ13" i="4"/>
  <c r="CW74" i="4"/>
  <c r="DP70" i="4"/>
  <c r="EI35" i="4"/>
  <c r="DD12" i="4"/>
  <c r="CP76" i="4"/>
  <c r="DI22" i="4"/>
  <c r="EH26" i="4"/>
  <c r="DW54" i="4"/>
  <c r="EP22" i="4"/>
  <c r="DG49" i="4"/>
  <c r="CU13" i="4"/>
  <c r="DI55" i="4"/>
  <c r="DR55" i="4"/>
  <c r="DC78" i="4"/>
  <c r="CQ70" i="4"/>
  <c r="DI72" i="4"/>
  <c r="CE46" i="4"/>
  <c r="CQ29" i="4"/>
  <c r="EN17" i="4"/>
  <c r="DH31" i="4"/>
  <c r="CX22" i="4"/>
  <c r="CT60" i="4"/>
  <c r="EB40" i="4"/>
  <c r="CO21" i="4"/>
  <c r="EF16" i="4"/>
  <c r="DE33" i="4"/>
  <c r="CQ68" i="4"/>
  <c r="CO37" i="4"/>
  <c r="DP35" i="4"/>
  <c r="DT66" i="4"/>
  <c r="DN26" i="4"/>
  <c r="EC55" i="4"/>
  <c r="DB11" i="4"/>
  <c r="EK16" i="4"/>
  <c r="CW61" i="4"/>
  <c r="DH52" i="4"/>
  <c r="CK21" i="4"/>
  <c r="DJ12" i="4"/>
  <c r="EO58" i="4"/>
  <c r="EM68" i="4"/>
  <c r="DK23" i="4"/>
  <c r="CJ34" i="4"/>
  <c r="DH29" i="4"/>
  <c r="CD43" i="4"/>
  <c r="ER34" i="4"/>
  <c r="DX63" i="4"/>
  <c r="CL68" i="4"/>
  <c r="CS58" i="4"/>
  <c r="CM39" i="4"/>
  <c r="CP78" i="4"/>
  <c r="CS53" i="4"/>
  <c r="EJ52" i="4"/>
  <c r="DS24" i="4"/>
  <c r="DG33" i="4"/>
  <c r="CQ22" i="4"/>
  <c r="DO19" i="4"/>
  <c r="EE30" i="4"/>
  <c r="EN55" i="4"/>
  <c r="CI45" i="4"/>
  <c r="CN25" i="4"/>
  <c r="EC61" i="4"/>
  <c r="DV79" i="4"/>
  <c r="DN76" i="4"/>
  <c r="CR63" i="4"/>
  <c r="CY46" i="4"/>
  <c r="DM38" i="4"/>
  <c r="EJ18" i="4"/>
  <c r="CY69" i="4"/>
  <c r="CH78" i="4"/>
  <c r="EB52" i="4"/>
  <c r="DM50" i="4"/>
  <c r="DO13" i="4"/>
  <c r="CZ41" i="4"/>
  <c r="DH55" i="4"/>
  <c r="DA20" i="4"/>
  <c r="DM20" i="4"/>
  <c r="CS34" i="4"/>
  <c r="DD46" i="4"/>
  <c r="DQ48" i="4"/>
  <c r="DF36" i="4"/>
  <c r="CO26" i="4"/>
  <c r="DK26" i="4"/>
  <c r="CX38" i="4"/>
  <c r="CX24" i="4"/>
  <c r="DP21" i="4"/>
  <c r="DL71" i="4"/>
  <c r="DK41" i="4"/>
  <c r="CE67" i="4"/>
  <c r="CH51" i="4"/>
  <c r="DF11" i="4"/>
  <c r="CV20" i="4"/>
  <c r="EL61" i="4"/>
  <c r="DK79" i="4"/>
  <c r="CM63" i="4"/>
  <c r="DG72" i="4"/>
  <c r="EN26" i="4"/>
  <c r="DL69" i="4"/>
  <c r="DG16" i="4"/>
  <c r="EA16" i="4"/>
  <c r="CZ30" i="4"/>
  <c r="EA35" i="4"/>
  <c r="DD71" i="4"/>
  <c r="DH71" i="4"/>
  <c r="EJ28" i="4"/>
  <c r="CQ74" i="4"/>
  <c r="EC51" i="4"/>
  <c r="DG20" i="4"/>
  <c r="DA62" i="4"/>
  <c r="EC62" i="4"/>
  <c r="CW63" i="4"/>
  <c r="DQ39" i="4"/>
  <c r="DX69" i="4"/>
  <c r="CM33" i="4"/>
  <c r="EC15" i="4"/>
  <c r="CS71" i="4"/>
  <c r="CO74" i="4"/>
  <c r="DS25" i="4"/>
  <c r="EE51" i="4"/>
  <c r="CQ11" i="4"/>
  <c r="DK11" i="4"/>
  <c r="DQ20" i="4"/>
  <c r="DT20" i="4"/>
  <c r="DN61" i="4"/>
  <c r="CQ61" i="4"/>
  <c r="CV79" i="4"/>
  <c r="CD79" i="4"/>
  <c r="DJ27" i="4"/>
  <c r="DW34" i="4"/>
  <c r="CD63" i="4"/>
  <c r="DW64" i="4"/>
  <c r="DW27" i="4"/>
  <c r="DW10" i="4"/>
  <c r="DZ42" i="4"/>
  <c r="CK60" i="4"/>
  <c r="DK56" i="4"/>
  <c r="DE48" i="4"/>
  <c r="DX32" i="4"/>
  <c r="CE79" i="4"/>
  <c r="DK77" i="4"/>
  <c r="CQ13" i="4"/>
  <c r="DK27" i="4"/>
  <c r="DV29" i="4"/>
  <c r="DA46" i="4"/>
  <c r="EQ12" i="4"/>
  <c r="EB28" i="4"/>
  <c r="CW55" i="4"/>
  <c r="EA65" i="4"/>
  <c r="ED25" i="4"/>
  <c r="CZ26" i="4"/>
  <c r="CT31" i="4"/>
  <c r="DI76" i="4"/>
  <c r="CY15" i="4"/>
  <c r="DD47" i="4"/>
  <c r="DE66" i="4"/>
  <c r="DN20" i="4"/>
  <c r="EJ78" i="4"/>
  <c r="DV23" i="4"/>
  <c r="EL28" i="4"/>
  <c r="CI43" i="4"/>
  <c r="DD61" i="4"/>
  <c r="DQ79" i="4"/>
  <c r="DS68" i="4"/>
  <c r="EG20" i="4"/>
  <c r="DH26" i="4"/>
  <c r="CJ16" i="4"/>
  <c r="EI20" i="4"/>
  <c r="DE54" i="4"/>
  <c r="DE12" i="4"/>
  <c r="DH44" i="4"/>
  <c r="DL14" i="4"/>
  <c r="DS15" i="4"/>
  <c r="DY32" i="4"/>
  <c r="EE46" i="4"/>
  <c r="DB23" i="4"/>
  <c r="CD45" i="4"/>
  <c r="EG17" i="4"/>
  <c r="EA26" i="4"/>
  <c r="DA31" i="4"/>
  <c r="ER69" i="4"/>
  <c r="DX41" i="4"/>
  <c r="CI28" i="4"/>
  <c r="EM62" i="4"/>
  <c r="DM76" i="4"/>
  <c r="DA34" i="4"/>
  <c r="DW48" i="4"/>
  <c r="EQ30" i="4"/>
  <c r="CJ35" i="4"/>
  <c r="EK61" i="4"/>
  <c r="DE76" i="4"/>
  <c r="CG69" i="4"/>
  <c r="CK78" i="4"/>
  <c r="CH21" i="4"/>
  <c r="EK41" i="4"/>
  <c r="CQ14" i="4"/>
  <c r="EA46" i="4"/>
  <c r="DH72" i="4"/>
  <c r="DA72" i="4"/>
  <c r="CS68" i="4"/>
  <c r="CZ58" i="4"/>
  <c r="DT58" i="4"/>
  <c r="CE36" i="4"/>
  <c r="CJ26" i="4"/>
  <c r="DV38" i="4"/>
  <c r="EE39" i="4"/>
  <c r="EQ69" i="4"/>
  <c r="CL15" i="4"/>
  <c r="CV22" i="4"/>
  <c r="EQ19" i="4"/>
  <c r="DY70" i="4"/>
  <c r="DS47" i="4"/>
  <c r="DF44" i="4"/>
  <c r="DZ73" i="4"/>
  <c r="DZ49" i="4"/>
  <c r="DB78" i="4"/>
  <c r="DC30" i="4"/>
  <c r="CW13" i="4"/>
  <c r="DN28" i="4"/>
  <c r="CO55" i="4"/>
  <c r="CU27" i="4"/>
  <c r="EL39" i="4"/>
  <c r="CG18" i="4"/>
  <c r="ER52" i="4"/>
  <c r="DO70" i="4"/>
  <c r="DR47" i="4"/>
  <c r="DD64" i="4"/>
  <c r="EA59" i="4"/>
  <c r="EA40" i="4"/>
  <c r="DU15" i="4"/>
  <c r="DE42" i="4"/>
  <c r="CU21" i="4"/>
  <c r="CM16" i="4"/>
  <c r="DT29" i="4"/>
  <c r="EL30" i="4"/>
  <c r="EP23" i="4"/>
  <c r="EF13" i="4"/>
  <c r="CJ45" i="4"/>
  <c r="CT34" i="4"/>
  <c r="EM47" i="4"/>
  <c r="CF42" i="4"/>
  <c r="DL49" i="4"/>
  <c r="EH64" i="4"/>
  <c r="CR49" i="4"/>
  <c r="DV33" i="4"/>
  <c r="CW22" i="4"/>
  <c r="DQ21" i="4"/>
  <c r="DG21" i="4"/>
  <c r="CI30" i="4"/>
  <c r="ER55" i="4"/>
  <c r="CL67" i="4"/>
  <c r="EH45" i="4"/>
  <c r="DH20" i="4"/>
  <c r="CC61" i="4"/>
  <c r="CZ79" i="4"/>
  <c r="CQ17" i="4"/>
  <c r="DM27" i="4"/>
  <c r="DQ34" i="4"/>
  <c r="DX34" i="4"/>
  <c r="EC46" i="4"/>
  <c r="EA72" i="4"/>
  <c r="DP68" i="4"/>
  <c r="EC58" i="4"/>
  <c r="EI26" i="4"/>
  <c r="DW38" i="4"/>
  <c r="DJ18" i="4"/>
  <c r="CQ47" i="4"/>
  <c r="DC60" i="4"/>
  <c r="CB32" i="4"/>
  <c r="DZ30" i="4"/>
  <c r="EP71" i="4"/>
  <c r="CY67" i="4"/>
  <c r="CW45" i="4"/>
  <c r="CU25" i="4"/>
  <c r="DY20" i="4"/>
  <c r="CL79" i="4"/>
  <c r="ER58" i="4"/>
  <c r="EA22" i="4"/>
  <c r="CU54" i="4"/>
  <c r="CL50" i="4"/>
  <c r="CO56" i="4"/>
  <c r="CR16" i="4"/>
  <c r="CW79" i="4"/>
  <c r="DJ38" i="4"/>
  <c r="EL56" i="4"/>
  <c r="DS64" i="4"/>
  <c r="CX49" i="4"/>
  <c r="DK64" i="4"/>
  <c r="DL15" i="4"/>
  <c r="CL77" i="4"/>
  <c r="CZ47" i="4"/>
  <c r="EJ73" i="4"/>
  <c r="DN40" i="4"/>
  <c r="DE77" i="4"/>
  <c r="DH75" i="4"/>
  <c r="CP48" i="4"/>
  <c r="EK57" i="4"/>
  <c r="DY57" i="4"/>
  <c r="DP10" i="4"/>
  <c r="ER75" i="4"/>
  <c r="EG60" i="4"/>
  <c r="CD57" i="4"/>
  <c r="DL23" i="4"/>
  <c r="CM36" i="4"/>
  <c r="DG77" i="4"/>
  <c r="DA28" i="4"/>
  <c r="DI31" i="4"/>
  <c r="CN18" i="4"/>
  <c r="CR21" i="4"/>
  <c r="ED14" i="4"/>
  <c r="DY21" i="4"/>
  <c r="DE30" i="4"/>
  <c r="CP58" i="4"/>
  <c r="CK34" i="4"/>
  <c r="DX57" i="4"/>
  <c r="DZ57" i="4"/>
  <c r="DY16" i="4"/>
  <c r="EL41" i="4"/>
  <c r="DQ65" i="4"/>
  <c r="CM51" i="4"/>
  <c r="EM11" i="4"/>
  <c r="CG11" i="4"/>
  <c r="CD62" i="4"/>
  <c r="DZ54" i="4"/>
  <c r="CD70" i="4"/>
  <c r="EI13" i="4"/>
  <c r="EL74" i="4"/>
  <c r="DI65" i="4"/>
  <c r="DK20" i="4"/>
  <c r="CT79" i="4"/>
  <c r="CP17" i="4"/>
  <c r="CR34" i="4"/>
  <c r="CJ72" i="4"/>
  <c r="DS58" i="4"/>
  <c r="CE31" i="4"/>
  <c r="EG78" i="4"/>
  <c r="CY53" i="4"/>
  <c r="CI22" i="4"/>
  <c r="EM54" i="4"/>
  <c r="DN16" i="4"/>
  <c r="EH16" i="4"/>
  <c r="CP29" i="4"/>
  <c r="CE35" i="4"/>
  <c r="EE13" i="4"/>
  <c r="CF13" i="4"/>
  <c r="DR41" i="4"/>
  <c r="CQ28" i="4"/>
  <c r="ED74" i="4"/>
  <c r="DD65" i="4"/>
  <c r="DJ65" i="4"/>
  <c r="CL11" i="4"/>
  <c r="DF63" i="4"/>
  <c r="DU29" i="4"/>
  <c r="CR12" i="4"/>
  <c r="EC65" i="4"/>
  <c r="EQ66" i="4"/>
  <c r="EM34" i="4"/>
  <c r="CZ72" i="4"/>
  <c r="EN71" i="4"/>
  <c r="EF12" i="4"/>
  <c r="CB74" i="4"/>
  <c r="CR79" i="4"/>
  <c r="DG76" i="4"/>
  <c r="DB24" i="4"/>
  <c r="EL22" i="4"/>
  <c r="EK21" i="4"/>
  <c r="EJ16" i="4"/>
  <c r="CR29" i="4"/>
  <c r="DJ29" i="4"/>
  <c r="ED23" i="4"/>
  <c r="EA71" i="4"/>
  <c r="EF71" i="4"/>
  <c r="DY13" i="4"/>
  <c r="CI12" i="4"/>
  <c r="DT41" i="4"/>
  <c r="DB14" i="4"/>
  <c r="DO55" i="4"/>
  <c r="DF65" i="4"/>
  <c r="DZ45" i="4"/>
  <c r="DL20" i="4"/>
  <c r="DB20" i="4"/>
  <c r="CT61" i="4"/>
  <c r="CF62" i="4"/>
  <c r="CN72" i="4"/>
  <c r="CG68" i="4"/>
  <c r="DM53" i="4"/>
  <c r="CP33" i="4"/>
  <c r="EI15" i="4"/>
  <c r="DY19" i="4"/>
  <c r="DZ16" i="4"/>
  <c r="CT30" i="4"/>
  <c r="DT12" i="4"/>
  <c r="CV55" i="4"/>
  <c r="EK65" i="4"/>
  <c r="DV45" i="4"/>
  <c r="CS25" i="4"/>
  <c r="DC25" i="4"/>
  <c r="CP51" i="4"/>
  <c r="EP11" i="4"/>
  <c r="DF20" i="4"/>
  <c r="EE79" i="4"/>
  <c r="DV27" i="4"/>
  <c r="DT63" i="4"/>
  <c r="CO31" i="4"/>
  <c r="EF78" i="4"/>
  <c r="EM21" i="4"/>
  <c r="CN35" i="4"/>
  <c r="CV12" i="4"/>
  <c r="CL41" i="4"/>
  <c r="CD65" i="4"/>
  <c r="CL66" i="4"/>
  <c r="DQ61" i="4"/>
  <c r="EE76" i="4"/>
  <c r="CB27" i="4"/>
  <c r="ED34" i="4"/>
  <c r="CH63" i="4"/>
  <c r="CB31" i="4"/>
  <c r="CF31" i="4"/>
  <c r="EK15" i="4"/>
  <c r="CE54" i="4"/>
  <c r="DF70" i="4"/>
  <c r="CY47" i="4"/>
  <c r="CW21" i="4"/>
  <c r="CD29" i="4"/>
  <c r="EM30" i="4"/>
  <c r="DW35" i="4"/>
  <c r="CI13" i="4"/>
  <c r="DF12" i="4"/>
  <c r="CN41" i="4"/>
  <c r="DY14" i="4"/>
  <c r="CP14" i="4"/>
  <c r="EF43" i="4"/>
  <c r="CU11" i="4"/>
  <c r="CF79" i="4"/>
  <c r="CK62" i="4"/>
  <c r="EI76" i="4"/>
  <c r="CB17" i="4"/>
  <c r="EG46" i="4"/>
  <c r="CS36" i="4"/>
  <c r="EO26" i="4"/>
  <c r="DO31" i="4"/>
  <c r="CH18" i="4"/>
  <c r="CB24" i="4"/>
  <c r="EI47" i="4"/>
  <c r="CB47" i="4"/>
  <c r="DB60" i="4"/>
  <c r="CN59" i="4"/>
  <c r="DP73" i="4"/>
  <c r="EL10" i="4"/>
  <c r="CR40" i="4"/>
  <c r="EL64" i="4"/>
  <c r="CY71" i="4"/>
  <c r="CZ12" i="4"/>
  <c r="DS14" i="4"/>
  <c r="CL65" i="4"/>
  <c r="CM11" i="4"/>
  <c r="CM34" i="4"/>
  <c r="CX69" i="4"/>
  <c r="DO75" i="4"/>
  <c r="CQ73" i="4"/>
  <c r="CE64" i="4"/>
  <c r="CW49" i="4"/>
  <c r="EG77" i="4"/>
  <c r="DF77" i="4"/>
  <c r="DI39" i="4"/>
  <c r="CK69" i="4"/>
  <c r="CS50" i="4"/>
  <c r="CJ73" i="4"/>
  <c r="EO29" i="4"/>
  <c r="DU28" i="4"/>
  <c r="EK43" i="4"/>
  <c r="DN51" i="4"/>
  <c r="DG17" i="4"/>
  <c r="CU39" i="4"/>
  <c r="CO60" i="4"/>
  <c r="EO40" i="4"/>
  <c r="CY27" i="4"/>
  <c r="CB68" i="4"/>
  <c r="EP69" i="4"/>
  <c r="EM78" i="4"/>
  <c r="EA15" i="4"/>
  <c r="DM41" i="4"/>
  <c r="DL28" i="4"/>
  <c r="CC67" i="4"/>
  <c r="CD66" i="4"/>
  <c r="CK43" i="4"/>
  <c r="EO51" i="4"/>
  <c r="DZ20" i="4"/>
  <c r="DO63" i="4"/>
  <c r="DU68" i="4"/>
  <c r="CJ31" i="4"/>
  <c r="DR18" i="4"/>
  <c r="DW71" i="4"/>
  <c r="DE41" i="4"/>
  <c r="CE28" i="4"/>
  <c r="DN74" i="4"/>
  <c r="CS55" i="4"/>
  <c r="CB65" i="4"/>
  <c r="CU43" i="4"/>
  <c r="DU43" i="4"/>
  <c r="DM62" i="4"/>
  <c r="CY17" i="4"/>
  <c r="CF63" i="4"/>
  <c r="DI68" i="4"/>
  <c r="DO48" i="4"/>
  <c r="DB18" i="4"/>
  <c r="CH47" i="4"/>
  <c r="EB29" i="4"/>
  <c r="DR30" i="4"/>
  <c r="CE71" i="4"/>
  <c r="DC55" i="4"/>
  <c r="EG65" i="4"/>
  <c r="DS67" i="4"/>
  <c r="DM66" i="4"/>
  <c r="CK45" i="4"/>
  <c r="EM45" i="4"/>
  <c r="EB43" i="4"/>
  <c r="EE25" i="4"/>
  <c r="DC51" i="4"/>
  <c r="CI20" i="4"/>
  <c r="CI79" i="4"/>
  <c r="EE62" i="4"/>
  <c r="DF76" i="4"/>
  <c r="DI34" i="4"/>
  <c r="CL58" i="4"/>
  <c r="DC39" i="4"/>
  <c r="CL53" i="4"/>
  <c r="DP53" i="4"/>
  <c r="CZ33" i="4"/>
  <c r="DG15" i="4"/>
  <c r="CJ22" i="4"/>
  <c r="DL22" i="4"/>
  <c r="DQ56" i="4"/>
  <c r="CU42" i="4"/>
  <c r="DM75" i="4"/>
  <c r="CS40" i="4"/>
  <c r="DE74" i="4"/>
  <c r="CO11" i="4"/>
  <c r="DN46" i="4"/>
  <c r="DQ36" i="4"/>
  <c r="CV38" i="4"/>
  <c r="CZ69" i="4"/>
  <c r="CM53" i="4"/>
  <c r="EO24" i="4"/>
  <c r="DH73" i="4"/>
  <c r="CH40" i="4"/>
  <c r="DR32" i="4"/>
  <c r="CP64" i="4"/>
  <c r="DC49" i="4"/>
  <c r="DR38" i="4"/>
  <c r="CO52" i="4"/>
  <c r="EC70" i="4"/>
  <c r="EH47" i="4"/>
  <c r="CD10" i="4"/>
  <c r="CB44" i="4"/>
  <c r="EI40" i="4"/>
  <c r="DA16" i="4"/>
  <c r="DC35" i="4"/>
  <c r="DD13" i="4"/>
  <c r="DS28" i="4"/>
  <c r="DE17" i="4"/>
  <c r="CH60" i="4"/>
  <c r="EK59" i="4"/>
  <c r="DS59" i="4"/>
  <c r="CF56" i="4"/>
  <c r="EG73" i="4"/>
  <c r="CC42" i="4"/>
  <c r="CU10" i="4"/>
  <c r="CR64" i="4"/>
  <c r="CJ49" i="4"/>
  <c r="CD75" i="4"/>
  <c r="DC21" i="4"/>
  <c r="EL11" i="4"/>
  <c r="CI72" i="4"/>
  <c r="CS37" i="4"/>
  <c r="CT53" i="4"/>
  <c r="CC24" i="4"/>
  <c r="CP54" i="4"/>
  <c r="EJ50" i="4"/>
  <c r="EQ70" i="4"/>
  <c r="DH56" i="4"/>
  <c r="CQ44" i="4"/>
  <c r="EN73" i="4"/>
  <c r="EC57" i="4"/>
  <c r="CZ10" i="4"/>
  <c r="CO64" i="4"/>
  <c r="ER38" i="4"/>
  <c r="DA52" i="4"/>
  <c r="CL44" i="4"/>
  <c r="DO35" i="4"/>
  <c r="DE73" i="4"/>
  <c r="DN59" i="4"/>
  <c r="CC59" i="4"/>
  <c r="DX56" i="4"/>
  <c r="CK44" i="4"/>
  <c r="EM49" i="4"/>
  <c r="EQ49" i="4"/>
  <c r="DO15" i="4"/>
  <c r="DF59" i="4"/>
  <c r="DP57" i="4"/>
  <c r="DT44" i="4"/>
  <c r="DX36" i="4"/>
  <c r="CE37" i="4"/>
  <c r="DJ19" i="4"/>
  <c r="EH44" i="4"/>
  <c r="CG21" i="4"/>
  <c r="DW29" i="4"/>
  <c r="CW30" i="4"/>
  <c r="CE41" i="4"/>
  <c r="CI14" i="4"/>
  <c r="EI28" i="4"/>
  <c r="CD55" i="4"/>
  <c r="DK55" i="4"/>
  <c r="EL66" i="4"/>
  <c r="DH45" i="4"/>
  <c r="CN45" i="4"/>
  <c r="EO43" i="4"/>
  <c r="CF43" i="4"/>
  <c r="EM25" i="4"/>
  <c r="DC11" i="4"/>
  <c r="ER76" i="4"/>
  <c r="CW76" i="4"/>
  <c r="DC34" i="4"/>
  <c r="CO63" i="4"/>
  <c r="EH46" i="4"/>
  <c r="DR72" i="4"/>
  <c r="DH68" i="4"/>
  <c r="DA58" i="4"/>
  <c r="DQ42" i="4"/>
  <c r="CY77" i="4"/>
  <c r="ED35" i="4"/>
  <c r="CV14" i="4"/>
  <c r="CP74" i="4"/>
  <c r="DJ66" i="4"/>
  <c r="DI51" i="4"/>
  <c r="CE20" i="4"/>
  <c r="EK63" i="4"/>
  <c r="EG72" i="4"/>
  <c r="DO58" i="4"/>
  <c r="CZ37" i="4"/>
  <c r="CX78" i="4"/>
  <c r="EG70" i="4"/>
  <c r="EJ40" i="4"/>
  <c r="EK36" i="4"/>
  <c r="EH37" i="4"/>
  <c r="CD53" i="4"/>
  <c r="EA24" i="4"/>
  <c r="CQ19" i="4"/>
  <c r="DT57" i="4"/>
  <c r="DD10" i="4"/>
  <c r="CI32" i="4"/>
  <c r="DC64" i="4"/>
  <c r="EB72" i="4"/>
  <c r="DE37" i="4"/>
  <c r="DL78" i="4"/>
  <c r="CR70" i="4"/>
  <c r="EF56" i="4"/>
  <c r="CV60" i="4"/>
  <c r="CH41" i="4"/>
  <c r="DV66" i="4"/>
  <c r="DN58" i="4"/>
  <c r="CQ37" i="4"/>
  <c r="EH50" i="4"/>
  <c r="EM24" i="4"/>
  <c r="DJ54" i="4"/>
  <c r="EP60" i="4"/>
  <c r="DE59" i="4"/>
  <c r="EN42" i="4"/>
  <c r="CB42" i="4"/>
  <c r="DK10" i="4"/>
  <c r="EM64" i="4"/>
  <c r="CF49" i="4"/>
  <c r="ED26" i="4"/>
  <c r="EQ38" i="4"/>
  <c r="DP60" i="4"/>
  <c r="EM56" i="4"/>
  <c r="CL51" i="4"/>
  <c r="CY61" i="4"/>
  <c r="DF46" i="4"/>
  <c r="EB19" i="4"/>
  <c r="DD32" i="4"/>
  <c r="CZ77" i="4"/>
  <c r="DV60" i="4"/>
  <c r="CR44" i="4"/>
  <c r="CK73" i="4"/>
  <c r="EJ42" i="4"/>
  <c r="EP57" i="4"/>
  <c r="CF32" i="4"/>
  <c r="EO64" i="4"/>
  <c r="CU77" i="4"/>
  <c r="EI49" i="4"/>
  <c r="EC12" i="4"/>
  <c r="DP27" i="4"/>
  <c r="DM26" i="4"/>
  <c r="CW59" i="4"/>
  <c r="EH73" i="4"/>
  <c r="EH49" i="4"/>
  <c r="CH35" i="4"/>
  <c r="DP12" i="4"/>
  <c r="EI14" i="4"/>
  <c r="DV28" i="4"/>
  <c r="DD28" i="4"/>
  <c r="CM55" i="4"/>
  <c r="CR65" i="4"/>
  <c r="CT66" i="4"/>
  <c r="EA25" i="4"/>
  <c r="EO20" i="4"/>
  <c r="CQ20" i="4"/>
  <c r="CS79" i="4"/>
  <c r="DR62" i="4"/>
  <c r="CC17" i="4"/>
  <c r="EM72" i="4"/>
  <c r="EJ48" i="4"/>
  <c r="CQ48" i="4"/>
  <c r="EJ77" i="4"/>
  <c r="CX64" i="4"/>
  <c r="CS77" i="4"/>
  <c r="EG16" i="4"/>
  <c r="CJ13" i="4"/>
  <c r="CH14" i="4"/>
  <c r="DI66" i="4"/>
  <c r="EO62" i="4"/>
  <c r="EO17" i="4"/>
  <c r="DM63" i="4"/>
  <c r="CX37" i="4"/>
  <c r="EN59" i="4"/>
  <c r="DM44" i="4"/>
  <c r="EH40" i="4"/>
  <c r="DH25" i="4"/>
  <c r="DW18" i="4"/>
  <c r="DM39" i="4"/>
  <c r="CV10" i="4"/>
  <c r="DB32" i="4"/>
  <c r="CD30" i="4"/>
  <c r="CS61" i="4"/>
  <c r="CH39" i="4"/>
  <c r="DJ39" i="4"/>
  <c r="EH18" i="4"/>
  <c r="CV69" i="4"/>
  <c r="EL19" i="4"/>
  <c r="CC56" i="4"/>
  <c r="DV44" i="4"/>
  <c r="DV42" i="4"/>
  <c r="DS49" i="4"/>
  <c r="CN16" i="4"/>
  <c r="DO29" i="4"/>
  <c r="EI29" i="4"/>
  <c r="DY30" i="4"/>
  <c r="DG43" i="4"/>
  <c r="CT51" i="4"/>
  <c r="CG62" i="4"/>
  <c r="EA76" i="4"/>
  <c r="CN34" i="4"/>
  <c r="EH63" i="4"/>
  <c r="CZ19" i="4"/>
  <c r="EG54" i="4"/>
  <c r="DL70" i="4"/>
  <c r="DR77" i="4"/>
  <c r="CV64" i="4"/>
  <c r="DT77" i="4"/>
  <c r="CG13" i="4"/>
  <c r="ED41" i="4"/>
  <c r="DL55" i="4"/>
  <c r="DX65" i="4"/>
  <c r="CW67" i="4"/>
  <c r="DS66" i="4"/>
  <c r="EA45" i="4"/>
  <c r="DP25" i="4"/>
  <c r="ED11" i="4"/>
  <c r="EN20" i="4"/>
  <c r="DB27" i="4"/>
  <c r="CF34" i="4"/>
  <c r="DN68" i="4"/>
  <c r="DK48" i="4"/>
  <c r="EM48" i="4"/>
  <c r="DU36" i="4"/>
  <c r="DE26" i="4"/>
  <c r="CZ38" i="4"/>
  <c r="DV39" i="4"/>
  <c r="CE39" i="4"/>
  <c r="EO37" i="4"/>
  <c r="DC18" i="4"/>
  <c r="EE18" i="4"/>
  <c r="CW24" i="4"/>
  <c r="DY24" i="4"/>
  <c r="CR19" i="4"/>
  <c r="CS54" i="4"/>
  <c r="CJ70" i="4"/>
  <c r="CW47" i="4"/>
  <c r="EG59" i="4"/>
  <c r="DR44" i="4"/>
  <c r="ER42" i="4"/>
  <c r="CE57" i="4"/>
  <c r="CS57" i="4"/>
  <c r="DG64" i="4"/>
  <c r="CV49" i="4"/>
  <c r="DH53" i="4"/>
  <c r="DB30" i="4"/>
  <c r="DV30" i="4"/>
  <c r="CL35" i="4"/>
  <c r="DF35" i="4"/>
  <c r="EF23" i="4"/>
  <c r="DZ12" i="4"/>
  <c r="DY67" i="4"/>
  <c r="ER67" i="4"/>
  <c r="CZ66" i="4"/>
  <c r="EL45" i="4"/>
  <c r="EA43" i="4"/>
  <c r="EC11" i="4"/>
  <c r="DU79" i="4"/>
  <c r="DZ62" i="4"/>
  <c r="EQ34" i="4"/>
  <c r="DM58" i="4"/>
  <c r="CK31" i="4"/>
  <c r="DN39" i="4"/>
  <c r="EP39" i="4"/>
  <c r="EG37" i="4"/>
  <c r="EA53" i="4"/>
  <c r="CJ53" i="4"/>
  <c r="DG52" i="4"/>
  <c r="EA52" i="4"/>
  <c r="DQ24" i="4"/>
  <c r="CW33" i="4"/>
  <c r="CJ15" i="4"/>
  <c r="EF22" i="4"/>
  <c r="DM19" i="4"/>
  <c r="EF59" i="4"/>
  <c r="DK59" i="4"/>
  <c r="DI56" i="4"/>
  <c r="CI40" i="4"/>
  <c r="DC32" i="4"/>
  <c r="EE32" i="4"/>
  <c r="DL77" i="4"/>
  <c r="CT74" i="4"/>
  <c r="DO65" i="4"/>
  <c r="EH20" i="4"/>
  <c r="EB10" i="4"/>
  <c r="DV21" i="4"/>
  <c r="CD21" i="4"/>
  <c r="DU16" i="4"/>
  <c r="DR16" i="4"/>
  <c r="CW29" i="4"/>
  <c r="CC29" i="4"/>
  <c r="CM30" i="4"/>
  <c r="DO30" i="4"/>
  <c r="EP35" i="4"/>
  <c r="DQ23" i="4"/>
  <c r="EK23" i="4"/>
  <c r="DS71" i="4"/>
  <c r="DW13" i="4"/>
  <c r="DK12" i="4"/>
  <c r="EM12" i="4"/>
  <c r="DA41" i="4"/>
  <c r="CT14" i="4"/>
  <c r="DZ28" i="4"/>
  <c r="DB55" i="4"/>
  <c r="CG67" i="4"/>
  <c r="CK66" i="4"/>
  <c r="CQ66" i="4"/>
  <c r="EB20" i="4"/>
  <c r="DQ62" i="4"/>
  <c r="DC76" i="4"/>
  <c r="CD76" i="4"/>
  <c r="DO34" i="4"/>
  <c r="EI34" i="4"/>
  <c r="CI46" i="4"/>
  <c r="CC46" i="4"/>
  <c r="CI58" i="4"/>
  <c r="DB48" i="4"/>
  <c r="DV48" i="4"/>
  <c r="CV26" i="4"/>
  <c r="EH38" i="4"/>
  <c r="CQ38" i="4"/>
  <c r="CQ31" i="4"/>
  <c r="DS31" i="4"/>
  <c r="DK37" i="4"/>
  <c r="DH18" i="4"/>
  <c r="DT18" i="4"/>
  <c r="CI69" i="4"/>
  <c r="EH78" i="4"/>
  <c r="CI53" i="4"/>
  <c r="CX52" i="4"/>
  <c r="CG24" i="4"/>
  <c r="DI24" i="4"/>
  <c r="EN33" i="4"/>
  <c r="CI15" i="4"/>
  <c r="DC22" i="4"/>
  <c r="EE22" i="4"/>
  <c r="DB47" i="4"/>
  <c r="CD60" i="4"/>
  <c r="DJ59" i="4"/>
  <c r="DC59" i="4"/>
  <c r="DN56" i="4"/>
  <c r="DO56" i="4"/>
  <c r="DN73" i="4"/>
  <c r="EF40" i="4"/>
  <c r="CI49" i="4"/>
  <c r="CM49" i="4"/>
  <c r="DQ77" i="4"/>
  <c r="DX77" i="4"/>
  <c r="DU75" i="4"/>
  <c r="CQ55" i="4"/>
  <c r="DQ66" i="4"/>
  <c r="CG20" i="4"/>
  <c r="CQ62" i="4"/>
  <c r="CH69" i="4"/>
  <c r="DT47" i="4"/>
  <c r="EN56" i="4"/>
  <c r="CI10" i="4"/>
  <c r="DA49" i="4"/>
  <c r="CH29" i="4"/>
  <c r="DC74" i="4"/>
  <c r="EP74" i="4"/>
  <c r="CG55" i="4"/>
  <c r="EK25" i="4"/>
  <c r="EG51" i="4"/>
  <c r="CC76" i="4"/>
  <c r="EL58" i="4"/>
  <c r="CT48" i="4"/>
  <c r="CN26" i="4"/>
  <c r="DZ38" i="4"/>
  <c r="CH31" i="4"/>
  <c r="CR39" i="4"/>
  <c r="DS39" i="4"/>
  <c r="DX37" i="4"/>
  <c r="DF18" i="4"/>
  <c r="DI78" i="4"/>
  <c r="EI78" i="4"/>
  <c r="DO78" i="4"/>
  <c r="DK53" i="4"/>
  <c r="EM53" i="4"/>
  <c r="CQ52" i="4"/>
  <c r="DK52" i="4"/>
  <c r="EK24" i="4"/>
  <c r="CT24" i="4"/>
  <c r="CF70" i="4"/>
  <c r="CO50" i="4"/>
  <c r="EF50" i="4"/>
  <c r="EK47" i="4"/>
  <c r="CT47" i="4"/>
  <c r="DN60" i="4"/>
  <c r="EI60" i="4"/>
  <c r="CX59" i="4"/>
  <c r="CM59" i="4"/>
  <c r="DF56" i="4"/>
  <c r="CT56" i="4"/>
  <c r="DC40" i="4"/>
  <c r="EE40" i="4"/>
  <c r="DH32" i="4"/>
  <c r="EJ64" i="4"/>
  <c r="CL64" i="4"/>
  <c r="EK49" i="4"/>
  <c r="EA17" i="4"/>
  <c r="EO63" i="4"/>
  <c r="DV31" i="4"/>
  <c r="CN29" i="4"/>
  <c r="DM35" i="4"/>
  <c r="DO23" i="4"/>
  <c r="EQ23" i="4"/>
  <c r="CV71" i="4"/>
  <c r="DG13" i="4"/>
  <c r="CM13" i="4"/>
  <c r="EQ43" i="4"/>
  <c r="CH43" i="4"/>
  <c r="EO25" i="4"/>
  <c r="DY51" i="4"/>
  <c r="DM51" i="4"/>
  <c r="CX11" i="4"/>
  <c r="DZ11" i="4"/>
  <c r="EE20" i="4"/>
  <c r="CP79" i="4"/>
  <c r="CU62" i="4"/>
  <c r="DX62" i="4"/>
  <c r="EL76" i="4"/>
  <c r="CX63" i="4"/>
  <c r="CF46" i="4"/>
  <c r="EE72" i="4"/>
  <c r="DL72" i="4"/>
  <c r="DL68" i="4"/>
  <c r="EA68" i="4"/>
  <c r="CO58" i="4"/>
  <c r="DQ58" i="4"/>
  <c r="CH36" i="4"/>
  <c r="DY31" i="4"/>
  <c r="CQ39" i="4"/>
  <c r="DK39" i="4"/>
  <c r="CR18" i="4"/>
  <c r="DL18" i="4"/>
  <c r="EA69" i="4"/>
  <c r="DD69" i="4"/>
  <c r="DN78" i="4"/>
  <c r="CO53" i="4"/>
  <c r="DQ53" i="4"/>
  <c r="EN52" i="4"/>
  <c r="DO22" i="4"/>
  <c r="EM19" i="4"/>
  <c r="CV19" i="4"/>
  <c r="DG54" i="4"/>
  <c r="CK54" i="4"/>
  <c r="CG50" i="4"/>
  <c r="EC47" i="4"/>
  <c r="CL47" i="4"/>
  <c r="EA60" i="4"/>
  <c r="DH59" i="4"/>
  <c r="EL59" i="4"/>
  <c r="CK56" i="4"/>
  <c r="DD56" i="4"/>
  <c r="ED44" i="4"/>
  <c r="DW73" i="4"/>
  <c r="CE73" i="4"/>
  <c r="DY42" i="4"/>
  <c r="EC42" i="4"/>
  <c r="DE57" i="4"/>
  <c r="CG40" i="4"/>
  <c r="DI40" i="4"/>
  <c r="EC32" i="4"/>
  <c r="CL32" i="4"/>
  <c r="DV32" i="4"/>
  <c r="EN64" i="4"/>
  <c r="EE64" i="4"/>
  <c r="EA49" i="4"/>
  <c r="CS63" i="4"/>
  <c r="CF36" i="4"/>
  <c r="CC16" i="4"/>
  <c r="CW16" i="4"/>
  <c r="DX29" i="4"/>
  <c r="ER29" i="4"/>
  <c r="CS29" i="4"/>
  <c r="EH30" i="4"/>
  <c r="CQ30" i="4"/>
  <c r="DR35" i="4"/>
  <c r="EL35" i="4"/>
  <c r="CS23" i="4"/>
  <c r="DM23" i="4"/>
  <c r="CU71" i="4"/>
  <c r="EP13" i="4"/>
  <c r="CY13" i="4"/>
  <c r="EK12" i="4"/>
  <c r="CT12" i="4"/>
  <c r="DN12" i="4"/>
  <c r="CJ41" i="4"/>
  <c r="DM14" i="4"/>
  <c r="EO14" i="4"/>
  <c r="CF65" i="4"/>
  <c r="DH67" i="4"/>
  <c r="EI67" i="4"/>
  <c r="DR66" i="4"/>
  <c r="CZ45" i="4"/>
  <c r="EB45" i="4"/>
  <c r="CI25" i="4"/>
  <c r="DY76" i="4"/>
  <c r="CW34" i="4"/>
  <c r="DY34" i="4"/>
  <c r="CG36" i="4"/>
  <c r="DI26" i="4"/>
  <c r="EC26" i="4"/>
  <c r="CL26" i="4"/>
  <c r="DX38" i="4"/>
  <c r="DL38" i="4"/>
  <c r="EE31" i="4"/>
  <c r="DC31" i="4"/>
  <c r="CP18" i="4"/>
  <c r="DQ69" i="4"/>
  <c r="CS78" i="4"/>
  <c r="DJ78" i="4"/>
  <c r="EL53" i="4"/>
  <c r="CN52" i="4"/>
  <c r="DN24" i="4"/>
  <c r="EP24" i="4"/>
  <c r="DC19" i="4"/>
  <c r="DC54" i="4"/>
  <c r="CC54" i="4"/>
  <c r="DV70" i="4"/>
  <c r="DC70" i="4"/>
  <c r="ED50" i="4"/>
  <c r="CM50" i="4"/>
  <c r="DO47" i="4"/>
  <c r="CY60" i="4"/>
  <c r="DR60" i="4"/>
  <c r="EN60" i="4"/>
  <c r="DG59" i="4"/>
  <c r="DD42" i="4"/>
  <c r="EH42" i="4"/>
  <c r="DA42" i="4"/>
  <c r="DC57" i="4"/>
  <c r="CV57" i="4"/>
  <c r="DB10" i="4"/>
  <c r="CG10" i="4"/>
  <c r="CM40" i="4"/>
  <c r="DO40" i="4"/>
  <c r="CD32" i="4"/>
  <c r="EQ65" i="4"/>
  <c r="DX43" i="4"/>
  <c r="CH11" i="4"/>
  <c r="EJ61" i="4"/>
  <c r="DH58" i="4"/>
  <c r="DP31" i="4"/>
  <c r="EN18" i="4"/>
  <c r="DA53" i="4"/>
  <c r="DA15" i="4"/>
  <c r="DF29" i="4"/>
  <c r="CS76" i="4"/>
  <c r="DK58" i="4"/>
  <c r="DI77" i="4"/>
  <c r="DL16" i="4"/>
  <c r="DY38" i="4"/>
  <c r="EE33" i="4"/>
  <c r="CO27" i="4"/>
  <c r="DK72" i="4"/>
  <c r="DG69" i="4"/>
  <c r="DP24" i="4"/>
  <c r="CD50" i="4"/>
  <c r="EE56" i="4"/>
  <c r="EC75" i="4"/>
  <c r="EP79" i="4"/>
  <c r="DM24" i="4"/>
  <c r="DE15" i="4"/>
  <c r="DJ60" i="4"/>
  <c r="DM29" i="4"/>
  <c r="EM13" i="4"/>
  <c r="EP28" i="4"/>
  <c r="CC45" i="4"/>
  <c r="EJ51" i="4"/>
  <c r="CP62" i="4"/>
  <c r="EF76" i="4"/>
  <c r="DO52" i="4"/>
  <c r="EI52" i="4"/>
  <c r="DL33" i="4"/>
  <c r="DS22" i="4"/>
  <c r="EB56" i="4"/>
  <c r="DJ21" i="4"/>
  <c r="EQ21" i="4"/>
  <c r="CQ21" i="4"/>
  <c r="DW16" i="4"/>
  <c r="EQ16" i="4"/>
  <c r="CY29" i="4"/>
  <c r="DS29" i="4"/>
  <c r="CG23" i="4"/>
  <c r="EH71" i="4"/>
  <c r="DJ13" i="4"/>
  <c r="ED13" i="4"/>
  <c r="EL12" i="4"/>
  <c r="DW41" i="4"/>
  <c r="DI14" i="4"/>
  <c r="EO28" i="4"/>
  <c r="CP28" i="4"/>
  <c r="DY74" i="4"/>
  <c r="DD55" i="4"/>
  <c r="ED55" i="4"/>
  <c r="CI65" i="4"/>
  <c r="EN67" i="4"/>
  <c r="CM25" i="4"/>
  <c r="DO25" i="4"/>
  <c r="CR51" i="4"/>
  <c r="EJ11" i="4"/>
  <c r="DA11" i="4"/>
  <c r="CV76" i="4"/>
  <c r="DJ17" i="4"/>
  <c r="CT27" i="4"/>
  <c r="EI63" i="4"/>
  <c r="DS46" i="4"/>
  <c r="EP68" i="4"/>
  <c r="CC58" i="4"/>
  <c r="DX48" i="4"/>
  <c r="DM36" i="4"/>
  <c r="CK38" i="4"/>
  <c r="DE38" i="4"/>
  <c r="DV18" i="4"/>
  <c r="CD69" i="4"/>
  <c r="CJ69" i="4"/>
  <c r="CD78" i="4"/>
  <c r="EE54" i="4"/>
  <c r="DH54" i="4"/>
  <c r="DX54" i="4"/>
  <c r="CV70" i="4"/>
  <c r="DJ70" i="4"/>
  <c r="DL50" i="4"/>
  <c r="CZ50" i="4"/>
  <c r="CV47" i="4"/>
  <c r="ER60" i="4"/>
  <c r="CJ60" i="4"/>
  <c r="CP44" i="4"/>
  <c r="CE42" i="4"/>
  <c r="CK10" i="4"/>
  <c r="DZ40" i="4"/>
  <c r="CN64" i="4"/>
  <c r="DS63" i="4"/>
  <c r="CH68" i="4"/>
  <c r="CU31" i="4"/>
  <c r="DL41" i="4"/>
  <c r="EK14" i="4"/>
  <c r="CH28" i="4"/>
  <c r="DQ74" i="4"/>
  <c r="DS65" i="4"/>
  <c r="DR45" i="4"/>
  <c r="DQ45" i="4"/>
  <c r="CR43" i="4"/>
  <c r="DN43" i="4"/>
  <c r="EQ25" i="4"/>
  <c r="CZ25" i="4"/>
  <c r="DT51" i="4"/>
  <c r="CC51" i="4"/>
  <c r="CD11" i="4"/>
  <c r="CG61" i="4"/>
  <c r="DK62" i="4"/>
  <c r="CN62" i="4"/>
  <c r="DI17" i="4"/>
  <c r="CL27" i="4"/>
  <c r="CZ63" i="4"/>
  <c r="DV63" i="4"/>
  <c r="CH72" i="4"/>
  <c r="CF72" i="4"/>
  <c r="DZ58" i="4"/>
  <c r="CY36" i="4"/>
  <c r="DS36" i="4"/>
  <c r="DT39" i="4"/>
  <c r="CS39" i="4"/>
  <c r="DQ78" i="4"/>
  <c r="DZ53" i="4"/>
  <c r="CV33" i="4"/>
  <c r="DZ15" i="4"/>
  <c r="EA19" i="4"/>
  <c r="DV54" i="4"/>
  <c r="CW70" i="4"/>
  <c r="DD50" i="4"/>
  <c r="CU44" i="4"/>
  <c r="DD44" i="4"/>
  <c r="CD42" i="4"/>
  <c r="CI57" i="4"/>
  <c r="CG32" i="4"/>
  <c r="DI32" i="4"/>
  <c r="EK64" i="4"/>
  <c r="CQ64" i="4"/>
  <c r="DH21" i="4"/>
  <c r="DD21" i="4"/>
  <c r="DF16" i="4"/>
  <c r="EG29" i="4"/>
  <c r="CE30" i="4"/>
  <c r="DG30" i="4"/>
  <c r="EH35" i="4"/>
  <c r="CQ35" i="4"/>
  <c r="DI23" i="4"/>
  <c r="EC23" i="4"/>
  <c r="CQ71" i="4"/>
  <c r="DK71" i="4"/>
  <c r="CT13" i="4"/>
  <c r="DN13" i="4"/>
  <c r="CO12" i="4"/>
  <c r="EJ14" i="4"/>
  <c r="CS14" i="4"/>
  <c r="DY28" i="4"/>
  <c r="CM65" i="4"/>
  <c r="EL67" i="4"/>
  <c r="EB67" i="4"/>
  <c r="CC66" i="4"/>
  <c r="DC45" i="4"/>
  <c r="DA45" i="4"/>
  <c r="CC43" i="4"/>
  <c r="EB25" i="4"/>
  <c r="CK25" i="4"/>
  <c r="EO11" i="4"/>
  <c r="EP61" i="4"/>
  <c r="EN61" i="4"/>
  <c r="CX79" i="4"/>
  <c r="DX79" i="4"/>
  <c r="DC62" i="4"/>
  <c r="EK62" i="4"/>
  <c r="ED17" i="4"/>
  <c r="CM17" i="4"/>
  <c r="EE17" i="4"/>
  <c r="EI27" i="4"/>
  <c r="DM34" i="4"/>
  <c r="EO34" i="4"/>
  <c r="CY63" i="4"/>
  <c r="DZ72" i="4"/>
  <c r="CG72" i="4"/>
  <c r="CR68" i="4"/>
  <c r="DW68" i="4"/>
  <c r="DR58" i="4"/>
  <c r="EO36" i="4"/>
  <c r="CP36" i="4"/>
  <c r="DZ36" i="4"/>
  <c r="EL26" i="4"/>
  <c r="CH38" i="4"/>
  <c r="EG31" i="4"/>
  <c r="DD15" i="4"/>
  <c r="EF15" i="4"/>
  <c r="DP22" i="4"/>
  <c r="EO19" i="4"/>
  <c r="DD19" i="4"/>
  <c r="CG54" i="4"/>
  <c r="CG44" i="4"/>
  <c r="EE44" i="4"/>
  <c r="ER73" i="4"/>
  <c r="DU42" i="4"/>
  <c r="CZ57" i="4"/>
  <c r="CQ57" i="4"/>
  <c r="CT49" i="4"/>
  <c r="CT77" i="4"/>
  <c r="CQ77" i="4"/>
  <c r="CW75" i="4"/>
  <c r="CK23" i="4"/>
  <c r="EE52" i="4"/>
  <c r="CQ54" i="4"/>
  <c r="EN57" i="4"/>
  <c r="CC75" i="4"/>
  <c r="DS21" i="4"/>
  <c r="DI21" i="4"/>
  <c r="CY16" i="4"/>
  <c r="DS16" i="4"/>
  <c r="EL29" i="4"/>
  <c r="EB30" i="4"/>
  <c r="CK30" i="4"/>
  <c r="DL35" i="4"/>
  <c r="EN35" i="4"/>
  <c r="CU12" i="4"/>
  <c r="DW12" i="4"/>
  <c r="CK41" i="4"/>
  <c r="CW41" i="4"/>
  <c r="DN14" i="4"/>
  <c r="EP14" i="4"/>
  <c r="DC28" i="4"/>
  <c r="EE28" i="4"/>
  <c r="DT74" i="4"/>
  <c r="CR55" i="4"/>
  <c r="CT55" i="4"/>
  <c r="CC65" i="4"/>
  <c r="EN65" i="4"/>
  <c r="DW67" i="4"/>
  <c r="DI67" i="4"/>
  <c r="DZ66" i="4"/>
  <c r="CV66" i="4"/>
  <c r="CO45" i="4"/>
  <c r="DO45" i="4"/>
  <c r="EG43" i="4"/>
  <c r="EC25" i="4"/>
  <c r="DZ76" i="4"/>
  <c r="EQ17" i="4"/>
  <c r="CZ17" i="4"/>
  <c r="DT27" i="4"/>
  <c r="CC27" i="4"/>
  <c r="DZ34" i="4"/>
  <c r="EQ48" i="4"/>
  <c r="CZ48" i="4"/>
  <c r="EG36" i="4"/>
  <c r="DQ26" i="4"/>
  <c r="EK26" i="4"/>
  <c r="DB26" i="4"/>
  <c r="EF38" i="4"/>
  <c r="EI18" i="4"/>
  <c r="CV52" i="4"/>
  <c r="CE24" i="4"/>
  <c r="DJ33" i="4"/>
  <c r="ED33" i="4"/>
  <c r="EQ33" i="4"/>
  <c r="DQ15" i="4"/>
  <c r="CT70" i="4"/>
  <c r="EM50" i="4"/>
  <c r="DA60" i="4"/>
  <c r="DQ57" i="4"/>
  <c r="DJ10" i="4"/>
  <c r="CY10" i="4"/>
  <c r="EP64" i="4"/>
  <c r="ED49" i="4"/>
  <c r="ER49" i="4"/>
  <c r="DA77" i="4"/>
  <c r="CJ77" i="4"/>
  <c r="CZ75" i="4"/>
  <c r="DT75" i="4"/>
  <c r="DM64" i="4"/>
  <c r="CG75" i="4"/>
  <c r="DA21" i="4"/>
  <c r="EN30" i="4"/>
  <c r="EJ12" i="4"/>
  <c r="CZ14" i="4"/>
  <c r="DR65" i="4"/>
  <c r="CY45" i="4"/>
  <c r="EN11" i="4"/>
  <c r="DA61" i="4"/>
  <c r="DR76" i="4"/>
  <c r="DW31" i="4"/>
  <c r="DS18" i="4"/>
  <c r="DF24" i="4"/>
  <c r="DF47" i="4"/>
  <c r="DD59" i="4"/>
  <c r="EO73" i="4"/>
  <c r="CF57" i="4"/>
  <c r="CC32" i="4"/>
  <c r="EE77" i="4"/>
  <c r="CX21" i="4"/>
  <c r="CY21" i="4"/>
  <c r="DI28" i="4"/>
  <c r="EC28" i="4"/>
  <c r="CZ74" i="4"/>
  <c r="DL74" i="4"/>
  <c r="CE55" i="4"/>
  <c r="DV55" i="4"/>
  <c r="CH66" i="4"/>
  <c r="CG43" i="4"/>
  <c r="CX43" i="4"/>
  <c r="DZ25" i="4"/>
  <c r="ED51" i="4"/>
  <c r="CP11" i="4"/>
  <c r="DR11" i="4"/>
  <c r="CZ20" i="4"/>
  <c r="DJ20" i="4"/>
  <c r="DU61" i="4"/>
  <c r="EO61" i="4"/>
  <c r="DA79" i="4"/>
  <c r="CU79" i="4"/>
  <c r="DL62" i="4"/>
  <c r="ED76" i="4"/>
  <c r="DN17" i="4"/>
  <c r="EP17" i="4"/>
  <c r="DO17" i="4"/>
  <c r="DS27" i="4"/>
  <c r="CN63" i="4"/>
  <c r="DZ63" i="4"/>
  <c r="DP46" i="4"/>
  <c r="EJ46" i="4"/>
  <c r="DP72" i="4"/>
  <c r="DS72" i="4"/>
  <c r="CW68" i="4"/>
  <c r="EO68" i="4"/>
  <c r="DB58" i="4"/>
  <c r="DV58" i="4"/>
  <c r="CD48" i="4"/>
  <c r="CX48" i="4"/>
  <c r="EM36" i="4"/>
  <c r="CO39" i="4"/>
  <c r="EG39" i="4"/>
  <c r="CF37" i="4"/>
  <c r="DH37" i="4"/>
  <c r="EO18" i="4"/>
  <c r="CU53" i="4"/>
  <c r="DW53" i="4"/>
  <c r="EL52" i="4"/>
  <c r="DI33" i="4"/>
  <c r="EC33" i="4"/>
  <c r="CN15" i="4"/>
  <c r="DP15" i="4"/>
  <c r="EK22" i="4"/>
  <c r="EP47" i="4"/>
  <c r="DT59" i="4"/>
  <c r="CJ56" i="4"/>
  <c r="CD56" i="4"/>
  <c r="EC44" i="4"/>
  <c r="EJ44" i="4"/>
  <c r="DU73" i="4"/>
  <c r="CD73" i="4"/>
  <c r="DT64" i="4"/>
  <c r="DI49" i="4"/>
  <c r="DO77" i="4"/>
  <c r="CR23" i="4"/>
  <c r="DZ14" i="4"/>
  <c r="DY46" i="4"/>
  <c r="EO47" i="4"/>
  <c r="CQ56" i="4"/>
  <c r="CO57" i="4"/>
  <c r="EO32" i="4"/>
  <c r="DB77" i="4"/>
  <c r="DN35" i="4"/>
  <c r="DL36" i="4"/>
  <c r="CD25" i="4"/>
  <c r="DC42" i="4"/>
  <c r="EQ67" i="4"/>
  <c r="EL75" i="4"/>
  <c r="EN21" i="4"/>
  <c r="DV35" i="4"/>
  <c r="CW23" i="4"/>
  <c r="ED12" i="4"/>
  <c r="EO74" i="4"/>
  <c r="CV25" i="4"/>
  <c r="DP61" i="4"/>
  <c r="ED79" i="4"/>
  <c r="DG46" i="4"/>
  <c r="DF26" i="4"/>
  <c r="DL31" i="4"/>
  <c r="ED39" i="4"/>
  <c r="DS33" i="4"/>
  <c r="DF15" i="4"/>
  <c r="EC10" i="4"/>
  <c r="DI64" i="4"/>
  <c r="DD49" i="4"/>
  <c r="DI75" i="4"/>
  <c r="EF32" i="4"/>
  <c r="EL21" i="4"/>
  <c r="DO71" i="4"/>
  <c r="DQ41" i="4"/>
  <c r="EC41" i="4"/>
  <c r="ER65" i="4"/>
  <c r="CY43" i="4"/>
  <c r="CT11" i="4"/>
  <c r="DV20" i="4"/>
  <c r="CD20" i="4"/>
  <c r="DC61" i="4"/>
  <c r="EL48" i="4"/>
  <c r="DH36" i="4"/>
  <c r="EB36" i="4"/>
  <c r="EQ31" i="4"/>
  <c r="EC39" i="4"/>
  <c r="CC37" i="4"/>
  <c r="ED18" i="4"/>
  <c r="CL69" i="4"/>
  <c r="CW69" i="4"/>
  <c r="DH24" i="4"/>
  <c r="CY70" i="4"/>
  <c r="DE70" i="4"/>
  <c r="EA50" i="4"/>
  <c r="EN50" i="4"/>
  <c r="DH47" i="4"/>
  <c r="CY44" i="4"/>
  <c r="CW73" i="4"/>
  <c r="CZ73" i="4"/>
  <c r="ED57" i="4"/>
  <c r="CL57" i="4"/>
  <c r="DH61" i="4"/>
  <c r="CW27" i="4"/>
  <c r="CV68" i="4"/>
  <c r="CG30" i="4"/>
  <c r="DI30" i="4"/>
  <c r="CS35" i="4"/>
  <c r="EK35" i="4"/>
  <c r="EM23" i="4"/>
  <c r="CG14" i="4"/>
  <c r="CK67" i="4"/>
  <c r="EN66" i="4"/>
  <c r="EF45" i="4"/>
  <c r="CP45" i="4"/>
  <c r="CM43" i="4"/>
  <c r="ER61" i="4"/>
  <c r="EB79" i="4"/>
  <c r="DA27" i="4"/>
  <c r="CE34" i="4"/>
  <c r="CR31" i="4"/>
  <c r="DU39" i="4"/>
  <c r="CD39" i="4"/>
  <c r="DL37" i="4"/>
  <c r="EN37" i="4"/>
  <c r="EH53" i="4"/>
  <c r="CQ53" i="4"/>
  <c r="DF52" i="4"/>
  <c r="CV24" i="4"/>
  <c r="CZ24" i="4"/>
  <c r="CJ33" i="4"/>
  <c r="DD33" i="4"/>
  <c r="EH15" i="4"/>
  <c r="CQ15" i="4"/>
  <c r="DK22" i="4"/>
  <c r="EM22" i="4"/>
  <c r="DT19" i="4"/>
  <c r="EM59" i="4"/>
  <c r="DU59" i="4"/>
  <c r="DP56" i="4"/>
  <c r="EL40" i="4"/>
  <c r="DJ32" i="4"/>
  <c r="CT64" i="4"/>
  <c r="CN49" i="4"/>
  <c r="DS77" i="4"/>
  <c r="DF61" i="4"/>
  <c r="CF53" i="4"/>
  <c r="CR54" i="4"/>
  <c r="DH16" i="4"/>
  <c r="EB16" i="4"/>
  <c r="DD29" i="4"/>
  <c r="EK30" i="4"/>
  <c r="DN30" i="4"/>
  <c r="CD35" i="4"/>
  <c r="CX35" i="4"/>
  <c r="DX23" i="4"/>
  <c r="ER23" i="4"/>
  <c r="DZ71" i="4"/>
  <c r="DB13" i="4"/>
  <c r="DV13" i="4"/>
  <c r="DR12" i="4"/>
  <c r="DH41" i="4"/>
  <c r="DA14" i="4"/>
  <c r="EB74" i="4"/>
  <c r="DK67" i="4"/>
  <c r="CR66" i="4"/>
  <c r="EC66" i="4"/>
  <c r="DU11" i="4"/>
  <c r="CS11" i="4"/>
  <c r="EP34" i="4"/>
  <c r="CH46" i="4"/>
  <c r="EH72" i="4"/>
  <c r="CH58" i="4"/>
  <c r="DI48" i="4"/>
  <c r="CI26" i="4"/>
  <c r="DC26" i="4"/>
  <c r="EO38" i="4"/>
  <c r="CP38" i="4"/>
  <c r="EO31" i="4"/>
  <c r="CP31" i="4"/>
  <c r="CZ39" i="4"/>
  <c r="DR37" i="4"/>
  <c r="CM18" i="4"/>
  <c r="DO18" i="4"/>
  <c r="CX53" i="4"/>
  <c r="DE52" i="4"/>
  <c r="CH22" i="4"/>
  <c r="CE70" i="4"/>
  <c r="CG47" i="4"/>
  <c r="DI47" i="4"/>
  <c r="EC60" i="4"/>
  <c r="DI60" i="4"/>
  <c r="DQ59" i="4"/>
  <c r="DY73" i="4"/>
  <c r="DK40" i="4"/>
  <c r="EM40" i="4"/>
  <c r="CH49" i="4"/>
  <c r="DB49" i="4"/>
  <c r="EM77" i="4"/>
  <c r="CP13" i="4"/>
  <c r="EK45" i="4"/>
  <c r="CN51" i="4"/>
  <c r="CF61" i="4"/>
  <c r="DV76" i="4"/>
  <c r="DO72" i="4"/>
  <c r="EC37" i="4"/>
  <c r="EK78" i="4"/>
  <c r="CT33" i="4"/>
  <c r="EN54" i="4"/>
  <c r="EF47" i="4"/>
  <c r="CH42" i="4"/>
  <c r="CO29" i="4"/>
  <c r="DQ12" i="4"/>
  <c r="DI74" i="4"/>
  <c r="DY55" i="4"/>
  <c r="EP65" i="4"/>
  <c r="DL51" i="4"/>
  <c r="EN51" i="4"/>
  <c r="DM11" i="4"/>
  <c r="CH76" i="4"/>
  <c r="DJ76" i="4"/>
  <c r="CC63" i="4"/>
  <c r="ER48" i="4"/>
  <c r="DA48" i="4"/>
  <c r="CU26" i="4"/>
  <c r="EG38" i="4"/>
  <c r="CG31" i="4"/>
  <c r="CY39" i="4"/>
  <c r="DZ39" i="4"/>
  <c r="DO37" i="4"/>
  <c r="CS18" i="4"/>
  <c r="DM18" i="4"/>
  <c r="EM69" i="4"/>
  <c r="CR69" i="4"/>
  <c r="DP78" i="4"/>
  <c r="EC78" i="4"/>
  <c r="CP53" i="4"/>
  <c r="EO52" i="4"/>
  <c r="CP52" i="4"/>
  <c r="CD52" i="4"/>
  <c r="ER24" i="4"/>
  <c r="DA24" i="4"/>
  <c r="EF33" i="4"/>
  <c r="DH70" i="4"/>
  <c r="CK70" i="4"/>
  <c r="CV50" i="4"/>
  <c r="DI50" i="4"/>
  <c r="ER47" i="4"/>
  <c r="DA47" i="4"/>
  <c r="DU60" i="4"/>
  <c r="CM60" i="4"/>
  <c r="DI59" i="4"/>
  <c r="EB59" i="4"/>
  <c r="DM56" i="4"/>
  <c r="EF44" i="4"/>
  <c r="DQ73" i="4"/>
  <c r="EG10" i="4"/>
  <c r="DJ40" i="4"/>
  <c r="DV40" i="4"/>
  <c r="CM32" i="4"/>
  <c r="DO32" i="4"/>
  <c r="DH64" i="4"/>
  <c r="EF49" i="4"/>
  <c r="EJ49" i="4"/>
  <c r="DD25" i="4"/>
  <c r="EL20" i="4"/>
  <c r="CE62" i="4"/>
  <c r="DH46" i="4"/>
  <c r="CT23" i="4"/>
  <c r="DN23" i="4"/>
  <c r="CI71" i="4"/>
  <c r="DC71" i="4"/>
  <c r="CL13" i="4"/>
  <c r="DF13" i="4"/>
  <c r="DO43" i="4"/>
  <c r="DT25" i="4"/>
  <c r="CC25" i="4"/>
  <c r="EF51" i="4"/>
  <c r="DU51" i="4"/>
  <c r="CS20" i="4"/>
  <c r="CZ61" i="4"/>
  <c r="DB62" i="4"/>
  <c r="CJ62" i="4"/>
  <c r="DR63" i="4"/>
  <c r="ED46" i="4"/>
  <c r="DC46" i="4"/>
  <c r="ED72" i="4"/>
  <c r="DR68" i="4"/>
  <c r="CY68" i="4"/>
  <c r="CV58" i="4"/>
  <c r="CO36" i="4"/>
  <c r="CG38" i="4"/>
  <c r="EF31" i="4"/>
  <c r="EJ31" i="4"/>
  <c r="CP39" i="4"/>
  <c r="DR39" i="4"/>
  <c r="CY18" i="4"/>
  <c r="DR69" i="4"/>
  <c r="CO69" i="4"/>
  <c r="CW78" i="4"/>
  <c r="CV53" i="4"/>
  <c r="DX53" i="4"/>
  <c r="CB52" i="4"/>
  <c r="CT22" i="4"/>
  <c r="ER22" i="4"/>
  <c r="DK19" i="4"/>
  <c r="DF54" i="4"/>
  <c r="DQ54" i="4"/>
  <c r="EE70" i="4"/>
  <c r="CN50" i="4"/>
  <c r="CC50" i="4"/>
  <c r="EJ47" i="4"/>
  <c r="CS47" i="4"/>
  <c r="DM60" i="4"/>
  <c r="DO59" i="4"/>
  <c r="CR56" i="4"/>
  <c r="CY56" i="4"/>
  <c r="EK44" i="4"/>
  <c r="CV44" i="4"/>
  <c r="EC73" i="4"/>
  <c r="CL73" i="4"/>
  <c r="CK42" i="4"/>
  <c r="DK57" i="4"/>
  <c r="CN40" i="4"/>
  <c r="DP40" i="4"/>
  <c r="EJ32" i="4"/>
  <c r="CS32" i="4"/>
  <c r="DU64" i="4"/>
  <c r="DN64" i="4"/>
  <c r="DW49" i="4"/>
  <c r="CD49" i="4"/>
  <c r="DO46" i="4"/>
  <c r="EB26" i="4"/>
  <c r="DD16" i="4"/>
  <c r="EE29" i="4"/>
  <c r="CF29" i="4"/>
  <c r="DM30" i="4"/>
  <c r="EO30" i="4"/>
  <c r="CP30" i="4"/>
  <c r="DY35" i="4"/>
  <c r="CW35" i="4"/>
  <c r="CZ23" i="4"/>
  <c r="DT23" i="4"/>
  <c r="DB71" i="4"/>
  <c r="CX13" i="4"/>
  <c r="ER12" i="4"/>
  <c r="EH41" i="4"/>
  <c r="CQ41" i="4"/>
  <c r="EI41" i="4"/>
  <c r="DT14" i="4"/>
  <c r="CC14" i="4"/>
  <c r="EL65" i="4"/>
  <c r="EB65" i="4"/>
  <c r="DO67" i="4"/>
  <c r="CU67" i="4"/>
  <c r="DY66" i="4"/>
  <c r="CG45" i="4"/>
  <c r="DG45" i="4"/>
  <c r="DY43" i="4"/>
  <c r="CH25" i="4"/>
  <c r="DJ51" i="4"/>
  <c r="CM62" i="4"/>
  <c r="CK76" i="4"/>
  <c r="EM27" i="4"/>
  <c r="DD34" i="4"/>
  <c r="DH34" i="4"/>
  <c r="CN36" i="4"/>
  <c r="DP26" i="4"/>
  <c r="EJ26" i="4"/>
  <c r="EE38" i="4"/>
  <c r="DJ31" i="4"/>
  <c r="ED31" i="4"/>
  <c r="EN39" i="4"/>
  <c r="CW18" i="4"/>
  <c r="DW69" i="4"/>
  <c r="CZ78" i="4"/>
  <c r="CO78" i="4"/>
  <c r="CU52" i="4"/>
  <c r="DU24" i="4"/>
  <c r="CD24" i="4"/>
  <c r="CS22" i="4"/>
  <c r="DR19" i="4"/>
  <c r="CJ54" i="4"/>
  <c r="DY54" i="4"/>
  <c r="EB70" i="4"/>
  <c r="EA70" i="4"/>
  <c r="EK50" i="4"/>
  <c r="CT50" i="4"/>
  <c r="CX60" i="4"/>
  <c r="CS60" i="4"/>
  <c r="CL59" i="4"/>
  <c r="DK42" i="4"/>
  <c r="CT42" i="4"/>
  <c r="CJ57" i="4"/>
  <c r="DJ57" i="4"/>
  <c r="EJ10" i="4"/>
  <c r="EK40" i="4"/>
  <c r="CT40" i="4"/>
  <c r="DU32" i="4"/>
  <c r="CK32" i="4"/>
  <c r="CL16" i="4"/>
  <c r="CS12" i="4"/>
  <c r="DV67" i="4"/>
  <c r="DK25" i="4"/>
  <c r="EA20" i="4"/>
  <c r="CN79" i="4"/>
  <c r="EH17" i="4"/>
  <c r="CS46" i="4"/>
  <c r="CC48" i="4"/>
  <c r="EM39" i="4"/>
  <c r="DB69" i="4"/>
  <c r="CM52" i="4"/>
  <c r="EI22" i="4"/>
  <c r="EM57" i="4"/>
  <c r="ER44" i="4"/>
  <c r="CC74" i="4"/>
  <c r="EA55" i="4"/>
  <c r="DW65" i="4"/>
  <c r="CM67" i="4"/>
  <c r="DB67" i="4"/>
  <c r="EP45" i="4"/>
  <c r="ED20" i="4"/>
  <c r="ER72" i="4"/>
  <c r="ER18" i="4"/>
  <c r="EC69" i="4"/>
  <c r="DP47" i="4"/>
  <c r="DZ44" i="4"/>
  <c r="ED73" i="4"/>
  <c r="CZ42" i="4"/>
  <c r="EI55" i="4"/>
  <c r="CO18" i="4"/>
  <c r="CD22" i="4"/>
  <c r="CU57" i="4"/>
  <c r="DX16" i="4"/>
  <c r="ER16" i="4"/>
  <c r="ER35" i="4"/>
  <c r="DZ23" i="4"/>
  <c r="DR13" i="4"/>
  <c r="EL13" i="4"/>
  <c r="CD28" i="4"/>
  <c r="CX28" i="4"/>
  <c r="EG74" i="4"/>
  <c r="EK11" i="4"/>
  <c r="EH62" i="4"/>
  <c r="CL76" i="4"/>
  <c r="DK17" i="4"/>
  <c r="EP63" i="4"/>
  <c r="CX46" i="4"/>
  <c r="CL72" i="4"/>
  <c r="DE72" i="4"/>
  <c r="EE68" i="4"/>
  <c r="EE78" i="4"/>
  <c r="EP53" i="4"/>
  <c r="DN52" i="4"/>
  <c r="DK33" i="4"/>
  <c r="CX15" i="4"/>
  <c r="CG60" i="4"/>
  <c r="CX44" i="4"/>
  <c r="CM71" i="4"/>
  <c r="CM64" i="4"/>
  <c r="CE21" i="4"/>
  <c r="DV16" i="4"/>
  <c r="CE16" i="4"/>
  <c r="CX29" i="4"/>
  <c r="DZ29" i="4"/>
  <c r="DM71" i="4"/>
  <c r="EO71" i="4"/>
  <c r="EK13" i="4"/>
  <c r="EG12" i="4"/>
  <c r="DB41" i="4"/>
  <c r="DV41" i="4"/>
  <c r="CN14" i="4"/>
  <c r="EF14" i="4"/>
  <c r="CC28" i="4"/>
  <c r="CW28" i="4"/>
  <c r="EF74" i="4"/>
  <c r="DJ55" i="4"/>
  <c r="CT65" i="4"/>
  <c r="CG66" i="4"/>
  <c r="CT25" i="4"/>
  <c r="DN25" i="4"/>
  <c r="EP51" i="4"/>
  <c r="CY51" i="4"/>
  <c r="EQ11" i="4"/>
  <c r="DC20" i="4"/>
  <c r="DK76" i="4"/>
  <c r="DO76" i="4"/>
  <c r="CO17" i="4"/>
  <c r="DQ17" i="4"/>
  <c r="ER27" i="4"/>
  <c r="CT46" i="4"/>
  <c r="CP46" i="4"/>
  <c r="EP72" i="4"/>
  <c r="CP72" i="4"/>
  <c r="DC72" i="4"/>
  <c r="CD68" i="4"/>
  <c r="EA58" i="4"/>
  <c r="CJ58" i="4"/>
  <c r="DC48" i="4"/>
  <c r="EE48" i="4"/>
  <c r="DT36" i="4"/>
  <c r="CC26" i="4"/>
  <c r="CW26" i="4"/>
  <c r="EI38" i="4"/>
  <c r="DI18" i="4"/>
  <c r="EC18" i="4"/>
  <c r="DK78" i="4"/>
  <c r="DF53" i="4"/>
  <c r="CF54" i="4"/>
  <c r="EF70" i="4"/>
  <c r="CY50" i="4"/>
  <c r="DS50" i="4"/>
  <c r="DC47" i="4"/>
  <c r="EE60" i="4"/>
  <c r="CF60" i="4"/>
  <c r="CC60" i="4"/>
  <c r="EJ56" i="4"/>
  <c r="CW44" i="4"/>
  <c r="DC73" i="4"/>
  <c r="CJ42" i="4"/>
  <c r="DS10" i="4"/>
  <c r="EG40" i="4"/>
  <c r="CS64" i="4"/>
  <c r="DJ63" i="4"/>
  <c r="DB39" i="4"/>
  <c r="EC59" i="4"/>
  <c r="DO41" i="4"/>
  <c r="CM41" i="4"/>
  <c r="ER14" i="4"/>
  <c r="EG28" i="4"/>
  <c r="CO28" i="4"/>
  <c r="DX74" i="4"/>
  <c r="CQ65" i="4"/>
  <c r="EM67" i="4"/>
  <c r="DX45" i="4"/>
  <c r="ED45" i="4"/>
  <c r="DE43" i="4"/>
  <c r="CE25" i="4"/>
  <c r="DG25" i="4"/>
  <c r="CJ51" i="4"/>
  <c r="EB11" i="4"/>
  <c r="CL61" i="4"/>
  <c r="DM79" i="4"/>
  <c r="EN79" i="4"/>
  <c r="DI62" i="4"/>
  <c r="CN17" i="4"/>
  <c r="DP17" i="4"/>
  <c r="EJ27" i="4"/>
  <c r="DG63" i="4"/>
  <c r="DQ63" i="4"/>
  <c r="CL46" i="4"/>
  <c r="CO72" i="4"/>
  <c r="CC68" i="4"/>
  <c r="DE58" i="4"/>
  <c r="EG58" i="4"/>
  <c r="CX36" i="4"/>
  <c r="EH36" i="4"/>
  <c r="EA39" i="4"/>
  <c r="CP37" i="4"/>
  <c r="DX78" i="4"/>
  <c r="EG53" i="4"/>
  <c r="CI33" i="4"/>
  <c r="CU33" i="4"/>
  <c r="EG15" i="4"/>
  <c r="CX19" i="4"/>
  <c r="DK50" i="4"/>
  <c r="DB44" i="4"/>
  <c r="CU73" i="4"/>
  <c r="EM42" i="4"/>
  <c r="EA57" i="4"/>
  <c r="CC57" i="4"/>
  <c r="DZ10" i="4"/>
  <c r="CN32" i="4"/>
  <c r="DP32" i="4"/>
  <c r="ER64" i="4"/>
  <c r="CY64" i="4"/>
  <c r="DN21" i="4"/>
  <c r="EO21" i="4"/>
  <c r="CS16" i="4"/>
  <c r="DM16" i="4"/>
  <c r="EN29" i="4"/>
  <c r="EC30" i="4"/>
  <c r="CL30" i="4"/>
  <c r="DF30" i="4"/>
  <c r="EO35" i="4"/>
  <c r="CP35" i="4"/>
  <c r="DP23" i="4"/>
  <c r="EJ23" i="4"/>
  <c r="CP71" i="4"/>
  <c r="DR71" i="4"/>
  <c r="DA13" i="4"/>
  <c r="DU13" i="4"/>
  <c r="DX12" i="4"/>
  <c r="DW14" i="4"/>
  <c r="EQ14" i="4"/>
  <c r="EF28" i="4"/>
  <c r="DE65" i="4"/>
  <c r="DX67" i="4"/>
  <c r="CX67" i="4"/>
  <c r="CT67" i="4"/>
  <c r="CJ66" i="4"/>
  <c r="CU66" i="4"/>
  <c r="CV45" i="4"/>
  <c r="CJ43" i="4"/>
  <c r="DB43" i="4"/>
  <c r="CZ11" i="4"/>
  <c r="DT11" i="4"/>
  <c r="EG11" i="4"/>
  <c r="CJ20" i="4"/>
  <c r="CD61" i="4"/>
  <c r="DE79" i="4"/>
  <c r="DR79" i="4"/>
  <c r="CW62" i="4"/>
  <c r="EK17" i="4"/>
  <c r="CT17" i="4"/>
  <c r="DN27" i="4"/>
  <c r="EP27" i="4"/>
  <c r="CI27" i="4"/>
  <c r="DT34" i="4"/>
  <c r="CC34" i="4"/>
  <c r="DD63" i="4"/>
  <c r="CG46" i="4"/>
  <c r="EF72" i="4"/>
  <c r="DT68" i="4"/>
  <c r="EN68" i="4"/>
  <c r="CW58" i="4"/>
  <c r="CC36" i="4"/>
  <c r="CW36" i="4"/>
  <c r="DY26" i="4"/>
  <c r="CO38" i="4"/>
  <c r="EN31" i="4"/>
  <c r="CV37" i="4"/>
  <c r="CG33" i="4"/>
  <c r="EM15" i="4"/>
  <c r="CU22" i="4"/>
  <c r="DW22" i="4"/>
  <c r="DS19" i="4"/>
  <c r="DN54" i="4"/>
  <c r="EC54" i="4"/>
  <c r="CM44" i="4"/>
  <c r="CI44" i="4"/>
  <c r="CF73" i="4"/>
  <c r="CR73" i="4"/>
  <c r="CS42" i="4"/>
  <c r="DF57" i="4"/>
  <c r="CN10" i="4"/>
  <c r="DN10" i="4"/>
  <c r="CV77" i="4"/>
  <c r="DP75" i="4"/>
  <c r="EE71" i="4"/>
  <c r="CM28" i="4"/>
  <c r="DN69" i="4"/>
  <c r="DG24" i="4"/>
  <c r="EP70" i="4"/>
  <c r="DG57" i="4"/>
  <c r="DF32" i="4"/>
  <c r="CZ21" i="4"/>
  <c r="DZ21" i="4"/>
  <c r="CI21" i="4"/>
  <c r="CX16" i="4"/>
  <c r="CT16" i="4"/>
  <c r="DB29" i="4"/>
  <c r="EI30" i="4"/>
  <c r="CR30" i="4"/>
  <c r="DS35" i="4"/>
  <c r="CB35" i="4"/>
  <c r="DB12" i="4"/>
  <c r="CX12" i="4"/>
  <c r="CR41" i="4"/>
  <c r="CV41" i="4"/>
  <c r="DU14" i="4"/>
  <c r="CD14" i="4"/>
  <c r="DJ28" i="4"/>
  <c r="ED28" i="4"/>
  <c r="CU74" i="4"/>
  <c r="EC74" i="4"/>
  <c r="DQ55" i="4"/>
  <c r="CH65" i="4"/>
  <c r="DM65" i="4"/>
  <c r="EC67" i="4"/>
  <c r="CN67" i="4"/>
  <c r="EG66" i="4"/>
  <c r="CU45" i="4"/>
  <c r="CF45" i="4"/>
  <c r="EN43" i="4"/>
  <c r="DD51" i="4"/>
  <c r="DE11" i="4"/>
  <c r="EG61" i="4"/>
  <c r="CY76" i="4"/>
  <c r="DV17" i="4"/>
  <c r="CE17" i="4"/>
  <c r="DW17" i="4"/>
  <c r="EA27" i="4"/>
  <c r="CJ27" i="4"/>
  <c r="DE34" i="4"/>
  <c r="EG34" i="4"/>
  <c r="EE58" i="4"/>
  <c r="CE48" i="4"/>
  <c r="DG48" i="4"/>
  <c r="EN36" i="4"/>
  <c r="DX26" i="4"/>
  <c r="ER26" i="4"/>
  <c r="DK38" i="4"/>
  <c r="EM38" i="4"/>
  <c r="CG37" i="4"/>
  <c r="DI37" i="4"/>
  <c r="EP18" i="4"/>
  <c r="CI52" i="4"/>
  <c r="DC52" i="4"/>
  <c r="EC24" i="4"/>
  <c r="CL24" i="4"/>
  <c r="DQ33" i="4"/>
  <c r="EK33" i="4"/>
  <c r="CV15" i="4"/>
  <c r="DX15" i="4"/>
  <c r="DQ70" i="4"/>
  <c r="EL50" i="4"/>
  <c r="CB60" i="4"/>
  <c r="ER10" i="4"/>
  <c r="DM10" i="4"/>
  <c r="EC49" i="4"/>
  <c r="CL49" i="4"/>
  <c r="CH77" i="4"/>
  <c r="EL77" i="4"/>
  <c r="CX75" i="4"/>
  <c r="DG75" i="4"/>
  <c r="EA64" i="4"/>
  <c r="DJ77" i="4"/>
  <c r="CS75" i="4"/>
  <c r="DP29" i="4"/>
  <c r="CH30" i="4"/>
  <c r="DG12" i="4"/>
  <c r="CN65" i="4"/>
  <c r="DR43" i="4"/>
  <c r="DJ11" i="4"/>
  <c r="EM79" i="4"/>
  <c r="DT17" i="4"/>
  <c r="EK53" i="4"/>
  <c r="DX24" i="4"/>
  <c r="CK22" i="4"/>
  <c r="DL54" i="4"/>
  <c r="CC47" i="4"/>
  <c r="DA73" i="4"/>
  <c r="CT10" i="4"/>
  <c r="DL64" i="4"/>
  <c r="DE21" i="4"/>
  <c r="DO21" i="4"/>
  <c r="DA12" i="4"/>
  <c r="DP28" i="4"/>
  <c r="CV28" i="4"/>
  <c r="DF74" i="4"/>
  <c r="CF74" i="4"/>
  <c r="CJ55" i="4"/>
  <c r="DO66" i="4"/>
  <c r="ED43" i="4"/>
  <c r="EH43" i="4"/>
  <c r="EG25" i="4"/>
  <c r="DE51" i="4"/>
  <c r="DY11" i="4"/>
  <c r="EK20" i="4"/>
  <c r="DO61" i="4"/>
  <c r="CH79" i="4"/>
  <c r="CK79" i="4"/>
  <c r="EG62" i="4"/>
  <c r="EK76" i="4"/>
  <c r="DU17" i="4"/>
  <c r="CD17" i="4"/>
  <c r="CX27" i="4"/>
  <c r="DZ27" i="4"/>
  <c r="EG63" i="4"/>
  <c r="CL63" i="4"/>
  <c r="EI46" i="4"/>
  <c r="DW72" i="4"/>
  <c r="CS72" i="4"/>
  <c r="DD68" i="4"/>
  <c r="DO68" i="4"/>
  <c r="CG58" i="4"/>
  <c r="DI58" i="4"/>
  <c r="EB48" i="4"/>
  <c r="CK48" i="4"/>
  <c r="EC48" i="4"/>
  <c r="EL36" i="4"/>
  <c r="CV39" i="4"/>
  <c r="ED37" i="4"/>
  <c r="CM37" i="4"/>
  <c r="CY37" i="4"/>
  <c r="CC18" i="4"/>
  <c r="DB53" i="4"/>
  <c r="DY52" i="4"/>
  <c r="DP33" i="4"/>
  <c r="EJ33" i="4"/>
  <c r="CU15" i="4"/>
  <c r="DW15" i="4"/>
  <c r="EQ22" i="4"/>
  <c r="CZ22" i="4"/>
  <c r="DU47" i="4"/>
  <c r="CD47" i="4"/>
  <c r="EI56" i="4"/>
  <c r="CP56" i="4"/>
  <c r="DL56" i="4"/>
  <c r="EI44" i="4"/>
  <c r="CN44" i="4"/>
  <c r="EB73" i="4"/>
  <c r="DQ10" i="4"/>
  <c r="DY64" i="4"/>
  <c r="CF71" i="4"/>
  <c r="EO41" i="4"/>
  <c r="CX74" i="4"/>
  <c r="DT70" i="4"/>
  <c r="DD60" i="4"/>
  <c r="DO44" i="4"/>
  <c r="EQ10" i="4"/>
  <c r="DE64" i="4"/>
  <c r="CJ75" i="4"/>
  <c r="DS76" i="4"/>
  <c r="DL65" i="4"/>
  <c r="CK51" i="4"/>
  <c r="DG10" i="4"/>
  <c r="EH13" i="4"/>
  <c r="EG35" i="4"/>
  <c r="DC66" i="4"/>
  <c r="ED77" i="4"/>
  <c r="DI35" i="4"/>
  <c r="DD23" i="4"/>
  <c r="CL71" i="4"/>
  <c r="CK12" i="4"/>
  <c r="DD14" i="4"/>
  <c r="EC43" i="4"/>
  <c r="CN61" i="4"/>
  <c r="DS48" i="4"/>
  <c r="DO38" i="4"/>
  <c r="DT22" i="4"/>
  <c r="DV19" i="4"/>
  <c r="CM19" i="4"/>
  <c r="CK57" i="4"/>
  <c r="CD40" i="4"/>
  <c r="CP40" i="4"/>
  <c r="DB64" i="4"/>
  <c r="DK49" i="4"/>
  <c r="DZ77" i="4"/>
  <c r="DV75" i="4"/>
  <c r="DU10" i="4"/>
  <c r="EL32" i="4"/>
  <c r="DO64" i="4"/>
  <c r="CH23" i="4"/>
  <c r="DN71" i="4"/>
  <c r="EB41" i="4"/>
  <c r="CO14" i="4"/>
  <c r="DX55" i="4"/>
  <c r="DN66" i="4"/>
  <c r="EN45" i="4"/>
  <c r="DY45" i="4"/>
  <c r="DV25" i="4"/>
  <c r="ER11" i="4"/>
  <c r="CK11" i="4"/>
  <c r="EK34" i="4"/>
  <c r="CD58" i="4"/>
  <c r="CX58" i="4"/>
  <c r="CY26" i="4"/>
  <c r="CL38" i="4"/>
  <c r="DF38" i="4"/>
  <c r="CL31" i="4"/>
  <c r="DF31" i="4"/>
  <c r="CJ37" i="4"/>
  <c r="EK18" i="4"/>
  <c r="CS69" i="4"/>
  <c r="EN78" i="4"/>
  <c r="DK24" i="4"/>
  <c r="DF50" i="4"/>
  <c r="CM42" i="4"/>
  <c r="EA10" i="4"/>
  <c r="DP77" i="4"/>
  <c r="DU65" i="4"/>
  <c r="CX62" i="4"/>
  <c r="CI34" i="4"/>
  <c r="EK58" i="4"/>
  <c r="DP30" i="4"/>
  <c r="EQ35" i="4"/>
  <c r="EL23" i="4"/>
  <c r="EN12" i="4"/>
  <c r="CP67" i="4"/>
  <c r="DF43" i="4"/>
  <c r="CH61" i="4"/>
  <c r="EG79" i="4"/>
  <c r="EA79" i="4"/>
  <c r="CC79" i="4"/>
  <c r="DH27" i="4"/>
  <c r="EC34" i="4"/>
  <c r="CL34" i="4"/>
  <c r="CR38" i="4"/>
  <c r="EP31" i="4"/>
  <c r="CY31" i="4"/>
  <c r="EB39" i="4"/>
  <c r="DS37" i="4"/>
  <c r="CB37" i="4"/>
  <c r="EO53" i="4"/>
  <c r="DM52" i="4"/>
  <c r="DC24" i="4"/>
  <c r="CQ33" i="4"/>
  <c r="DC33" i="4"/>
  <c r="EO15" i="4"/>
  <c r="CP15" i="4"/>
  <c r="DR22" i="4"/>
  <c r="CY19" i="4"/>
  <c r="CS70" i="4"/>
  <c r="CQ49" i="4"/>
  <c r="CU49" i="4"/>
  <c r="DY77" i="4"/>
  <c r="EN16" i="4"/>
  <c r="ED71" i="4"/>
  <c r="CP12" i="4"/>
  <c r="CI11" i="4"/>
  <c r="CZ40" i="4"/>
  <c r="DH49" i="4"/>
  <c r="EA75" i="4"/>
  <c r="EI21" i="4"/>
  <c r="ER21" i="4"/>
  <c r="DO16" i="4"/>
  <c r="EI16" i="4"/>
  <c r="DK29" i="4"/>
  <c r="ER30" i="4"/>
  <c r="DA30" i="4"/>
  <c r="EB35" i="4"/>
  <c r="CK35" i="4"/>
  <c r="EC35" i="4"/>
  <c r="EE23" i="4"/>
  <c r="CF23" i="4"/>
  <c r="DE71" i="4"/>
  <c r="EG71" i="4"/>
  <c r="DI13" i="4"/>
  <c r="CW12" i="4"/>
  <c r="DP14" i="4"/>
  <c r="EN28" i="4"/>
  <c r="CN74" i="4"/>
  <c r="CX55" i="4"/>
  <c r="EH67" i="4"/>
  <c r="CY66" i="4"/>
  <c r="DL66" i="4"/>
  <c r="EL17" i="4"/>
  <c r="CZ27" i="4"/>
  <c r="DU34" i="4"/>
  <c r="CD34" i="4"/>
  <c r="CO46" i="4"/>
  <c r="EN72" i="4"/>
  <c r="CN48" i="4"/>
  <c r="DP48" i="4"/>
  <c r="CH26" i="4"/>
  <c r="DR26" i="4"/>
  <c r="CC38" i="4"/>
  <c r="CW38" i="4"/>
  <c r="CC31" i="4"/>
  <c r="DG39" i="4"/>
  <c r="DY37" i="4"/>
  <c r="DN18" i="4"/>
  <c r="EO69" i="4"/>
  <c r="DE69" i="4"/>
  <c r="DE53" i="4"/>
  <c r="CR52" i="4"/>
  <c r="DL52" i="4"/>
  <c r="CU24" i="4"/>
  <c r="DQ22" i="4"/>
  <c r="EJ22" i="4"/>
  <c r="CN54" i="4"/>
  <c r="CH70" i="4"/>
  <c r="DB70" i="4"/>
  <c r="CN47" i="4"/>
  <c r="EJ60" i="4"/>
  <c r="EQ60" i="4"/>
  <c r="CU59" i="4"/>
  <c r="DA56" i="4"/>
  <c r="CL56" i="4"/>
  <c r="CO10" i="4"/>
  <c r="DR40" i="4"/>
  <c r="DD77" i="4"/>
  <c r="CG77" i="4"/>
  <c r="DA75" i="4"/>
  <c r="DZ41" i="4"/>
  <c r="CZ67" i="4"/>
  <c r="CW51" i="4"/>
  <c r="EN76" i="4"/>
  <c r="DZ18" i="4"/>
  <c r="ER15" i="4"/>
  <c r="DB57" i="4"/>
  <c r="CG28" i="4"/>
  <c r="DP74" i="4"/>
  <c r="EK74" i="4"/>
  <c r="CU55" i="4"/>
  <c r="CY25" i="4"/>
  <c r="CO76" i="4"/>
  <c r="DK63" i="4"/>
  <c r="EF58" i="4"/>
  <c r="CF48" i="4"/>
  <c r="DH48" i="4"/>
  <c r="DJ26" i="4"/>
  <c r="EN38" i="4"/>
  <c r="CX39" i="4"/>
  <c r="EO39" i="4"/>
  <c r="DJ37" i="4"/>
  <c r="EQ18" i="4"/>
  <c r="CZ18" i="4"/>
  <c r="EN69" i="4"/>
  <c r="DV78" i="4"/>
  <c r="DW78" i="4"/>
  <c r="CW53" i="4"/>
  <c r="DY53" i="4"/>
  <c r="CC52" i="4"/>
  <c r="CW52" i="4"/>
  <c r="EE24" i="4"/>
  <c r="CF24" i="4"/>
  <c r="EM33" i="4"/>
  <c r="EL70" i="4"/>
  <c r="CI50" i="4"/>
  <c r="DC50" i="4"/>
  <c r="EE47" i="4"/>
  <c r="CF47" i="4"/>
  <c r="EB60" i="4"/>
  <c r="DP59" i="4"/>
  <c r="CE59" i="4"/>
  <c r="CS56" i="4"/>
  <c r="DZ56" i="4"/>
  <c r="EL44" i="4"/>
  <c r="CO40" i="4"/>
  <c r="DQ40" i="4"/>
  <c r="EK32" i="4"/>
  <c r="CT32" i="4"/>
  <c r="CH32" i="4"/>
  <c r="CC64" i="4"/>
  <c r="EQ64" i="4"/>
  <c r="EO49" i="4"/>
  <c r="DK66" i="4"/>
  <c r="DP62" i="4"/>
  <c r="CI35" i="4"/>
  <c r="DA23" i="4"/>
  <c r="DU23" i="4"/>
  <c r="CH71" i="4"/>
  <c r="DJ71" i="4"/>
  <c r="CS13" i="4"/>
  <c r="DM13" i="4"/>
  <c r="EO66" i="4"/>
  <c r="CN43" i="4"/>
  <c r="CJ25" i="4"/>
  <c r="EM51" i="4"/>
  <c r="CR11" i="4"/>
  <c r="DL11" i="4"/>
  <c r="CW20" i="4"/>
  <c r="CB20" i="4"/>
  <c r="DI61" i="4"/>
  <c r="DD79" i="4"/>
  <c r="DG62" i="4"/>
  <c r="DT62" i="4"/>
  <c r="CP63" i="4"/>
  <c r="EO46" i="4"/>
  <c r="EK46" i="4"/>
  <c r="DG68" i="4"/>
  <c r="DC58" i="4"/>
  <c r="CV36" i="4"/>
  <c r="DT38" i="4"/>
  <c r="EM31" i="4"/>
  <c r="DK31" i="4"/>
  <c r="CW39" i="4"/>
  <c r="CC39" i="4"/>
  <c r="CX18" i="4"/>
  <c r="DH69" i="4"/>
  <c r="DA78" i="4"/>
  <c r="DU78" i="4"/>
  <c r="CT78" i="4"/>
  <c r="DC53" i="4"/>
  <c r="EE53" i="4"/>
  <c r="DA22" i="4"/>
  <c r="ED22" i="4"/>
  <c r="CH19" i="4"/>
  <c r="DZ19" i="4"/>
  <c r="DK54" i="4"/>
  <c r="CO54" i="4"/>
  <c r="ED70" i="4"/>
  <c r="CU50" i="4"/>
  <c r="DW47" i="4"/>
  <c r="EQ47" i="4"/>
  <c r="DT60" i="4"/>
  <c r="CH59" i="4"/>
  <c r="EQ56" i="4"/>
  <c r="CX56" i="4"/>
  <c r="EH56" i="4"/>
  <c r="EQ44" i="4"/>
  <c r="CX73" i="4"/>
  <c r="DS42" i="4"/>
  <c r="CR57" i="4"/>
  <c r="DR57" i="4"/>
  <c r="DY10" i="4"/>
  <c r="CU40" i="4"/>
  <c r="DW40" i="4"/>
  <c r="EQ32" i="4"/>
  <c r="CZ32" i="4"/>
  <c r="EI64" i="4"/>
  <c r="DV49" i="4"/>
  <c r="CF77" i="4"/>
  <c r="DB72" i="4"/>
  <c r="DT48" i="4"/>
  <c r="DI38" i="4"/>
  <c r="CQ16" i="4"/>
  <c r="DK16" i="4"/>
  <c r="ED29" i="4"/>
  <c r="CM29" i="4"/>
  <c r="DT30" i="4"/>
  <c r="CC30" i="4"/>
  <c r="DD35" i="4"/>
  <c r="EF35" i="4"/>
  <c r="DE35" i="4"/>
  <c r="DG23" i="4"/>
  <c r="EA23" i="4"/>
  <c r="CG71" i="4"/>
  <c r="DI71" i="4"/>
  <c r="CK13" i="4"/>
  <c r="CF12" i="4"/>
  <c r="DH12" i="4"/>
  <c r="EP41" i="4"/>
  <c r="CP41" i="4"/>
  <c r="DG14" i="4"/>
  <c r="EA14" i="4"/>
  <c r="CR14" i="4"/>
  <c r="DE55" i="4"/>
  <c r="EI65" i="4"/>
  <c r="CZ65" i="4"/>
  <c r="DU67" i="4"/>
  <c r="CD67" i="4"/>
  <c r="CM45" i="4"/>
  <c r="EO45" i="4"/>
  <c r="DU25" i="4"/>
  <c r="CW11" i="4"/>
  <c r="CT62" i="4"/>
  <c r="DH76" i="4"/>
  <c r="CQ34" i="4"/>
  <c r="DK34" i="4"/>
  <c r="EN63" i="4"/>
  <c r="CU36" i="4"/>
  <c r="DW26" i="4"/>
  <c r="EQ26" i="4"/>
  <c r="ED38" i="4"/>
  <c r="DQ31" i="4"/>
  <c r="EC31" i="4"/>
  <c r="CV18" i="4"/>
  <c r="DM69" i="4"/>
  <c r="EF69" i="4"/>
  <c r="DF78" i="4"/>
  <c r="CG78" i="4"/>
  <c r="DZ52" i="4"/>
  <c r="EB24" i="4"/>
  <c r="CK24" i="4"/>
  <c r="CG19" i="4"/>
  <c r="CY54" i="4"/>
  <c r="EF54" i="4"/>
  <c r="EJ54" i="4"/>
  <c r="DU70" i="4"/>
  <c r="CZ70" i="4"/>
  <c r="ER50" i="4"/>
  <c r="DX50" i="4"/>
  <c r="DE60" i="4"/>
  <c r="DH60" i="4"/>
  <c r="CS59" i="4"/>
  <c r="DI73" i="4"/>
  <c r="DP42" i="4"/>
  <c r="EP42" i="4"/>
  <c r="CP57" i="4"/>
  <c r="EB57" i="4"/>
  <c r="DF10" i="4"/>
  <c r="EN10" i="4"/>
  <c r="ER40" i="4"/>
  <c r="DA40" i="4"/>
  <c r="EB32" i="4"/>
  <c r="CR32" i="4"/>
  <c r="DT49" i="4"/>
  <c r="DX66" i="4"/>
  <c r="DM25" i="4"/>
  <c r="CT20" i="4"/>
  <c r="EQ62" i="4"/>
  <c r="DR27" i="4"/>
  <c r="CK72" i="4"/>
  <c r="EE36" i="4"/>
  <c r="DY39" i="4"/>
  <c r="DC69" i="4"/>
  <c r="EH24" i="4"/>
  <c r="EB22" i="4"/>
  <c r="DY63" i="4"/>
  <c r="EH34" i="4"/>
  <c r="DU30" i="4"/>
  <c r="CS48" i="4"/>
  <c r="CM26" i="4"/>
  <c r="EQ24" i="4"/>
  <c r="EP32" i="4"/>
  <c r="DW21" i="4"/>
  <c r="ED30" i="4"/>
  <c r="CJ23" i="4"/>
  <c r="EB12" i="4"/>
  <c r="CJ74" i="4"/>
  <c r="DJ67" i="4"/>
  <c r="EG45" i="4"/>
  <c r="DQ11" i="4"/>
  <c r="DO27" i="4"/>
  <c r="CT72" i="4"/>
  <c r="DZ78" i="4"/>
  <c r="DR78" i="4"/>
  <c r="DX47" i="4"/>
  <c r="CP59" i="4"/>
  <c r="CL42" i="4"/>
  <c r="CP42" i="4"/>
  <c r="CC20" i="4"/>
  <c r="DR46" i="4"/>
  <c r="DH19" i="4"/>
  <c r="CL70" i="4"/>
  <c r="EJ57" i="4"/>
  <c r="EE16" i="4"/>
  <c r="DG29" i="4"/>
  <c r="DX30" i="4"/>
  <c r="CF35" i="4"/>
  <c r="DE28" i="4"/>
  <c r="EJ79" i="4"/>
  <c r="DN63" i="4"/>
  <c r="DE46" i="4"/>
  <c r="CR72" i="4"/>
  <c r="ER68" i="4"/>
  <c r="DC68" i="4"/>
  <c r="DE78" i="4"/>
  <c r="DU52" i="4"/>
  <c r="DB52" i="4"/>
  <c r="CK15" i="4"/>
  <c r="CN60" i="4"/>
  <c r="CZ60" i="4"/>
  <c r="EI59" i="4"/>
  <c r="ED56" i="4"/>
  <c r="DE44" i="4"/>
  <c r="EO13" i="4"/>
  <c r="ED21" i="4"/>
  <c r="EC16" i="4"/>
  <c r="DE29" i="4"/>
  <c r="CE23" i="4"/>
  <c r="DT71" i="4"/>
  <c r="CC71" i="4"/>
  <c r="DX13" i="4"/>
  <c r="ER13" i="4"/>
  <c r="DI41" i="4"/>
  <c r="DU41" i="4"/>
  <c r="EL14" i="4"/>
  <c r="CU14" i="4"/>
  <c r="CJ28" i="4"/>
  <c r="CI74" i="4"/>
  <c r="DP55" i="4"/>
  <c r="EG55" i="4"/>
  <c r="DA65" i="4"/>
  <c r="ER25" i="4"/>
  <c r="DA25" i="4"/>
  <c r="CD51" i="4"/>
  <c r="CX51" i="4"/>
  <c r="DV11" i="4"/>
  <c r="CE11" i="4"/>
  <c r="DB76" i="4"/>
  <c r="CV17" i="4"/>
  <c r="DX17" i="4"/>
  <c r="CF27" i="4"/>
  <c r="CW46" i="4"/>
  <c r="CW72" i="4"/>
  <c r="EC68" i="4"/>
  <c r="EH58" i="4"/>
  <c r="CQ58" i="4"/>
  <c r="DJ48" i="4"/>
  <c r="ED48" i="4"/>
  <c r="DG36" i="4"/>
  <c r="EA36" i="4"/>
  <c r="DD26" i="4"/>
  <c r="EP38" i="4"/>
  <c r="CY38" i="4"/>
  <c r="EE37" i="4"/>
  <c r="DP18" i="4"/>
  <c r="EB18" i="4"/>
  <c r="CQ69" i="4"/>
  <c r="EL78" i="4"/>
  <c r="CL78" i="4"/>
  <c r="EI54" i="4"/>
  <c r="EB54" i="4"/>
  <c r="CX50" i="4"/>
  <c r="DZ50" i="4"/>
  <c r="DJ47" i="4"/>
  <c r="ED60" i="4"/>
  <c r="CL60" i="4"/>
  <c r="EC56" i="4"/>
  <c r="DC44" i="4"/>
  <c r="CI73" i="4"/>
  <c r="DJ73" i="4"/>
  <c r="CO42" i="4"/>
  <c r="EI57" i="4"/>
  <c r="CY57" i="4"/>
  <c r="DL40" i="4"/>
  <c r="EN40" i="4"/>
  <c r="DQ32" i="4"/>
  <c r="CB64" i="4"/>
  <c r="DU62" i="4"/>
  <c r="CH34" i="4"/>
  <c r="EC13" i="4"/>
  <c r="DY12" i="4"/>
  <c r="DN41" i="4"/>
  <c r="EE14" i="4"/>
  <c r="EE45" i="4"/>
  <c r="CH45" i="4"/>
  <c r="CT43" i="4"/>
  <c r="CL25" i="4"/>
  <c r="DF25" i="4"/>
  <c r="EH51" i="4"/>
  <c r="CQ51" i="4"/>
  <c r="DO11" i="4"/>
  <c r="EI11" i="4"/>
  <c r="DT79" i="4"/>
  <c r="EH79" i="4"/>
  <c r="DW62" i="4"/>
  <c r="CU17" i="4"/>
  <c r="EM17" i="4"/>
  <c r="EQ27" i="4"/>
  <c r="DL63" i="4"/>
  <c r="EN46" i="4"/>
  <c r="CU72" i="4"/>
  <c r="EB68" i="4"/>
  <c r="DX68" i="4"/>
  <c r="DL58" i="4"/>
  <c r="EN58" i="4"/>
  <c r="CK36" i="4"/>
  <c r="DE36" i="4"/>
  <c r="EH39" i="4"/>
  <c r="ED78" i="4"/>
  <c r="EN53" i="4"/>
  <c r="CH33" i="4"/>
  <c r="EN15" i="4"/>
  <c r="DE19" i="4"/>
  <c r="CD19" i="4"/>
  <c r="CP50" i="4"/>
  <c r="DR50" i="4"/>
  <c r="CH44" i="4"/>
  <c r="DB73" i="4"/>
  <c r="EG42" i="4"/>
  <c r="EH57" i="4"/>
  <c r="DL57" i="4"/>
  <c r="CU32" i="4"/>
  <c r="DW32" i="4"/>
  <c r="CF64" i="4"/>
  <c r="DV64" i="4"/>
  <c r="DU21" i="4"/>
  <c r="CF21" i="4"/>
  <c r="CZ16" i="4"/>
  <c r="DT16" i="4"/>
  <c r="DC29" i="4"/>
  <c r="EJ30" i="4"/>
  <c r="CS30" i="4"/>
  <c r="DT35" i="4"/>
  <c r="CC35" i="4"/>
  <c r="DU35" i="4"/>
  <c r="DW23" i="4"/>
  <c r="EI23" i="4"/>
  <c r="CW71" i="4"/>
  <c r="DY71" i="4"/>
  <c r="DH13" i="4"/>
  <c r="EB13" i="4"/>
  <c r="DC12" i="4"/>
  <c r="EE12" i="4"/>
  <c r="CS41" i="4"/>
  <c r="DV14" i="4"/>
  <c r="DK28" i="4"/>
  <c r="EM28" i="4"/>
  <c r="CE65" i="4"/>
  <c r="EH66" i="4"/>
  <c r="CN66" i="4"/>
  <c r="DF66" i="4"/>
  <c r="DP45" i="4"/>
  <c r="DI45" i="4"/>
  <c r="CW43" i="4"/>
  <c r="EP25" i="4"/>
  <c r="CI51" i="4"/>
  <c r="DG11" i="4"/>
  <c r="EA11" i="4"/>
  <c r="CN20" i="4"/>
  <c r="ED61" i="4"/>
  <c r="DW61" i="4"/>
  <c r="DL79" i="4"/>
  <c r="DO79" i="4"/>
  <c r="DO62" i="4"/>
  <c r="EF62" i="4"/>
  <c r="ER17" i="4"/>
  <c r="DA17" i="4"/>
  <c r="DU27" i="4"/>
  <c r="CD27" i="4"/>
  <c r="DG34" i="4"/>
  <c r="EA34" i="4"/>
  <c r="EF34" i="4"/>
  <c r="CN46" i="4"/>
  <c r="CM72" i="4"/>
  <c r="DZ68" i="4"/>
  <c r="DK68" i="4"/>
  <c r="DD58" i="4"/>
  <c r="CJ36" i="4"/>
  <c r="DD36" i="4"/>
  <c r="EF26" i="4"/>
  <c r="CN33" i="4"/>
  <c r="DR15" i="4"/>
  <c r="EL15" i="4"/>
  <c r="DB22" i="4"/>
  <c r="DD22" i="4"/>
  <c r="CP19" i="4"/>
  <c r="EH19" i="4"/>
  <c r="DB54" i="4"/>
  <c r="EE73" i="4"/>
  <c r="CM73" i="4"/>
  <c r="DF73" i="4"/>
  <c r="EL42" i="4"/>
  <c r="EO42" i="4"/>
  <c r="DM57" i="4"/>
  <c r="ER57" i="4"/>
  <c r="DC10" i="4"/>
  <c r="DC77" i="4"/>
  <c r="CW77" i="4"/>
  <c r="CN28" i="4"/>
  <c r="EJ37" i="4"/>
  <c r="CV78" i="4"/>
  <c r="DM70" i="4"/>
  <c r="EO60" i="4"/>
  <c r="DT73" i="4"/>
  <c r="EF10" i="4"/>
  <c r="EF64" i="4"/>
  <c r="DF21" i="4"/>
  <c r="DT21" i="4"/>
  <c r="CK16" i="4"/>
  <c r="DE16" i="4"/>
  <c r="EF29" i="4"/>
  <c r="DY29" i="4"/>
  <c r="EP30" i="4"/>
  <c r="CY30" i="4"/>
  <c r="DZ35" i="4"/>
  <c r="CG12" i="4"/>
  <c r="ER41" i="4"/>
  <c r="CY41" i="4"/>
  <c r="EB14" i="4"/>
  <c r="CK14" i="4"/>
  <c r="DQ28" i="4"/>
  <c r="EK28" i="4"/>
  <c r="DA74" i="4"/>
  <c r="DB74" i="4"/>
  <c r="DM55" i="4"/>
  <c r="EH65" i="4"/>
  <c r="DT65" i="4"/>
  <c r="CW65" i="4"/>
  <c r="DZ67" i="4"/>
  <c r="DC67" i="4"/>
  <c r="EA66" i="4"/>
  <c r="DB45" i="4"/>
  <c r="EJ45" i="4"/>
  <c r="CB43" i="4"/>
  <c r="DV61" i="4"/>
  <c r="CG76" i="4"/>
  <c r="DT76" i="4"/>
  <c r="EC17" i="4"/>
  <c r="CL17" i="4"/>
  <c r="DF27" i="4"/>
  <c r="EH27" i="4"/>
  <c r="EE27" i="4"/>
  <c r="DL34" i="4"/>
  <c r="DP34" i="4"/>
  <c r="ED58" i="4"/>
  <c r="CL48" i="4"/>
  <c r="DF48" i="4"/>
  <c r="CB36" i="4"/>
  <c r="EE26" i="4"/>
  <c r="CF26" i="4"/>
  <c r="EL38" i="4"/>
  <c r="CN37" i="4"/>
  <c r="DP37" i="4"/>
  <c r="CD18" i="4"/>
  <c r="CH52" i="4"/>
  <c r="EH52" i="4"/>
  <c r="EJ24" i="4"/>
  <c r="CS24" i="4"/>
  <c r="DX33" i="4"/>
  <c r="ER33" i="4"/>
  <c r="DC15" i="4"/>
  <c r="EE15" i="4"/>
  <c r="CC70" i="4"/>
  <c r="CF10" i="4"/>
  <c r="CP10" i="4"/>
  <c r="DX49" i="4"/>
  <c r="EB49" i="4"/>
  <c r="CN77" i="4"/>
  <c r="EG75" i="4"/>
  <c r="CO75" i="4"/>
  <c r="DZ75" i="4"/>
  <c r="CD77" i="4"/>
  <c r="CY75" i="4"/>
  <c r="EQ29" i="4"/>
  <c r="DJ35" i="4"/>
  <c r="DA71" i="4"/>
  <c r="CR74" i="4"/>
  <c r="CH67" i="4"/>
  <c r="EF25" i="4"/>
  <c r="DI20" i="4"/>
  <c r="EL62" i="4"/>
  <c r="DV37" i="4"/>
  <c r="DO53" i="4"/>
  <c r="EB33" i="4"/>
  <c r="DW19" i="4"/>
  <c r="DN44" i="4"/>
  <c r="ED42" i="4"/>
  <c r="EQ40" i="4"/>
  <c r="EJ75" i="4"/>
  <c r="DK21" i="4"/>
  <c r="DE13" i="4"/>
  <c r="DW28" i="4"/>
  <c r="CM74" i="4"/>
  <c r="DO74" i="4"/>
  <c r="EJ55" i="4"/>
  <c r="EM55" i="4"/>
  <c r="EM66" i="4"/>
  <c r="CO66" i="4"/>
  <c r="DC43" i="4"/>
  <c r="DL25" i="4"/>
  <c r="EN25" i="4"/>
  <c r="DX51" i="4"/>
  <c r="CJ11" i="4"/>
  <c r="DD11" i="4"/>
  <c r="CO20" i="4"/>
  <c r="ER20" i="4"/>
  <c r="DT61" i="4"/>
  <c r="CM61" i="4"/>
  <c r="CO79" i="4"/>
  <c r="DF62" i="4"/>
  <c r="EQ76" i="4"/>
  <c r="EB17" i="4"/>
  <c r="CK17" i="4"/>
  <c r="DE27" i="4"/>
  <c r="EG27" i="4"/>
  <c r="DE63" i="4"/>
  <c r="DZ46" i="4"/>
  <c r="DV46" i="4"/>
  <c r="CU46" i="4"/>
  <c r="DV72" i="4"/>
  <c r="DD72" i="4"/>
  <c r="DJ68" i="4"/>
  <c r="CK68" i="4"/>
  <c r="CN58" i="4"/>
  <c r="DP58" i="4"/>
  <c r="EI48" i="4"/>
  <c r="CR48" i="4"/>
  <c r="DY36" i="4"/>
  <c r="CI39" i="4"/>
  <c r="EK37" i="4"/>
  <c r="CT37" i="4"/>
  <c r="EA18" i="4"/>
  <c r="CG53" i="4"/>
  <c r="DI53" i="4"/>
  <c r="EF52" i="4"/>
  <c r="DW33" i="4"/>
  <c r="EI33" i="4"/>
  <c r="DB15" i="4"/>
  <c r="DV15" i="4"/>
  <c r="CE22" i="4"/>
  <c r="DG22" i="4"/>
  <c r="EE19" i="4"/>
  <c r="EB47" i="4"/>
  <c r="CK47" i="4"/>
  <c r="CV59" i="4"/>
  <c r="EO56" i="4"/>
  <c r="CW56" i="4"/>
  <c r="DP44" i="4"/>
  <c r="EP44" i="4"/>
  <c r="CF44" i="4"/>
  <c r="EI73" i="4"/>
  <c r="CZ64" i="4"/>
  <c r="DY75" i="4"/>
  <c r="CK75" i="4"/>
  <c r="EC29" i="4"/>
  <c r="CG41" i="4"/>
  <c r="DV50" i="4"/>
  <c r="CK59" i="4"/>
  <c r="EK10" i="4"/>
  <c r="DF64" i="4"/>
  <c r="DL75" i="4"/>
  <c r="DY41" i="4"/>
  <c r="DU76" i="4"/>
  <c r="EJ63" i="4"/>
  <c r="EQ68" i="4"/>
  <c r="DT26" i="4"/>
  <c r="EO57" i="4"/>
  <c r="DE32" i="4"/>
  <c r="EG32" i="4"/>
  <c r="CE29" i="4"/>
  <c r="DU71" i="4"/>
  <c r="DM12" i="4"/>
  <c r="CB45" i="4"/>
  <c r="CQ43" i="4"/>
  <c r="DN36" i="4"/>
  <c r="CX26" i="4"/>
  <c r="DV22" i="4"/>
  <c r="DD70" i="4"/>
  <c r="CM70" i="4"/>
  <c r="DK73" i="4"/>
  <c r="DX64" i="4"/>
  <c r="EF77" i="4"/>
  <c r="ED53" i="4"/>
  <c r="DN70" i="4"/>
  <c r="DW30" i="4"/>
  <c r="DS12" i="4"/>
  <c r="CO67" i="4"/>
  <c r="DD67" i="4"/>
  <c r="DS45" i="4"/>
  <c r="CS43" i="4"/>
  <c r="CY20" i="4"/>
  <c r="CO61" i="4"/>
  <c r="DN79" i="4"/>
  <c r="DG79" i="4"/>
  <c r="EJ34" i="4"/>
  <c r="DO39" i="4"/>
  <c r="CZ52" i="4"/>
  <c r="DJ24" i="4"/>
  <c r="CC15" i="4"/>
  <c r="DY22" i="4"/>
  <c r="DF22" i="4"/>
  <c r="DF19" i="4"/>
  <c r="CG59" i="4"/>
  <c r="DC56" i="4"/>
  <c r="DU77" i="4"/>
  <c r="CX77" i="4"/>
  <c r="DK75" i="4"/>
  <c r="CJ71" i="4"/>
  <c r="EQ74" i="4"/>
  <c r="EC50" i="4"/>
  <c r="DR29" i="4"/>
  <c r="DH30" i="4"/>
  <c r="CR35" i="4"/>
  <c r="CU23" i="4"/>
  <c r="DP13" i="4"/>
  <c r="EJ13" i="4"/>
  <c r="DU66" i="4"/>
  <c r="CJ76" i="4"/>
  <c r="CV46" i="4"/>
  <c r="EF37" i="4"/>
  <c r="DA18" i="4"/>
  <c r="CC69" i="4"/>
  <c r="DL53" i="4"/>
  <c r="CY52" i="4"/>
  <c r="DX22" i="4"/>
  <c r="CT54" i="4"/>
  <c r="CU47" i="4"/>
  <c r="DW60" i="4"/>
  <c r="DQ60" i="4"/>
  <c r="EE59" i="4"/>
  <c r="EP56" i="4"/>
  <c r="EI42" i="4"/>
  <c r="CW40" i="4"/>
  <c r="DY40" i="4"/>
  <c r="EA41" i="4"/>
  <c r="EF79" i="4"/>
  <c r="DA68" i="4"/>
  <c r="EF39" i="4"/>
  <c r="DI69" i="4"/>
  <c r="CY59" i="4"/>
  <c r="DQ64" i="4"/>
  <c r="EH77" i="4"/>
  <c r="CI29" i="4"/>
  <c r="EE74" i="4"/>
  <c r="CH74" i="4"/>
  <c r="DG55" i="4"/>
  <c r="CX25" i="4"/>
  <c r="DZ51" i="4"/>
  <c r="CU76" i="4"/>
  <c r="EP46" i="4"/>
  <c r="EL46" i="4"/>
  <c r="EM58" i="4"/>
  <c r="CM48" i="4"/>
  <c r="DS38" i="4"/>
  <c r="CI31" i="4"/>
  <c r="DL39" i="4"/>
  <c r="CH37" i="4"/>
  <c r="DQ37" i="4"/>
  <c r="CE18" i="4"/>
  <c r="DG18" i="4"/>
  <c r="DZ69" i="4"/>
  <c r="DT69" i="4"/>
  <c r="DD53" i="4"/>
  <c r="EF53" i="4"/>
  <c r="CJ52" i="4"/>
  <c r="DD52" i="4"/>
  <c r="ED24" i="4"/>
  <c r="CM24" i="4"/>
  <c r="DR33" i="4"/>
  <c r="ER70" i="4"/>
  <c r="CO70" i="4"/>
  <c r="CH50" i="4"/>
  <c r="DJ50" i="4"/>
  <c r="CM47" i="4"/>
  <c r="DO60" i="4"/>
  <c r="DW59" i="4"/>
  <c r="CO59" i="4"/>
  <c r="CZ56" i="4"/>
  <c r="DT56" i="4"/>
  <c r="DX40" i="4"/>
  <c r="ER32" i="4"/>
  <c r="DA32" i="4"/>
  <c r="CD64" i="4"/>
  <c r="EL49" i="4"/>
  <c r="CR45" i="4"/>
  <c r="EL79" i="4"/>
  <c r="DL76" i="4"/>
  <c r="EF63" i="4"/>
  <c r="CO68" i="4"/>
  <c r="DU48" i="4"/>
  <c r="CG29" i="4"/>
  <c r="DH23" i="4"/>
  <c r="EB23" i="4"/>
  <c r="CO71" i="4"/>
  <c r="DQ71" i="4"/>
  <c r="CZ13" i="4"/>
  <c r="DT13" i="4"/>
  <c r="DI12" i="4"/>
  <c r="CB66" i="4"/>
  <c r="CO43" i="4"/>
  <c r="DK43" i="4"/>
  <c r="EH25" i="4"/>
  <c r="CY11" i="4"/>
  <c r="DS11" i="4"/>
  <c r="CF20" i="4"/>
  <c r="DC79" i="4"/>
  <c r="CO62" i="4"/>
  <c r="DX72" i="4"/>
  <c r="CE68" i="4"/>
  <c r="CM68" i="4"/>
  <c r="DJ58" i="4"/>
  <c r="CI36" i="4"/>
  <c r="DC36" i="4"/>
  <c r="DR31" i="4"/>
  <c r="EL31" i="4"/>
  <c r="CJ39" i="4"/>
  <c r="EL37" i="4"/>
  <c r="DE18" i="4"/>
  <c r="CF69" i="4"/>
  <c r="CH53" i="4"/>
  <c r="DJ53" i="4"/>
  <c r="EG52" i="4"/>
  <c r="CG22" i="4"/>
  <c r="DH22" i="4"/>
  <c r="CO19" i="4"/>
  <c r="CV54" i="4"/>
  <c r="EK54" i="4"/>
  <c r="DB50" i="4"/>
  <c r="DV47" i="4"/>
  <c r="CE47" i="4"/>
  <c r="DG60" i="4"/>
  <c r="DA59" i="4"/>
  <c r="DL59" i="4"/>
  <c r="CE56" i="4"/>
  <c r="DE56" i="4"/>
  <c r="DX44" i="4"/>
  <c r="CE44" i="4"/>
  <c r="DA44" i="4"/>
  <c r="EQ73" i="4"/>
  <c r="EF73" i="4"/>
  <c r="CG42" i="4"/>
  <c r="CX57" i="4"/>
  <c r="DB40" i="4"/>
  <c r="CE32" i="4"/>
  <c r="DG32" i="4"/>
  <c r="CU64" i="4"/>
  <c r="CV72" i="4"/>
  <c r="EO16" i="4"/>
  <c r="CP16" i="4"/>
  <c r="CD16" i="4"/>
  <c r="EK29" i="4"/>
  <c r="EA30" i="4"/>
  <c r="CJ30" i="4"/>
  <c r="EM35" i="4"/>
  <c r="CL23" i="4"/>
  <c r="DF23" i="4"/>
  <c r="EM71" i="4"/>
  <c r="CN71" i="4"/>
  <c r="CR71" i="4"/>
  <c r="CR13" i="4"/>
  <c r="DL13" i="4"/>
  <c r="CM12" i="4"/>
  <c r="DO12" i="4"/>
  <c r="CC41" i="4"/>
  <c r="DF14" i="4"/>
  <c r="EH14" i="4"/>
  <c r="CU28" i="4"/>
  <c r="DG65" i="4"/>
  <c r="CJ65" i="4"/>
  <c r="DL67" i="4"/>
  <c r="DR67" i="4"/>
  <c r="CT45" i="4"/>
  <c r="DN45" i="4"/>
  <c r="CV51" i="4"/>
  <c r="CY62" i="4"/>
  <c r="CE76" i="4"/>
  <c r="CB76" i="4"/>
  <c r="CP34" i="4"/>
  <c r="DR34" i="4"/>
  <c r="DJ36" i="4"/>
  <c r="DV26" i="4"/>
  <c r="CE26" i="4"/>
  <c r="DQ38" i="4"/>
  <c r="EK38" i="4"/>
  <c r="DX31" i="4"/>
  <c r="CQ18" i="4"/>
  <c r="DJ69" i="4"/>
  <c r="EJ69" i="4"/>
  <c r="CN78" i="4"/>
  <c r="CG52" i="4"/>
  <c r="DO24" i="4"/>
  <c r="EI24" i="4"/>
  <c r="CN19" i="4"/>
  <c r="CX54" i="4"/>
  <c r="DD54" i="4"/>
  <c r="DW70" i="4"/>
  <c r="CG70" i="4"/>
  <c r="EE50" i="4"/>
  <c r="CF50" i="4"/>
  <c r="DH50" i="4"/>
  <c r="DL60" i="4"/>
  <c r="CE60" i="4"/>
  <c r="CZ59" i="4"/>
  <c r="DX73" i="4"/>
  <c r="DM42" i="4"/>
  <c r="DO42" i="4"/>
  <c r="CW57" i="4"/>
  <c r="DA57" i="4"/>
  <c r="CM10" i="4"/>
  <c r="CQ10" i="4"/>
  <c r="CF40" i="4"/>
  <c r="DH40" i="4"/>
  <c r="EI32" i="4"/>
  <c r="ER77" i="4"/>
  <c r="DQ29" i="4"/>
  <c r="CE45" i="4"/>
  <c r="DV51" i="4"/>
  <c r="DR61" i="4"/>
  <c r="CS62" i="4"/>
  <c r="ER63" i="4"/>
  <c r="DV68" i="4"/>
  <c r="DP38" i="4"/>
  <c r="EQ37" i="4"/>
  <c r="DU33" i="4"/>
  <c r="CF19" i="4"/>
  <c r="FD10" i="4" l="1" a="1"/>
  <c r="HU79" i="4" s="1"/>
  <c r="HR12" i="4" l="1"/>
  <c r="FY12" i="4"/>
  <c r="GA13" i="4"/>
  <c r="GK15" i="4"/>
  <c r="HB15" i="4"/>
  <c r="GT10" i="4"/>
  <c r="HU17" i="4"/>
  <c r="FX15" i="4"/>
  <c r="HP13" i="4"/>
  <c r="FI17" i="4"/>
  <c r="HB12" i="4"/>
  <c r="HL14" i="4"/>
  <c r="GY16" i="4"/>
  <c r="GQ11" i="4"/>
  <c r="HJ18" i="4"/>
  <c r="HS18" i="4"/>
  <c r="GU27" i="4"/>
  <c r="HP10" i="4"/>
  <c r="FU10" i="4"/>
  <c r="GV17" i="4"/>
  <c r="GN12" i="4"/>
  <c r="HG19" i="4"/>
  <c r="FH16" i="4"/>
  <c r="GB11" i="4"/>
  <c r="HM14" i="4"/>
  <c r="FQ11" i="4"/>
  <c r="FR11" i="4"/>
  <c r="GK18" i="4"/>
  <c r="GC13" i="4"/>
  <c r="FK23" i="4"/>
  <c r="GI10" i="4"/>
  <c r="GJ28" i="4"/>
  <c r="HO13" i="4"/>
  <c r="FL18" i="4"/>
  <c r="FO12" i="4"/>
  <c r="GH19" i="4"/>
  <c r="FZ14" i="4"/>
  <c r="HR30" i="4"/>
  <c r="HB17" i="4"/>
  <c r="FL16" i="4"/>
  <c r="FN12" i="4"/>
  <c r="FD13" i="4"/>
  <c r="FY21" i="4"/>
  <c r="FW15" i="4"/>
  <c r="GM10" i="4"/>
  <c r="FL23" i="4"/>
  <c r="GT12" i="4"/>
  <c r="GS15" i="4"/>
  <c r="HU14" i="4"/>
  <c r="GV12" i="4"/>
  <c r="FY30" i="4"/>
  <c r="GH16" i="4"/>
  <c r="FP14" i="4"/>
  <c r="GD12" i="4"/>
  <c r="GQ13" i="4"/>
  <c r="GR10" i="4"/>
  <c r="GN14" i="4"/>
  <c r="HF16" i="4"/>
  <c r="GC15" i="4"/>
  <c r="HK17" i="4"/>
  <c r="FZ16" i="4"/>
  <c r="GK10" i="4"/>
  <c r="GH11" i="4"/>
  <c r="GE12" i="4"/>
  <c r="FT13" i="4"/>
  <c r="FQ14" i="4"/>
  <c r="FF15" i="4"/>
  <c r="HR15" i="4"/>
  <c r="HO16" i="4"/>
  <c r="HL17" i="4"/>
  <c r="HA18" i="4"/>
  <c r="GX19" i="4"/>
  <c r="FV22" i="4"/>
  <c r="HJ30" i="4"/>
  <c r="HB30" i="4"/>
  <c r="HJ10" i="4"/>
  <c r="HG11" i="4"/>
  <c r="HD12" i="4"/>
  <c r="GS13" i="4"/>
  <c r="GP14" i="4"/>
  <c r="GM15" i="4"/>
  <c r="GB16" i="4"/>
  <c r="FY17" i="4"/>
  <c r="FN18" i="4"/>
  <c r="FK19" i="4"/>
  <c r="FT20" i="4"/>
  <c r="GK25" i="4"/>
  <c r="HU39" i="4"/>
  <c r="HC10" i="4"/>
  <c r="GR11" i="4"/>
  <c r="GO12" i="4"/>
  <c r="FM16" i="4"/>
  <c r="HH19" i="4"/>
  <c r="HL10" i="4"/>
  <c r="GJ14" i="4"/>
  <c r="FP18" i="4"/>
  <c r="GO29" i="4"/>
  <c r="HN15" i="4"/>
  <c r="GP10" i="4"/>
  <c r="HI17" i="4"/>
  <c r="FU12" i="4"/>
  <c r="GV19" i="4"/>
  <c r="HU24" i="4"/>
  <c r="GZ24" i="4"/>
  <c r="HT14" i="4"/>
  <c r="HG13" i="4"/>
  <c r="FZ11" i="4"/>
  <c r="HU29" i="4"/>
  <c r="FI24" i="4"/>
  <c r="FO17" i="4"/>
  <c r="HI15" i="4"/>
  <c r="FT10" i="4"/>
  <c r="FX14" i="4"/>
  <c r="FF12" i="4"/>
  <c r="FU15" i="4"/>
  <c r="GM17" i="4"/>
  <c r="FJ16" i="4"/>
  <c r="GR18" i="4"/>
  <c r="FG17" i="4"/>
  <c r="GS10" i="4"/>
  <c r="GP11" i="4"/>
  <c r="GM12" i="4"/>
  <c r="GB13" i="4"/>
  <c r="FY14" i="4"/>
  <c r="FN15" i="4"/>
  <c r="FK16" i="4"/>
  <c r="FH17" i="4"/>
  <c r="HT17" i="4"/>
  <c r="HI18" i="4"/>
  <c r="HF19" i="4"/>
  <c r="HO23" i="4"/>
  <c r="GN34" i="4"/>
  <c r="FF10" i="4"/>
  <c r="HR10" i="4"/>
  <c r="HO11" i="4"/>
  <c r="HL12" i="4"/>
  <c r="HA13" i="4"/>
  <c r="GX14" i="4"/>
  <c r="GU15" i="4"/>
  <c r="GJ16" i="4"/>
  <c r="GG17" i="4"/>
  <c r="FV18" i="4"/>
  <c r="FS19" i="4"/>
  <c r="GP20" i="4"/>
  <c r="FR26" i="4"/>
  <c r="FW21" i="4"/>
  <c r="HK10" i="4"/>
  <c r="GZ11" i="4"/>
  <c r="FV13" i="4"/>
  <c r="HQ16" i="4"/>
  <c r="HM21" i="4"/>
  <c r="GS11" i="4"/>
  <c r="FY15" i="4"/>
  <c r="HT18" i="4"/>
  <c r="GG10" i="4"/>
  <c r="HK16" i="4"/>
  <c r="GM11" i="4"/>
  <c r="HF18" i="4"/>
  <c r="FR13" i="4"/>
  <c r="GW21" i="4"/>
  <c r="HJ25" i="4"/>
  <c r="HH38" i="4"/>
  <c r="GF11" i="4"/>
  <c r="HH18" i="4"/>
  <c r="GP16" i="4"/>
  <c r="HM11" i="4"/>
  <c r="FE15" i="4"/>
  <c r="GY13" i="4"/>
  <c r="HN16" i="4"/>
  <c r="GZ10" i="4"/>
  <c r="HC17" i="4"/>
  <c r="FL10" i="4"/>
  <c r="HS17" i="4"/>
  <c r="HA10" i="4"/>
  <c r="GX11" i="4"/>
  <c r="GU12" i="4"/>
  <c r="GJ13" i="4"/>
  <c r="GG14" i="4"/>
  <c r="FV15" i="4"/>
  <c r="FS16" i="4"/>
  <c r="FP17" i="4"/>
  <c r="FE18" i="4"/>
  <c r="HQ18" i="4"/>
  <c r="HN19" i="4"/>
  <c r="GV24" i="4"/>
  <c r="FI39" i="4"/>
  <c r="FN10" i="4"/>
  <c r="FK11" i="4"/>
  <c r="FH12" i="4"/>
  <c r="HT12" i="4"/>
  <c r="HI13" i="4"/>
  <c r="HF14" i="4"/>
  <c r="HC15" i="4"/>
  <c r="GR16" i="4"/>
  <c r="GO17" i="4"/>
  <c r="GD18" i="4"/>
  <c r="GA19" i="4"/>
  <c r="HK20" i="4"/>
  <c r="HK27" i="4"/>
  <c r="FG10" i="4"/>
  <c r="HS10" i="4"/>
  <c r="HH11" i="4"/>
  <c r="GD13" i="4"/>
  <c r="FJ17" i="4"/>
  <c r="GL22" i="4"/>
  <c r="HA11" i="4"/>
  <c r="GG15" i="4"/>
  <c r="FE19" i="4"/>
  <c r="GO10" i="4"/>
  <c r="GZ17" i="4"/>
  <c r="GB12" i="4"/>
  <c r="HC19" i="4"/>
  <c r="FO14" i="4"/>
  <c r="FT28" i="4"/>
  <c r="HG26" i="4"/>
  <c r="HC26" i="4"/>
  <c r="FI29" i="4"/>
  <c r="GU13" i="4"/>
  <c r="FS17" i="4"/>
  <c r="GT22" i="4"/>
  <c r="FE14" i="4"/>
  <c r="GP26" i="4"/>
  <c r="HU22" i="4"/>
  <c r="HJ12" i="4"/>
  <c r="FR16" i="4"/>
  <c r="FL13" i="4"/>
  <c r="HG16" i="4"/>
  <c r="HE21" i="4"/>
  <c r="HB10" i="4"/>
  <c r="GK13" i="4"/>
  <c r="GH14" i="4"/>
  <c r="FT16" i="4"/>
  <c r="FF18" i="4"/>
  <c r="HR18" i="4"/>
  <c r="HO19" i="4"/>
  <c r="HD24" i="4"/>
  <c r="FN32" i="4"/>
  <c r="GU10" i="4"/>
  <c r="GJ11" i="4"/>
  <c r="GG12" i="4"/>
  <c r="FE16" i="4"/>
  <c r="GZ19" i="4"/>
  <c r="HD10" i="4"/>
  <c r="GB14" i="4"/>
  <c r="FH18" i="4"/>
  <c r="HH28" i="4"/>
  <c r="HQ14" i="4"/>
  <c r="GY18" i="4"/>
  <c r="GB10" i="4"/>
  <c r="FW17" i="4"/>
  <c r="FH14" i="4"/>
  <c r="HQ15" i="4"/>
  <c r="FM15" i="4"/>
  <c r="GU17" i="4"/>
  <c r="HH10" i="4"/>
  <c r="GJ18" i="4"/>
  <c r="HE11" i="4"/>
  <c r="GZ18" i="4"/>
  <c r="HI10" i="4"/>
  <c r="HF11" i="4"/>
  <c r="HC12" i="4"/>
  <c r="GR13" i="4"/>
  <c r="GO14" i="4"/>
  <c r="GD15" i="4"/>
  <c r="GA16" i="4"/>
  <c r="FX17" i="4"/>
  <c r="FM18" i="4"/>
  <c r="FJ19" i="4"/>
  <c r="FR20" i="4"/>
  <c r="GC25" i="4"/>
  <c r="GG19" i="4"/>
  <c r="FV10" i="4"/>
  <c r="FS11" i="4"/>
  <c r="FP12" i="4"/>
  <c r="FE13" i="4"/>
  <c r="HQ13" i="4"/>
  <c r="HN14" i="4"/>
  <c r="HK15" i="4"/>
  <c r="GZ16" i="4"/>
  <c r="GW17" i="4"/>
  <c r="GL18" i="4"/>
  <c r="GI19" i="4"/>
  <c r="GE21" i="4"/>
  <c r="GR28" i="4"/>
  <c r="FO10" i="4"/>
  <c r="FD11" i="4"/>
  <c r="HP11" i="4"/>
  <c r="FS14" i="4"/>
  <c r="HN17" i="4"/>
  <c r="GZ28" i="4"/>
  <c r="GP12" i="4"/>
  <c r="FN16" i="4"/>
  <c r="HI19" i="4"/>
  <c r="FV11" i="4"/>
  <c r="GW18" i="4"/>
  <c r="FY13" i="4"/>
  <c r="HJ22" i="4"/>
  <c r="FD15" i="4"/>
  <c r="GC20" i="4"/>
  <c r="HD27" i="4"/>
  <c r="FM22" i="4"/>
  <c r="GW11" i="4"/>
  <c r="GV14" i="4"/>
  <c r="FW12" i="4"/>
  <c r="HJ15" i="4"/>
  <c r="HD17" i="4"/>
  <c r="GP19" i="4"/>
  <c r="GY11" i="4"/>
  <c r="FQ17" i="4"/>
  <c r="HT16" i="4"/>
  <c r="FI11" i="4"/>
  <c r="FD18" i="4"/>
  <c r="HA15" i="4"/>
  <c r="GX16" i="4"/>
  <c r="FT18" i="4"/>
  <c r="GB18" i="4"/>
  <c r="GO11" i="4"/>
  <c r="FK13" i="4"/>
  <c r="GL12" i="4"/>
  <c r="FE10" i="4"/>
  <c r="HQ10" i="4"/>
  <c r="HN11" i="4"/>
  <c r="HK12" i="4"/>
  <c r="GZ13" i="4"/>
  <c r="GW14" i="4"/>
  <c r="GL15" i="4"/>
  <c r="GI16" i="4"/>
  <c r="GF17" i="4"/>
  <c r="FU18" i="4"/>
  <c r="FR19" i="4"/>
  <c r="GM20" i="4"/>
  <c r="FJ26" i="4"/>
  <c r="HU19" i="4"/>
  <c r="GD10" i="4"/>
  <c r="GA11" i="4"/>
  <c r="FX12" i="4"/>
  <c r="FM13" i="4"/>
  <c r="FJ14" i="4"/>
  <c r="FG15" i="4"/>
  <c r="HS15" i="4"/>
  <c r="HH16" i="4"/>
  <c r="HE17" i="4"/>
  <c r="GT18" i="4"/>
  <c r="GQ19" i="4"/>
  <c r="HK21" i="4"/>
  <c r="FY29" i="4"/>
  <c r="FW10" i="4"/>
  <c r="FL11" i="4"/>
  <c r="FI12" i="4"/>
  <c r="GA14" i="4"/>
  <c r="FG18" i="4"/>
  <c r="GG29" i="4"/>
  <c r="GX12" i="4"/>
  <c r="FV16" i="4"/>
  <c r="HQ19" i="4"/>
  <c r="FS12" i="4"/>
  <c r="GL19" i="4"/>
  <c r="FN14" i="4"/>
  <c r="HE29" i="4"/>
  <c r="HP15" i="4"/>
  <c r="FZ21" i="4"/>
  <c r="FF20" i="4"/>
  <c r="HK40" i="4"/>
  <c r="GI13" i="4"/>
  <c r="GF14" i="4"/>
  <c r="GC10" i="4"/>
  <c r="FI14" i="4"/>
  <c r="GS18" i="4"/>
  <c r="FQ29" i="4"/>
  <c r="GE15" i="4"/>
  <c r="HE19" i="4"/>
  <c r="HU11" i="4"/>
  <c r="HP18" i="4"/>
  <c r="GJ10" i="4"/>
  <c r="GE17" i="4"/>
  <c r="GG11" i="4"/>
  <c r="FY11" i="4"/>
  <c r="FV12" i="4"/>
  <c r="HD14" i="4"/>
  <c r="FS13" i="4"/>
  <c r="FM10" i="4"/>
  <c r="FJ11" i="4"/>
  <c r="FG12" i="4"/>
  <c r="HS12" i="4"/>
  <c r="HH13" i="4"/>
  <c r="HE14" i="4"/>
  <c r="GT15" i="4"/>
  <c r="GQ16" i="4"/>
  <c r="GN17" i="4"/>
  <c r="GC18" i="4"/>
  <c r="FZ19" i="4"/>
  <c r="HH20" i="4"/>
  <c r="HC27" i="4"/>
  <c r="HF20" i="4"/>
  <c r="GL10" i="4"/>
  <c r="GI11" i="4"/>
  <c r="GF12" i="4"/>
  <c r="FU13" i="4"/>
  <c r="FR14" i="4"/>
  <c r="FO15" i="4"/>
  <c r="FD16" i="4"/>
  <c r="HP16" i="4"/>
  <c r="HM17" i="4"/>
  <c r="HB18" i="4"/>
  <c r="GY19" i="4"/>
  <c r="GD22" i="4"/>
  <c r="FF30" i="4"/>
  <c r="GE10" i="4"/>
  <c r="FT11" i="4"/>
  <c r="FQ12" i="4"/>
  <c r="FP15" i="4"/>
  <c r="HK18" i="4"/>
  <c r="FU25" i="4"/>
  <c r="GM13" i="4"/>
  <c r="FK17" i="4"/>
  <c r="HS21" i="4"/>
  <c r="FP13" i="4"/>
  <c r="HS20" i="4"/>
  <c r="FK15" i="4"/>
  <c r="HM19" i="4"/>
  <c r="HM16" i="4"/>
  <c r="FW22" i="4"/>
  <c r="GG27" i="4"/>
  <c r="GG35" i="4"/>
  <c r="GD11" i="4"/>
  <c r="GA12" i="4"/>
  <c r="FX13" i="4"/>
  <c r="FM14" i="4"/>
  <c r="FJ15" i="4"/>
  <c r="FG16" i="4"/>
  <c r="HS16" i="4"/>
  <c r="HH17" i="4"/>
  <c r="HE18" i="4"/>
  <c r="GT19" i="4"/>
  <c r="FI21" i="4"/>
  <c r="FW27" i="4"/>
  <c r="FN22" i="4"/>
  <c r="GX10" i="4"/>
  <c r="GU11" i="4"/>
  <c r="GJ12" i="4"/>
  <c r="GG13" i="4"/>
  <c r="FV14" i="4"/>
  <c r="FS15" i="4"/>
  <c r="FP16" i="4"/>
  <c r="FE17" i="4"/>
  <c r="HQ17" i="4"/>
  <c r="HN18" i="4"/>
  <c r="HK19" i="4"/>
  <c r="GQ23" i="4"/>
  <c r="GL30" i="4"/>
  <c r="FO20" i="4"/>
  <c r="GQ10" i="4"/>
  <c r="GN11" i="4"/>
  <c r="GC12" i="4"/>
  <c r="FZ13" i="4"/>
  <c r="FW14" i="4"/>
  <c r="FL15" i="4"/>
  <c r="FI16" i="4"/>
  <c r="HU16" i="4"/>
  <c r="HJ17" i="4"/>
  <c r="HG18" i="4"/>
  <c r="HD19" i="4"/>
  <c r="FF22" i="4"/>
  <c r="HM29" i="4"/>
  <c r="GK20" i="4"/>
  <c r="GH21" i="4"/>
  <c r="GE22" i="4"/>
  <c r="FT23" i="4"/>
  <c r="FQ24" i="4"/>
  <c r="FF25" i="4"/>
  <c r="HR25" i="4"/>
  <c r="HO26" i="4"/>
  <c r="HL27" i="4"/>
  <c r="HR20" i="4"/>
  <c r="FV28" i="4"/>
  <c r="HJ23" i="4"/>
  <c r="GP31" i="4"/>
  <c r="GW25" i="4"/>
  <c r="FY20" i="4"/>
  <c r="GO28" i="4"/>
  <c r="GE24" i="4"/>
  <c r="HO46" i="4"/>
  <c r="GW42" i="4"/>
  <c r="GW12" i="4"/>
  <c r="GL13" i="4"/>
  <c r="GI14" i="4"/>
  <c r="GF15" i="4"/>
  <c r="FU16" i="4"/>
  <c r="FR17" i="4"/>
  <c r="FO18" i="4"/>
  <c r="FD19" i="4"/>
  <c r="HP19" i="4"/>
  <c r="FS23" i="4"/>
  <c r="FN30" i="4"/>
  <c r="FH10" i="4"/>
  <c r="HT10" i="4"/>
  <c r="HI11" i="4"/>
  <c r="HF12" i="4"/>
  <c r="HC13" i="4"/>
  <c r="GR14" i="4"/>
  <c r="GO15" i="4"/>
  <c r="GD16" i="4"/>
  <c r="GA17" i="4"/>
  <c r="FX18" i="4"/>
  <c r="FM19" i="4"/>
  <c r="FD20" i="4"/>
  <c r="GA23" i="4"/>
  <c r="FV30" i="4"/>
  <c r="GW10" i="4"/>
  <c r="GL11" i="4"/>
  <c r="GI12" i="4"/>
  <c r="GF13" i="4"/>
  <c r="FU14" i="4"/>
  <c r="FR15" i="4"/>
  <c r="FO16" i="4"/>
  <c r="FD17" i="4"/>
  <c r="HP17" i="4"/>
  <c r="HM18" i="4"/>
  <c r="HB19" i="4"/>
  <c r="GO21" i="4"/>
  <c r="FD28" i="4"/>
  <c r="HG23" i="4"/>
  <c r="HF10" i="4"/>
  <c r="HC11" i="4"/>
  <c r="GR12" i="4"/>
  <c r="GO13" i="4"/>
  <c r="GD14" i="4"/>
  <c r="GA15" i="4"/>
  <c r="FX16" i="4"/>
  <c r="FM17" i="4"/>
  <c r="FJ18" i="4"/>
  <c r="FG19" i="4"/>
  <c r="HS19" i="4"/>
  <c r="FX24" i="4"/>
  <c r="GG31" i="4"/>
  <c r="GN24" i="4"/>
  <c r="GY10" i="4"/>
  <c r="GV11" i="4"/>
  <c r="GK12" i="4"/>
  <c r="GH13" i="4"/>
  <c r="GE14" i="4"/>
  <c r="FT15" i="4"/>
  <c r="FQ16" i="4"/>
  <c r="FF17" i="4"/>
  <c r="HR17" i="4"/>
  <c r="HO18" i="4"/>
  <c r="HL19" i="4"/>
  <c r="HR22" i="4"/>
  <c r="GT30" i="4"/>
  <c r="GS20" i="4"/>
  <c r="GP21" i="4"/>
  <c r="GM22" i="4"/>
  <c r="GB23" i="4"/>
  <c r="FY24" i="4"/>
  <c r="FN25" i="4"/>
  <c r="FK26" i="4"/>
  <c r="FH27" i="4"/>
  <c r="HT27" i="4"/>
  <c r="HO21" i="4"/>
  <c r="FS29" i="4"/>
  <c r="HG24" i="4"/>
  <c r="GZ38" i="4"/>
  <c r="GL26" i="4"/>
  <c r="FN21" i="4"/>
  <c r="GX31" i="4"/>
  <c r="HM26" i="4"/>
  <c r="HL32" i="4"/>
  <c r="HN35" i="4"/>
  <c r="HE12" i="4"/>
  <c r="GT13" i="4"/>
  <c r="GQ14" i="4"/>
  <c r="GN15" i="4"/>
  <c r="GC16" i="4"/>
  <c r="FZ17" i="4"/>
  <c r="FW18" i="4"/>
  <c r="FL19" i="4"/>
  <c r="FW20" i="4"/>
  <c r="HL24" i="4"/>
  <c r="GU37" i="4"/>
  <c r="FP10" i="4"/>
  <c r="FE11" i="4"/>
  <c r="HQ11" i="4"/>
  <c r="HN12" i="4"/>
  <c r="HK13" i="4"/>
  <c r="GZ14" i="4"/>
  <c r="GW15" i="4"/>
  <c r="GL16" i="4"/>
  <c r="GI17" i="4"/>
  <c r="GF18" i="4"/>
  <c r="FU19" i="4"/>
  <c r="FZ20" i="4"/>
  <c r="FH24" i="4"/>
  <c r="FU35" i="4"/>
  <c r="HE10" i="4"/>
  <c r="GT11" i="4"/>
  <c r="GQ12" i="4"/>
  <c r="GN13" i="4"/>
  <c r="GC14" i="4"/>
  <c r="FZ15" i="4"/>
  <c r="FW16" i="4"/>
  <c r="FL17" i="4"/>
  <c r="FI18" i="4"/>
  <c r="HU18" i="4"/>
  <c r="HJ19" i="4"/>
  <c r="HU21" i="4"/>
  <c r="HP28" i="4"/>
  <c r="GB28" i="4"/>
  <c r="HN10" i="4"/>
  <c r="HK11" i="4"/>
  <c r="GZ12" i="4"/>
  <c r="GW13" i="4"/>
  <c r="GL14" i="4"/>
  <c r="GI15" i="4"/>
  <c r="GF16" i="4"/>
  <c r="FU17" i="4"/>
  <c r="FR18" i="4"/>
  <c r="FO19" i="4"/>
  <c r="FJ20" i="4"/>
  <c r="FE25" i="4"/>
  <c r="HG33" i="4"/>
  <c r="HN26" i="4"/>
  <c r="HG10" i="4"/>
  <c r="HD11" i="4"/>
  <c r="GS12" i="4"/>
  <c r="GP13" i="4"/>
  <c r="GM14" i="4"/>
  <c r="GB15" i="4"/>
  <c r="FY16" i="4"/>
  <c r="FN17" i="4"/>
  <c r="FK18" i="4"/>
  <c r="FH19" i="4"/>
  <c r="HT19" i="4"/>
  <c r="GY23" i="4"/>
  <c r="HM31" i="4"/>
  <c r="HA20" i="4"/>
  <c r="GX21" i="4"/>
  <c r="GU22" i="4"/>
  <c r="GJ23" i="4"/>
  <c r="GG24" i="4"/>
  <c r="FV25" i="4"/>
  <c r="FS26" i="4"/>
  <c r="FP27" i="4"/>
  <c r="FE28" i="4"/>
  <c r="HL22" i="4"/>
  <c r="FP30" i="4"/>
  <c r="HD25" i="4"/>
  <c r="FP20" i="4"/>
  <c r="GI27" i="4"/>
  <c r="FK22" i="4"/>
  <c r="GB22" i="4"/>
  <c r="GN29" i="4"/>
  <c r="GE35" i="4"/>
  <c r="HQ41" i="4"/>
  <c r="HM12" i="4"/>
  <c r="HB13" i="4"/>
  <c r="GY14" i="4"/>
  <c r="GV15" i="4"/>
  <c r="GK16" i="4"/>
  <c r="GH17" i="4"/>
  <c r="GE18" i="4"/>
  <c r="FT19" i="4"/>
  <c r="GR20" i="4"/>
  <c r="GS25" i="4"/>
  <c r="FQ19" i="4"/>
  <c r="FX10" i="4"/>
  <c r="FM11" i="4"/>
  <c r="FJ12" i="4"/>
  <c r="FG13" i="4"/>
  <c r="HS13" i="4"/>
  <c r="HH14" i="4"/>
  <c r="HE15" i="4"/>
  <c r="GT16" i="4"/>
  <c r="GQ17" i="4"/>
  <c r="GN18" i="4"/>
  <c r="GC19" i="4"/>
  <c r="GU20" i="4"/>
  <c r="HT24" i="4"/>
  <c r="HN36" i="4"/>
  <c r="HM10" i="4"/>
  <c r="HB11" i="4"/>
  <c r="GY12" i="4"/>
  <c r="GV13" i="4"/>
  <c r="GK14" i="4"/>
  <c r="GH15" i="4"/>
  <c r="GE16" i="4"/>
  <c r="FT17" i="4"/>
  <c r="FQ18" i="4"/>
  <c r="FF19" i="4"/>
  <c r="HR19" i="4"/>
  <c r="HB22" i="4"/>
  <c r="GW29" i="4"/>
  <c r="FJ10" i="4"/>
  <c r="FG11" i="4"/>
  <c r="HS11" i="4"/>
  <c r="HH12" i="4"/>
  <c r="HE13" i="4"/>
  <c r="GT14" i="4"/>
  <c r="GQ15" i="4"/>
  <c r="GN16" i="4"/>
  <c r="GC17" i="4"/>
  <c r="FZ18" i="4"/>
  <c r="FW19" i="4"/>
  <c r="GE20" i="4"/>
  <c r="HQ25" i="4"/>
  <c r="GB38" i="4"/>
  <c r="FD10" i="4"/>
  <c r="HO10" i="4"/>
  <c r="HL11" i="4"/>
  <c r="HA12" i="4"/>
  <c r="GX13" i="4"/>
  <c r="GU14" i="4"/>
  <c r="GJ15" i="4"/>
  <c r="GG16" i="4"/>
  <c r="FV17" i="4"/>
  <c r="FS18" i="4"/>
  <c r="FP19" i="4"/>
  <c r="FL20" i="4"/>
  <c r="GF24" i="4"/>
  <c r="GN47" i="4"/>
  <c r="HI20" i="4"/>
  <c r="HF21" i="4"/>
  <c r="HC22" i="4"/>
  <c r="GR23" i="4"/>
  <c r="GO24" i="4"/>
  <c r="GD25" i="4"/>
  <c r="GA26" i="4"/>
  <c r="FX27" i="4"/>
  <c r="HQ28" i="4"/>
  <c r="HA23" i="4"/>
  <c r="FI31" i="4"/>
  <c r="GS26" i="4"/>
  <c r="FE21" i="4"/>
  <c r="GF28" i="4"/>
  <c r="FH23" i="4"/>
  <c r="HJ24" i="4"/>
  <c r="GF34" i="4"/>
  <c r="HB38" i="4"/>
  <c r="FX47" i="4"/>
  <c r="HU12" i="4"/>
  <c r="HJ13" i="4"/>
  <c r="HG14" i="4"/>
  <c r="HD15" i="4"/>
  <c r="GS16" i="4"/>
  <c r="GP17" i="4"/>
  <c r="GM18" i="4"/>
  <c r="GB19" i="4"/>
  <c r="HN20" i="4"/>
  <c r="FZ26" i="4"/>
  <c r="GW19" i="4"/>
  <c r="GF10" i="4"/>
  <c r="FU11" i="4"/>
  <c r="FR12" i="4"/>
  <c r="FO13" i="4"/>
  <c r="FD14" i="4"/>
  <c r="HP14" i="4"/>
  <c r="HM15" i="4"/>
  <c r="HB16" i="4"/>
  <c r="GY17" i="4"/>
  <c r="GV18" i="4"/>
  <c r="GK19" i="4"/>
  <c r="HP20" i="4"/>
  <c r="HA25" i="4"/>
  <c r="FI10" i="4"/>
  <c r="HU10" i="4"/>
  <c r="HJ11" i="4"/>
  <c r="HG12" i="4"/>
  <c r="HD13" i="4"/>
  <c r="GS14" i="4"/>
  <c r="GP15" i="4"/>
  <c r="GM16" i="4"/>
  <c r="GB17" i="4"/>
  <c r="FY18" i="4"/>
  <c r="FN19" i="4"/>
  <c r="FG20" i="4"/>
  <c r="GI23" i="4"/>
  <c r="GD30" i="4"/>
  <c r="FR10" i="4"/>
  <c r="FO11" i="4"/>
  <c r="FD12" i="4"/>
  <c r="HP12" i="4"/>
  <c r="HM13" i="4"/>
  <c r="HB14" i="4"/>
  <c r="GY15" i="4"/>
  <c r="GV16" i="4"/>
  <c r="GK17" i="4"/>
  <c r="GH18" i="4"/>
  <c r="GE19" i="4"/>
  <c r="GZ20" i="4"/>
  <c r="GX26" i="4"/>
  <c r="GO45" i="4"/>
  <c r="FK10" i="4"/>
  <c r="FH11" i="4"/>
  <c r="HT11" i="4"/>
  <c r="HI12" i="4"/>
  <c r="HF13" i="4"/>
  <c r="HC14" i="4"/>
  <c r="GR15" i="4"/>
  <c r="GO16" i="4"/>
  <c r="GD17" i="4"/>
  <c r="GA18" i="4"/>
  <c r="FX19" i="4"/>
  <c r="GH20" i="4"/>
  <c r="FM25" i="4"/>
  <c r="FE20" i="4"/>
  <c r="HQ20" i="4"/>
  <c r="HN21" i="4"/>
  <c r="HK22" i="4"/>
  <c r="GZ23" i="4"/>
  <c r="GW24" i="4"/>
  <c r="GL25" i="4"/>
  <c r="GI26" i="4"/>
  <c r="GF27" i="4"/>
  <c r="HN29" i="4"/>
  <c r="GX24" i="4"/>
  <c r="HK37" i="4"/>
  <c r="GP27" i="4"/>
  <c r="HQ21" i="4"/>
  <c r="FU29" i="4"/>
  <c r="HT23" i="4"/>
  <c r="GK27" i="4"/>
  <c r="GJ33" i="4"/>
  <c r="FY45" i="4"/>
  <c r="HO47" i="4"/>
  <c r="FF13" i="4"/>
  <c r="HR13" i="4"/>
  <c r="HO14" i="4"/>
  <c r="HL15" i="4"/>
  <c r="HA16" i="4"/>
  <c r="GX17" i="4"/>
  <c r="GU18" i="4"/>
  <c r="GJ19" i="4"/>
  <c r="FD21" i="4"/>
  <c r="FG27" i="4"/>
  <c r="GJ20" i="4"/>
  <c r="GN10" i="4"/>
  <c r="GC11" i="4"/>
  <c r="FZ12" i="4"/>
  <c r="FW13" i="4"/>
  <c r="FL14" i="4"/>
  <c r="FI15" i="4"/>
  <c r="HU15" i="4"/>
  <c r="HJ16" i="4"/>
  <c r="HG17" i="4"/>
  <c r="HD18" i="4"/>
  <c r="GS19" i="4"/>
  <c r="FG21" i="4"/>
  <c r="GH26" i="4"/>
  <c r="FQ10" i="4"/>
  <c r="FF11" i="4"/>
  <c r="HR11" i="4"/>
  <c r="HO12" i="4"/>
  <c r="HL13" i="4"/>
  <c r="HA14" i="4"/>
  <c r="GX15" i="4"/>
  <c r="GU16" i="4"/>
  <c r="GJ17" i="4"/>
  <c r="GG18" i="4"/>
  <c r="FV19" i="4"/>
  <c r="GB20" i="4"/>
  <c r="FP24" i="4"/>
  <c r="HB40" i="4"/>
  <c r="FZ10" i="4"/>
  <c r="FW11" i="4"/>
  <c r="FL12" i="4"/>
  <c r="FI13" i="4"/>
  <c r="HU13" i="4"/>
  <c r="HJ14" i="4"/>
  <c r="HG15" i="4"/>
  <c r="HD16" i="4"/>
  <c r="GS17" i="4"/>
  <c r="GP18" i="4"/>
  <c r="GM19" i="4"/>
  <c r="FO21" i="4"/>
  <c r="GE27" i="4"/>
  <c r="FI19" i="4"/>
  <c r="FS10" i="4"/>
  <c r="FP11" i="4"/>
  <c r="FE12" i="4"/>
  <c r="HQ12" i="4"/>
  <c r="HN13" i="4"/>
  <c r="HK14" i="4"/>
  <c r="GZ15" i="4"/>
  <c r="GW16" i="4"/>
  <c r="GL17" i="4"/>
  <c r="GI18" i="4"/>
  <c r="GF19" i="4"/>
  <c r="HC20" i="4"/>
  <c r="HF26" i="4"/>
  <c r="FM20" i="4"/>
  <c r="FJ21" i="4"/>
  <c r="FG22" i="4"/>
  <c r="HS22" i="4"/>
  <c r="HH23" i="4"/>
  <c r="HE24" i="4"/>
  <c r="GT25" i="4"/>
  <c r="GQ26" i="4"/>
  <c r="GN27" i="4"/>
  <c r="HK30" i="4"/>
  <c r="GU25" i="4"/>
  <c r="FL21" i="4"/>
  <c r="GM28" i="4"/>
  <c r="HN22" i="4"/>
  <c r="FR30" i="4"/>
  <c r="HI24" i="4"/>
  <c r="HC29" i="4"/>
  <c r="FK36" i="4"/>
  <c r="HT35" i="4"/>
  <c r="HG50" i="4"/>
  <c r="FN13" i="4"/>
  <c r="FK14" i="4"/>
  <c r="FH15" i="4"/>
  <c r="HT15" i="4"/>
  <c r="HI16" i="4"/>
  <c r="HF17" i="4"/>
  <c r="HC18" i="4"/>
  <c r="GR19" i="4"/>
  <c r="GG21" i="4"/>
  <c r="HS27" i="4"/>
  <c r="HC21" i="4"/>
  <c r="GV10" i="4"/>
  <c r="GK11" i="4"/>
  <c r="GH12" i="4"/>
  <c r="GE13" i="4"/>
  <c r="FT14" i="4"/>
  <c r="FQ15" i="4"/>
  <c r="FF16" i="4"/>
  <c r="HR16" i="4"/>
  <c r="HO17" i="4"/>
  <c r="HL18" i="4"/>
  <c r="HA19" i="4"/>
  <c r="GM21" i="4"/>
  <c r="FO27" i="4"/>
  <c r="FY10" i="4"/>
  <c r="FN11" i="4"/>
  <c r="FK12" i="4"/>
  <c r="FH13" i="4"/>
  <c r="HT13" i="4"/>
  <c r="HI14" i="4"/>
  <c r="HF15" i="4"/>
  <c r="HC16" i="4"/>
  <c r="GR17" i="4"/>
  <c r="GO18" i="4"/>
  <c r="GD19" i="4"/>
  <c r="GX20" i="4"/>
  <c r="HI25" i="4"/>
  <c r="FY19" i="4"/>
  <c r="GH10" i="4"/>
  <c r="GE11" i="4"/>
  <c r="FT12" i="4"/>
  <c r="FQ13" i="4"/>
  <c r="FF14" i="4"/>
  <c r="HR14" i="4"/>
  <c r="HO15" i="4"/>
  <c r="HL16" i="4"/>
  <c r="HA17" i="4"/>
  <c r="GX18" i="4"/>
  <c r="GU19" i="4"/>
  <c r="GU21" i="4"/>
  <c r="FL28" i="4"/>
  <c r="GO19" i="4"/>
  <c r="GA10" i="4"/>
  <c r="FX11" i="4"/>
  <c r="FM12" i="4"/>
  <c r="FJ13" i="4"/>
  <c r="FG14" i="4"/>
  <c r="HS14" i="4"/>
  <c r="HH15" i="4"/>
  <c r="HE16" i="4"/>
  <c r="GT17" i="4"/>
  <c r="GQ18" i="4"/>
  <c r="GN19" i="4"/>
  <c r="FQ21" i="4"/>
  <c r="GM27" i="4"/>
  <c r="FU20" i="4"/>
  <c r="FR21" i="4"/>
  <c r="FO22" i="4"/>
  <c r="FD23" i="4"/>
  <c r="HP23" i="4"/>
  <c r="HM24" i="4"/>
  <c r="HB25" i="4"/>
  <c r="GY26" i="4"/>
  <c r="GV27" i="4"/>
  <c r="FJ36" i="4"/>
  <c r="GJ26" i="4"/>
  <c r="FI22" i="4"/>
  <c r="GB29" i="4"/>
  <c r="HK23" i="4"/>
  <c r="GW31" i="4"/>
  <c r="HF25" i="4"/>
  <c r="HE39" i="4"/>
  <c r="FU38" i="4"/>
  <c r="HP44" i="4"/>
  <c r="GV61" i="4"/>
  <c r="FM28" i="4"/>
  <c r="FJ29" i="4"/>
  <c r="FG30" i="4"/>
  <c r="HS30" i="4"/>
  <c r="HC37" i="4"/>
  <c r="FN20" i="4"/>
  <c r="FK21" i="4"/>
  <c r="FH22" i="4"/>
  <c r="HT22" i="4"/>
  <c r="HI23" i="4"/>
  <c r="HF24" i="4"/>
  <c r="HC25" i="4"/>
  <c r="GR26" i="4"/>
  <c r="GO27" i="4"/>
  <c r="GD28" i="4"/>
  <c r="GA29" i="4"/>
  <c r="FX30" i="4"/>
  <c r="GO31" i="4"/>
  <c r="GR38" i="4"/>
  <c r="FT21" i="4"/>
  <c r="FQ22" i="4"/>
  <c r="FF23" i="4"/>
  <c r="HR23" i="4"/>
  <c r="HO24" i="4"/>
  <c r="HL25" i="4"/>
  <c r="HA26" i="4"/>
  <c r="GX27" i="4"/>
  <c r="GU28" i="4"/>
  <c r="GJ29" i="4"/>
  <c r="GG30" i="4"/>
  <c r="GL32" i="4"/>
  <c r="GG39" i="4"/>
  <c r="FX20" i="4"/>
  <c r="FM21" i="4"/>
  <c r="FJ22" i="4"/>
  <c r="FG23" i="4"/>
  <c r="HS23" i="4"/>
  <c r="HH24" i="4"/>
  <c r="HE25" i="4"/>
  <c r="GT26" i="4"/>
  <c r="GQ27" i="4"/>
  <c r="GN28" i="4"/>
  <c r="GC29" i="4"/>
  <c r="FZ30" i="4"/>
  <c r="GT32" i="4"/>
  <c r="GO39" i="4"/>
  <c r="GG20" i="4"/>
  <c r="FV21" i="4"/>
  <c r="FS22" i="4"/>
  <c r="FP23" i="4"/>
  <c r="FE24" i="4"/>
  <c r="HQ24" i="4"/>
  <c r="HN25" i="4"/>
  <c r="HS26" i="4"/>
  <c r="HE28" i="4"/>
  <c r="HB32" i="4"/>
  <c r="HP22" i="4"/>
  <c r="FK25" i="4"/>
  <c r="GS27" i="4"/>
  <c r="FT30" i="4"/>
  <c r="HQ42" i="4"/>
  <c r="FU22" i="4"/>
  <c r="HS24" i="4"/>
  <c r="FF27" i="4"/>
  <c r="GV29" i="4"/>
  <c r="HM39" i="4"/>
  <c r="GZ33" i="4"/>
  <c r="FS36" i="4"/>
  <c r="HI38" i="4"/>
  <c r="FL41" i="4"/>
  <c r="GV47" i="4"/>
  <c r="GC33" i="4"/>
  <c r="GU35" i="4"/>
  <c r="HR38" i="4"/>
  <c r="GB31" i="4"/>
  <c r="HA36" i="4"/>
  <c r="FF45" i="4"/>
  <c r="FK37" i="4"/>
  <c r="HP43" i="4"/>
  <c r="FO36" i="4"/>
  <c r="HU44" i="4"/>
  <c r="HT31" i="4"/>
  <c r="FX43" i="4"/>
  <c r="GT52" i="4"/>
  <c r="FY66" i="4"/>
  <c r="FU28" i="4"/>
  <c r="FR29" i="4"/>
  <c r="FO30" i="4"/>
  <c r="GH31" i="4"/>
  <c r="GJ38" i="4"/>
  <c r="FV20" i="4"/>
  <c r="FS21" i="4"/>
  <c r="FP22" i="4"/>
  <c r="FE23" i="4"/>
  <c r="HQ23" i="4"/>
  <c r="HN24" i="4"/>
  <c r="HK25" i="4"/>
  <c r="GZ26" i="4"/>
  <c r="GW27" i="4"/>
  <c r="GL28" i="4"/>
  <c r="GI29" i="4"/>
  <c r="GF30" i="4"/>
  <c r="HU31" i="4"/>
  <c r="FY39" i="4"/>
  <c r="GB21" i="4"/>
  <c r="FY22" i="4"/>
  <c r="FN23" i="4"/>
  <c r="FK24" i="4"/>
  <c r="FH25" i="4"/>
  <c r="HT25" i="4"/>
  <c r="HI26" i="4"/>
  <c r="HF27" i="4"/>
  <c r="HC28" i="4"/>
  <c r="GR29" i="4"/>
  <c r="GO30" i="4"/>
  <c r="FS33" i="4"/>
  <c r="FN40" i="4"/>
  <c r="GF20" i="4"/>
  <c r="FU21" i="4"/>
  <c r="FR22" i="4"/>
  <c r="FO23" i="4"/>
  <c r="FD24" i="4"/>
  <c r="HP24" i="4"/>
  <c r="HM25" i="4"/>
  <c r="HB26" i="4"/>
  <c r="GY27" i="4"/>
  <c r="GV28" i="4"/>
  <c r="GK29" i="4"/>
  <c r="GH30" i="4"/>
  <c r="GA33" i="4"/>
  <c r="FV40" i="4"/>
  <c r="GO20" i="4"/>
  <c r="GD21" i="4"/>
  <c r="GA22" i="4"/>
  <c r="FX23" i="4"/>
  <c r="FM24" i="4"/>
  <c r="FJ25" i="4"/>
  <c r="FG26" i="4"/>
  <c r="FD27" i="4"/>
  <c r="FV29" i="4"/>
  <c r="FP34" i="4"/>
  <c r="FI23" i="4"/>
  <c r="GY25" i="4"/>
  <c r="HI27" i="4"/>
  <c r="GB30" i="4"/>
  <c r="GA20" i="4"/>
  <c r="GK22" i="4"/>
  <c r="FD25" i="4"/>
  <c r="GT27" i="4"/>
  <c r="HL29" i="4"/>
  <c r="GT40" i="4"/>
  <c r="FY34" i="4"/>
  <c r="GI36" i="4"/>
  <c r="HQ38" i="4"/>
  <c r="FF42" i="4"/>
  <c r="GF53" i="4"/>
  <c r="GK33" i="4"/>
  <c r="FT36" i="4"/>
  <c r="GQ39" i="4"/>
  <c r="GR31" i="4"/>
  <c r="FG38" i="4"/>
  <c r="GI49" i="4"/>
  <c r="FS37" i="4"/>
  <c r="FN31" i="4"/>
  <c r="HK36" i="4"/>
  <c r="GG45" i="4"/>
  <c r="HG38" i="4"/>
  <c r="GH45" i="4"/>
  <c r="GS50" i="4"/>
  <c r="FH71" i="4"/>
  <c r="GC28" i="4"/>
  <c r="FZ29" i="4"/>
  <c r="FW30" i="4"/>
  <c r="HN31" i="4"/>
  <c r="FQ39" i="4"/>
  <c r="GD20" i="4"/>
  <c r="GA21" i="4"/>
  <c r="FX22" i="4"/>
  <c r="FM23" i="4"/>
  <c r="FJ24" i="4"/>
  <c r="FG25" i="4"/>
  <c r="HS25" i="4"/>
  <c r="HH26" i="4"/>
  <c r="HE27" i="4"/>
  <c r="GT28" i="4"/>
  <c r="GQ29" i="4"/>
  <c r="GN30" i="4"/>
  <c r="GD32" i="4"/>
  <c r="FF40" i="4"/>
  <c r="GJ21" i="4"/>
  <c r="GG22" i="4"/>
  <c r="FV23" i="4"/>
  <c r="FS24" i="4"/>
  <c r="FP25" i="4"/>
  <c r="FE26" i="4"/>
  <c r="HQ26" i="4"/>
  <c r="HN27" i="4"/>
  <c r="HK28" i="4"/>
  <c r="GZ29" i="4"/>
  <c r="GW30" i="4"/>
  <c r="HL34" i="4"/>
  <c r="GJ41" i="4"/>
  <c r="GN20" i="4"/>
  <c r="GC21" i="4"/>
  <c r="FZ22" i="4"/>
  <c r="FW23" i="4"/>
  <c r="FL24" i="4"/>
  <c r="FI25" i="4"/>
  <c r="HU25" i="4"/>
  <c r="HJ26" i="4"/>
  <c r="HG27" i="4"/>
  <c r="HD28" i="4"/>
  <c r="GS29" i="4"/>
  <c r="GP30" i="4"/>
  <c r="FH34" i="4"/>
  <c r="GW41" i="4"/>
  <c r="GW20" i="4"/>
  <c r="GL21" i="4"/>
  <c r="GI22" i="4"/>
  <c r="GF23" i="4"/>
  <c r="FU24" i="4"/>
  <c r="FR25" i="4"/>
  <c r="FO26" i="4"/>
  <c r="GJ27" i="4"/>
  <c r="GD29" i="4"/>
  <c r="HP38" i="4"/>
  <c r="FY23" i="4"/>
  <c r="HG25" i="4"/>
  <c r="GH28" i="4"/>
  <c r="GR30" i="4"/>
  <c r="GI20" i="4"/>
  <c r="FJ23" i="4"/>
  <c r="FT25" i="4"/>
  <c r="HB27" i="4"/>
  <c r="GC30" i="4"/>
  <c r="FT45" i="4"/>
  <c r="GG34" i="4"/>
  <c r="FH37" i="4"/>
  <c r="FR39" i="4"/>
  <c r="FR42" i="4"/>
  <c r="GQ31" i="4"/>
  <c r="HA33" i="4"/>
  <c r="GB36" i="4"/>
  <c r="GV40" i="4"/>
  <c r="FQ32" i="4"/>
  <c r="GU38" i="4"/>
  <c r="HQ31" i="4"/>
  <c r="FH38" i="4"/>
  <c r="FV31" i="4"/>
  <c r="GO38" i="4"/>
  <c r="FG31" i="4"/>
  <c r="FM40" i="4"/>
  <c r="FU47" i="4"/>
  <c r="GN53" i="4"/>
  <c r="GF66" i="4"/>
  <c r="GK28" i="4"/>
  <c r="GH29" i="4"/>
  <c r="GE30" i="4"/>
  <c r="FV32" i="4"/>
  <c r="HJ40" i="4"/>
  <c r="GL20" i="4"/>
  <c r="GI21" i="4"/>
  <c r="GF22" i="4"/>
  <c r="FU23" i="4"/>
  <c r="FR24" i="4"/>
  <c r="FO25" i="4"/>
  <c r="FD26" i="4"/>
  <c r="HP26" i="4"/>
  <c r="HM27" i="4"/>
  <c r="HB28" i="4"/>
  <c r="GY29" i="4"/>
  <c r="GV30" i="4"/>
  <c r="FK33" i="4"/>
  <c r="HR40" i="4"/>
  <c r="GR21" i="4"/>
  <c r="GO22" i="4"/>
  <c r="GD23" i="4"/>
  <c r="GA24" i="4"/>
  <c r="FX25" i="4"/>
  <c r="FM26" i="4"/>
  <c r="FJ27" i="4"/>
  <c r="FG28" i="4"/>
  <c r="HS28" i="4"/>
  <c r="HH29" i="4"/>
  <c r="HE30" i="4"/>
  <c r="GS35" i="4"/>
  <c r="GD42" i="4"/>
  <c r="GV20" i="4"/>
  <c r="GK21" i="4"/>
  <c r="GH22" i="4"/>
  <c r="GE23" i="4"/>
  <c r="FT24" i="4"/>
  <c r="FQ25" i="4"/>
  <c r="FF26" i="4"/>
  <c r="HR26" i="4"/>
  <c r="HO27" i="4"/>
  <c r="HL28" i="4"/>
  <c r="HA29" i="4"/>
  <c r="GX30" i="4"/>
  <c r="HT34" i="4"/>
  <c r="GP42" i="4"/>
  <c r="HE20" i="4"/>
  <c r="GT21" i="4"/>
  <c r="GQ22" i="4"/>
  <c r="GN23" i="4"/>
  <c r="GC24" i="4"/>
  <c r="FZ25" i="4"/>
  <c r="FW26" i="4"/>
  <c r="GR27" i="4"/>
  <c r="GT29" i="4"/>
  <c r="GW39" i="4"/>
  <c r="HM23" i="4"/>
  <c r="FH26" i="4"/>
  <c r="GP28" i="4"/>
  <c r="HE31" i="4"/>
  <c r="GY20" i="4"/>
  <c r="FR23" i="4"/>
  <c r="HH25" i="4"/>
  <c r="HR27" i="4"/>
  <c r="GK30" i="4"/>
  <c r="GM32" i="4"/>
  <c r="GW34" i="4"/>
  <c r="FP37" i="4"/>
  <c r="HF39" i="4"/>
  <c r="GS42" i="4"/>
  <c r="GY31" i="4"/>
  <c r="FZ34" i="4"/>
  <c r="GR36" i="4"/>
  <c r="HL40" i="4"/>
  <c r="FN33" i="4"/>
  <c r="HS38" i="4"/>
  <c r="GP32" i="4"/>
  <c r="FU39" i="4"/>
  <c r="FK32" i="4"/>
  <c r="GW38" i="4"/>
  <c r="GZ32" i="4"/>
  <c r="FQ45" i="4"/>
  <c r="GZ49" i="4"/>
  <c r="GL56" i="4"/>
  <c r="HI70" i="4"/>
  <c r="GS28" i="4"/>
  <c r="GP29" i="4"/>
  <c r="GM30" i="4"/>
  <c r="HO33" i="4"/>
  <c r="FJ41" i="4"/>
  <c r="GT20" i="4"/>
  <c r="GQ21" i="4"/>
  <c r="GN22" i="4"/>
  <c r="GC23" i="4"/>
  <c r="FZ24" i="4"/>
  <c r="FW25" i="4"/>
  <c r="FL26" i="4"/>
  <c r="FI27" i="4"/>
  <c r="HU27" i="4"/>
  <c r="HJ28" i="4"/>
  <c r="HG29" i="4"/>
  <c r="HD30" i="4"/>
  <c r="HD34" i="4"/>
  <c r="FX41" i="4"/>
  <c r="GZ21" i="4"/>
  <c r="GW22" i="4"/>
  <c r="GL23" i="4"/>
  <c r="GI24" i="4"/>
  <c r="GF25" i="4"/>
  <c r="FU26" i="4"/>
  <c r="FR27" i="4"/>
  <c r="FO28" i="4"/>
  <c r="FD29" i="4"/>
  <c r="HP29" i="4"/>
  <c r="HM30" i="4"/>
  <c r="FZ36" i="4"/>
  <c r="FW43" i="4"/>
  <c r="HD20" i="4"/>
  <c r="GS21" i="4"/>
  <c r="GP22" i="4"/>
  <c r="GM23" i="4"/>
  <c r="GB24" i="4"/>
  <c r="FY25" i="4"/>
  <c r="FN26" i="4"/>
  <c r="FK27" i="4"/>
  <c r="FH28" i="4"/>
  <c r="HT28" i="4"/>
  <c r="HI29" i="4"/>
  <c r="HF30" i="4"/>
  <c r="HA35" i="4"/>
  <c r="GJ43" i="4"/>
  <c r="HM20" i="4"/>
  <c r="HB21" i="4"/>
  <c r="GY22" i="4"/>
  <c r="GV23" i="4"/>
  <c r="GK24" i="4"/>
  <c r="GH25" i="4"/>
  <c r="GE26" i="4"/>
  <c r="HH27" i="4"/>
  <c r="FS30" i="4"/>
  <c r="HI41" i="4"/>
  <c r="HU23" i="4"/>
  <c r="GV26" i="4"/>
  <c r="HF28" i="4"/>
  <c r="HJ32" i="4"/>
  <c r="FX21" i="4"/>
  <c r="GH23" i="4"/>
  <c r="HP25" i="4"/>
  <c r="GQ28" i="4"/>
  <c r="HA30" i="4"/>
  <c r="GU32" i="4"/>
  <c r="FN35" i="4"/>
  <c r="GF37" i="4"/>
  <c r="HN39" i="4"/>
  <c r="GM43" i="4"/>
  <c r="HO31" i="4"/>
  <c r="GH34" i="4"/>
  <c r="GG37" i="4"/>
  <c r="GZ41" i="4"/>
  <c r="GD33" i="4"/>
  <c r="GO40" i="4"/>
  <c r="HN32" i="4"/>
  <c r="HI39" i="4"/>
  <c r="GF33" i="4"/>
  <c r="GD39" i="4"/>
  <c r="HP32" i="4"/>
  <c r="HE47" i="4"/>
  <c r="FX44" i="4"/>
  <c r="GJ59" i="4"/>
  <c r="HO71" i="4"/>
  <c r="HA28" i="4"/>
  <c r="GX29" i="4"/>
  <c r="GU30" i="4"/>
  <c r="GV34" i="4"/>
  <c r="FE42" i="4"/>
  <c r="HB20" i="4"/>
  <c r="GY21" i="4"/>
  <c r="GV22" i="4"/>
  <c r="GK23" i="4"/>
  <c r="GH24" i="4"/>
  <c r="GE25" i="4"/>
  <c r="FT26" i="4"/>
  <c r="FQ27" i="4"/>
  <c r="FF28" i="4"/>
  <c r="HR28" i="4"/>
  <c r="HO29" i="4"/>
  <c r="HL30" i="4"/>
  <c r="GK35" i="4"/>
  <c r="FQ42" i="4"/>
  <c r="HH21" i="4"/>
  <c r="HE22" i="4"/>
  <c r="GT23" i="4"/>
  <c r="GQ24" i="4"/>
  <c r="GN25" i="4"/>
  <c r="GC26" i="4"/>
  <c r="FZ27" i="4"/>
  <c r="FW28" i="4"/>
  <c r="FL29" i="4"/>
  <c r="FI30" i="4"/>
  <c r="HU30" i="4"/>
  <c r="FG37" i="4"/>
  <c r="FU48" i="4"/>
  <c r="HL20" i="4"/>
  <c r="HA21" i="4"/>
  <c r="GX22" i="4"/>
  <c r="GU23" i="4"/>
  <c r="GJ24" i="4"/>
  <c r="GG25" i="4"/>
  <c r="FV26" i="4"/>
  <c r="FS27" i="4"/>
  <c r="FP28" i="4"/>
  <c r="FE29" i="4"/>
  <c r="HQ29" i="4"/>
  <c r="HN30" i="4"/>
  <c r="GH36" i="4"/>
  <c r="FI20" i="4"/>
  <c r="HU20" i="4"/>
  <c r="HJ21" i="4"/>
  <c r="HG22" i="4"/>
  <c r="HD23" i="4"/>
  <c r="GS24" i="4"/>
  <c r="GP25" i="4"/>
  <c r="GM26" i="4"/>
  <c r="HP27" i="4"/>
  <c r="GA30" i="4"/>
  <c r="FD22" i="4"/>
  <c r="FN24" i="4"/>
  <c r="HD26" i="4"/>
  <c r="GE29" i="4"/>
  <c r="FX34" i="4"/>
  <c r="GF21" i="4"/>
  <c r="FG24" i="4"/>
  <c r="FQ26" i="4"/>
  <c r="GY28" i="4"/>
  <c r="FF32" i="4"/>
  <c r="HK32" i="4"/>
  <c r="FV35" i="4"/>
  <c r="HT37" i="4"/>
  <c r="FO40" i="4"/>
  <c r="HH43" i="4"/>
  <c r="GN32" i="4"/>
  <c r="GX34" i="4"/>
  <c r="GO37" i="4"/>
  <c r="GA43" i="4"/>
  <c r="FK34" i="4"/>
  <c r="HE40" i="4"/>
  <c r="GJ34" i="4"/>
  <c r="FR40" i="4"/>
  <c r="HT33" i="4"/>
  <c r="GY40" i="4"/>
  <c r="HO35" i="4"/>
  <c r="HM47" i="4"/>
  <c r="FZ50" i="4"/>
  <c r="GO56" i="4"/>
  <c r="FP73" i="4"/>
  <c r="HI28" i="4"/>
  <c r="HF29" i="4"/>
  <c r="HC30" i="4"/>
  <c r="GC35" i="4"/>
  <c r="HJ45" i="4"/>
  <c r="HJ20" i="4"/>
  <c r="HG21" i="4"/>
  <c r="HD22" i="4"/>
  <c r="GS23" i="4"/>
  <c r="GP24" i="4"/>
  <c r="GM25" i="4"/>
  <c r="GB26" i="4"/>
  <c r="FY27" i="4"/>
  <c r="FN28" i="4"/>
  <c r="FK29" i="4"/>
  <c r="FH30" i="4"/>
  <c r="HT30" i="4"/>
  <c r="FR36" i="4"/>
  <c r="FK43" i="4"/>
  <c r="HP21" i="4"/>
  <c r="HM22" i="4"/>
  <c r="HB23" i="4"/>
  <c r="GY24" i="4"/>
  <c r="GV25" i="4"/>
  <c r="GK26" i="4"/>
  <c r="GH27" i="4"/>
  <c r="GE28" i="4"/>
  <c r="FT29" i="4"/>
  <c r="FQ30" i="4"/>
  <c r="FJ31" i="4"/>
  <c r="HS37" i="4"/>
  <c r="FH20" i="4"/>
  <c r="HT20" i="4"/>
  <c r="HI21" i="4"/>
  <c r="HF22" i="4"/>
  <c r="HC23" i="4"/>
  <c r="GR24" i="4"/>
  <c r="GO25" i="4"/>
  <c r="GD26" i="4"/>
  <c r="GA27" i="4"/>
  <c r="FX28" i="4"/>
  <c r="FM29" i="4"/>
  <c r="FJ30" i="4"/>
  <c r="FQ31" i="4"/>
  <c r="FO37" i="4"/>
  <c r="FQ20" i="4"/>
  <c r="FF21" i="4"/>
  <c r="HR21" i="4"/>
  <c r="HO22" i="4"/>
  <c r="HL23" i="4"/>
  <c r="HA24" i="4"/>
  <c r="GX25" i="4"/>
  <c r="GU26" i="4"/>
  <c r="GG28" i="4"/>
  <c r="GQ30" i="4"/>
  <c r="FL22" i="4"/>
  <c r="HB24" i="4"/>
  <c r="HT26" i="4"/>
  <c r="GM29" i="4"/>
  <c r="FL38" i="4"/>
  <c r="GV21" i="4"/>
  <c r="FO24" i="4"/>
  <c r="HE26" i="4"/>
  <c r="HO28" i="4"/>
  <c r="HR32" i="4"/>
  <c r="GB33" i="4"/>
  <c r="GL35" i="4"/>
  <c r="FE38" i="4"/>
  <c r="HC40" i="4"/>
  <c r="GO44" i="4"/>
  <c r="GV32" i="4"/>
  <c r="FW35" i="4"/>
  <c r="HM37" i="4"/>
  <c r="HK43" i="4"/>
  <c r="HL35" i="4"/>
  <c r="HA41" i="4"/>
  <c r="GZ34" i="4"/>
  <c r="FW42" i="4"/>
  <c r="FU34" i="4"/>
  <c r="GF41" i="4"/>
  <c r="HT41" i="4"/>
  <c r="FP45" i="4"/>
  <c r="GX50" i="4"/>
  <c r="HM62" i="4"/>
  <c r="HE74" i="4"/>
  <c r="HK26" i="4"/>
  <c r="GZ27" i="4"/>
  <c r="GW28" i="4"/>
  <c r="GL29" i="4"/>
  <c r="GI30" i="4"/>
  <c r="GI33" i="4"/>
  <c r="GD40" i="4"/>
  <c r="FT22" i="4"/>
  <c r="FQ23" i="4"/>
  <c r="FF24" i="4"/>
  <c r="HR24" i="4"/>
  <c r="HO25" i="4"/>
  <c r="HL26" i="4"/>
  <c r="HA27" i="4"/>
  <c r="GX28" i="4"/>
  <c r="GU29" i="4"/>
  <c r="GJ30" i="4"/>
  <c r="GQ33" i="4"/>
  <c r="GL40" i="4"/>
  <c r="GQ20" i="4"/>
  <c r="GN21" i="4"/>
  <c r="GC22" i="4"/>
  <c r="FZ23" i="4"/>
  <c r="FW24" i="4"/>
  <c r="FL25" i="4"/>
  <c r="FI26" i="4"/>
  <c r="HU26" i="4"/>
  <c r="HJ27" i="4"/>
  <c r="HG28" i="4"/>
  <c r="HD29" i="4"/>
  <c r="GS30" i="4"/>
  <c r="GY33" i="4"/>
  <c r="HH44" i="4"/>
  <c r="HC32" i="4"/>
  <c r="GR33" i="4"/>
  <c r="GO34" i="4"/>
  <c r="GD35" i="4"/>
  <c r="GA36" i="4"/>
  <c r="FX37" i="4"/>
  <c r="FM38" i="4"/>
  <c r="FJ39" i="4"/>
  <c r="FG40" i="4"/>
  <c r="HS40" i="4"/>
  <c r="GE42" i="4"/>
  <c r="FT44" i="4"/>
  <c r="GC48" i="4"/>
  <c r="HG31" i="4"/>
  <c r="HD32" i="4"/>
  <c r="GS33" i="4"/>
  <c r="GP34" i="4"/>
  <c r="GM35" i="4"/>
  <c r="GJ36" i="4"/>
  <c r="HE37" i="4"/>
  <c r="GA39" i="4"/>
  <c r="FZ41" i="4"/>
  <c r="HM44" i="4"/>
  <c r="HP31" i="4"/>
  <c r="HR33" i="4"/>
  <c r="FM36" i="4"/>
  <c r="HC38" i="4"/>
  <c r="GO41" i="4"/>
  <c r="GW45" i="4"/>
  <c r="GX32" i="4"/>
  <c r="FY35" i="4"/>
  <c r="GI37" i="4"/>
  <c r="HQ39" i="4"/>
  <c r="GU43" i="4"/>
  <c r="GL31" i="4"/>
  <c r="FE34" i="4"/>
  <c r="HC36" i="4"/>
  <c r="HM38" i="4"/>
  <c r="GR41" i="4"/>
  <c r="GS55" i="4"/>
  <c r="GG33" i="4"/>
  <c r="GF31" i="4"/>
  <c r="HN42" i="4"/>
  <c r="HP49" i="4"/>
  <c r="GF43" i="4"/>
  <c r="FH44" i="4"/>
  <c r="GJ52" i="4"/>
  <c r="GH51" i="4"/>
  <c r="GM54" i="4"/>
  <c r="GS69" i="4"/>
  <c r="HH70" i="4"/>
  <c r="FT75" i="4"/>
  <c r="HM28" i="4"/>
  <c r="HB29" i="4"/>
  <c r="GY30" i="4"/>
  <c r="HI35" i="4"/>
  <c r="HC42" i="4"/>
  <c r="GJ22" i="4"/>
  <c r="GG23" i="4"/>
  <c r="FV24" i="4"/>
  <c r="FS25" i="4"/>
  <c r="FP26" i="4"/>
  <c r="FE27" i="4"/>
  <c r="HQ27" i="4"/>
  <c r="HN28" i="4"/>
  <c r="HK29" i="4"/>
  <c r="GZ30" i="4"/>
  <c r="FE35" i="4"/>
  <c r="GM44" i="4"/>
  <c r="HG20" i="4"/>
  <c r="HD21" i="4"/>
  <c r="GS22" i="4"/>
  <c r="GP23" i="4"/>
  <c r="GM24" i="4"/>
  <c r="GB25" i="4"/>
  <c r="FY26" i="4"/>
  <c r="FN27" i="4"/>
  <c r="FK28" i="4"/>
  <c r="FH29" i="4"/>
  <c r="HT29" i="4"/>
  <c r="HI30" i="4"/>
  <c r="FM35" i="4"/>
  <c r="FG32" i="4"/>
  <c r="HS32" i="4"/>
  <c r="HH33" i="4"/>
  <c r="HE34" i="4"/>
  <c r="GT35" i="4"/>
  <c r="GQ36" i="4"/>
  <c r="GN37" i="4"/>
  <c r="GC38" i="4"/>
  <c r="FZ39" i="4"/>
  <c r="FW40" i="4"/>
  <c r="FY41" i="4"/>
  <c r="HE42" i="4"/>
  <c r="HK44" i="4"/>
  <c r="FK31" i="4"/>
  <c r="FH32" i="4"/>
  <c r="HT32" i="4"/>
  <c r="HI33" i="4"/>
  <c r="HF34" i="4"/>
  <c r="HC35" i="4"/>
  <c r="HH36" i="4"/>
  <c r="FF38" i="4"/>
  <c r="GY39" i="4"/>
  <c r="HM41" i="4"/>
  <c r="GT45" i="4"/>
  <c r="FY32" i="4"/>
  <c r="GA34" i="4"/>
  <c r="HI36" i="4"/>
  <c r="GJ39" i="4"/>
  <c r="FI42" i="4"/>
  <c r="GK51" i="4"/>
  <c r="GM33" i="4"/>
  <c r="GW35" i="4"/>
  <c r="FP38" i="4"/>
  <c r="HF40" i="4"/>
  <c r="GB44" i="4"/>
  <c r="FS32" i="4"/>
  <c r="HI34" i="4"/>
  <c r="FD37" i="4"/>
  <c r="GL39" i="4"/>
  <c r="HK42" i="4"/>
  <c r="FW31" i="4"/>
  <c r="FX36" i="4"/>
  <c r="GU34" i="4"/>
  <c r="FM48" i="4"/>
  <c r="FM46" i="4"/>
  <c r="HM48" i="4"/>
  <c r="GX46" i="4"/>
  <c r="GF51" i="4"/>
  <c r="GI51" i="4"/>
  <c r="FV55" i="4"/>
  <c r="FM61" i="4"/>
  <c r="FW70" i="4"/>
  <c r="GL73" i="4"/>
  <c r="FL27" i="4"/>
  <c r="FI28" i="4"/>
  <c r="HU28" i="4"/>
  <c r="HJ29" i="4"/>
  <c r="HG30" i="4"/>
  <c r="GP36" i="4"/>
  <c r="HF43" i="4"/>
  <c r="GR22" i="4"/>
  <c r="GO23" i="4"/>
  <c r="GD24" i="4"/>
  <c r="GA25" i="4"/>
  <c r="FX26" i="4"/>
  <c r="FM27" i="4"/>
  <c r="FJ28" i="4"/>
  <c r="FG29" i="4"/>
  <c r="HS29" i="4"/>
  <c r="HH30" i="4"/>
  <c r="HQ35" i="4"/>
  <c r="HD50" i="4"/>
  <c r="HO20" i="4"/>
  <c r="HL21" i="4"/>
  <c r="HA22" i="4"/>
  <c r="GX23" i="4"/>
  <c r="GU24" i="4"/>
  <c r="GJ25" i="4"/>
  <c r="GG26" i="4"/>
  <c r="FV27" i="4"/>
  <c r="FS28" i="4"/>
  <c r="FP29" i="4"/>
  <c r="FE30" i="4"/>
  <c r="HQ30" i="4"/>
  <c r="HF36" i="4"/>
  <c r="FO32" i="4"/>
  <c r="FD33" i="4"/>
  <c r="HP33" i="4"/>
  <c r="HM34" i="4"/>
  <c r="HB35" i="4"/>
  <c r="GY36" i="4"/>
  <c r="GV37" i="4"/>
  <c r="GK38" i="4"/>
  <c r="GH39" i="4"/>
  <c r="GE40" i="4"/>
  <c r="GK41" i="4"/>
  <c r="HR42" i="4"/>
  <c r="FV45" i="4"/>
  <c r="FS31" i="4"/>
  <c r="FP32" i="4"/>
  <c r="FE33" i="4"/>
  <c r="HQ33" i="4"/>
  <c r="HN34" i="4"/>
  <c r="HS35" i="4"/>
  <c r="HP36" i="4"/>
  <c r="FV38" i="4"/>
  <c r="HO39" i="4"/>
  <c r="FU42" i="4"/>
  <c r="FK46" i="4"/>
  <c r="GO32" i="4"/>
  <c r="HO34" i="4"/>
  <c r="FJ37" i="4"/>
  <c r="GR39" i="4"/>
  <c r="HU42" i="4"/>
  <c r="FE31" i="4"/>
  <c r="GU33" i="4"/>
  <c r="FN36" i="4"/>
  <c r="GF38" i="4"/>
  <c r="HN40" i="4"/>
  <c r="GZ45" i="4"/>
  <c r="GI32" i="4"/>
  <c r="HQ34" i="4"/>
  <c r="GR37" i="4"/>
  <c r="HB39" i="4"/>
  <c r="FF43" i="4"/>
  <c r="HK31" i="4"/>
  <c r="FU37" i="4"/>
  <c r="HS34" i="4"/>
  <c r="GC43" i="4"/>
  <c r="HQ46" i="4"/>
  <c r="HC41" i="4"/>
  <c r="FM54" i="4"/>
  <c r="GK53" i="4"/>
  <c r="GQ51" i="4"/>
  <c r="FJ58" i="4"/>
  <c r="HA66" i="4"/>
  <c r="FL71" i="4"/>
  <c r="FF76" i="4"/>
  <c r="FT27" i="4"/>
  <c r="FQ28" i="4"/>
  <c r="FF29" i="4"/>
  <c r="HR29" i="4"/>
  <c r="HO30" i="4"/>
  <c r="FW37" i="4"/>
  <c r="FQ44" i="4"/>
  <c r="GZ22" i="4"/>
  <c r="GW23" i="4"/>
  <c r="GL24" i="4"/>
  <c r="GI25" i="4"/>
  <c r="GF26" i="4"/>
  <c r="FU27" i="4"/>
  <c r="FR28" i="4"/>
  <c r="FO29" i="4"/>
  <c r="FD30" i="4"/>
  <c r="HP30" i="4"/>
  <c r="GX36" i="4"/>
  <c r="FK20" i="4"/>
  <c r="FH21" i="4"/>
  <c r="HT21" i="4"/>
  <c r="HI22" i="4"/>
  <c r="HF23" i="4"/>
  <c r="HC24" i="4"/>
  <c r="GR25" i="4"/>
  <c r="GO26" i="4"/>
  <c r="GD27" i="4"/>
  <c r="GA28" i="4"/>
  <c r="FX29" i="4"/>
  <c r="FM30" i="4"/>
  <c r="FZ31" i="4"/>
  <c r="GM37" i="4"/>
  <c r="FW32" i="4"/>
  <c r="FL33" i="4"/>
  <c r="FI34" i="4"/>
  <c r="HU34" i="4"/>
  <c r="HJ35" i="4"/>
  <c r="HG36" i="4"/>
  <c r="HD37" i="4"/>
  <c r="GS38" i="4"/>
  <c r="GP39" i="4"/>
  <c r="GM40" i="4"/>
  <c r="GX41" i="4"/>
  <c r="FL43" i="4"/>
  <c r="GR45" i="4"/>
  <c r="GA31" i="4"/>
  <c r="FX32" i="4"/>
  <c r="FM33" i="4"/>
  <c r="FJ34" i="4"/>
  <c r="FG35" i="4"/>
  <c r="FD36" i="4"/>
  <c r="FQ37" i="4"/>
  <c r="GD38" i="4"/>
  <c r="FX40" i="4"/>
  <c r="HF42" i="4"/>
  <c r="FD31" i="4"/>
  <c r="HM32" i="4"/>
  <c r="FH35" i="4"/>
  <c r="GX37" i="4"/>
  <c r="HH39" i="4"/>
  <c r="FO43" i="4"/>
  <c r="GS31" i="4"/>
  <c r="HK33" i="4"/>
  <c r="FV36" i="4"/>
  <c r="HT38" i="4"/>
  <c r="FQ41" i="4"/>
  <c r="HU45" i="4"/>
  <c r="FH33" i="4"/>
  <c r="FR35" i="4"/>
  <c r="GZ37" i="4"/>
  <c r="GA40" i="4"/>
  <c r="GE43" i="4"/>
  <c r="HS31" i="4"/>
  <c r="FD40" i="4"/>
  <c r="HP35" i="4"/>
  <c r="HI43" i="4"/>
  <c r="FF46" i="4"/>
  <c r="GR42" i="4"/>
  <c r="GD51" i="4"/>
  <c r="GJ50" i="4"/>
  <c r="HK50" i="4"/>
  <c r="FZ58" i="4"/>
  <c r="FV69" i="4"/>
  <c r="FF71" i="4"/>
  <c r="HP78" i="4"/>
  <c r="GB27" i="4"/>
  <c r="FY28" i="4"/>
  <c r="FN29" i="4"/>
  <c r="FK30" i="4"/>
  <c r="FR31" i="4"/>
  <c r="FD38" i="4"/>
  <c r="HG46" i="4"/>
  <c r="HH22" i="4"/>
  <c r="HE23" i="4"/>
  <c r="GT24" i="4"/>
  <c r="GQ25" i="4"/>
  <c r="GN26" i="4"/>
  <c r="GC27" i="4"/>
  <c r="FZ28" i="4"/>
  <c r="FW29" i="4"/>
  <c r="FL30" i="4"/>
  <c r="FY31" i="4"/>
  <c r="GE37" i="4"/>
  <c r="FS20" i="4"/>
  <c r="FP21" i="4"/>
  <c r="FE22" i="4"/>
  <c r="HQ22" i="4"/>
  <c r="HN23" i="4"/>
  <c r="HK24" i="4"/>
  <c r="GZ25" i="4"/>
  <c r="GW26" i="4"/>
  <c r="GL27" i="4"/>
  <c r="GI28" i="4"/>
  <c r="GF29" i="4"/>
  <c r="FU30" i="4"/>
  <c r="HF31" i="4"/>
  <c r="FT38" i="4"/>
  <c r="GE32" i="4"/>
  <c r="FT33" i="4"/>
  <c r="FQ34" i="4"/>
  <c r="FF35" i="4"/>
  <c r="HR35" i="4"/>
  <c r="HO36" i="4"/>
  <c r="HL37" i="4"/>
  <c r="HA38" i="4"/>
  <c r="GX39" i="4"/>
  <c r="GU40" i="4"/>
  <c r="HL41" i="4"/>
  <c r="FZ43" i="4"/>
  <c r="HM45" i="4"/>
  <c r="GI31" i="4"/>
  <c r="GF32" i="4"/>
  <c r="FU33" i="4"/>
  <c r="FR34" i="4"/>
  <c r="FO35" i="4"/>
  <c r="FL36" i="4"/>
  <c r="FY37" i="4"/>
  <c r="GT38" i="4"/>
  <c r="GN40" i="4"/>
  <c r="FN43" i="4"/>
  <c r="FT31" i="4"/>
  <c r="FF33" i="4"/>
  <c r="FX35" i="4"/>
  <c r="HF37" i="4"/>
  <c r="GG40" i="4"/>
  <c r="GR43" i="4"/>
  <c r="HA31" i="4"/>
  <c r="GB34" i="4"/>
  <c r="GL36" i="4"/>
  <c r="FE39" i="4"/>
  <c r="FJ42" i="4"/>
  <c r="FH47" i="4"/>
  <c r="FP33" i="4"/>
  <c r="HF35" i="4"/>
  <c r="HP37" i="4"/>
  <c r="GI40" i="4"/>
  <c r="GZ44" i="4"/>
  <c r="FL32" i="4"/>
  <c r="GB40" i="4"/>
  <c r="GY38" i="4"/>
  <c r="FG45" i="4"/>
  <c r="GT46" i="4"/>
  <c r="GV46" i="4"/>
  <c r="GA52" i="4"/>
  <c r="HE51" i="4"/>
  <c r="GX57" i="4"/>
  <c r="FS58" i="4"/>
  <c r="FR73" i="4"/>
  <c r="GK73" i="4"/>
  <c r="FK79" i="4"/>
  <c r="FI37" i="4"/>
  <c r="HU37" i="4"/>
  <c r="HJ38" i="4"/>
  <c r="HG39" i="4"/>
  <c r="HD40" i="4"/>
  <c r="FG42" i="4"/>
  <c r="GP43" i="4"/>
  <c r="HP45" i="4"/>
  <c r="GJ31" i="4"/>
  <c r="GG32" i="4"/>
  <c r="FV33" i="4"/>
  <c r="FS34" i="4"/>
  <c r="FP35" i="4"/>
  <c r="FE36" i="4"/>
  <c r="HQ36" i="4"/>
  <c r="HN37" i="4"/>
  <c r="HK38" i="4"/>
  <c r="GZ39" i="4"/>
  <c r="GW40" i="4"/>
  <c r="HN41" i="4"/>
  <c r="GB43" i="4"/>
  <c r="GB45" i="4"/>
  <c r="FZ54" i="4"/>
  <c r="HI31" i="4"/>
  <c r="HF32" i="4"/>
  <c r="HC33" i="4"/>
  <c r="GR34" i="4"/>
  <c r="GO35" i="4"/>
  <c r="GD36" i="4"/>
  <c r="GA37" i="4"/>
  <c r="FX38" i="4"/>
  <c r="FM39" i="4"/>
  <c r="FJ40" i="4"/>
  <c r="FD41" i="4"/>
  <c r="GK42" i="4"/>
  <c r="FG44" i="4"/>
  <c r="GA46" i="4"/>
  <c r="GD31" i="4"/>
  <c r="GA32" i="4"/>
  <c r="FX33" i="4"/>
  <c r="FM34" i="4"/>
  <c r="FJ35" i="4"/>
  <c r="FG36" i="4"/>
  <c r="HS36" i="4"/>
  <c r="HH37" i="4"/>
  <c r="HE38" i="4"/>
  <c r="GT39" i="4"/>
  <c r="GQ40" i="4"/>
  <c r="HE41" i="4"/>
  <c r="FS43" i="4"/>
  <c r="FL45" i="4"/>
  <c r="FO31" i="4"/>
  <c r="FD32" i="4"/>
  <c r="FI33" i="4"/>
  <c r="FM37" i="4"/>
  <c r="GZ40" i="4"/>
  <c r="GN31" i="4"/>
  <c r="HH35" i="4"/>
  <c r="FX39" i="4"/>
  <c r="GL45" i="4"/>
  <c r="HF44" i="4"/>
  <c r="FV48" i="4"/>
  <c r="GC46" i="4"/>
  <c r="GY47" i="4"/>
  <c r="FM44" i="4"/>
  <c r="HK41" i="4"/>
  <c r="FT49" i="4"/>
  <c r="HT44" i="4"/>
  <c r="GT51" i="4"/>
  <c r="FT52" i="4"/>
  <c r="HD51" i="4"/>
  <c r="FV52" i="4"/>
  <c r="HC52" i="4"/>
  <c r="GN52" i="4"/>
  <c r="HG57" i="4"/>
  <c r="HC57" i="4"/>
  <c r="FQ61" i="4"/>
  <c r="GC62" i="4"/>
  <c r="GB66" i="4"/>
  <c r="HD68" i="4"/>
  <c r="FQ71" i="4"/>
  <c r="FY70" i="4"/>
  <c r="HL72" i="4"/>
  <c r="HK77" i="4"/>
  <c r="HM77" i="4"/>
  <c r="FN38" i="4"/>
  <c r="FK39" i="4"/>
  <c r="FH40" i="4"/>
  <c r="HT40" i="4"/>
  <c r="GG42" i="4"/>
  <c r="FW44" i="4"/>
  <c r="HD47" i="4"/>
  <c r="GZ31" i="4"/>
  <c r="GW32" i="4"/>
  <c r="GL33" i="4"/>
  <c r="GI34" i="4"/>
  <c r="GF35" i="4"/>
  <c r="FU36" i="4"/>
  <c r="FR37" i="4"/>
  <c r="FO38" i="4"/>
  <c r="FD39" i="4"/>
  <c r="HP39" i="4"/>
  <c r="HM40" i="4"/>
  <c r="FV42" i="4"/>
  <c r="HN43" i="4"/>
  <c r="HR45" i="4"/>
  <c r="FM31" i="4"/>
  <c r="FJ32" i="4"/>
  <c r="FG33" i="4"/>
  <c r="HS33" i="4"/>
  <c r="HH34" i="4"/>
  <c r="HE35" i="4"/>
  <c r="GT36" i="4"/>
  <c r="GQ37" i="4"/>
  <c r="GN38" i="4"/>
  <c r="GC39" i="4"/>
  <c r="FZ40" i="4"/>
  <c r="GC41" i="4"/>
  <c r="HJ42" i="4"/>
  <c r="GW44" i="4"/>
  <c r="HT47" i="4"/>
  <c r="GT31" i="4"/>
  <c r="GQ32" i="4"/>
  <c r="GN33" i="4"/>
  <c r="GC34" i="4"/>
  <c r="FZ35" i="4"/>
  <c r="FW36" i="4"/>
  <c r="FL37" i="4"/>
  <c r="FI38" i="4"/>
  <c r="HU38" i="4"/>
  <c r="HJ39" i="4"/>
  <c r="HG40" i="4"/>
  <c r="FM42" i="4"/>
  <c r="GX43" i="4"/>
  <c r="HB45" i="4"/>
  <c r="GE31" i="4"/>
  <c r="FT32" i="4"/>
  <c r="FV34" i="4"/>
  <c r="HA37" i="4"/>
  <c r="FN42" i="4"/>
  <c r="HI32" i="4"/>
  <c r="GG36" i="4"/>
  <c r="GC40" i="4"/>
  <c r="HO41" i="4"/>
  <c r="FW45" i="4"/>
  <c r="GS51" i="4"/>
  <c r="FG48" i="4"/>
  <c r="GN48" i="4"/>
  <c r="FG46" i="4"/>
  <c r="HM43" i="4"/>
  <c r="GG46" i="4"/>
  <c r="HF46" i="4"/>
  <c r="HA54" i="4"/>
  <c r="FW53" i="4"/>
  <c r="HK53" i="4"/>
  <c r="HT54" i="4"/>
  <c r="FI54" i="4"/>
  <c r="FL51" i="4"/>
  <c r="GO53" i="4"/>
  <c r="FS56" i="4"/>
  <c r="HL59" i="4"/>
  <c r="GS60" i="4"/>
  <c r="GD61" i="4"/>
  <c r="HP65" i="4"/>
  <c r="FY69" i="4"/>
  <c r="GH70" i="4"/>
  <c r="FZ74" i="4"/>
  <c r="GT75" i="4"/>
  <c r="FD79" i="4"/>
  <c r="FS39" i="4"/>
  <c r="FP40" i="4"/>
  <c r="FM41" i="4"/>
  <c r="GT42" i="4"/>
  <c r="GR44" i="4"/>
  <c r="GK48" i="4"/>
  <c r="HH31" i="4"/>
  <c r="HE32" i="4"/>
  <c r="GT33" i="4"/>
  <c r="GQ34" i="4"/>
  <c r="GN35" i="4"/>
  <c r="GC36" i="4"/>
  <c r="FZ37" i="4"/>
  <c r="FW38" i="4"/>
  <c r="FL39" i="4"/>
  <c r="FI40" i="4"/>
  <c r="HU40" i="4"/>
  <c r="GH42" i="4"/>
  <c r="FD44" i="4"/>
  <c r="FS46" i="4"/>
  <c r="FU31" i="4"/>
  <c r="FR32" i="4"/>
  <c r="FO33" i="4"/>
  <c r="FD34" i="4"/>
  <c r="HP34" i="4"/>
  <c r="HM35" i="4"/>
  <c r="HB36" i="4"/>
  <c r="GY37" i="4"/>
  <c r="GV38" i="4"/>
  <c r="GK39" i="4"/>
  <c r="GH40" i="4"/>
  <c r="GP41" i="4"/>
  <c r="FD43" i="4"/>
  <c r="HS44" i="4"/>
  <c r="HA48" i="4"/>
  <c r="HB31" i="4"/>
  <c r="GY32" i="4"/>
  <c r="GV33" i="4"/>
  <c r="GK34" i="4"/>
  <c r="GH35" i="4"/>
  <c r="GE36" i="4"/>
  <c r="FT37" i="4"/>
  <c r="FQ38" i="4"/>
  <c r="FF39" i="4"/>
  <c r="HR39" i="4"/>
  <c r="HO40" i="4"/>
  <c r="FY42" i="4"/>
  <c r="HS43" i="4"/>
  <c r="GI46" i="4"/>
  <c r="GM31" i="4"/>
  <c r="GB32" i="4"/>
  <c r="GD34" i="4"/>
  <c r="GX38" i="4"/>
  <c r="HM42" i="4"/>
  <c r="FJ33" i="4"/>
  <c r="FV37" i="4"/>
  <c r="GS40" i="4"/>
  <c r="FH42" i="4"/>
  <c r="FL46" i="4"/>
  <c r="FZ56" i="4"/>
  <c r="FW48" i="4"/>
  <c r="GP52" i="4"/>
  <c r="GE46" i="4"/>
  <c r="GD44" i="4"/>
  <c r="GT47" i="4"/>
  <c r="GU47" i="4"/>
  <c r="HN54" i="4"/>
  <c r="GE56" i="4"/>
  <c r="HQ54" i="4"/>
  <c r="GH55" i="4"/>
  <c r="HF60" i="4"/>
  <c r="HU52" i="4"/>
  <c r="FV54" i="4"/>
  <c r="HA59" i="4"/>
  <c r="FS61" i="4"/>
  <c r="HN61" i="4"/>
  <c r="HI64" i="4"/>
  <c r="HA69" i="4"/>
  <c r="HM69" i="4"/>
  <c r="FO75" i="4"/>
  <c r="FF74" i="4"/>
  <c r="HR75" i="4"/>
  <c r="HA79" i="4"/>
  <c r="HB33" i="4"/>
  <c r="GY34" i="4"/>
  <c r="GV35" i="4"/>
  <c r="GK36" i="4"/>
  <c r="GH37" i="4"/>
  <c r="GE38" i="4"/>
  <c r="FT39" i="4"/>
  <c r="FQ40" i="4"/>
  <c r="FP41" i="4"/>
  <c r="GU42" i="4"/>
  <c r="FY44" i="4"/>
  <c r="HL47" i="4"/>
  <c r="GC31" i="4"/>
  <c r="FZ32" i="4"/>
  <c r="FW33" i="4"/>
  <c r="FL34" i="4"/>
  <c r="FI35" i="4"/>
  <c r="HU35" i="4"/>
  <c r="HJ36" i="4"/>
  <c r="HG37" i="4"/>
  <c r="HD38" i="4"/>
  <c r="GS39" i="4"/>
  <c r="GP40" i="4"/>
  <c r="HD41" i="4"/>
  <c r="FR43" i="4"/>
  <c r="FI45" i="4"/>
  <c r="HO49" i="4"/>
  <c r="HJ31" i="4"/>
  <c r="HG32" i="4"/>
  <c r="HD33" i="4"/>
  <c r="GS34" i="4"/>
  <c r="GP35" i="4"/>
  <c r="GM36" i="4"/>
  <c r="GB37" i="4"/>
  <c r="FY38" i="4"/>
  <c r="FN39" i="4"/>
  <c r="FK40" i="4"/>
  <c r="FE41" i="4"/>
  <c r="GL42" i="4"/>
  <c r="FI44" i="4"/>
  <c r="FP47" i="4"/>
  <c r="GU31" i="4"/>
  <c r="GJ32" i="4"/>
  <c r="HJ34" i="4"/>
  <c r="HN38" i="4"/>
  <c r="FN45" i="4"/>
  <c r="FZ33" i="4"/>
  <c r="GD37" i="4"/>
  <c r="HH41" i="4"/>
  <c r="GF42" i="4"/>
  <c r="GJ46" i="4"/>
  <c r="GA44" i="4"/>
  <c r="HK48" i="4"/>
  <c r="HM54" i="4"/>
  <c r="HP47" i="4"/>
  <c r="HB44" i="4"/>
  <c r="FS48" i="4"/>
  <c r="HH48" i="4"/>
  <c r="GX56" i="4"/>
  <c r="GZ56" i="4"/>
  <c r="GU49" i="4"/>
  <c r="GZ59" i="4"/>
  <c r="FI49" i="4"/>
  <c r="FP55" i="4"/>
  <c r="FP56" i="4"/>
  <c r="GT60" i="4"/>
  <c r="GW59" i="4"/>
  <c r="HK62" i="4"/>
  <c r="HO68" i="4"/>
  <c r="GV68" i="4"/>
  <c r="GR72" i="4"/>
  <c r="GZ75" i="4"/>
  <c r="GQ76" i="4"/>
  <c r="GY78" i="4"/>
  <c r="HK76" i="4"/>
  <c r="HK35" i="4"/>
  <c r="GZ36" i="4"/>
  <c r="GW37" i="4"/>
  <c r="GL38" i="4"/>
  <c r="GI39" i="4"/>
  <c r="GF40" i="4"/>
  <c r="GN41" i="4"/>
  <c r="HS42" i="4"/>
  <c r="FD45" i="4"/>
  <c r="FL31" i="4"/>
  <c r="FI32" i="4"/>
  <c r="HU32" i="4"/>
  <c r="HJ33" i="4"/>
  <c r="HG34" i="4"/>
  <c r="HD35" i="4"/>
  <c r="GS36" i="4"/>
  <c r="GP37" i="4"/>
  <c r="GM38" i="4"/>
  <c r="GB39" i="4"/>
  <c r="FY40" i="4"/>
  <c r="GB41" i="4"/>
  <c r="HI42" i="4"/>
  <c r="GU44" i="4"/>
  <c r="GS48" i="4"/>
  <c r="GK31" i="4"/>
  <c r="GH32" i="4"/>
  <c r="GE33" i="4"/>
  <c r="FT34" i="4"/>
  <c r="FQ35" i="4"/>
  <c r="FF36" i="4"/>
  <c r="HR36" i="4"/>
  <c r="HO37" i="4"/>
  <c r="HL38" i="4"/>
  <c r="HA39" i="4"/>
  <c r="GX40" i="4"/>
  <c r="HP41" i="4"/>
  <c r="GD43" i="4"/>
  <c r="GD45" i="4"/>
  <c r="FF31" i="4"/>
  <c r="HR31" i="4"/>
  <c r="HO32" i="4"/>
  <c r="HL33" i="4"/>
  <c r="HA34" i="4"/>
  <c r="GX35" i="4"/>
  <c r="GU36" i="4"/>
  <c r="GJ37" i="4"/>
  <c r="GG38" i="4"/>
  <c r="FV39" i="4"/>
  <c r="FS40" i="4"/>
  <c r="FR41" i="4"/>
  <c r="GX42" i="4"/>
  <c r="GE44" i="4"/>
  <c r="HI48" i="4"/>
  <c r="HC31" i="4"/>
  <c r="GR32" i="4"/>
  <c r="HG35" i="4"/>
  <c r="FO39" i="4"/>
  <c r="GJ45" i="4"/>
  <c r="FW34" i="4"/>
  <c r="HB37" i="4"/>
  <c r="GC42" i="4"/>
  <c r="FU43" i="4"/>
  <c r="HH46" i="4"/>
  <c r="GQ44" i="4"/>
  <c r="GZ54" i="4"/>
  <c r="GL41" i="4"/>
  <c r="FQ48" i="4"/>
  <c r="GF46" i="4"/>
  <c r="GQ48" i="4"/>
  <c r="GC51" i="4"/>
  <c r="HA49" i="4"/>
  <c r="GL49" i="4"/>
  <c r="HC49" i="4"/>
  <c r="GK50" i="4"/>
  <c r="HE49" i="4"/>
  <c r="HD55" i="4"/>
  <c r="GE54" i="4"/>
  <c r="GO63" i="4"/>
  <c r="HU59" i="4"/>
  <c r="GW66" i="4"/>
  <c r="GM68" i="4"/>
  <c r="GR69" i="4"/>
  <c r="HQ68" i="4"/>
  <c r="HR72" i="4"/>
  <c r="FO77" i="4"/>
  <c r="GO75" i="4"/>
  <c r="GW78" i="4"/>
  <c r="FQ33" i="4"/>
  <c r="GL34" i="4"/>
  <c r="FP36" i="4"/>
  <c r="GS37" i="4"/>
  <c r="FG39" i="4"/>
  <c r="GJ40" i="4"/>
  <c r="FZ42" i="4"/>
  <c r="GQ46" i="4"/>
  <c r="HL31" i="4"/>
  <c r="FR33" i="4"/>
  <c r="HC34" i="4"/>
  <c r="FI36" i="4"/>
  <c r="GT37" i="4"/>
  <c r="FP39" i="4"/>
  <c r="GK40" i="4"/>
  <c r="GO42" i="4"/>
  <c r="HH45" i="4"/>
  <c r="FX42" i="4"/>
  <c r="HA43" i="4"/>
  <c r="FO45" i="4"/>
  <c r="GR46" i="4"/>
  <c r="HU47" i="4"/>
  <c r="GS53" i="4"/>
  <c r="HG44" i="4"/>
  <c r="GS46" i="4"/>
  <c r="GM48" i="4"/>
  <c r="FV46" i="4"/>
  <c r="FP48" i="4"/>
  <c r="GD41" i="4"/>
  <c r="GV43" i="4"/>
  <c r="FO46" i="4"/>
  <c r="HE48" i="4"/>
  <c r="FD42" i="4"/>
  <c r="GL44" i="4"/>
  <c r="FM47" i="4"/>
  <c r="FM51" i="4"/>
  <c r="GA48" i="4"/>
  <c r="HL44" i="4"/>
  <c r="FG47" i="4"/>
  <c r="FJ52" i="4"/>
  <c r="FS52" i="4"/>
  <c r="FZ55" i="4"/>
  <c r="GH50" i="4"/>
  <c r="FK53" i="4"/>
  <c r="FK59" i="4"/>
  <c r="GN51" i="4"/>
  <c r="HE54" i="4"/>
  <c r="HS49" i="4"/>
  <c r="GD52" i="4"/>
  <c r="GW57" i="4"/>
  <c r="HI50" i="4"/>
  <c r="HA53" i="4"/>
  <c r="GW49" i="4"/>
  <c r="HG51" i="4"/>
  <c r="HE52" i="4"/>
  <c r="FE56" i="4"/>
  <c r="HD58" i="4"/>
  <c r="GQ55" i="4"/>
  <c r="FT55" i="4"/>
  <c r="GD55" i="4"/>
  <c r="GA63" i="4"/>
  <c r="FG59" i="4"/>
  <c r="FL60" i="4"/>
  <c r="GN62" i="4"/>
  <c r="HP62" i="4"/>
  <c r="GM62" i="4"/>
  <c r="GV60" i="4"/>
  <c r="FQ60" i="4"/>
  <c r="FF69" i="4"/>
  <c r="GQ68" i="4"/>
  <c r="HS66" i="4"/>
  <c r="HQ69" i="4"/>
  <c r="GS70" i="4"/>
  <c r="FN70" i="4"/>
  <c r="HK70" i="4"/>
  <c r="GC74" i="4"/>
  <c r="HE71" i="4"/>
  <c r="FH72" i="4"/>
  <c r="GX78" i="4"/>
  <c r="GI73" i="4"/>
  <c r="FX77" i="4"/>
  <c r="FZ78" i="4"/>
  <c r="GF76" i="4"/>
  <c r="GY79" i="4"/>
  <c r="FI78" i="4"/>
  <c r="GO33" i="4"/>
  <c r="HR34" i="4"/>
  <c r="GF36" i="4"/>
  <c r="HQ37" i="4"/>
  <c r="GM39" i="4"/>
  <c r="HH40" i="4"/>
  <c r="FG43" i="4"/>
  <c r="FE48" i="4"/>
  <c r="FM32" i="4"/>
  <c r="GX33" i="4"/>
  <c r="FD35" i="4"/>
  <c r="GO36" i="4"/>
  <c r="HJ37" i="4"/>
  <c r="GN39" i="4"/>
  <c r="HQ40" i="4"/>
  <c r="FJ43" i="4"/>
  <c r="FK41" i="4"/>
  <c r="GN42" i="4"/>
  <c r="FJ44" i="4"/>
  <c r="GU45" i="4"/>
  <c r="HP46" i="4"/>
  <c r="GD48" i="4"/>
  <c r="FQ57" i="4"/>
  <c r="FX45" i="4"/>
  <c r="FJ47" i="4"/>
  <c r="HS48" i="4"/>
  <c r="HB46" i="4"/>
  <c r="GV48" i="4"/>
  <c r="HB41" i="4"/>
  <c r="FU44" i="4"/>
  <c r="HS46" i="4"/>
  <c r="FS49" i="4"/>
  <c r="GZ42" i="4"/>
  <c r="GA45" i="4"/>
  <c r="GK47" i="4"/>
  <c r="GO46" i="4"/>
  <c r="HG49" i="4"/>
  <c r="FM45" i="4"/>
  <c r="HC47" i="4"/>
  <c r="GG50" i="4"/>
  <c r="GQ52" i="4"/>
  <c r="HS56" i="4"/>
  <c r="FW51" i="4"/>
  <c r="GV53" i="4"/>
  <c r="GT49" i="4"/>
  <c r="FU52" i="4"/>
  <c r="GE55" i="4"/>
  <c r="GR50" i="4"/>
  <c r="GA53" i="4"/>
  <c r="FH49" i="4"/>
  <c r="GP51" i="4"/>
  <c r="HU54" i="4"/>
  <c r="HU49" i="4"/>
  <c r="HI54" i="4"/>
  <c r="HQ53" i="4"/>
  <c r="HN57" i="4"/>
  <c r="GR57" i="4"/>
  <c r="GN56" i="4"/>
  <c r="FF57" i="4"/>
  <c r="GN57" i="4"/>
  <c r="HG64" i="4"/>
  <c r="GE61" i="4"/>
  <c r="HR63" i="4"/>
  <c r="HU63" i="4"/>
  <c r="FX61" i="4"/>
  <c r="GG64" i="4"/>
  <c r="GK61" i="4"/>
  <c r="HR61" i="4"/>
  <c r="GW67" i="4"/>
  <c r="FS70" i="4"/>
  <c r="HO69" i="4"/>
  <c r="FJ68" i="4"/>
  <c r="HJ71" i="4"/>
  <c r="FF73" i="4"/>
  <c r="FP70" i="4"/>
  <c r="HF70" i="4"/>
  <c r="HI73" i="4"/>
  <c r="GB75" i="4"/>
  <c r="HJ74" i="4"/>
  <c r="GH75" i="4"/>
  <c r="GK75" i="4"/>
  <c r="HN78" i="4"/>
  <c r="FE78" i="4"/>
  <c r="HR76" i="4"/>
  <c r="HU78" i="4"/>
  <c r="GW33" i="4"/>
  <c r="FS35" i="4"/>
  <c r="HD36" i="4"/>
  <c r="FJ38" i="4"/>
  <c r="GU39" i="4"/>
  <c r="HP40" i="4"/>
  <c r="GH43" i="4"/>
  <c r="FD56" i="4"/>
  <c r="FU32" i="4"/>
  <c r="HF33" i="4"/>
  <c r="FL35" i="4"/>
  <c r="HE36" i="4"/>
  <c r="FS38" i="4"/>
  <c r="GV39" i="4"/>
  <c r="FI41" i="4"/>
  <c r="FV43" i="4"/>
  <c r="GA41" i="4"/>
  <c r="HL42" i="4"/>
  <c r="FR44" i="4"/>
  <c r="HC45" i="4"/>
  <c r="FI47" i="4"/>
  <c r="GT48" i="4"/>
  <c r="GT43" i="4"/>
  <c r="GN45" i="4"/>
  <c r="FZ47" i="4"/>
  <c r="GQ49" i="4"/>
  <c r="HR46" i="4"/>
  <c r="HL48" i="4"/>
  <c r="GA42" i="4"/>
  <c r="GK44" i="4"/>
  <c r="FD47" i="4"/>
  <c r="GX52" i="4"/>
  <c r="HP42" i="4"/>
  <c r="GI45" i="4"/>
  <c r="FJ48" i="4"/>
  <c r="HE46" i="4"/>
  <c r="GN50" i="4"/>
  <c r="HA45" i="4"/>
  <c r="HS47" i="4"/>
  <c r="GO50" i="4"/>
  <c r="FU53" i="4"/>
  <c r="HR58" i="4"/>
  <c r="GE51" i="4"/>
  <c r="GP54" i="4"/>
  <c r="HJ49" i="4"/>
  <c r="GC52" i="4"/>
  <c r="GO57" i="4"/>
  <c r="HH50" i="4"/>
  <c r="GM53" i="4"/>
  <c r="GV49" i="4"/>
  <c r="HF51" i="4"/>
  <c r="FO55" i="4"/>
  <c r="GL50" i="4"/>
  <c r="FR55" i="4"/>
  <c r="FY61" i="4"/>
  <c r="FL59" i="4"/>
  <c r="HH57" i="4"/>
  <c r="FN58" i="4"/>
  <c r="GD57" i="4"/>
  <c r="FQ58" i="4"/>
  <c r="HO61" i="4"/>
  <c r="GW62" i="4"/>
  <c r="FN64" i="4"/>
  <c r="HA58" i="4"/>
  <c r="GD62" i="4"/>
  <c r="GW64" i="4"/>
  <c r="FO63" i="4"/>
  <c r="GA62" i="4"/>
  <c r="FT67" i="4"/>
  <c r="FT66" i="4"/>
  <c r="GK65" i="4"/>
  <c r="FR68" i="4"/>
  <c r="FO67" i="4"/>
  <c r="GA66" i="4"/>
  <c r="GF70" i="4"/>
  <c r="GN71" i="4"/>
  <c r="GJ74" i="4"/>
  <c r="HN74" i="4"/>
  <c r="HG76" i="4"/>
  <c r="HM76" i="4"/>
  <c r="GY75" i="4"/>
  <c r="GO76" i="4"/>
  <c r="GX79" i="4"/>
  <c r="FS77" i="4"/>
  <c r="GM79" i="4"/>
  <c r="HU33" i="4"/>
  <c r="GA35" i="4"/>
  <c r="HL36" i="4"/>
  <c r="FR38" i="4"/>
  <c r="HK39" i="4"/>
  <c r="GG41" i="4"/>
  <c r="GZ43" i="4"/>
  <c r="FH31" i="4"/>
  <c r="GC32" i="4"/>
  <c r="FG34" i="4"/>
  <c r="GJ35" i="4"/>
  <c r="HM36" i="4"/>
  <c r="GA38" i="4"/>
  <c r="HD39" i="4"/>
  <c r="GH41" i="4"/>
  <c r="FO44" i="4"/>
  <c r="GI41" i="4"/>
  <c r="HT42" i="4"/>
  <c r="FZ44" i="4"/>
  <c r="HS45" i="4"/>
  <c r="GG47" i="4"/>
  <c r="HJ48" i="4"/>
  <c r="HJ43" i="4"/>
  <c r="HD45" i="4"/>
  <c r="GP47" i="4"/>
  <c r="HT50" i="4"/>
  <c r="FS47" i="4"/>
  <c r="FL49" i="4"/>
  <c r="GI42" i="4"/>
  <c r="FJ45" i="4"/>
  <c r="FT47" i="4"/>
  <c r="HB58" i="4"/>
  <c r="GO43" i="4"/>
  <c r="GY45" i="4"/>
  <c r="FR48" i="4"/>
  <c r="FV47" i="4"/>
  <c r="HN52" i="4"/>
  <c r="HI45" i="4"/>
  <c r="GJ48" i="4"/>
  <c r="HE50" i="4"/>
  <c r="GI53" i="4"/>
  <c r="GC49" i="4"/>
  <c r="GU51" i="4"/>
  <c r="HD54" i="4"/>
  <c r="GI50" i="4"/>
  <c r="GS52" i="4"/>
  <c r="GD59" i="4"/>
  <c r="GG51" i="4"/>
  <c r="HL53" i="4"/>
  <c r="HD49" i="4"/>
  <c r="GE52" i="4"/>
  <c r="HF55" i="4"/>
  <c r="GT50" i="4"/>
  <c r="FV58" i="4"/>
  <c r="FF53" i="4"/>
  <c r="GW55" i="4"/>
  <c r="HU58" i="4"/>
  <c r="GT58" i="4"/>
  <c r="GR60" i="4"/>
  <c r="HM58" i="4"/>
  <c r="HI62" i="4"/>
  <c r="GX64" i="4"/>
  <c r="GX65" i="4"/>
  <c r="HI58" i="4"/>
  <c r="FQ65" i="4"/>
  <c r="GE65" i="4"/>
  <c r="GE63" i="4"/>
  <c r="HT63" i="4"/>
  <c r="HG67" i="4"/>
  <c r="FL67" i="4"/>
  <c r="FQ67" i="4"/>
  <c r="FG69" i="4"/>
  <c r="FW67" i="4"/>
  <c r="FE68" i="4"/>
  <c r="FE71" i="4"/>
  <c r="HD71" i="4"/>
  <c r="GM72" i="4"/>
  <c r="GG76" i="4"/>
  <c r="FG74" i="4"/>
  <c r="HH73" i="4"/>
  <c r="FE77" i="4"/>
  <c r="HA76" i="4"/>
  <c r="HP76" i="4"/>
  <c r="HO77" i="4"/>
  <c r="HC79" i="4"/>
  <c r="HH32" i="4"/>
  <c r="FF34" i="4"/>
  <c r="GI35" i="4"/>
  <c r="FE37" i="4"/>
  <c r="GP38" i="4"/>
  <c r="HS39" i="4"/>
  <c r="GS41" i="4"/>
  <c r="FL44" i="4"/>
  <c r="FX31" i="4"/>
  <c r="HA32" i="4"/>
  <c r="FO34" i="4"/>
  <c r="GR35" i="4"/>
  <c r="HU36" i="4"/>
  <c r="GQ38" i="4"/>
  <c r="FE40" i="4"/>
  <c r="GV41" i="4"/>
  <c r="GJ44" i="4"/>
  <c r="GQ41" i="4"/>
  <c r="FM43" i="4"/>
  <c r="GX44" i="4"/>
  <c r="FD46" i="4"/>
  <c r="GO47" i="4"/>
  <c r="GJ49" i="4"/>
  <c r="FS44" i="4"/>
  <c r="FE46" i="4"/>
  <c r="HN47" i="4"/>
  <c r="HG53" i="4"/>
  <c r="GQ47" i="4"/>
  <c r="HI51" i="4"/>
  <c r="GY42" i="4"/>
  <c r="FR45" i="4"/>
  <c r="HH47" i="4"/>
  <c r="FO41" i="4"/>
  <c r="GW43" i="4"/>
  <c r="FX46" i="4"/>
  <c r="GH48" i="4"/>
  <c r="GD47" i="4"/>
  <c r="HO43" i="4"/>
  <c r="FJ46" i="4"/>
  <c r="GR48" i="4"/>
  <c r="FV51" i="4"/>
  <c r="HH53" i="4"/>
  <c r="GK49" i="4"/>
  <c r="FL52" i="4"/>
  <c r="FG55" i="4"/>
  <c r="GQ50" i="4"/>
  <c r="FX53" i="4"/>
  <c r="FG49" i="4"/>
  <c r="GO51" i="4"/>
  <c r="HF54" i="4"/>
  <c r="HT49" i="4"/>
  <c r="GM52" i="4"/>
  <c r="FF58" i="4"/>
  <c r="HJ50" i="4"/>
  <c r="FW50" i="4"/>
  <c r="HJ53" i="4"/>
  <c r="HE55" i="4"/>
  <c r="GG53" i="4"/>
  <c r="GQ60" i="4"/>
  <c r="FG57" i="4"/>
  <c r="GK59" i="4"/>
  <c r="GC63" i="4"/>
  <c r="GM66" i="4"/>
  <c r="FI59" i="4"/>
  <c r="GX59" i="4"/>
  <c r="GG65" i="4"/>
  <c r="FW66" i="4"/>
  <c r="FD64" i="4"/>
  <c r="FM64" i="4"/>
  <c r="GJ72" i="4"/>
  <c r="GY67" i="4"/>
  <c r="FI68" i="4"/>
  <c r="FT70" i="4"/>
  <c r="FD68" i="4"/>
  <c r="FM68" i="4"/>
  <c r="FQ70" i="4"/>
  <c r="GC72" i="4"/>
  <c r="HC72" i="4"/>
  <c r="HN72" i="4"/>
  <c r="GE74" i="4"/>
  <c r="GG74" i="4"/>
  <c r="FF75" i="4"/>
  <c r="HT77" i="4"/>
  <c r="FI77" i="4"/>
  <c r="GS79" i="4"/>
  <c r="GF79" i="4"/>
  <c r="GF52" i="4"/>
  <c r="HI55" i="4"/>
  <c r="HS50" i="4"/>
  <c r="HD53" i="4"/>
  <c r="FV53" i="4"/>
  <c r="HL55" i="4"/>
  <c r="HS58" i="4"/>
  <c r="HU55" i="4"/>
  <c r="HT58" i="4"/>
  <c r="HE58" i="4"/>
  <c r="HE53" i="4"/>
  <c r="FX56" i="4"/>
  <c r="FF60" i="4"/>
  <c r="HC54" i="4"/>
  <c r="FN57" i="4"/>
  <c r="GU57" i="4"/>
  <c r="GT55" i="4"/>
  <c r="GG58" i="4"/>
  <c r="GH60" i="4"/>
  <c r="HN63" i="4"/>
  <c r="HU62" i="4"/>
  <c r="HN58" i="4"/>
  <c r="HD61" i="4"/>
  <c r="HE67" i="4"/>
  <c r="FG61" i="4"/>
  <c r="GM64" i="4"/>
  <c r="HE59" i="4"/>
  <c r="HG63" i="4"/>
  <c r="FJ59" i="4"/>
  <c r="GO62" i="4"/>
  <c r="FQ62" i="4"/>
  <c r="FE60" i="4"/>
  <c r="GU62" i="4"/>
  <c r="FT65" i="4"/>
  <c r="HH67" i="4"/>
  <c r="FU61" i="4"/>
  <c r="HS63" i="4"/>
  <c r="GI67" i="4"/>
  <c r="FK62" i="4"/>
  <c r="HA64" i="4"/>
  <c r="FL66" i="4"/>
  <c r="GH67" i="4"/>
  <c r="HG72" i="4"/>
  <c r="FL69" i="4"/>
  <c r="FZ67" i="4"/>
  <c r="HH66" i="4"/>
  <c r="FP71" i="4"/>
  <c r="FW68" i="4"/>
  <c r="FX66" i="4"/>
  <c r="GH68" i="4"/>
  <c r="HP70" i="4"/>
  <c r="GM71" i="4"/>
  <c r="GM67" i="4"/>
  <c r="HU69" i="4"/>
  <c r="FS66" i="4"/>
  <c r="GC68" i="4"/>
  <c r="HS70" i="4"/>
  <c r="HT70" i="4"/>
  <c r="GO70" i="4"/>
  <c r="GP70" i="4"/>
  <c r="FU72" i="4"/>
  <c r="HE76" i="4"/>
  <c r="HU73" i="4"/>
  <c r="FX73" i="4"/>
  <c r="FX72" i="4"/>
  <c r="GJ75" i="4"/>
  <c r="FD74" i="4"/>
  <c r="FV74" i="4"/>
  <c r="FO74" i="4"/>
  <c r="GA73" i="4"/>
  <c r="HG75" i="4"/>
  <c r="GO74" i="4"/>
  <c r="GD73" i="4"/>
  <c r="FG76" i="4"/>
  <c r="HB75" i="4"/>
  <c r="GZ78" i="4"/>
  <c r="FH77" i="4"/>
  <c r="FN76" i="4"/>
  <c r="HQ78" i="4"/>
  <c r="FY77" i="4"/>
  <c r="HG79" i="4"/>
  <c r="HG77" i="4"/>
  <c r="HQ79" i="4"/>
  <c r="HE78" i="4"/>
  <c r="FX79" i="4"/>
  <c r="HD52" i="4"/>
  <c r="FJ49" i="4"/>
  <c r="GZ51" i="4"/>
  <c r="FY54" i="4"/>
  <c r="HR53" i="4"/>
  <c r="GS56" i="4"/>
  <c r="HB59" i="4"/>
  <c r="GT56" i="4"/>
  <c r="GS62" i="4"/>
  <c r="GL59" i="4"/>
  <c r="GD54" i="4"/>
  <c r="FE57" i="4"/>
  <c r="HM63" i="4"/>
  <c r="GB55" i="4"/>
  <c r="HR57" i="4"/>
  <c r="HS57" i="4"/>
  <c r="GA56" i="4"/>
  <c r="FS60" i="4"/>
  <c r="HS60" i="4"/>
  <c r="HT64" i="4"/>
  <c r="FW64" i="4"/>
  <c r="FW59" i="4"/>
  <c r="HJ62" i="4"/>
  <c r="HG58" i="4"/>
  <c r="GR61" i="4"/>
  <c r="HM66" i="4"/>
  <c r="HN60" i="4"/>
  <c r="GA64" i="4"/>
  <c r="HF59" i="4"/>
  <c r="HI63" i="4"/>
  <c r="HD62" i="4"/>
  <c r="HA60" i="4"/>
  <c r="GB63" i="4"/>
  <c r="GZ65" i="4"/>
  <c r="GZ66" i="4"/>
  <c r="FJ62" i="4"/>
  <c r="FT64" i="4"/>
  <c r="FY60" i="4"/>
  <c r="HO62" i="4"/>
  <c r="FD65" i="4"/>
  <c r="FT69" i="4"/>
  <c r="HB68" i="4"/>
  <c r="FQ66" i="4"/>
  <c r="HD73" i="4"/>
  <c r="GT68" i="4"/>
  <c r="GA67" i="4"/>
  <c r="GS65" i="4"/>
  <c r="GC69" i="4"/>
  <c r="GV66" i="4"/>
  <c r="FO69" i="4"/>
  <c r="GO72" i="4"/>
  <c r="GQ72" i="4"/>
  <c r="FL68" i="4"/>
  <c r="HB70" i="4"/>
  <c r="GQ66" i="4"/>
  <c r="FJ69" i="4"/>
  <c r="FD72" i="4"/>
  <c r="FU71" i="4"/>
  <c r="FN71" i="4"/>
  <c r="GH71" i="4"/>
  <c r="GS72" i="4"/>
  <c r="HM71" i="4"/>
  <c r="HF76" i="4"/>
  <c r="HK73" i="4"/>
  <c r="HT72" i="4"/>
  <c r="HI71" i="4"/>
  <c r="HP74" i="4"/>
  <c r="HR74" i="4"/>
  <c r="HS74" i="4"/>
  <c r="GY73" i="4"/>
  <c r="FP77" i="4"/>
  <c r="GI75" i="4"/>
  <c r="HB73" i="4"/>
  <c r="FZ77" i="4"/>
  <c r="GX76" i="4"/>
  <c r="FH75" i="4"/>
  <c r="FO78" i="4"/>
  <c r="FW77" i="4"/>
  <c r="FT78" i="4"/>
  <c r="HU77" i="4"/>
  <c r="GR79" i="4"/>
  <c r="FP78" i="4"/>
  <c r="HS76" i="4"/>
  <c r="GL79" i="4"/>
  <c r="GV79" i="4"/>
  <c r="GC53" i="4"/>
  <c r="FZ49" i="4"/>
  <c r="HH51" i="4"/>
  <c r="GP55" i="4"/>
  <c r="FS54" i="4"/>
  <c r="HA56" i="4"/>
  <c r="FZ63" i="4"/>
  <c r="HJ56" i="4"/>
  <c r="GL63" i="4"/>
  <c r="HL61" i="4"/>
  <c r="GT54" i="4"/>
  <c r="FM57" i="4"/>
  <c r="GH53" i="4"/>
  <c r="GR55" i="4"/>
  <c r="FO58" i="4"/>
  <c r="FD59" i="4"/>
  <c r="GQ56" i="4"/>
  <c r="HC60" i="4"/>
  <c r="HM61" i="4"/>
  <c r="FV65" i="4"/>
  <c r="GI64" i="4"/>
  <c r="HK59" i="4"/>
  <c r="FR63" i="4"/>
  <c r="HO58" i="4"/>
  <c r="GL62" i="4"/>
  <c r="FL58" i="4"/>
  <c r="FH61" i="4"/>
  <c r="GD65" i="4"/>
  <c r="FO60" i="4"/>
  <c r="FP64" i="4"/>
  <c r="GX63" i="4"/>
  <c r="HQ60" i="4"/>
  <c r="GJ63" i="4"/>
  <c r="FV67" i="4"/>
  <c r="HP67" i="4"/>
  <c r="FR62" i="4"/>
  <c r="HH64" i="4"/>
  <c r="GO60" i="4"/>
  <c r="FH63" i="4"/>
  <c r="HE65" i="4"/>
  <c r="GM65" i="4"/>
  <c r="HM68" i="4"/>
  <c r="FK67" i="4"/>
  <c r="FS65" i="4"/>
  <c r="HE68" i="4"/>
  <c r="FV68" i="4"/>
  <c r="HI65" i="4"/>
  <c r="GQ69" i="4"/>
  <c r="FM67" i="4"/>
  <c r="GE69" i="4"/>
  <c r="HH72" i="4"/>
  <c r="FR66" i="4"/>
  <c r="GB68" i="4"/>
  <c r="HJ70" i="4"/>
  <c r="FP67" i="4"/>
  <c r="FZ69" i="4"/>
  <c r="GA72" i="4"/>
  <c r="GB72" i="4"/>
  <c r="GF71" i="4"/>
  <c r="HB71" i="4"/>
  <c r="FU73" i="4"/>
  <c r="FF72" i="4"/>
  <c r="GP71" i="4"/>
  <c r="HI75" i="4"/>
  <c r="FN73" i="4"/>
  <c r="HQ71" i="4"/>
  <c r="GB74" i="4"/>
  <c r="FR75" i="4"/>
  <c r="FE75" i="4"/>
  <c r="FX74" i="4"/>
  <c r="HF77" i="4"/>
  <c r="GU75" i="4"/>
  <c r="GA74" i="4"/>
  <c r="HN77" i="4"/>
  <c r="HL76" i="4"/>
  <c r="GV75" i="4"/>
  <c r="GP78" i="4"/>
  <c r="GK77" i="4"/>
  <c r="HF79" i="4"/>
  <c r="FN78" i="4"/>
  <c r="GZ79" i="4"/>
  <c r="HD78" i="4"/>
  <c r="FL77" i="4"/>
  <c r="GT79" i="4"/>
  <c r="FQ79" i="4"/>
  <c r="GQ53" i="4"/>
  <c r="HN49" i="4"/>
  <c r="FI52" i="4"/>
  <c r="HK55" i="4"/>
  <c r="HG54" i="4"/>
  <c r="HQ56" i="4"/>
  <c r="FS64" i="4"/>
  <c r="GI57" i="4"/>
  <c r="GL65" i="4"/>
  <c r="HE62" i="4"/>
  <c r="FS55" i="4"/>
  <c r="GC57" i="4"/>
  <c r="GP53" i="4"/>
  <c r="FQ56" i="4"/>
  <c r="GU58" i="4"/>
  <c r="GA59" i="4"/>
  <c r="FP57" i="4"/>
  <c r="FF62" i="4"/>
  <c r="FH62" i="4"/>
  <c r="GB61" i="4"/>
  <c r="HJ64" i="4"/>
  <c r="HS59" i="4"/>
  <c r="FK64" i="4"/>
  <c r="FP59" i="4"/>
  <c r="GZ62" i="4"/>
  <c r="GZ58" i="4"/>
  <c r="GG61" i="4"/>
  <c r="HC65" i="4"/>
  <c r="FI61" i="4"/>
  <c r="GP64" i="4"/>
  <c r="HJ63" i="4"/>
  <c r="GP61" i="4"/>
  <c r="GZ63" i="4"/>
  <c r="HF67" i="4"/>
  <c r="FX60" i="4"/>
  <c r="GH62" i="4"/>
  <c r="HP64" i="4"/>
  <c r="FF61" i="4"/>
  <c r="FX63" i="4"/>
  <c r="HS65" i="4"/>
  <c r="GL66" i="4"/>
  <c r="FU69" i="4"/>
  <c r="FY67" i="4"/>
  <c r="HG65" i="4"/>
  <c r="FM69" i="4"/>
  <c r="GG68" i="4"/>
  <c r="GU66" i="4"/>
  <c r="HP69" i="4"/>
  <c r="FU67" i="4"/>
  <c r="HS69" i="4"/>
  <c r="HE73" i="4"/>
  <c r="FZ66" i="4"/>
  <c r="HP68" i="4"/>
  <c r="FK71" i="4"/>
  <c r="FX67" i="4"/>
  <c r="HN69" i="4"/>
  <c r="HP72" i="4"/>
  <c r="GY72" i="4"/>
  <c r="GZ72" i="4"/>
  <c r="GI72" i="4"/>
  <c r="GG73" i="4"/>
  <c r="GT72" i="4"/>
  <c r="HF71" i="4"/>
  <c r="FT76" i="4"/>
  <c r="FT74" i="4"/>
  <c r="FR72" i="4"/>
  <c r="GX74" i="4"/>
  <c r="FJ76" i="4"/>
  <c r="GE75" i="4"/>
  <c r="GF74" i="4"/>
  <c r="GJ73" i="4"/>
  <c r="FP76" i="4"/>
  <c r="GI74" i="4"/>
  <c r="HQ77" i="4"/>
  <c r="FR77" i="4"/>
  <c r="HD75" i="4"/>
  <c r="FQ75" i="4"/>
  <c r="HJ77" i="4"/>
  <c r="GI78" i="4"/>
  <c r="HB78" i="4"/>
  <c r="HP79" i="4"/>
  <c r="HL78" i="4"/>
  <c r="GZ77" i="4"/>
  <c r="HJ79" i="4"/>
  <c r="FY79" i="4"/>
  <c r="HP53" i="4"/>
  <c r="FG50" i="4"/>
  <c r="GW52" i="4"/>
  <c r="GR56" i="4"/>
  <c r="HO54" i="4"/>
  <c r="GP57" i="4"/>
  <c r="FI55" i="4"/>
  <c r="GQ57" i="4"/>
  <c r="GJ57" i="4"/>
  <c r="GT64" i="4"/>
  <c r="GA55" i="4"/>
  <c r="HQ57" i="4"/>
  <c r="HF53" i="4"/>
  <c r="FY56" i="4"/>
  <c r="FJ60" i="4"/>
  <c r="HP59" i="4"/>
  <c r="FX57" i="4"/>
  <c r="GC59" i="4"/>
  <c r="GG62" i="4"/>
  <c r="GO61" i="4"/>
  <c r="FS67" i="4"/>
  <c r="FW60" i="4"/>
  <c r="FX64" i="4"/>
  <c r="HD59" i="4"/>
  <c r="FF63" i="4"/>
  <c r="HH58" i="4"/>
  <c r="GB62" i="4"/>
  <c r="FM58" i="4"/>
  <c r="FW61" i="4"/>
  <c r="HF65" i="4"/>
  <c r="FR64" i="4"/>
  <c r="GX61" i="4"/>
  <c r="FY64" i="4"/>
  <c r="GY68" i="4"/>
  <c r="GF60" i="4"/>
  <c r="FG63" i="4"/>
  <c r="FX65" i="4"/>
  <c r="FN61" i="4"/>
  <c r="HL63" i="4"/>
  <c r="GC66" i="4"/>
  <c r="HK66" i="4"/>
  <c r="HO70" i="4"/>
  <c r="GX67" i="4"/>
  <c r="HO65" i="4"/>
  <c r="GA70" i="4"/>
  <c r="HG68" i="4"/>
  <c r="HI66" i="4"/>
  <c r="GD69" i="4"/>
  <c r="GK67" i="4"/>
  <c r="FD70" i="4"/>
  <c r="GK70" i="4"/>
  <c r="GP66" i="4"/>
  <c r="FI69" i="4"/>
  <c r="FY72" i="4"/>
  <c r="GN67" i="4"/>
  <c r="FG70" i="4"/>
  <c r="FH70" i="4"/>
  <c r="FI73" i="4"/>
  <c r="FO73" i="4"/>
  <c r="HS77" i="4"/>
  <c r="HF73" i="4"/>
  <c r="HB72" i="4"/>
  <c r="GE72" i="4"/>
  <c r="GA71" i="4"/>
  <c r="GP74" i="4"/>
  <c r="HF72" i="4"/>
  <c r="FK75" i="4"/>
  <c r="FX76" i="4"/>
  <c r="FY76" i="4"/>
  <c r="GV74" i="4"/>
  <c r="GR73" i="4"/>
  <c r="GN77" i="4"/>
  <c r="GY74" i="4"/>
  <c r="GJ78" i="4"/>
  <c r="FL78" i="4"/>
  <c r="HT75" i="4"/>
  <c r="FY75" i="4"/>
  <c r="HC78" i="4"/>
  <c r="HH78" i="4"/>
  <c r="HJ78" i="4"/>
  <c r="HJ76" i="4"/>
  <c r="FE79" i="4"/>
  <c r="HH77" i="4"/>
  <c r="GE79" i="4"/>
  <c r="GO79" i="4"/>
  <c r="FY33" i="4"/>
  <c r="FN34" i="4"/>
  <c r="FK35" i="4"/>
  <c r="FH36" i="4"/>
  <c r="HT36" i="4"/>
  <c r="HI37" i="4"/>
  <c r="HF38" i="4"/>
  <c r="HC39" i="4"/>
  <c r="GR40" i="4"/>
  <c r="HF41" i="4"/>
  <c r="FT43" i="4"/>
  <c r="HE45" i="4"/>
  <c r="FP31" i="4"/>
  <c r="FE32" i="4"/>
  <c r="HQ32" i="4"/>
  <c r="HN33" i="4"/>
  <c r="HK34" i="4"/>
  <c r="GZ35" i="4"/>
  <c r="GW36" i="4"/>
  <c r="GL37" i="4"/>
  <c r="GI38" i="4"/>
  <c r="GF39" i="4"/>
  <c r="FU40" i="4"/>
  <c r="FU41" i="4"/>
  <c r="HB42" i="4"/>
  <c r="HE44" i="4"/>
  <c r="FS41" i="4"/>
  <c r="FP42" i="4"/>
  <c r="FE43" i="4"/>
  <c r="HQ43" i="4"/>
  <c r="HN44" i="4"/>
  <c r="HK45" i="4"/>
  <c r="GZ46" i="4"/>
  <c r="GW47" i="4"/>
  <c r="GL48" i="4"/>
  <c r="HL50" i="4"/>
  <c r="GL43" i="4"/>
  <c r="GI44" i="4"/>
  <c r="GF45" i="4"/>
  <c r="FU46" i="4"/>
  <c r="FR47" i="4"/>
  <c r="FO48" i="4"/>
  <c r="FK49" i="4"/>
  <c r="GU56" i="4"/>
  <c r="HJ46" i="4"/>
  <c r="HG47" i="4"/>
  <c r="HD48" i="4"/>
  <c r="HS53" i="4"/>
  <c r="GT41" i="4"/>
  <c r="GQ42" i="4"/>
  <c r="GN43" i="4"/>
  <c r="GC44" i="4"/>
  <c r="FZ45" i="4"/>
  <c r="FW46" i="4"/>
  <c r="FL47" i="4"/>
  <c r="FI48" i="4"/>
  <c r="HU48" i="4"/>
  <c r="FG41" i="4"/>
  <c r="HS41" i="4"/>
  <c r="HH42" i="4"/>
  <c r="HE43" i="4"/>
  <c r="GT44" i="4"/>
  <c r="GQ45" i="4"/>
  <c r="GN46" i="4"/>
  <c r="GC47" i="4"/>
  <c r="FZ48" i="4"/>
  <c r="GF50" i="4"/>
  <c r="GW46" i="4"/>
  <c r="GL47" i="4"/>
  <c r="GI48" i="4"/>
  <c r="FU51" i="4"/>
  <c r="FP44" i="4"/>
  <c r="FE45" i="4"/>
  <c r="HQ45" i="4"/>
  <c r="HN46" i="4"/>
  <c r="HK47" i="4"/>
  <c r="GZ48" i="4"/>
  <c r="FT53" i="4"/>
  <c r="GW50" i="4"/>
  <c r="GL51" i="4"/>
  <c r="GI52" i="4"/>
  <c r="GU53" i="4"/>
  <c r="FE55" i="4"/>
  <c r="FY57" i="4"/>
  <c r="GS49" i="4"/>
  <c r="GP50" i="4"/>
  <c r="GM51" i="4"/>
  <c r="GB52" i="4"/>
  <c r="GJ53" i="4"/>
  <c r="HP54" i="4"/>
  <c r="GG57" i="4"/>
  <c r="HB49" i="4"/>
  <c r="GY50" i="4"/>
  <c r="GV51" i="4"/>
  <c r="GK52" i="4"/>
  <c r="GY53" i="4"/>
  <c r="FJ55" i="4"/>
  <c r="FM63" i="4"/>
  <c r="HK49" i="4"/>
  <c r="GZ50" i="4"/>
  <c r="GW51" i="4"/>
  <c r="GL52" i="4"/>
  <c r="GZ53" i="4"/>
  <c r="FM55" i="4"/>
  <c r="FV60" i="4"/>
  <c r="HL49" i="4"/>
  <c r="HA50" i="4"/>
  <c r="GX51" i="4"/>
  <c r="GU52" i="4"/>
  <c r="HO53" i="4"/>
  <c r="GK55" i="4"/>
  <c r="FG64" i="4"/>
  <c r="HM49" i="4"/>
  <c r="HB50" i="4"/>
  <c r="GY51" i="4"/>
  <c r="GV52" i="4"/>
  <c r="HC53" i="4"/>
  <c r="GM55" i="4"/>
  <c r="FR49" i="4"/>
  <c r="FO50" i="4"/>
  <c r="FD51" i="4"/>
  <c r="HP51" i="4"/>
  <c r="HM52" i="4"/>
  <c r="FL54" i="4"/>
  <c r="FW56" i="4"/>
  <c r="FN53" i="4"/>
  <c r="FK54" i="4"/>
  <c r="FH55" i="4"/>
  <c r="HT55" i="4"/>
  <c r="HI56" i="4"/>
  <c r="HF57" i="4"/>
  <c r="GI59" i="4"/>
  <c r="FR65" i="4"/>
  <c r="HM55" i="4"/>
  <c r="HB56" i="4"/>
  <c r="GY57" i="4"/>
  <c r="FN59" i="4"/>
  <c r="GF64" i="4"/>
  <c r="GZ57" i="4"/>
  <c r="FS59" i="4"/>
  <c r="GY63" i="4"/>
  <c r="GW53" i="4"/>
  <c r="GL54" i="4"/>
  <c r="GI55" i="4"/>
  <c r="GF56" i="4"/>
  <c r="FU57" i="4"/>
  <c r="GD58" i="4"/>
  <c r="HR62" i="4"/>
  <c r="GX53" i="4"/>
  <c r="GU54" i="4"/>
  <c r="GJ55" i="4"/>
  <c r="GG56" i="4"/>
  <c r="FV57" i="4"/>
  <c r="GE58" i="4"/>
  <c r="HS64" i="4"/>
  <c r="HK57" i="4"/>
  <c r="GT59" i="4"/>
  <c r="GL55" i="4"/>
  <c r="GI56" i="4"/>
  <c r="GF57" i="4"/>
  <c r="GW58" i="4"/>
  <c r="FL61" i="4"/>
  <c r="GS59" i="4"/>
  <c r="HG60" i="4"/>
  <c r="FU62" i="4"/>
  <c r="HA63" i="4"/>
  <c r="FF65" i="4"/>
  <c r="HC61" i="4"/>
  <c r="FQ63" i="4"/>
  <c r="GV64" i="4"/>
  <c r="FR58" i="4"/>
  <c r="FO59" i="4"/>
  <c r="FK60" i="4"/>
  <c r="GQ61" i="4"/>
  <c r="FE63" i="4"/>
  <c r="GL64" i="4"/>
  <c r="FK58" i="4"/>
  <c r="FH59" i="4"/>
  <c r="HT59" i="4"/>
  <c r="GF61" i="4"/>
  <c r="HL62" i="4"/>
  <c r="FZ64" i="4"/>
  <c r="FD58" i="4"/>
  <c r="HP58" i="4"/>
  <c r="HM59" i="4"/>
  <c r="FT61" i="4"/>
  <c r="HA62" i="4"/>
  <c r="FO64" i="4"/>
  <c r="FE58" i="4"/>
  <c r="HQ58" i="4"/>
  <c r="HN59" i="4"/>
  <c r="GI61" i="4"/>
  <c r="HB62" i="4"/>
  <c r="GD64" i="4"/>
  <c r="FK61" i="4"/>
  <c r="GR62" i="4"/>
  <c r="FF64" i="4"/>
  <c r="HK65" i="4"/>
  <c r="HI60" i="4"/>
  <c r="HF61" i="4"/>
  <c r="HC62" i="4"/>
  <c r="GR63" i="4"/>
  <c r="GO64" i="4"/>
  <c r="GO65" i="4"/>
  <c r="FP68" i="4"/>
  <c r="GD67" i="4"/>
  <c r="GG67" i="4"/>
  <c r="GN60" i="4"/>
  <c r="GC61" i="4"/>
  <c r="FZ62" i="4"/>
  <c r="FW63" i="4"/>
  <c r="FL64" i="4"/>
  <c r="FN65" i="4"/>
  <c r="FD67" i="4"/>
  <c r="GG60" i="4"/>
  <c r="FV61" i="4"/>
  <c r="FS62" i="4"/>
  <c r="FP63" i="4"/>
  <c r="FE64" i="4"/>
  <c r="HQ64" i="4"/>
  <c r="FD66" i="4"/>
  <c r="HC71" i="4"/>
  <c r="FQ72" i="4"/>
  <c r="FR67" i="4"/>
  <c r="GT67" i="4"/>
  <c r="FH69" i="4"/>
  <c r="FK69" i="4"/>
  <c r="FE66" i="4"/>
  <c r="GJ67" i="4"/>
  <c r="HR68" i="4"/>
  <c r="FK65" i="4"/>
  <c r="FF66" i="4"/>
  <c r="GL67" i="4"/>
  <c r="HS68" i="4"/>
  <c r="HH65" i="4"/>
  <c r="FN67" i="4"/>
  <c r="GU68" i="4"/>
  <c r="GI70" i="4"/>
  <c r="HA65" i="4"/>
  <c r="HU66" i="4"/>
  <c r="GI68" i="4"/>
  <c r="HB69" i="4"/>
  <c r="HD69" i="4"/>
  <c r="GN66" i="4"/>
  <c r="GC67" i="4"/>
  <c r="FZ68" i="4"/>
  <c r="FW69" i="4"/>
  <c r="FL70" i="4"/>
  <c r="FI71" i="4"/>
  <c r="FZ73" i="4"/>
  <c r="HA70" i="4"/>
  <c r="FT72" i="4"/>
  <c r="GH66" i="4"/>
  <c r="GE67" i="4"/>
  <c r="FT68" i="4"/>
  <c r="FQ69" i="4"/>
  <c r="FF70" i="4"/>
  <c r="HR70" i="4"/>
  <c r="HO72" i="4"/>
  <c r="GI66" i="4"/>
  <c r="GF67" i="4"/>
  <c r="FU68" i="4"/>
  <c r="FR69" i="4"/>
  <c r="FO70" i="4"/>
  <c r="FD71" i="4"/>
  <c r="GW72" i="4"/>
  <c r="FX70" i="4"/>
  <c r="FM71" i="4"/>
  <c r="HU72" i="4"/>
  <c r="GG70" i="4"/>
  <c r="FV71" i="4"/>
  <c r="GS73" i="4"/>
  <c r="GX70" i="4"/>
  <c r="FL72" i="4"/>
  <c r="GV71" i="4"/>
  <c r="GK72" i="4"/>
  <c r="GU73" i="4"/>
  <c r="FI76" i="4"/>
  <c r="HU71" i="4"/>
  <c r="HJ72" i="4"/>
  <c r="FM74" i="4"/>
  <c r="GX71" i="4"/>
  <c r="GU72" i="4"/>
  <c r="GW73" i="4"/>
  <c r="HT76" i="4"/>
  <c r="FP72" i="4"/>
  <c r="FE73" i="4"/>
  <c r="HI74" i="4"/>
  <c r="HO75" i="4"/>
  <c r="FJ72" i="4"/>
  <c r="FG73" i="4"/>
  <c r="GS74" i="4"/>
  <c r="HQ74" i="4"/>
  <c r="FN74" i="4"/>
  <c r="FD75" i="4"/>
  <c r="GN76" i="4"/>
  <c r="FW74" i="4"/>
  <c r="FS75" i="4"/>
  <c r="HI76" i="4"/>
  <c r="GQ73" i="4"/>
  <c r="GN74" i="4"/>
  <c r="GS75" i="4"/>
  <c r="GM77" i="4"/>
  <c r="GZ73" i="4"/>
  <c r="GW74" i="4"/>
  <c r="HH75" i="4"/>
  <c r="FM78" i="4"/>
  <c r="GT73" i="4"/>
  <c r="GQ74" i="4"/>
  <c r="HK75" i="4"/>
  <c r="GT77" i="4"/>
  <c r="FJ79" i="4"/>
  <c r="HJ75" i="4"/>
  <c r="FF77" i="4"/>
  <c r="GK78" i="4"/>
  <c r="FZ79" i="4"/>
  <c r="HL75" i="4"/>
  <c r="HN76" i="4"/>
  <c r="GB78" i="4"/>
  <c r="GG75" i="4"/>
  <c r="FV76" i="4"/>
  <c r="GV77" i="4"/>
  <c r="GP79" i="4"/>
  <c r="FG78" i="4"/>
  <c r="GU78" i="4"/>
  <c r="FQ77" i="4"/>
  <c r="FF78" i="4"/>
  <c r="HR78" i="4"/>
  <c r="HO79" i="4"/>
  <c r="HH79" i="4"/>
  <c r="FK77" i="4"/>
  <c r="FH78" i="4"/>
  <c r="HT78" i="4"/>
  <c r="HI79" i="4"/>
  <c r="FD77" i="4"/>
  <c r="HP77" i="4"/>
  <c r="HM78" i="4"/>
  <c r="HB79" i="4"/>
  <c r="GU79" i="4"/>
  <c r="GN79" i="4"/>
  <c r="GG79" i="4"/>
  <c r="HB48" i="4"/>
  <c r="FZ52" i="4"/>
  <c r="HB43" i="4"/>
  <c r="GY44" i="4"/>
  <c r="GV45" i="4"/>
  <c r="GK46" i="4"/>
  <c r="GH47" i="4"/>
  <c r="GE48" i="4"/>
  <c r="FH50" i="4"/>
  <c r="FN46" i="4"/>
  <c r="FK47" i="4"/>
  <c r="FH48" i="4"/>
  <c r="HT48" i="4"/>
  <c r="HP56" i="4"/>
  <c r="HJ41" i="4"/>
  <c r="HG42" i="4"/>
  <c r="HD43" i="4"/>
  <c r="GS44" i="4"/>
  <c r="GP45" i="4"/>
  <c r="GM46" i="4"/>
  <c r="GB47" i="4"/>
  <c r="FY48" i="4"/>
  <c r="GY49" i="4"/>
  <c r="FW41" i="4"/>
  <c r="FL42" i="4"/>
  <c r="FI43" i="4"/>
  <c r="HU43" i="4"/>
  <c r="HJ44" i="4"/>
  <c r="HG45" i="4"/>
  <c r="HD46" i="4"/>
  <c r="GS47" i="4"/>
  <c r="GP48" i="4"/>
  <c r="HF52" i="4"/>
  <c r="HM46" i="4"/>
  <c r="HB47" i="4"/>
  <c r="GY48" i="4"/>
  <c r="FG53" i="4"/>
  <c r="GF44" i="4"/>
  <c r="FU45" i="4"/>
  <c r="FR46" i="4"/>
  <c r="FO47" i="4"/>
  <c r="FD48" i="4"/>
  <c r="HP48" i="4"/>
  <c r="FW55" i="4"/>
  <c r="HM50" i="4"/>
  <c r="HB51" i="4"/>
  <c r="GY52" i="4"/>
  <c r="HT53" i="4"/>
  <c r="GU55" i="4"/>
  <c r="FT62" i="4"/>
  <c r="HI49" i="4"/>
  <c r="HF50" i="4"/>
  <c r="HC51" i="4"/>
  <c r="GR52" i="4"/>
  <c r="HI53" i="4"/>
  <c r="GC55" i="4"/>
  <c r="FF49" i="4"/>
  <c r="HR49" i="4"/>
  <c r="HO50" i="4"/>
  <c r="HL51" i="4"/>
  <c r="HA52" i="4"/>
  <c r="FE54" i="4"/>
  <c r="HA55" i="4"/>
  <c r="FO49" i="4"/>
  <c r="FD50" i="4"/>
  <c r="HP50" i="4"/>
  <c r="HM51" i="4"/>
  <c r="HB52" i="4"/>
  <c r="FH54" i="4"/>
  <c r="HC55" i="4"/>
  <c r="FP49" i="4"/>
  <c r="FE50" i="4"/>
  <c r="HQ50" i="4"/>
  <c r="HN51" i="4"/>
  <c r="HK52" i="4"/>
  <c r="FU54" i="4"/>
  <c r="FR56" i="4"/>
  <c r="FQ49" i="4"/>
  <c r="FF50" i="4"/>
  <c r="HR50" i="4"/>
  <c r="HO51" i="4"/>
  <c r="HL52" i="4"/>
  <c r="FJ54" i="4"/>
  <c r="FT56" i="4"/>
  <c r="GH49" i="4"/>
  <c r="GE50" i="4"/>
  <c r="FT51" i="4"/>
  <c r="FQ52" i="4"/>
  <c r="FE53" i="4"/>
  <c r="GK54" i="4"/>
  <c r="HN56" i="4"/>
  <c r="GD53" i="4"/>
  <c r="GA54" i="4"/>
  <c r="FX55" i="4"/>
  <c r="FM56" i="4"/>
  <c r="FJ57" i="4"/>
  <c r="FG58" i="4"/>
  <c r="GD60" i="4"/>
  <c r="FQ55" i="4"/>
  <c r="FF56" i="4"/>
  <c r="HR56" i="4"/>
  <c r="HO57" i="4"/>
  <c r="HG59" i="4"/>
  <c r="FD57" i="4"/>
  <c r="HP57" i="4"/>
  <c r="HH59" i="4"/>
  <c r="HN65" i="4"/>
  <c r="HM53" i="4"/>
  <c r="HB54" i="4"/>
  <c r="GY55" i="4"/>
  <c r="GV56" i="4"/>
  <c r="GK57" i="4"/>
  <c r="HJ58" i="4"/>
  <c r="HF64" i="4"/>
  <c r="HN53" i="4"/>
  <c r="HK54" i="4"/>
  <c r="GZ55" i="4"/>
  <c r="GW56" i="4"/>
  <c r="GL57" i="4"/>
  <c r="HK58" i="4"/>
  <c r="FO57" i="4"/>
  <c r="FP58" i="4"/>
  <c r="FR60" i="4"/>
  <c r="HB55" i="4"/>
  <c r="GY56" i="4"/>
  <c r="GV57" i="4"/>
  <c r="FF59" i="4"/>
  <c r="FN68" i="4"/>
  <c r="HI59" i="4"/>
  <c r="FO61" i="4"/>
  <c r="GT62" i="4"/>
  <c r="FH64" i="4"/>
  <c r="GN65" i="4"/>
  <c r="FI62" i="4"/>
  <c r="GP63" i="4"/>
  <c r="FG65" i="4"/>
  <c r="GH58" i="4"/>
  <c r="GE59" i="4"/>
  <c r="GJ60" i="4"/>
  <c r="HP61" i="4"/>
  <c r="GD63" i="4"/>
  <c r="HK64" i="4"/>
  <c r="GA58" i="4"/>
  <c r="FX59" i="4"/>
  <c r="FZ60" i="4"/>
  <c r="HE61" i="4"/>
  <c r="FS63" i="4"/>
  <c r="GY64" i="4"/>
  <c r="FT58" i="4"/>
  <c r="FQ59" i="4"/>
  <c r="FN60" i="4"/>
  <c r="GU61" i="4"/>
  <c r="FI63" i="4"/>
  <c r="GN64" i="4"/>
  <c r="FU58" i="4"/>
  <c r="FR59" i="4"/>
  <c r="GB60" i="4"/>
  <c r="HH61" i="4"/>
  <c r="FJ63" i="4"/>
  <c r="HC64" i="4"/>
  <c r="GJ61" i="4"/>
  <c r="HQ62" i="4"/>
  <c r="GE64" i="4"/>
  <c r="FM60" i="4"/>
  <c r="FJ61" i="4"/>
  <c r="FG62" i="4"/>
  <c r="HS62" i="4"/>
  <c r="HH63" i="4"/>
  <c r="HE64" i="4"/>
  <c r="HL65" i="4"/>
  <c r="HG69" i="4"/>
  <c r="FX68" i="4"/>
  <c r="FY68" i="4"/>
  <c r="HD60" i="4"/>
  <c r="GS61" i="4"/>
  <c r="GP62" i="4"/>
  <c r="GM63" i="4"/>
  <c r="GB64" i="4"/>
  <c r="GH65" i="4"/>
  <c r="HR67" i="4"/>
  <c r="GW60" i="4"/>
  <c r="GL61" i="4"/>
  <c r="GI62" i="4"/>
  <c r="GF63" i="4"/>
  <c r="FU64" i="4"/>
  <c r="FO65" i="4"/>
  <c r="HB66" i="4"/>
  <c r="GK66" i="4"/>
  <c r="GW65" i="4"/>
  <c r="FK68" i="4"/>
  <c r="HU67" i="4"/>
  <c r="GI69" i="4"/>
  <c r="GJ69" i="4"/>
  <c r="GD66" i="4"/>
  <c r="HJ67" i="4"/>
  <c r="FX69" i="4"/>
  <c r="GA65" i="4"/>
  <c r="GE66" i="4"/>
  <c r="HM67" i="4"/>
  <c r="GA69" i="4"/>
  <c r="FG66" i="4"/>
  <c r="GO67" i="4"/>
  <c r="HT68" i="4"/>
  <c r="FE65" i="4"/>
  <c r="HQ65" i="4"/>
  <c r="GB67" i="4"/>
  <c r="HJ68" i="4"/>
  <c r="GQ70" i="4"/>
  <c r="GY70" i="4"/>
  <c r="HD66" i="4"/>
  <c r="GS67" i="4"/>
  <c r="GP68" i="4"/>
  <c r="GM69" i="4"/>
  <c r="GB70" i="4"/>
  <c r="FZ71" i="4"/>
  <c r="FE70" i="4"/>
  <c r="HQ70" i="4"/>
  <c r="HM72" i="4"/>
  <c r="GX66" i="4"/>
  <c r="GU67" i="4"/>
  <c r="GJ68" i="4"/>
  <c r="GG69" i="4"/>
  <c r="FV70" i="4"/>
  <c r="FS71" i="4"/>
  <c r="GF73" i="4"/>
  <c r="GY66" i="4"/>
  <c r="GV67" i="4"/>
  <c r="GK68" i="4"/>
  <c r="GH69" i="4"/>
  <c r="GE70" i="4"/>
  <c r="FT71" i="4"/>
  <c r="FH73" i="4"/>
  <c r="GN70" i="4"/>
  <c r="GE71" i="4"/>
  <c r="GP73" i="4"/>
  <c r="GW70" i="4"/>
  <c r="GZ71" i="4"/>
  <c r="GX75" i="4"/>
  <c r="HN70" i="4"/>
  <c r="HE72" i="4"/>
  <c r="HL71" i="4"/>
  <c r="HA72" i="4"/>
  <c r="HT73" i="4"/>
  <c r="FY71" i="4"/>
  <c r="FN72" i="4"/>
  <c r="FK73" i="4"/>
  <c r="HF74" i="4"/>
  <c r="HN71" i="4"/>
  <c r="HK72" i="4"/>
  <c r="FR74" i="4"/>
  <c r="GI71" i="4"/>
  <c r="GF72" i="4"/>
  <c r="FY73" i="4"/>
  <c r="HN75" i="4"/>
  <c r="FM77" i="4"/>
  <c r="FZ72" i="4"/>
  <c r="GC73" i="4"/>
  <c r="GM75" i="4"/>
  <c r="GP75" i="4"/>
  <c r="GD74" i="4"/>
  <c r="GC75" i="4"/>
  <c r="FN77" i="4"/>
  <c r="GM74" i="4"/>
  <c r="GR75" i="4"/>
  <c r="GL77" i="4"/>
  <c r="HG73" i="4"/>
  <c r="HD74" i="4"/>
  <c r="HS75" i="4"/>
  <c r="FK78" i="4"/>
  <c r="HP73" i="4"/>
  <c r="HM74" i="4"/>
  <c r="GB76" i="4"/>
  <c r="GP77" i="4"/>
  <c r="HJ73" i="4"/>
  <c r="HG74" i="4"/>
  <c r="FR76" i="4"/>
  <c r="FW78" i="4"/>
  <c r="FN75" i="4"/>
  <c r="FK76" i="4"/>
  <c r="GE77" i="4"/>
  <c r="HK78" i="4"/>
  <c r="FP75" i="4"/>
  <c r="FE76" i="4"/>
  <c r="FV77" i="4"/>
  <c r="HA78" i="4"/>
  <c r="GW75" i="4"/>
  <c r="GP76" i="4"/>
  <c r="FD78" i="4"/>
  <c r="FS78" i="4"/>
  <c r="GH78" i="4"/>
  <c r="HN79" i="4"/>
  <c r="GG77" i="4"/>
  <c r="FV78" i="4"/>
  <c r="FS79" i="4"/>
  <c r="FL79" i="4"/>
  <c r="GD76" i="4"/>
  <c r="GA77" i="4"/>
  <c r="FX78" i="4"/>
  <c r="FM79" i="4"/>
  <c r="GE76" i="4"/>
  <c r="FT77" i="4"/>
  <c r="FQ78" i="4"/>
  <c r="FF79" i="4"/>
  <c r="HR79" i="4"/>
  <c r="HK79" i="4"/>
  <c r="HD79" i="4"/>
  <c r="GW79" i="4"/>
  <c r="FF41" i="4"/>
  <c r="HR41" i="4"/>
  <c r="HO42" i="4"/>
  <c r="HL43" i="4"/>
  <c r="HA44" i="4"/>
  <c r="GX45" i="4"/>
  <c r="GU46" i="4"/>
  <c r="GJ47" i="4"/>
  <c r="GG48" i="4"/>
  <c r="FX50" i="4"/>
  <c r="GE41" i="4"/>
  <c r="FT42" i="4"/>
  <c r="FQ43" i="4"/>
  <c r="FF44" i="4"/>
  <c r="HR44" i="4"/>
  <c r="HO45" i="4"/>
  <c r="HL46" i="4"/>
  <c r="HA47" i="4"/>
  <c r="GX48" i="4"/>
  <c r="FI46" i="4"/>
  <c r="HU46" i="4"/>
  <c r="HJ47" i="4"/>
  <c r="HG48" i="4"/>
  <c r="GQ43" i="4"/>
  <c r="GN44" i="4"/>
  <c r="GC45" i="4"/>
  <c r="FZ46" i="4"/>
  <c r="FW47" i="4"/>
  <c r="FL48" i="4"/>
  <c r="GB49" i="4"/>
  <c r="FI50" i="4"/>
  <c r="HU50" i="4"/>
  <c r="HJ51" i="4"/>
  <c r="HG52" i="4"/>
  <c r="FP54" i="4"/>
  <c r="HQ55" i="4"/>
  <c r="FE49" i="4"/>
  <c r="HQ49" i="4"/>
  <c r="HN50" i="4"/>
  <c r="HK51" i="4"/>
  <c r="GZ52" i="4"/>
  <c r="FD54" i="4"/>
  <c r="GX55" i="4"/>
  <c r="FN49" i="4"/>
  <c r="FK50" i="4"/>
  <c r="FH51" i="4"/>
  <c r="HT51" i="4"/>
  <c r="HI52" i="4"/>
  <c r="FR54" i="4"/>
  <c r="FL56" i="4"/>
  <c r="FW49" i="4"/>
  <c r="FL50" i="4"/>
  <c r="FI51" i="4"/>
  <c r="HU51" i="4"/>
  <c r="HJ52" i="4"/>
  <c r="FT54" i="4"/>
  <c r="FO56" i="4"/>
  <c r="FX49" i="4"/>
  <c r="FM50" i="4"/>
  <c r="FJ51" i="4"/>
  <c r="FG52" i="4"/>
  <c r="HS52" i="4"/>
  <c r="GH54" i="4"/>
  <c r="GM56" i="4"/>
  <c r="FY49" i="4"/>
  <c r="FN50" i="4"/>
  <c r="FK51" i="4"/>
  <c r="FH52" i="4"/>
  <c r="HT52" i="4"/>
  <c r="FX54" i="4"/>
  <c r="GP56" i="4"/>
  <c r="GP49" i="4"/>
  <c r="GM50" i="4"/>
  <c r="GB51" i="4"/>
  <c r="FY52" i="4"/>
  <c r="FS53" i="4"/>
  <c r="GX54" i="4"/>
  <c r="FI57" i="4"/>
  <c r="GL53" i="4"/>
  <c r="GI54" i="4"/>
  <c r="GF55" i="4"/>
  <c r="FU56" i="4"/>
  <c r="FR57" i="4"/>
  <c r="FW58" i="4"/>
  <c r="HH60" i="4"/>
  <c r="FY55" i="4"/>
  <c r="FN56" i="4"/>
  <c r="FK57" i="4"/>
  <c r="FH58" i="4"/>
  <c r="GE60" i="4"/>
  <c r="FL57" i="4"/>
  <c r="FI58" i="4"/>
  <c r="FD60" i="4"/>
  <c r="FI53" i="4"/>
  <c r="HU53" i="4"/>
  <c r="HJ54" i="4"/>
  <c r="HG55" i="4"/>
  <c r="HD56" i="4"/>
  <c r="GS57" i="4"/>
  <c r="FT59" i="4"/>
  <c r="FJ53" i="4"/>
  <c r="FG54" i="4"/>
  <c r="HS54" i="4"/>
  <c r="HH55" i="4"/>
  <c r="HE56" i="4"/>
  <c r="GT57" i="4"/>
  <c r="FV59" i="4"/>
  <c r="FW57" i="4"/>
  <c r="GF58" i="4"/>
  <c r="GU60" i="4"/>
  <c r="HJ55" i="4"/>
  <c r="HG56" i="4"/>
  <c r="HD57" i="4"/>
  <c r="GB59" i="4"/>
  <c r="FE59" i="4"/>
  <c r="HQ59" i="4"/>
  <c r="GA61" i="4"/>
  <c r="HH62" i="4"/>
  <c r="FV64" i="4"/>
  <c r="HT65" i="4"/>
  <c r="FV62" i="4"/>
  <c r="HB63" i="4"/>
  <c r="FW65" i="4"/>
  <c r="GP58" i="4"/>
  <c r="GM59" i="4"/>
  <c r="GX60" i="4"/>
  <c r="FL62" i="4"/>
  <c r="GQ63" i="4"/>
  <c r="FH65" i="4"/>
  <c r="GI58" i="4"/>
  <c r="GF59" i="4"/>
  <c r="GL60" i="4"/>
  <c r="HS61" i="4"/>
  <c r="GG63" i="4"/>
  <c r="HL64" i="4"/>
  <c r="GB58" i="4"/>
  <c r="FY59" i="4"/>
  <c r="GA60" i="4"/>
  <c r="HG61" i="4"/>
  <c r="FU63" i="4"/>
  <c r="HB64" i="4"/>
  <c r="GC58" i="4"/>
  <c r="FZ59" i="4"/>
  <c r="GP60" i="4"/>
  <c r="HU61" i="4"/>
  <c r="FV63" i="4"/>
  <c r="HO64" i="4"/>
  <c r="GW61" i="4"/>
  <c r="FK63" i="4"/>
  <c r="GQ64" i="4"/>
  <c r="FU60" i="4"/>
  <c r="FR61" i="4"/>
  <c r="FO62" i="4"/>
  <c r="FD63" i="4"/>
  <c r="HP63" i="4"/>
  <c r="HM64" i="4"/>
  <c r="FO66" i="4"/>
  <c r="GP65" i="4"/>
  <c r="HC68" i="4"/>
  <c r="HK68" i="4"/>
  <c r="HL60" i="4"/>
  <c r="HA61" i="4"/>
  <c r="GX62" i="4"/>
  <c r="GU63" i="4"/>
  <c r="GJ64" i="4"/>
  <c r="GT65" i="4"/>
  <c r="GD68" i="4"/>
  <c r="HE60" i="4"/>
  <c r="GT61" i="4"/>
  <c r="GQ62" i="4"/>
  <c r="GN63" i="4"/>
  <c r="GC64" i="4"/>
  <c r="FY65" i="4"/>
  <c r="FF67" i="4"/>
  <c r="HJ66" i="4"/>
  <c r="HJ65" i="4"/>
  <c r="GO68" i="4"/>
  <c r="FO68" i="4"/>
  <c r="GT69" i="4"/>
  <c r="GV69" i="4"/>
  <c r="GR66" i="4"/>
  <c r="FF68" i="4"/>
  <c r="GK69" i="4"/>
  <c r="GI65" i="4"/>
  <c r="GS66" i="4"/>
  <c r="FG68" i="4"/>
  <c r="GL69" i="4"/>
  <c r="FU66" i="4"/>
  <c r="GZ67" i="4"/>
  <c r="FN69" i="4"/>
  <c r="FM65" i="4"/>
  <c r="FI66" i="4"/>
  <c r="GP67" i="4"/>
  <c r="HU68" i="4"/>
  <c r="FX71" i="4"/>
  <c r="GJ71" i="4"/>
  <c r="HL66" i="4"/>
  <c r="HA67" i="4"/>
  <c r="GX68" i="4"/>
  <c r="GU69" i="4"/>
  <c r="GJ70" i="4"/>
  <c r="GL71" i="4"/>
  <c r="FM70" i="4"/>
  <c r="FJ71" i="4"/>
  <c r="GE73" i="4"/>
  <c r="HF66" i="4"/>
  <c r="HC67" i="4"/>
  <c r="GR68" i="4"/>
  <c r="GO69" i="4"/>
  <c r="GD70" i="4"/>
  <c r="GC71" i="4"/>
  <c r="HQ73" i="4"/>
  <c r="HG66" i="4"/>
  <c r="HD67" i="4"/>
  <c r="GS68" i="4"/>
  <c r="GP69" i="4"/>
  <c r="GM70" i="4"/>
  <c r="GD71" i="4"/>
  <c r="GN73" i="4"/>
  <c r="GV70" i="4"/>
  <c r="GU71" i="4"/>
  <c r="FJ74" i="4"/>
  <c r="HE70" i="4"/>
  <c r="HS71" i="4"/>
  <c r="FJ70" i="4"/>
  <c r="FG71" i="4"/>
  <c r="FQ73" i="4"/>
  <c r="HT71" i="4"/>
  <c r="HI72" i="4"/>
  <c r="FL74" i="4"/>
  <c r="GG71" i="4"/>
  <c r="FV72" i="4"/>
  <c r="FW73" i="4"/>
  <c r="FW75" i="4"/>
  <c r="FG72" i="4"/>
  <c r="HS72" i="4"/>
  <c r="GK74" i="4"/>
  <c r="GQ71" i="4"/>
  <c r="GN72" i="4"/>
  <c r="GM73" i="4"/>
  <c r="FW76" i="4"/>
  <c r="GK71" i="4"/>
  <c r="GH72" i="4"/>
  <c r="GO73" i="4"/>
  <c r="GI76" i="4"/>
  <c r="FD76" i="4"/>
  <c r="GL74" i="4"/>
  <c r="GQ75" i="4"/>
  <c r="GF77" i="4"/>
  <c r="GU74" i="4"/>
  <c r="HF75" i="4"/>
  <c r="HC77" i="4"/>
  <c r="HO73" i="4"/>
  <c r="HL74" i="4"/>
  <c r="FO76" i="4"/>
  <c r="FL73" i="4"/>
  <c r="FI74" i="4"/>
  <c r="HU74" i="4"/>
  <c r="GV76" i="4"/>
  <c r="HL77" i="4"/>
  <c r="HR73" i="4"/>
  <c r="HO74" i="4"/>
  <c r="GH76" i="4"/>
  <c r="FG77" i="4"/>
  <c r="FV75" i="4"/>
  <c r="FS76" i="4"/>
  <c r="GS77" i="4"/>
  <c r="FR79" i="4"/>
  <c r="FX75" i="4"/>
  <c r="FM76" i="4"/>
  <c r="GH77" i="4"/>
  <c r="HO78" i="4"/>
  <c r="HE75" i="4"/>
  <c r="HD76" i="4"/>
  <c r="FR78" i="4"/>
  <c r="GE78" i="4"/>
  <c r="GS78" i="4"/>
  <c r="GR76" i="4"/>
  <c r="GO77" i="4"/>
  <c r="GD78" i="4"/>
  <c r="GA79" i="4"/>
  <c r="FT79" i="4"/>
  <c r="GL76" i="4"/>
  <c r="GI77" i="4"/>
  <c r="GF78" i="4"/>
  <c r="FU79" i="4"/>
  <c r="GM76" i="4"/>
  <c r="GB77" i="4"/>
  <c r="FY78" i="4"/>
  <c r="FN79" i="4"/>
  <c r="FG79" i="4"/>
  <c r="HS79" i="4"/>
  <c r="HL79" i="4"/>
  <c r="HE79" i="4"/>
  <c r="HE33" i="4"/>
  <c r="GT34" i="4"/>
  <c r="GQ35" i="4"/>
  <c r="GN36" i="4"/>
  <c r="GC37" i="4"/>
  <c r="FZ38" i="4"/>
  <c r="FW39" i="4"/>
  <c r="FL40" i="4"/>
  <c r="FH41" i="4"/>
  <c r="GM42" i="4"/>
  <c r="GG44" i="4"/>
  <c r="HQ48" i="4"/>
  <c r="GV31" i="4"/>
  <c r="GK32" i="4"/>
  <c r="GH33" i="4"/>
  <c r="GE34" i="4"/>
  <c r="FT35" i="4"/>
  <c r="FQ36" i="4"/>
  <c r="FF37" i="4"/>
  <c r="HR37" i="4"/>
  <c r="HO38" i="4"/>
  <c r="HL39" i="4"/>
  <c r="HA40" i="4"/>
  <c r="HU41" i="4"/>
  <c r="GI43" i="4"/>
  <c r="GY46" i="4"/>
  <c r="GY41" i="4"/>
  <c r="GV42" i="4"/>
  <c r="GK43" i="4"/>
  <c r="GH44" i="4"/>
  <c r="GE45" i="4"/>
  <c r="FT46" i="4"/>
  <c r="FQ47" i="4"/>
  <c r="FF48" i="4"/>
  <c r="HR48" i="4"/>
  <c r="GN54" i="4"/>
  <c r="HR43" i="4"/>
  <c r="HO44" i="4"/>
  <c r="HL45" i="4"/>
  <c r="HA46" i="4"/>
  <c r="GX47" i="4"/>
  <c r="GU48" i="4"/>
  <c r="HA51" i="4"/>
  <c r="GD46" i="4"/>
  <c r="GA47" i="4"/>
  <c r="FX48" i="4"/>
  <c r="GR49" i="4"/>
  <c r="FN41" i="4"/>
  <c r="FK42" i="4"/>
  <c r="FH43" i="4"/>
  <c r="HT43" i="4"/>
  <c r="HI44" i="4"/>
  <c r="HF45" i="4"/>
  <c r="HC46" i="4"/>
  <c r="GR47" i="4"/>
  <c r="GO48" i="4"/>
  <c r="FE51" i="4"/>
  <c r="GM41" i="4"/>
  <c r="GB42" i="4"/>
  <c r="FY43" i="4"/>
  <c r="FN44" i="4"/>
  <c r="FK45" i="4"/>
  <c r="FH46" i="4"/>
  <c r="HT46" i="4"/>
  <c r="HI47" i="4"/>
  <c r="HF48" i="4"/>
  <c r="FQ46" i="4"/>
  <c r="FF47" i="4"/>
  <c r="HR47" i="4"/>
  <c r="HO48" i="4"/>
  <c r="GY43" i="4"/>
  <c r="GV44" i="4"/>
  <c r="GK45" i="4"/>
  <c r="GH46" i="4"/>
  <c r="GE47" i="4"/>
  <c r="FT48" i="4"/>
  <c r="HH49" i="4"/>
  <c r="FQ50" i="4"/>
  <c r="FF51" i="4"/>
  <c r="HR51" i="4"/>
  <c r="HO52" i="4"/>
  <c r="GB54" i="4"/>
  <c r="FG56" i="4"/>
  <c r="FM49" i="4"/>
  <c r="FJ50" i="4"/>
  <c r="FG51" i="4"/>
  <c r="HS51" i="4"/>
  <c r="HH52" i="4"/>
  <c r="FQ54" i="4"/>
  <c r="HS55" i="4"/>
  <c r="FV49" i="4"/>
  <c r="FS50" i="4"/>
  <c r="FP51" i="4"/>
  <c r="FE52" i="4"/>
  <c r="HQ52" i="4"/>
  <c r="GF54" i="4"/>
  <c r="GH56" i="4"/>
  <c r="GE49" i="4"/>
  <c r="FT50" i="4"/>
  <c r="FQ51" i="4"/>
  <c r="FF52" i="4"/>
  <c r="HR52" i="4"/>
  <c r="GG54" i="4"/>
  <c r="GJ56" i="4"/>
  <c r="GF49" i="4"/>
  <c r="FU50" i="4"/>
  <c r="FR51" i="4"/>
  <c r="FO52" i="4"/>
  <c r="FO53" i="4"/>
  <c r="GV54" i="4"/>
  <c r="HH56" i="4"/>
  <c r="GG49" i="4"/>
  <c r="FV50" i="4"/>
  <c r="FS51" i="4"/>
  <c r="FP52" i="4"/>
  <c r="FD53" i="4"/>
  <c r="GJ54" i="4"/>
  <c r="HK56" i="4"/>
  <c r="GX49" i="4"/>
  <c r="GU50" i="4"/>
  <c r="GJ51" i="4"/>
  <c r="GG52" i="4"/>
  <c r="GE53" i="4"/>
  <c r="HL54" i="4"/>
  <c r="HU57" i="4"/>
  <c r="GT53" i="4"/>
  <c r="GQ54" i="4"/>
  <c r="GN55" i="4"/>
  <c r="GC56" i="4"/>
  <c r="FZ57" i="4"/>
  <c r="GM58" i="4"/>
  <c r="GM61" i="4"/>
  <c r="GG55" i="4"/>
  <c r="FV56" i="4"/>
  <c r="FS57" i="4"/>
  <c r="FX58" i="4"/>
  <c r="HP60" i="4"/>
  <c r="FT57" i="4"/>
  <c r="FY58" i="4"/>
  <c r="GI60" i="4"/>
  <c r="FQ53" i="4"/>
  <c r="FF54" i="4"/>
  <c r="HR54" i="4"/>
  <c r="HO55" i="4"/>
  <c r="HL56" i="4"/>
  <c r="HA57" i="4"/>
  <c r="GQ59" i="4"/>
  <c r="FR53" i="4"/>
  <c r="FO54" i="4"/>
  <c r="FD55" i="4"/>
  <c r="HP55" i="4"/>
  <c r="HM56" i="4"/>
  <c r="HB57" i="4"/>
  <c r="GR59" i="4"/>
  <c r="GE57" i="4"/>
  <c r="GV58" i="4"/>
  <c r="FF55" i="4"/>
  <c r="HR55" i="4"/>
  <c r="HO56" i="4"/>
  <c r="HL57" i="4"/>
  <c r="GY59" i="4"/>
  <c r="FM59" i="4"/>
  <c r="FG60" i="4"/>
  <c r="GN61" i="4"/>
  <c r="HT62" i="4"/>
  <c r="GH64" i="4"/>
  <c r="GW68" i="4"/>
  <c r="GJ62" i="4"/>
  <c r="HO63" i="4"/>
  <c r="GR65" i="4"/>
  <c r="GX58" i="4"/>
  <c r="GU59" i="4"/>
  <c r="HJ60" i="4"/>
  <c r="FX62" i="4"/>
  <c r="HE63" i="4"/>
  <c r="FZ65" i="4"/>
  <c r="GQ58" i="4"/>
  <c r="GN59" i="4"/>
  <c r="GY60" i="4"/>
  <c r="FM62" i="4"/>
  <c r="GS63" i="4"/>
  <c r="FJ65" i="4"/>
  <c r="GJ58" i="4"/>
  <c r="GG59" i="4"/>
  <c r="GM60" i="4"/>
  <c r="HT61" i="4"/>
  <c r="GH63" i="4"/>
  <c r="HN64" i="4"/>
  <c r="GK58" i="4"/>
  <c r="GH59" i="4"/>
  <c r="HB60" i="4"/>
  <c r="FD62" i="4"/>
  <c r="GI63" i="4"/>
  <c r="FP65" i="4"/>
  <c r="HK61" i="4"/>
  <c r="FY63" i="4"/>
  <c r="HD64" i="4"/>
  <c r="GC60" i="4"/>
  <c r="FZ61" i="4"/>
  <c r="FW62" i="4"/>
  <c r="FL63" i="4"/>
  <c r="FI64" i="4"/>
  <c r="HU64" i="4"/>
  <c r="GO66" i="4"/>
  <c r="HB65" i="4"/>
  <c r="HR69" i="4"/>
  <c r="FH60" i="4"/>
  <c r="HT60" i="4"/>
  <c r="HI61" i="4"/>
  <c r="HF62" i="4"/>
  <c r="HC63" i="4"/>
  <c r="GR64" i="4"/>
  <c r="HD65" i="4"/>
  <c r="HL68" i="4"/>
  <c r="HM60" i="4"/>
  <c r="HB61" i="4"/>
  <c r="GY62" i="4"/>
  <c r="GV63" i="4"/>
  <c r="GK64" i="4"/>
  <c r="GJ65" i="4"/>
  <c r="GQ67" i="4"/>
  <c r="FJ67" i="4"/>
  <c r="HU65" i="4"/>
  <c r="GF69" i="4"/>
  <c r="GA68" i="4"/>
  <c r="HH69" i="4"/>
  <c r="HI69" i="4"/>
  <c r="HC66" i="4"/>
  <c r="FQ68" i="4"/>
  <c r="GY69" i="4"/>
  <c r="GQ65" i="4"/>
  <c r="HE66" i="4"/>
  <c r="FS68" i="4"/>
  <c r="GZ69" i="4"/>
  <c r="GG66" i="4"/>
  <c r="HN67" i="4"/>
  <c r="GB69" i="4"/>
  <c r="FU65" i="4"/>
  <c r="FV66" i="4"/>
  <c r="HB67" i="4"/>
  <c r="FD69" i="4"/>
  <c r="FE69" i="4"/>
  <c r="FH66" i="4"/>
  <c r="HT66" i="4"/>
  <c r="HI67" i="4"/>
  <c r="HF68" i="4"/>
  <c r="HC69" i="4"/>
  <c r="GR70" i="4"/>
  <c r="HH71" i="4"/>
  <c r="FU70" i="4"/>
  <c r="FR71" i="4"/>
  <c r="HM73" i="4"/>
  <c r="HN66" i="4"/>
  <c r="HK67" i="4"/>
  <c r="GZ68" i="4"/>
  <c r="GW69" i="4"/>
  <c r="GL70" i="4"/>
  <c r="GR71" i="4"/>
  <c r="FH76" i="4"/>
  <c r="HO66" i="4"/>
  <c r="HL67" i="4"/>
  <c r="HA68" i="4"/>
  <c r="GX69" i="4"/>
  <c r="GU70" i="4"/>
  <c r="GT71" i="4"/>
  <c r="HS73" i="4"/>
  <c r="HD70" i="4"/>
  <c r="HR71" i="4"/>
  <c r="FM75" i="4"/>
  <c r="HM70" i="4"/>
  <c r="FK72" i="4"/>
  <c r="FR70" i="4"/>
  <c r="FO71" i="4"/>
  <c r="HA73" i="4"/>
  <c r="FE72" i="4"/>
  <c r="HQ72" i="4"/>
  <c r="GH74" i="4"/>
  <c r="GO71" i="4"/>
  <c r="GD72" i="4"/>
  <c r="GH73" i="4"/>
  <c r="HA75" i="4"/>
  <c r="FO72" i="4"/>
  <c r="FD73" i="4"/>
  <c r="HH74" i="4"/>
  <c r="GY71" i="4"/>
  <c r="GV72" i="4"/>
  <c r="GX73" i="4"/>
  <c r="FU74" i="4"/>
  <c r="GS71" i="4"/>
  <c r="GP72" i="4"/>
  <c r="HC73" i="4"/>
  <c r="GD77" i="4"/>
  <c r="GJ76" i="4"/>
  <c r="GT74" i="4"/>
  <c r="HC75" i="4"/>
  <c r="HB77" i="4"/>
  <c r="HC74" i="4"/>
  <c r="HQ75" i="4"/>
  <c r="FJ78" i="4"/>
  <c r="FH74" i="4"/>
  <c r="HT74" i="4"/>
  <c r="FZ76" i="4"/>
  <c r="FT73" i="4"/>
  <c r="FQ74" i="4"/>
  <c r="FJ75" i="4"/>
  <c r="HQ76" i="4"/>
  <c r="FU78" i="4"/>
  <c r="FK74" i="4"/>
  <c r="FL75" i="4"/>
  <c r="GY76" i="4"/>
  <c r="GC77" i="4"/>
  <c r="GD75" i="4"/>
  <c r="GA76" i="4"/>
  <c r="HD77" i="4"/>
  <c r="GA78" i="4"/>
  <c r="GF75" i="4"/>
  <c r="FU76" i="4"/>
  <c r="GU77" i="4"/>
  <c r="GH79" i="4"/>
  <c r="HM75" i="4"/>
  <c r="HO76" i="4"/>
  <c r="GC78" i="4"/>
  <c r="GR78" i="4"/>
  <c r="HG78" i="4"/>
  <c r="GZ76" i="4"/>
  <c r="GW77" i="4"/>
  <c r="GL78" i="4"/>
  <c r="GI79" i="4"/>
  <c r="GB79" i="4"/>
  <c r="GT76" i="4"/>
  <c r="GQ77" i="4"/>
  <c r="GN78" i="4"/>
  <c r="GC79" i="4"/>
  <c r="GU76" i="4"/>
  <c r="GJ77" i="4"/>
  <c r="GG78" i="4"/>
  <c r="FV79" i="4"/>
  <c r="FO79" i="4"/>
  <c r="FH79" i="4"/>
  <c r="HT79" i="4"/>
  <c r="HM79" i="4"/>
  <c r="HM33" i="4"/>
  <c r="HB34" i="4"/>
  <c r="GY35" i="4"/>
  <c r="GV36" i="4"/>
  <c r="GK37" i="4"/>
  <c r="GH38" i="4"/>
  <c r="GE39" i="4"/>
  <c r="FT40" i="4"/>
  <c r="FT41" i="4"/>
  <c r="HA42" i="4"/>
  <c r="HC44" i="4"/>
  <c r="FR52" i="4"/>
  <c r="HD31" i="4"/>
  <c r="GS32" i="4"/>
  <c r="GP33" i="4"/>
  <c r="GM34" i="4"/>
  <c r="GB35" i="4"/>
  <c r="FY36" i="4"/>
  <c r="FN37" i="4"/>
  <c r="FK38" i="4"/>
  <c r="FH39" i="4"/>
  <c r="HT39" i="4"/>
  <c r="HI40" i="4"/>
  <c r="FO42" i="4"/>
  <c r="HC43" i="4"/>
  <c r="GF47" i="4"/>
  <c r="HG41" i="4"/>
  <c r="HD42" i="4"/>
  <c r="GS43" i="4"/>
  <c r="GP44" i="4"/>
  <c r="GM45" i="4"/>
  <c r="GB46" i="4"/>
  <c r="FY47" i="4"/>
  <c r="FN48" i="4"/>
  <c r="FD49" i="4"/>
  <c r="HN55" i="4"/>
  <c r="FK44" i="4"/>
  <c r="FH45" i="4"/>
  <c r="HT45" i="4"/>
  <c r="HI46" i="4"/>
  <c r="HF47" i="4"/>
  <c r="HC48" i="4"/>
  <c r="GH52" i="4"/>
  <c r="GL46" i="4"/>
  <c r="GI47" i="4"/>
  <c r="GF48" i="4"/>
  <c r="FP50" i="4"/>
  <c r="FV41" i="4"/>
  <c r="FS42" i="4"/>
  <c r="FP43" i="4"/>
  <c r="FE44" i="4"/>
  <c r="HQ44" i="4"/>
  <c r="HN45" i="4"/>
  <c r="HK46" i="4"/>
  <c r="GZ47" i="4"/>
  <c r="GW48" i="4"/>
  <c r="HQ51" i="4"/>
  <c r="GU41" i="4"/>
  <c r="GJ42" i="4"/>
  <c r="GG43" i="4"/>
  <c r="FV44" i="4"/>
  <c r="FS45" i="4"/>
  <c r="FP46" i="4"/>
  <c r="FE47" i="4"/>
  <c r="HQ47" i="4"/>
  <c r="HN48" i="4"/>
  <c r="FY46" i="4"/>
  <c r="FN47" i="4"/>
  <c r="FK48" i="4"/>
  <c r="GA49" i="4"/>
  <c r="HG43" i="4"/>
  <c r="HD44" i="4"/>
  <c r="GS45" i="4"/>
  <c r="GP46" i="4"/>
  <c r="GM47" i="4"/>
  <c r="GB48" i="4"/>
  <c r="GV50" i="4"/>
  <c r="FY50" i="4"/>
  <c r="FN51" i="4"/>
  <c r="FK52" i="4"/>
  <c r="FH53" i="4"/>
  <c r="GO54" i="4"/>
  <c r="GB56" i="4"/>
  <c r="FU49" i="4"/>
  <c r="FR50" i="4"/>
  <c r="FO51" i="4"/>
  <c r="FD52" i="4"/>
  <c r="HP52" i="4"/>
  <c r="GC54" i="4"/>
  <c r="FJ56" i="4"/>
  <c r="GD49" i="4"/>
  <c r="GA50" i="4"/>
  <c r="FX51" i="4"/>
  <c r="FM52" i="4"/>
  <c r="FL53" i="4"/>
  <c r="GR54" i="4"/>
  <c r="HC56" i="4"/>
  <c r="GM49" i="4"/>
  <c r="GB50" i="4"/>
  <c r="FY51" i="4"/>
  <c r="FN52" i="4"/>
  <c r="FM53" i="4"/>
  <c r="GS54" i="4"/>
  <c r="HF56" i="4"/>
  <c r="GN49" i="4"/>
  <c r="GC50" i="4"/>
  <c r="FZ51" i="4"/>
  <c r="FW52" i="4"/>
  <c r="GB53" i="4"/>
  <c r="HH54" i="4"/>
  <c r="HE57" i="4"/>
  <c r="GO49" i="4"/>
  <c r="GD50" i="4"/>
  <c r="GA51" i="4"/>
  <c r="FX52" i="4"/>
  <c r="FP53" i="4"/>
  <c r="GW54" i="4"/>
  <c r="HM57" i="4"/>
  <c r="HF49" i="4"/>
  <c r="HC50" i="4"/>
  <c r="GR51" i="4"/>
  <c r="GO52" i="4"/>
  <c r="GR53" i="4"/>
  <c r="FU55" i="4"/>
  <c r="GL58" i="4"/>
  <c r="HB53" i="4"/>
  <c r="GY54" i="4"/>
  <c r="GV55" i="4"/>
  <c r="GK56" i="4"/>
  <c r="GH57" i="4"/>
  <c r="HC58" i="4"/>
  <c r="GF62" i="4"/>
  <c r="GO55" i="4"/>
  <c r="GD56" i="4"/>
  <c r="GA57" i="4"/>
  <c r="GN58" i="4"/>
  <c r="GY61" i="4"/>
  <c r="GB57" i="4"/>
  <c r="GO58" i="4"/>
  <c r="HR60" i="4"/>
  <c r="FY53" i="4"/>
  <c r="FN54" i="4"/>
  <c r="FK55" i="4"/>
  <c r="FH56" i="4"/>
  <c r="HT56" i="4"/>
  <c r="HI57" i="4"/>
  <c r="HJ59" i="4"/>
  <c r="FZ53" i="4"/>
  <c r="FW54" i="4"/>
  <c r="FL55" i="4"/>
  <c r="FI56" i="4"/>
  <c r="HU56" i="4"/>
  <c r="HJ57" i="4"/>
  <c r="HO59" i="4"/>
  <c r="GM57" i="4"/>
  <c r="HL58" i="4"/>
  <c r="FN55" i="4"/>
  <c r="FK56" i="4"/>
  <c r="FH57" i="4"/>
  <c r="HT57" i="4"/>
  <c r="HR59" i="4"/>
  <c r="FU59" i="4"/>
  <c r="FT60" i="4"/>
  <c r="GZ61" i="4"/>
  <c r="FN63" i="4"/>
  <c r="GU64" i="4"/>
  <c r="FP61" i="4"/>
  <c r="GV62" i="4"/>
  <c r="FJ64" i="4"/>
  <c r="FN66" i="4"/>
  <c r="HF58" i="4"/>
  <c r="HC59" i="4"/>
  <c r="FD61" i="4"/>
  <c r="GK62" i="4"/>
  <c r="HQ63" i="4"/>
  <c r="GV65" i="4"/>
  <c r="GY58" i="4"/>
  <c r="GV59" i="4"/>
  <c r="HK60" i="4"/>
  <c r="FY62" i="4"/>
  <c r="HF63" i="4"/>
  <c r="GB65" i="4"/>
  <c r="GR58" i="4"/>
  <c r="GO59" i="4"/>
  <c r="GZ60" i="4"/>
  <c r="FN62" i="4"/>
  <c r="GT63" i="4"/>
  <c r="FL65" i="4"/>
  <c r="GS58" i="4"/>
  <c r="GP59" i="4"/>
  <c r="HO60" i="4"/>
  <c r="FP62" i="4"/>
  <c r="GW63" i="4"/>
  <c r="GF65" i="4"/>
  <c r="FE62" i="4"/>
  <c r="GK63" i="4"/>
  <c r="HR64" i="4"/>
  <c r="GK60" i="4"/>
  <c r="GH61" i="4"/>
  <c r="GE62" i="4"/>
  <c r="FT63" i="4"/>
  <c r="FQ64" i="4"/>
  <c r="FI65" i="4"/>
  <c r="HP66" i="4"/>
  <c r="HM65" i="4"/>
  <c r="HG70" i="4"/>
  <c r="FP60" i="4"/>
  <c r="FE61" i="4"/>
  <c r="HQ61" i="4"/>
  <c r="HN62" i="4"/>
  <c r="HK63" i="4"/>
  <c r="GZ64" i="4"/>
  <c r="HR65" i="4"/>
  <c r="FI60" i="4"/>
  <c r="HU60" i="4"/>
  <c r="HJ61" i="4"/>
  <c r="HG62" i="4"/>
  <c r="HD63" i="4"/>
  <c r="GS64" i="4"/>
  <c r="GU65" i="4"/>
  <c r="GL68" i="4"/>
  <c r="GR67" i="4"/>
  <c r="FM66" i="4"/>
  <c r="FI67" i="4"/>
  <c r="GN68" i="4"/>
  <c r="HT69" i="4"/>
  <c r="FK70" i="4"/>
  <c r="HQ66" i="4"/>
  <c r="GE68" i="4"/>
  <c r="HJ69" i="4"/>
  <c r="GY65" i="4"/>
  <c r="HR66" i="4"/>
  <c r="GF68" i="4"/>
  <c r="HL69" i="4"/>
  <c r="GT66" i="4"/>
  <c r="FH68" i="4"/>
  <c r="GN69" i="4"/>
  <c r="GC65" i="4"/>
  <c r="GJ66" i="4"/>
  <c r="HO67" i="4"/>
  <c r="FP69" i="4"/>
  <c r="FS69" i="4"/>
  <c r="FP66" i="4"/>
  <c r="FE67" i="4"/>
  <c r="HQ67" i="4"/>
  <c r="HN68" i="4"/>
  <c r="HK69" i="4"/>
  <c r="GZ70" i="4"/>
  <c r="FS72" i="4"/>
  <c r="GC70" i="4"/>
  <c r="GB71" i="4"/>
  <c r="FJ66" i="4"/>
  <c r="FG67" i="4"/>
  <c r="HS67" i="4"/>
  <c r="HH68" i="4"/>
  <c r="HE69" i="4"/>
  <c r="GT70" i="4"/>
  <c r="HK71" i="4"/>
  <c r="FK66" i="4"/>
  <c r="FH67" i="4"/>
  <c r="HT67" i="4"/>
  <c r="HI68" i="4"/>
  <c r="HF69" i="4"/>
  <c r="HC70" i="4"/>
  <c r="HP71" i="4"/>
  <c r="GW76" i="4"/>
  <c r="HL70" i="4"/>
  <c r="FI72" i="4"/>
  <c r="FI70" i="4"/>
  <c r="HU70" i="4"/>
  <c r="GG72" i="4"/>
  <c r="FZ70" i="4"/>
  <c r="FW71" i="4"/>
  <c r="GZ74" i="4"/>
  <c r="FM72" i="4"/>
  <c r="FJ73" i="4"/>
  <c r="HA74" i="4"/>
  <c r="GW71" i="4"/>
  <c r="GL72" i="4"/>
  <c r="GV73" i="4"/>
  <c r="FQ76" i="4"/>
  <c r="FW72" i="4"/>
  <c r="FM73" i="4"/>
  <c r="GA75" i="4"/>
  <c r="HG71" i="4"/>
  <c r="HD72" i="4"/>
  <c r="HL73" i="4"/>
  <c r="GR74" i="4"/>
  <c r="HA71" i="4"/>
  <c r="GX72" i="4"/>
  <c r="HN73" i="4"/>
  <c r="FE74" i="4"/>
  <c r="HA77" i="4"/>
  <c r="HB74" i="4"/>
  <c r="HP75" i="4"/>
  <c r="HI78" i="4"/>
  <c r="HK74" i="4"/>
  <c r="FL76" i="4"/>
  <c r="FS73" i="4"/>
  <c r="FP74" i="4"/>
  <c r="FG75" i="4"/>
  <c r="GS76" i="4"/>
  <c r="GB73" i="4"/>
  <c r="FY74" i="4"/>
  <c r="FU75" i="4"/>
  <c r="FU77" i="4"/>
  <c r="FV73" i="4"/>
  <c r="FS74" i="4"/>
  <c r="FZ75" i="4"/>
  <c r="HU76" i="4"/>
  <c r="GX77" i="4"/>
  <c r="GL75" i="4"/>
  <c r="GK76" i="4"/>
  <c r="HR77" i="4"/>
  <c r="GM78" i="4"/>
  <c r="GN75" i="4"/>
  <c r="GC76" i="4"/>
  <c r="HI77" i="4"/>
  <c r="FI75" i="4"/>
  <c r="HU75" i="4"/>
  <c r="FJ77" i="4"/>
  <c r="GQ78" i="4"/>
  <c r="HF78" i="4"/>
  <c r="HS78" i="4"/>
  <c r="HH76" i="4"/>
  <c r="HE77" i="4"/>
  <c r="GT78" i="4"/>
  <c r="GQ79" i="4"/>
  <c r="GJ79" i="4"/>
  <c r="HB76" i="4"/>
  <c r="GY77" i="4"/>
  <c r="GV78" i="4"/>
  <c r="GK79" i="4"/>
  <c r="HC76" i="4"/>
  <c r="GR77" i="4"/>
  <c r="GO78" i="4"/>
  <c r="GD79" i="4"/>
  <c r="FW79" i="4"/>
  <c r="FP79" i="4"/>
  <c r="FI79" i="4"/>
  <c r="S15" i="3" l="1" a="1"/>
  <c r="U15" i="3" a="1"/>
  <c r="S69" i="3" l="1"/>
  <c r="S40" i="3"/>
  <c r="S57" i="3"/>
  <c r="S41" i="3"/>
  <c r="S42" i="3"/>
  <c r="S20" i="3"/>
  <c r="S65" i="3"/>
  <c r="S53" i="3"/>
  <c r="S67" i="3"/>
  <c r="S75" i="3"/>
  <c r="S47" i="3"/>
  <c r="S64" i="3"/>
  <c r="S48" i="3"/>
  <c r="S44" i="3"/>
  <c r="S36" i="3"/>
  <c r="S68" i="3"/>
  <c r="S15" i="3"/>
  <c r="S66" i="3"/>
  <c r="S74" i="3"/>
  <c r="S82" i="3"/>
  <c r="S51" i="3"/>
  <c r="S77" i="3"/>
  <c r="S49" i="3"/>
  <c r="S76" i="3"/>
  <c r="S22" i="3"/>
  <c r="S38" i="3"/>
  <c r="S28" i="3"/>
  <c r="S73" i="3"/>
  <c r="S81" i="3"/>
  <c r="S18" i="3"/>
  <c r="S72" i="3"/>
  <c r="S55" i="3"/>
  <c r="S56" i="3"/>
  <c r="S63" i="3"/>
  <c r="S54" i="3"/>
  <c r="S70" i="3"/>
  <c r="S60" i="3"/>
  <c r="S80" i="3"/>
  <c r="S17" i="3"/>
  <c r="S25" i="3"/>
  <c r="S83" i="3"/>
  <c r="S45" i="3"/>
  <c r="S58" i="3"/>
  <c r="S21" i="3"/>
  <c r="S52" i="3"/>
  <c r="S46" i="3"/>
  <c r="S30" i="3"/>
  <c r="S16" i="3"/>
  <c r="S24" i="3"/>
  <c r="S37" i="3"/>
  <c r="S19" i="3"/>
  <c r="S26" i="3"/>
  <c r="S79" i="3"/>
  <c r="S27" i="3"/>
  <c r="S29" i="3"/>
  <c r="S78" i="3"/>
  <c r="S62" i="3"/>
  <c r="S23" i="3"/>
  <c r="S32" i="3"/>
  <c r="S50" i="3"/>
  <c r="S61" i="3"/>
  <c r="S33" i="3"/>
  <c r="S43" i="3"/>
  <c r="S34" i="3"/>
  <c r="S35" i="3"/>
  <c r="S84" i="3"/>
  <c r="W84" i="3" s="1"/>
  <c r="S71" i="3"/>
  <c r="S31" i="3"/>
  <c r="S39" i="3"/>
  <c r="S59" i="3"/>
  <c r="U66" i="3"/>
  <c r="U65" i="3"/>
  <c r="U73" i="3"/>
  <c r="U47" i="3"/>
  <c r="U20" i="3"/>
  <c r="U71" i="3"/>
  <c r="U24" i="3"/>
  <c r="U40" i="3"/>
  <c r="U58" i="3"/>
  <c r="U51" i="3"/>
  <c r="U77" i="3"/>
  <c r="U21" i="3"/>
  <c r="U29" i="3"/>
  <c r="U70" i="3"/>
  <c r="Y70" i="3" s="1"/>
  <c r="U46" i="3"/>
  <c r="U31" i="3"/>
  <c r="U32" i="3"/>
  <c r="U45" i="3"/>
  <c r="U72" i="3"/>
  <c r="U69" i="3"/>
  <c r="U83" i="3"/>
  <c r="U27" i="3"/>
  <c r="U35" i="3"/>
  <c r="U39" i="3"/>
  <c r="U68" i="3"/>
  <c r="U53" i="3"/>
  <c r="U61" i="3"/>
  <c r="U67" i="3"/>
  <c r="U75" i="3"/>
  <c r="U19" i="3"/>
  <c r="U34" i="3"/>
  <c r="U37" i="3"/>
  <c r="U15" i="3"/>
  <c r="U38" i="3"/>
  <c r="U54" i="3"/>
  <c r="U76" i="3"/>
  <c r="U16" i="3"/>
  <c r="U74" i="3"/>
  <c r="U82" i="3"/>
  <c r="U26" i="3"/>
  <c r="U42" i="3"/>
  <c r="U62" i="3"/>
  <c r="U50" i="3"/>
  <c r="U60" i="3"/>
  <c r="U79" i="3"/>
  <c r="U36" i="3"/>
  <c r="U30" i="3"/>
  <c r="U81" i="3"/>
  <c r="U18" i="3"/>
  <c r="U41" i="3"/>
  <c r="U43" i="3"/>
  <c r="U56" i="3"/>
  <c r="U22" i="3"/>
  <c r="U63" i="3"/>
  <c r="U44" i="3"/>
  <c r="U55" i="3"/>
  <c r="U52" i="3"/>
  <c r="U17" i="3"/>
  <c r="U33" i="3"/>
  <c r="U49" i="3"/>
  <c r="U80" i="3"/>
  <c r="U57" i="3"/>
  <c r="U64" i="3"/>
  <c r="U28" i="3"/>
  <c r="U23" i="3"/>
  <c r="U78" i="3"/>
  <c r="U84" i="3"/>
  <c r="Y84" i="3" s="1"/>
  <c r="U25" i="3"/>
  <c r="U48" i="3"/>
  <c r="U59" i="3"/>
  <c r="Y72" i="3" l="1"/>
  <c r="AK72" i="3" s="1"/>
  <c r="AQ72" i="3" s="1"/>
  <c r="W46" i="3"/>
  <c r="AI46" i="3" s="1"/>
  <c r="AN46" i="3" s="1"/>
  <c r="Y78" i="3"/>
  <c r="AC78" i="3" s="1"/>
  <c r="AG78" i="3" s="1"/>
  <c r="W53" i="3"/>
  <c r="AI53" i="3" s="1"/>
  <c r="AN53" i="3" s="1"/>
  <c r="Y82" i="3"/>
  <c r="AC82" i="3" s="1"/>
  <c r="AG82" i="3" s="1"/>
  <c r="Y74" i="3"/>
  <c r="AC74" i="3" s="1"/>
  <c r="AG74" i="3" s="1"/>
  <c r="W70" i="3"/>
  <c r="AI70" i="3" s="1"/>
  <c r="AN70" i="3" s="1"/>
  <c r="W73" i="3"/>
  <c r="AA73" i="3" s="1"/>
  <c r="AE73" i="3" s="1"/>
  <c r="Y58" i="3"/>
  <c r="AC58" i="3" s="1"/>
  <c r="AG58" i="3" s="1"/>
  <c r="W72" i="3"/>
  <c r="AI72" i="3" s="1"/>
  <c r="AN72" i="3" s="1"/>
  <c r="W49" i="3"/>
  <c r="AI49" i="3" s="1"/>
  <c r="AN49" i="3" s="1"/>
  <c r="W41" i="3"/>
  <c r="AI41" i="3" s="1"/>
  <c r="AN41" i="3" s="1"/>
  <c r="W81" i="3"/>
  <c r="Y62" i="3"/>
  <c r="AC62" i="3" s="1"/>
  <c r="AG62" i="3" s="1"/>
  <c r="W78" i="3"/>
  <c r="AI78" i="3" s="1"/>
  <c r="AN78" i="3" s="1"/>
  <c r="W68" i="3"/>
  <c r="AA68" i="3" s="1"/>
  <c r="AE68" i="3" s="1"/>
  <c r="W76" i="3"/>
  <c r="AI76" i="3" s="1"/>
  <c r="AN76" i="3" s="1"/>
  <c r="Y68" i="3"/>
  <c r="AK68" i="3" s="1"/>
  <c r="AQ68" i="3" s="1"/>
  <c r="Y66" i="3"/>
  <c r="AC66" i="3" s="1"/>
  <c r="AG66" i="3" s="1"/>
  <c r="W65" i="3"/>
  <c r="AA65" i="3" s="1"/>
  <c r="AE65" i="3" s="1"/>
  <c r="Y46" i="3"/>
  <c r="AC46" i="3" s="1"/>
  <c r="AG46" i="3" s="1"/>
  <c r="W79" i="3"/>
  <c r="AA79" i="3" s="1"/>
  <c r="AE79" i="3" s="1"/>
  <c r="Y59" i="3"/>
  <c r="Y55" i="3"/>
  <c r="Y48" i="3"/>
  <c r="AK48" i="3" s="1"/>
  <c r="AQ48" i="3" s="1"/>
  <c r="W74" i="3"/>
  <c r="Y54" i="3"/>
  <c r="AC54" i="3" s="1"/>
  <c r="AG54" i="3" s="1"/>
  <c r="Y73" i="3"/>
  <c r="W62" i="3"/>
  <c r="W83" i="3"/>
  <c r="AI83" i="3" s="1"/>
  <c r="AN83" i="3" s="1"/>
  <c r="W56" i="3"/>
  <c r="AI56" i="3" s="1"/>
  <c r="AN56" i="3" s="1"/>
  <c r="Y52" i="3"/>
  <c r="AK52" i="3" s="1"/>
  <c r="AQ52" i="3" s="1"/>
  <c r="Y41" i="3"/>
  <c r="AK41" i="3" s="1"/>
  <c r="AQ41" i="3" s="1"/>
  <c r="W52" i="3"/>
  <c r="AA52" i="3" s="1"/>
  <c r="AE52" i="3" s="1"/>
  <c r="Y50" i="3"/>
  <c r="AC50" i="3" s="1"/>
  <c r="AG50" i="3" s="1"/>
  <c r="Y61" i="3"/>
  <c r="AK61" i="3" s="1"/>
  <c r="AQ61" i="3" s="1"/>
  <c r="W67" i="3"/>
  <c r="AI67" i="3" s="1"/>
  <c r="AN67" i="3" s="1"/>
  <c r="W69" i="3"/>
  <c r="Y53" i="3"/>
  <c r="Y51" i="3"/>
  <c r="Y65" i="3"/>
  <c r="W55" i="3"/>
  <c r="Y81" i="3"/>
  <c r="W59" i="3"/>
  <c r="W80" i="3"/>
  <c r="W77" i="3"/>
  <c r="Y64" i="3"/>
  <c r="W61" i="3"/>
  <c r="W60" i="3"/>
  <c r="W51" i="3"/>
  <c r="W48" i="3"/>
  <c r="Y57" i="3"/>
  <c r="Y63" i="3"/>
  <c r="AK70" i="3"/>
  <c r="AQ70" i="3" s="1"/>
  <c r="AC70" i="3"/>
  <c r="AG70" i="3" s="1"/>
  <c r="Y71" i="3"/>
  <c r="W50" i="3"/>
  <c r="W82" i="3"/>
  <c r="W64" i="3"/>
  <c r="Y80" i="3"/>
  <c r="Y79" i="3"/>
  <c r="Y75" i="3"/>
  <c r="Y83" i="3"/>
  <c r="W71" i="3"/>
  <c r="W58" i="3"/>
  <c r="W54" i="3"/>
  <c r="W47" i="3"/>
  <c r="W57" i="3"/>
  <c r="Y49" i="3"/>
  <c r="Y56" i="3"/>
  <c r="Y60" i="3"/>
  <c r="Y76" i="3"/>
  <c r="Y67" i="3"/>
  <c r="Y69" i="3"/>
  <c r="Y47" i="3"/>
  <c r="AI84" i="3"/>
  <c r="AN84" i="3" s="1"/>
  <c r="AA84" i="3"/>
  <c r="AE84" i="3" s="1"/>
  <c r="W63" i="3"/>
  <c r="W66" i="3"/>
  <c r="W75" i="3"/>
  <c r="AK84" i="3"/>
  <c r="AQ84" i="3" s="1"/>
  <c r="AC84" i="3"/>
  <c r="AG84" i="3" s="1"/>
  <c r="Y77" i="3"/>
  <c r="W21" i="3"/>
  <c r="AI21" i="3" s="1"/>
  <c r="AN21" i="3" s="1"/>
  <c r="W27" i="3"/>
  <c r="AI27" i="3" s="1"/>
  <c r="AN27" i="3" s="1"/>
  <c r="Y38" i="3"/>
  <c r="AC38" i="3" s="1"/>
  <c r="AG38" i="3" s="1"/>
  <c r="Y45" i="3"/>
  <c r="AC45" i="3" s="1"/>
  <c r="AG45" i="3" s="1"/>
  <c r="Y27" i="3"/>
  <c r="AC27" i="3" s="1"/>
  <c r="AG27" i="3" s="1"/>
  <c r="Y32" i="3"/>
  <c r="AK32" i="3" s="1"/>
  <c r="AQ32" i="3" s="1"/>
  <c r="Y22" i="3"/>
  <c r="AC22" i="3" s="1"/>
  <c r="AG22" i="3" s="1"/>
  <c r="Y20" i="3"/>
  <c r="AK20" i="3" s="1"/>
  <c r="AQ20" i="3" s="1"/>
  <c r="W16" i="3"/>
  <c r="AA16" i="3" s="1"/>
  <c r="AE16" i="3" s="1"/>
  <c r="Y24" i="3"/>
  <c r="AC24" i="3" s="1"/>
  <c r="AG24" i="3" s="1"/>
  <c r="Y37" i="3"/>
  <c r="AC37" i="3" s="1"/>
  <c r="AG37" i="3" s="1"/>
  <c r="Y26" i="3"/>
  <c r="AC26" i="3" s="1"/>
  <c r="AG26" i="3" s="1"/>
  <c r="W36" i="3"/>
  <c r="AI36" i="3" s="1"/>
  <c r="AN36" i="3" s="1"/>
  <c r="Y33" i="3"/>
  <c r="AK33" i="3" s="1"/>
  <c r="AQ33" i="3" s="1"/>
  <c r="Y43" i="3"/>
  <c r="AC43" i="3" s="1"/>
  <c r="AG43" i="3" s="1"/>
  <c r="Y29" i="3"/>
  <c r="AK29" i="3" s="1"/>
  <c r="AQ29" i="3" s="1"/>
  <c r="Y18" i="3"/>
  <c r="AC18" i="3" s="1"/>
  <c r="AG18" i="3" s="1"/>
  <c r="Y42" i="3"/>
  <c r="AC42" i="3" s="1"/>
  <c r="AG42" i="3" s="1"/>
  <c r="W19" i="3"/>
  <c r="AA19" i="3" s="1"/>
  <c r="AE19" i="3" s="1"/>
  <c r="W32" i="3"/>
  <c r="AI32" i="3" s="1"/>
  <c r="AN32" i="3" s="1"/>
  <c r="W35" i="3"/>
  <c r="AI35" i="3" s="1"/>
  <c r="AN35" i="3" s="1"/>
  <c r="Y39" i="3"/>
  <c r="AC39" i="3" s="1"/>
  <c r="AG39" i="3" s="1"/>
  <c r="Y21" i="3"/>
  <c r="AC21" i="3" s="1"/>
  <c r="AG21" i="3" s="1"/>
  <c r="Y44" i="3"/>
  <c r="AK44" i="3" s="1"/>
  <c r="AQ44" i="3" s="1"/>
  <c r="W34" i="3"/>
  <c r="AA34" i="3" s="1"/>
  <c r="AE34" i="3" s="1"/>
  <c r="W20" i="3"/>
  <c r="AA20" i="3" s="1"/>
  <c r="AE20" i="3" s="1"/>
  <c r="Y25" i="3"/>
  <c r="AK25" i="3" s="1"/>
  <c r="AQ25" i="3" s="1"/>
  <c r="Y34" i="3"/>
  <c r="AK34" i="3" s="1"/>
  <c r="AQ34" i="3" s="1"/>
  <c r="Y31" i="3"/>
  <c r="AK31" i="3" s="1"/>
  <c r="AQ31" i="3" s="1"/>
  <c r="W38" i="3"/>
  <c r="AA38" i="3" s="1"/>
  <c r="AE38" i="3" s="1"/>
  <c r="Y36" i="3"/>
  <c r="W44" i="3"/>
  <c r="AA44" i="3" s="1"/>
  <c r="AE44" i="3" s="1"/>
  <c r="Y23" i="3"/>
  <c r="AC23" i="3" s="1"/>
  <c r="AG23" i="3" s="1"/>
  <c r="Y19" i="3"/>
  <c r="AK19" i="3" s="1"/>
  <c r="AQ19" i="3" s="1"/>
  <c r="Y17" i="3"/>
  <c r="Y16" i="3"/>
  <c r="Y35" i="3"/>
  <c r="Y40" i="3"/>
  <c r="AK40" i="3" s="1"/>
  <c r="AQ40" i="3" s="1"/>
  <c r="Y15" i="3"/>
  <c r="AK15" i="3" s="1"/>
  <c r="AQ15" i="3" s="1"/>
  <c r="Y28" i="3"/>
  <c r="W39" i="3"/>
  <c r="AI39" i="3" s="1"/>
  <c r="AN39" i="3" s="1"/>
  <c r="Y30" i="3"/>
  <c r="W23" i="3"/>
  <c r="AA23" i="3" s="1"/>
  <c r="AE23" i="3" s="1"/>
  <c r="W29" i="3"/>
  <c r="AA29" i="3" s="1"/>
  <c r="AE29" i="3" s="1"/>
  <c r="W18" i="3"/>
  <c r="AI18" i="3" s="1"/>
  <c r="AN18" i="3" s="1"/>
  <c r="W26" i="3"/>
  <c r="AI26" i="3" s="1"/>
  <c r="AN26" i="3" s="1"/>
  <c r="W15" i="3"/>
  <c r="W37" i="3"/>
  <c r="W31" i="3"/>
  <c r="W25" i="3"/>
  <c r="W22" i="3"/>
  <c r="AA22" i="3" s="1"/>
  <c r="AE22" i="3" s="1"/>
  <c r="W30" i="3"/>
  <c r="W17" i="3"/>
  <c r="W24" i="3"/>
  <c r="AA24" i="3" s="1"/>
  <c r="AE24" i="3" s="1"/>
  <c r="W40" i="3"/>
  <c r="W28" i="3"/>
  <c r="W45" i="3"/>
  <c r="W43" i="3"/>
  <c r="W33" i="3"/>
  <c r="W42" i="3"/>
  <c r="BF16" i="1"/>
  <c r="AC16" i="3" l="1"/>
  <c r="AG16" i="3" s="1"/>
  <c r="AK16" i="3"/>
  <c r="AQ16" i="3" s="1"/>
  <c r="AC17" i="3"/>
  <c r="AG17" i="3" s="1"/>
  <c r="AK17" i="3"/>
  <c r="AQ17" i="3" s="1"/>
  <c r="AA53" i="3"/>
  <c r="AE53" i="3" s="1"/>
  <c r="AC72" i="3"/>
  <c r="AG72" i="3" s="1"/>
  <c r="AA46" i="3"/>
  <c r="AE46" i="3" s="1"/>
  <c r="AK74" i="3"/>
  <c r="AQ74" i="3" s="1"/>
  <c r="AK82" i="3"/>
  <c r="AQ82" i="3" s="1"/>
  <c r="AK50" i="3"/>
  <c r="AQ50" i="3" s="1"/>
  <c r="AA72" i="3"/>
  <c r="AE72" i="3" s="1"/>
  <c r="AA70" i="3"/>
  <c r="AE70" i="3" s="1"/>
  <c r="AA49" i="3"/>
  <c r="AE49" i="3" s="1"/>
  <c r="AI68" i="3"/>
  <c r="AN68" i="3" s="1"/>
  <c r="AK78" i="3"/>
  <c r="AQ78" i="3" s="1"/>
  <c r="AI73" i="3"/>
  <c r="AN73" i="3" s="1"/>
  <c r="AA83" i="3"/>
  <c r="AE83" i="3" s="1"/>
  <c r="AK46" i="3"/>
  <c r="AQ46" i="3" s="1"/>
  <c r="AK58" i="3"/>
  <c r="AQ58" i="3" s="1"/>
  <c r="AK62" i="3"/>
  <c r="AQ62" i="3" s="1"/>
  <c r="AC41" i="3"/>
  <c r="AG41" i="3" s="1"/>
  <c r="AC48" i="3"/>
  <c r="AG48" i="3" s="1"/>
  <c r="AA41" i="3"/>
  <c r="AE41" i="3" s="1"/>
  <c r="AA76" i="3"/>
  <c r="AE76" i="3" s="1"/>
  <c r="AC68" i="3"/>
  <c r="AG68" i="3" s="1"/>
  <c r="AA78" i="3"/>
  <c r="AE78" i="3" s="1"/>
  <c r="AK66" i="3"/>
  <c r="AQ66" i="3" s="1"/>
  <c r="AI52" i="3"/>
  <c r="AN52" i="3" s="1"/>
  <c r="AK54" i="3"/>
  <c r="AQ54" i="3" s="1"/>
  <c r="AI81" i="3"/>
  <c r="AN81" i="3" s="1"/>
  <c r="AA81" i="3"/>
  <c r="AE81" i="3" s="1"/>
  <c r="AI65" i="3"/>
  <c r="AN65" i="3" s="1"/>
  <c r="AK55" i="3"/>
  <c r="AQ55" i="3" s="1"/>
  <c r="AC55" i="3"/>
  <c r="AG55" i="3" s="1"/>
  <c r="AC59" i="3"/>
  <c r="AG59" i="3" s="1"/>
  <c r="AK59" i="3"/>
  <c r="AQ59" i="3" s="1"/>
  <c r="AI62" i="3"/>
  <c r="AN62" i="3" s="1"/>
  <c r="AA62" i="3"/>
  <c r="AE62" i="3" s="1"/>
  <c r="AK73" i="3"/>
  <c r="AQ73" i="3" s="1"/>
  <c r="AC73" i="3"/>
  <c r="AG73" i="3" s="1"/>
  <c r="AA56" i="3"/>
  <c r="AE56" i="3" s="1"/>
  <c r="AI79" i="3"/>
  <c r="AN79" i="3" s="1"/>
  <c r="AA74" i="3"/>
  <c r="AE74" i="3" s="1"/>
  <c r="AI74" i="3"/>
  <c r="AN74" i="3" s="1"/>
  <c r="AA67" i="3"/>
  <c r="AE67" i="3" s="1"/>
  <c r="AC52" i="3"/>
  <c r="AG52" i="3" s="1"/>
  <c r="AC61" i="3"/>
  <c r="AG61" i="3" s="1"/>
  <c r="AA69" i="3"/>
  <c r="AE69" i="3" s="1"/>
  <c r="AI69" i="3"/>
  <c r="AN69" i="3" s="1"/>
  <c r="AC56" i="3"/>
  <c r="AG56" i="3" s="1"/>
  <c r="AK56" i="3"/>
  <c r="AQ56" i="3" s="1"/>
  <c r="AI71" i="3"/>
  <c r="AN71" i="3" s="1"/>
  <c r="AA71" i="3"/>
  <c r="AE71" i="3" s="1"/>
  <c r="AK77" i="3"/>
  <c r="AQ77" i="3" s="1"/>
  <c r="AC77" i="3"/>
  <c r="AG77" i="3" s="1"/>
  <c r="AA66" i="3"/>
  <c r="AE66" i="3" s="1"/>
  <c r="AI66" i="3"/>
  <c r="AN66" i="3" s="1"/>
  <c r="AC60" i="3"/>
  <c r="AG60" i="3" s="1"/>
  <c r="AK60" i="3"/>
  <c r="AQ60" i="3" s="1"/>
  <c r="AI58" i="3"/>
  <c r="AN58" i="3" s="1"/>
  <c r="AA58" i="3"/>
  <c r="AE58" i="3" s="1"/>
  <c r="AI64" i="3"/>
  <c r="AN64" i="3" s="1"/>
  <c r="AA64" i="3"/>
  <c r="AE64" i="3" s="1"/>
  <c r="AI48" i="3"/>
  <c r="AN48" i="3" s="1"/>
  <c r="AA48" i="3"/>
  <c r="AE48" i="3" s="1"/>
  <c r="AK64" i="3"/>
  <c r="AQ64" i="3" s="1"/>
  <c r="AC64" i="3"/>
  <c r="AG64" i="3" s="1"/>
  <c r="AA55" i="3"/>
  <c r="AE55" i="3" s="1"/>
  <c r="AI55" i="3"/>
  <c r="AN55" i="3" s="1"/>
  <c r="AC49" i="3"/>
  <c r="AG49" i="3" s="1"/>
  <c r="AK49" i="3"/>
  <c r="AQ49" i="3" s="1"/>
  <c r="AC83" i="3"/>
  <c r="AG83" i="3" s="1"/>
  <c r="AK83" i="3"/>
  <c r="AQ83" i="3" s="1"/>
  <c r="AK63" i="3"/>
  <c r="AQ63" i="3" s="1"/>
  <c r="AC63" i="3"/>
  <c r="AG63" i="3" s="1"/>
  <c r="AA60" i="3"/>
  <c r="AE60" i="3" s="1"/>
  <c r="AI60" i="3"/>
  <c r="AN60" i="3" s="1"/>
  <c r="AI80" i="3"/>
  <c r="AN80" i="3" s="1"/>
  <c r="AA80" i="3"/>
  <c r="AE80" i="3" s="1"/>
  <c r="AC75" i="3"/>
  <c r="AG75" i="3" s="1"/>
  <c r="AK75" i="3"/>
  <c r="AQ75" i="3" s="1"/>
  <c r="AK57" i="3"/>
  <c r="AQ57" i="3" s="1"/>
  <c r="AC57" i="3"/>
  <c r="AG57" i="3" s="1"/>
  <c r="AI59" i="3"/>
  <c r="AN59" i="3" s="1"/>
  <c r="AA59" i="3"/>
  <c r="AE59" i="3" s="1"/>
  <c r="AK65" i="3"/>
  <c r="AQ65" i="3" s="1"/>
  <c r="AC65" i="3"/>
  <c r="AG65" i="3" s="1"/>
  <c r="AI63" i="3"/>
  <c r="AN63" i="3" s="1"/>
  <c r="AA63" i="3"/>
  <c r="AE63" i="3" s="1"/>
  <c r="AI77" i="3"/>
  <c r="AN77" i="3" s="1"/>
  <c r="AA77" i="3"/>
  <c r="AE77" i="3" s="1"/>
  <c r="AC47" i="3"/>
  <c r="AG47" i="3" s="1"/>
  <c r="AK47" i="3"/>
  <c r="AQ47" i="3" s="1"/>
  <c r="AK79" i="3"/>
  <c r="AQ79" i="3" s="1"/>
  <c r="AC79" i="3"/>
  <c r="AG79" i="3" s="1"/>
  <c r="AI50" i="3"/>
  <c r="AN50" i="3" s="1"/>
  <c r="AA50" i="3"/>
  <c r="AE50" i="3" s="1"/>
  <c r="AK81" i="3"/>
  <c r="AQ81" i="3" s="1"/>
  <c r="AC81" i="3"/>
  <c r="AG81" i="3" s="1"/>
  <c r="AK51" i="3"/>
  <c r="AQ51" i="3" s="1"/>
  <c r="AC51" i="3"/>
  <c r="AG51" i="3" s="1"/>
  <c r="AA82" i="3"/>
  <c r="AE82" i="3" s="1"/>
  <c r="AI82" i="3"/>
  <c r="AN82" i="3" s="1"/>
  <c r="AC69" i="3"/>
  <c r="AG69" i="3" s="1"/>
  <c r="AK69" i="3"/>
  <c r="AQ69" i="3" s="1"/>
  <c r="AI57" i="3"/>
  <c r="AN57" i="3" s="1"/>
  <c r="AA57" i="3"/>
  <c r="AE57" i="3" s="1"/>
  <c r="AC80" i="3"/>
  <c r="AG80" i="3" s="1"/>
  <c r="AK80" i="3"/>
  <c r="AQ80" i="3" s="1"/>
  <c r="AC71" i="3"/>
  <c r="AG71" i="3" s="1"/>
  <c r="AK71" i="3"/>
  <c r="AQ71" i="3" s="1"/>
  <c r="AI61" i="3"/>
  <c r="AN61" i="3" s="1"/>
  <c r="AA61" i="3"/>
  <c r="AE61" i="3" s="1"/>
  <c r="AK53" i="3"/>
  <c r="AQ53" i="3" s="1"/>
  <c r="AC53" i="3"/>
  <c r="AG53" i="3" s="1"/>
  <c r="AA51" i="3"/>
  <c r="AE51" i="3" s="1"/>
  <c r="AI51" i="3"/>
  <c r="AN51" i="3" s="1"/>
  <c r="AC67" i="3"/>
  <c r="AG67" i="3" s="1"/>
  <c r="AK67" i="3"/>
  <c r="AQ67" i="3" s="1"/>
  <c r="AI47" i="3"/>
  <c r="AN47" i="3" s="1"/>
  <c r="AA47" i="3"/>
  <c r="AE47" i="3" s="1"/>
  <c r="AA75" i="3"/>
  <c r="AE75" i="3" s="1"/>
  <c r="AI75" i="3"/>
  <c r="AN75" i="3" s="1"/>
  <c r="AC76" i="3"/>
  <c r="AG76" i="3" s="1"/>
  <c r="AK76" i="3"/>
  <c r="AQ76" i="3" s="1"/>
  <c r="AA54" i="3"/>
  <c r="AE54" i="3" s="1"/>
  <c r="AI54" i="3"/>
  <c r="AN54" i="3" s="1"/>
  <c r="Y87" i="3"/>
  <c r="AA15" i="3"/>
  <c r="AE15" i="3" s="1"/>
  <c r="W87" i="3"/>
  <c r="AA27" i="3"/>
  <c r="AE27" i="3" s="1"/>
  <c r="AA21" i="3"/>
  <c r="AE21" i="3" s="1"/>
  <c r="AC32" i="3"/>
  <c r="AG32" i="3" s="1"/>
  <c r="AK38" i="3"/>
  <c r="AQ38" i="3" s="1"/>
  <c r="AK45" i="3"/>
  <c r="AQ45" i="3" s="1"/>
  <c r="AK27" i="3"/>
  <c r="AQ27" i="3" s="1"/>
  <c r="AC20" i="3"/>
  <c r="AG20" i="3" s="1"/>
  <c r="AI16" i="3"/>
  <c r="AN16" i="3" s="1"/>
  <c r="AC33" i="3"/>
  <c r="AG33" i="3" s="1"/>
  <c r="AK39" i="3"/>
  <c r="AQ39" i="3" s="1"/>
  <c r="AA36" i="3"/>
  <c r="AE36" i="3" s="1"/>
  <c r="AK37" i="3"/>
  <c r="AQ37" i="3" s="1"/>
  <c r="AK26" i="3"/>
  <c r="AQ26" i="3" s="1"/>
  <c r="AK22" i="3"/>
  <c r="AQ22" i="3" s="1"/>
  <c r="AC34" i="3"/>
  <c r="AG34" i="3" s="1"/>
  <c r="AK43" i="3"/>
  <c r="AQ43" i="3" s="1"/>
  <c r="AK21" i="3"/>
  <c r="AQ21" i="3" s="1"/>
  <c r="AC29" i="3"/>
  <c r="AG29" i="3" s="1"/>
  <c r="AC31" i="3"/>
  <c r="AG31" i="3" s="1"/>
  <c r="AK42" i="3"/>
  <c r="AQ42" i="3" s="1"/>
  <c r="AK24" i="3"/>
  <c r="AQ24" i="3" s="1"/>
  <c r="AI20" i="3"/>
  <c r="AN20" i="3" s="1"/>
  <c r="AI38" i="3"/>
  <c r="AN38" i="3" s="1"/>
  <c r="AK18" i="3"/>
  <c r="AQ18" i="3" s="1"/>
  <c r="AA35" i="3"/>
  <c r="AE35" i="3" s="1"/>
  <c r="AI29" i="3"/>
  <c r="AN29" i="3" s="1"/>
  <c r="AI15" i="3"/>
  <c r="AN15" i="3" s="1"/>
  <c r="AA32" i="3"/>
  <c r="AE32" i="3" s="1"/>
  <c r="AI44" i="3"/>
  <c r="AN44" i="3" s="1"/>
  <c r="AA18" i="3"/>
  <c r="AE18" i="3" s="1"/>
  <c r="AI19" i="3"/>
  <c r="AN19" i="3" s="1"/>
  <c r="AA39" i="3"/>
  <c r="AE39" i="3" s="1"/>
  <c r="AI24" i="3"/>
  <c r="AN24" i="3" s="1"/>
  <c r="AC25" i="3"/>
  <c r="AG25" i="3" s="1"/>
  <c r="AC19" i="3"/>
  <c r="AG19" i="3" s="1"/>
  <c r="AC36" i="3"/>
  <c r="AG36" i="3" s="1"/>
  <c r="AK36" i="3"/>
  <c r="AQ36" i="3" s="1"/>
  <c r="AC44" i="3"/>
  <c r="AG44" i="3" s="1"/>
  <c r="AI34" i="3"/>
  <c r="AN34" i="3" s="1"/>
  <c r="AC40" i="3"/>
  <c r="AG40" i="3" s="1"/>
  <c r="AK23" i="3"/>
  <c r="AQ23" i="3" s="1"/>
  <c r="AC15" i="3"/>
  <c r="AG15" i="3" s="1"/>
  <c r="AA26" i="3"/>
  <c r="AE26" i="3" s="1"/>
  <c r="AK30" i="3"/>
  <c r="AQ30" i="3" s="1"/>
  <c r="AC30" i="3"/>
  <c r="AG30" i="3" s="1"/>
  <c r="AI23" i="3"/>
  <c r="AN23" i="3" s="1"/>
  <c r="AK28" i="3"/>
  <c r="AQ28" i="3" s="1"/>
  <c r="AC28" i="3"/>
  <c r="AG28" i="3" s="1"/>
  <c r="AC35" i="3"/>
  <c r="AG35" i="3" s="1"/>
  <c r="AK35" i="3"/>
  <c r="AQ35" i="3" s="1"/>
  <c r="AA42" i="3"/>
  <c r="AE42" i="3" s="1"/>
  <c r="AI42" i="3"/>
  <c r="AN42" i="3" s="1"/>
  <c r="AA33" i="3"/>
  <c r="AE33" i="3" s="1"/>
  <c r="AI33" i="3"/>
  <c r="AN33" i="3" s="1"/>
  <c r="AI30" i="3"/>
  <c r="AN30" i="3" s="1"/>
  <c r="AA30" i="3"/>
  <c r="AE30" i="3" s="1"/>
  <c r="AI17" i="3"/>
  <c r="AN17" i="3" s="1"/>
  <c r="AA17" i="3"/>
  <c r="AE17" i="3" s="1"/>
  <c r="AA43" i="3"/>
  <c r="AE43" i="3" s="1"/>
  <c r="AI43" i="3"/>
  <c r="AN43" i="3" s="1"/>
  <c r="AI25" i="3"/>
  <c r="AN25" i="3" s="1"/>
  <c r="AA25" i="3"/>
  <c r="AE25" i="3" s="1"/>
  <c r="AI22" i="3"/>
  <c r="AN22" i="3" s="1"/>
  <c r="AI28" i="3"/>
  <c r="AN28" i="3" s="1"/>
  <c r="AA28" i="3"/>
  <c r="AE28" i="3" s="1"/>
  <c r="AI45" i="3"/>
  <c r="AN45" i="3" s="1"/>
  <c r="AA45" i="3"/>
  <c r="AE45" i="3" s="1"/>
  <c r="AI40" i="3"/>
  <c r="AN40" i="3" s="1"/>
  <c r="AA40" i="3"/>
  <c r="AE40" i="3" s="1"/>
  <c r="AA31" i="3"/>
  <c r="AE31" i="3" s="1"/>
  <c r="AI31" i="3"/>
  <c r="AN31" i="3" s="1"/>
  <c r="AI37" i="3"/>
  <c r="AN37" i="3" s="1"/>
  <c r="AA37" i="3"/>
  <c r="AE37" i="3" s="1"/>
  <c r="B3" i="1"/>
  <c r="B10" i="1"/>
  <c r="B6" i="1"/>
  <c r="E25" i="1" l="1"/>
  <c r="E33" i="1"/>
  <c r="E41" i="1"/>
  <c r="F41" i="1" s="1"/>
  <c r="E49" i="1"/>
  <c r="F49" i="1" s="1"/>
  <c r="E27" i="1"/>
  <c r="E23" i="1"/>
  <c r="E39" i="1"/>
  <c r="E26" i="1"/>
  <c r="E34" i="1"/>
  <c r="E42" i="1"/>
  <c r="F42" i="1" s="1"/>
  <c r="E18" i="1"/>
  <c r="E35" i="1"/>
  <c r="E19" i="1"/>
  <c r="E36" i="1"/>
  <c r="E44" i="1"/>
  <c r="F44" i="1" s="1"/>
  <c r="E21" i="1"/>
  <c r="E31" i="1"/>
  <c r="E47" i="1"/>
  <c r="F47" i="1" s="1"/>
  <c r="E40" i="1"/>
  <c r="F40" i="1" s="1"/>
  <c r="E43" i="1"/>
  <c r="F43" i="1" s="1"/>
  <c r="E28" i="1"/>
  <c r="E48" i="1"/>
  <c r="F48" i="1" s="1"/>
  <c r="E20" i="1"/>
  <c r="E29" i="1"/>
  <c r="E37" i="1"/>
  <c r="E45" i="1"/>
  <c r="F45" i="1" s="1"/>
  <c r="E24" i="1"/>
  <c r="E22" i="1"/>
  <c r="E30" i="1"/>
  <c r="E38" i="1"/>
  <c r="E46" i="1"/>
  <c r="F46" i="1" s="1"/>
  <c r="E32" i="1"/>
  <c r="G43" i="1"/>
  <c r="AQ87" i="3"/>
  <c r="AN87" i="3"/>
  <c r="AI87" i="3"/>
  <c r="AS87" i="3" s="1"/>
  <c r="AK87" i="3"/>
  <c r="AU87" i="3" s="1"/>
  <c r="G42" i="1" l="1"/>
  <c r="G46" i="1"/>
  <c r="G45" i="1"/>
  <c r="G44" i="1"/>
  <c r="G41" i="1"/>
  <c r="F39" i="1"/>
  <c r="G39" i="1"/>
  <c r="F29" i="1"/>
  <c r="G29" i="1"/>
  <c r="F21" i="1"/>
  <c r="G21" i="1"/>
  <c r="F36" i="1"/>
  <c r="G36" i="1"/>
  <c r="F23" i="1"/>
  <c r="G23" i="1"/>
  <c r="G40" i="1"/>
  <c r="G30" i="1"/>
  <c r="F30" i="1"/>
  <c r="F28" i="1"/>
  <c r="G28" i="1"/>
  <c r="G19" i="1"/>
  <c r="F19" i="1"/>
  <c r="F27" i="1"/>
  <c r="G27" i="1"/>
  <c r="F22" i="1"/>
  <c r="G22" i="1"/>
  <c r="F35" i="1"/>
  <c r="G35" i="1"/>
  <c r="F26" i="1"/>
  <c r="G26" i="1"/>
  <c r="I20" i="1"/>
  <c r="F20" i="1"/>
  <c r="G20" i="1"/>
  <c r="G18" i="1"/>
  <c r="F18" i="1"/>
  <c r="F33" i="1"/>
  <c r="G33" i="1"/>
  <c r="G32" i="1"/>
  <c r="F32" i="1"/>
  <c r="G38" i="1"/>
  <c r="F38" i="1"/>
  <c r="F24" i="1"/>
  <c r="G24" i="1"/>
  <c r="G48" i="1"/>
  <c r="G47" i="1"/>
  <c r="G49" i="1"/>
  <c r="F37" i="1"/>
  <c r="G37" i="1"/>
  <c r="G31" i="1"/>
  <c r="F31" i="1"/>
  <c r="F34" i="1"/>
  <c r="G34" i="1"/>
  <c r="H24" i="1"/>
  <c r="F25" i="1"/>
  <c r="G25" i="1"/>
  <c r="I19" i="1"/>
  <c r="K40" i="1"/>
  <c r="H48" i="1"/>
  <c r="V46" i="1"/>
  <c r="V47" i="1"/>
  <c r="I48" i="1"/>
  <c r="H47" i="1"/>
  <c r="I47" i="1"/>
  <c r="V45" i="1"/>
  <c r="H46" i="1"/>
  <c r="I46" i="1"/>
  <c r="H45" i="1"/>
  <c r="I45" i="1"/>
  <c r="V44" i="1"/>
  <c r="H44" i="1"/>
  <c r="I44" i="1"/>
  <c r="V43" i="1"/>
  <c r="V42" i="1"/>
  <c r="H43" i="1"/>
  <c r="I43" i="1"/>
  <c r="V41" i="1"/>
  <c r="I42" i="1"/>
  <c r="H42" i="1"/>
  <c r="V40" i="1"/>
  <c r="I41" i="1"/>
  <c r="H41" i="1"/>
  <c r="I40" i="1"/>
  <c r="V39" i="1"/>
  <c r="H40" i="1"/>
  <c r="H39" i="1"/>
  <c r="V38" i="1"/>
  <c r="I39" i="1"/>
  <c r="V37" i="1"/>
  <c r="I38" i="1"/>
  <c r="H38" i="1"/>
  <c r="V36" i="1"/>
  <c r="H37" i="1"/>
  <c r="I37" i="1"/>
  <c r="I36" i="1"/>
  <c r="V34" i="1"/>
  <c r="V35" i="1"/>
  <c r="H36" i="1"/>
  <c r="I35" i="1"/>
  <c r="H35" i="1"/>
  <c r="V32" i="1"/>
  <c r="V33" i="1"/>
  <c r="H34" i="1"/>
  <c r="I34" i="1"/>
  <c r="I33" i="1"/>
  <c r="H33" i="1"/>
  <c r="I31" i="1"/>
  <c r="H32" i="1"/>
  <c r="I32" i="1"/>
  <c r="J32" i="1"/>
  <c r="V31" i="1"/>
  <c r="H31" i="1"/>
  <c r="H30" i="1"/>
  <c r="V30" i="1"/>
  <c r="V29" i="1"/>
  <c r="I30" i="1"/>
  <c r="I29" i="1"/>
  <c r="V28" i="1"/>
  <c r="H29" i="1"/>
  <c r="I27" i="1"/>
  <c r="I28" i="1"/>
  <c r="H28" i="1"/>
  <c r="V27" i="1"/>
  <c r="H27" i="1"/>
  <c r="V26" i="1"/>
  <c r="H26" i="1"/>
  <c r="I26" i="1"/>
  <c r="V25" i="1"/>
  <c r="I25" i="1"/>
  <c r="V24" i="1"/>
  <c r="H25" i="1"/>
  <c r="V23" i="1"/>
  <c r="I24" i="1"/>
  <c r="I23" i="1"/>
  <c r="H23" i="1"/>
  <c r="V22" i="1"/>
  <c r="V21" i="1"/>
  <c r="K21" i="1"/>
  <c r="I22" i="1"/>
  <c r="H22" i="1"/>
  <c r="H21" i="1"/>
  <c r="I21" i="1"/>
  <c r="V20" i="1"/>
  <c r="H20" i="1"/>
  <c r="V19" i="1"/>
  <c r="V18" i="1"/>
  <c r="H19" i="1"/>
  <c r="I18" i="1"/>
  <c r="J17" i="1"/>
  <c r="I17" i="1"/>
  <c r="V17" i="1"/>
  <c r="H18" i="1"/>
  <c r="V16" i="1"/>
  <c r="H17" i="1"/>
  <c r="J42" i="1"/>
  <c r="M24" i="1" l="1"/>
  <c r="Q24" i="1" s="1"/>
  <c r="L24" i="1"/>
  <c r="P24" i="1" s="1"/>
  <c r="M23" i="1"/>
  <c r="Q23" i="1" s="1"/>
  <c r="L23" i="1"/>
  <c r="P23" i="1" s="1"/>
  <c r="M29" i="1"/>
  <c r="Q29" i="1" s="1"/>
  <c r="L29" i="1"/>
  <c r="P29" i="1" s="1"/>
  <c r="L34" i="1"/>
  <c r="P34" i="1" s="1"/>
  <c r="M34" i="1"/>
  <c r="Q34" i="1" s="1"/>
  <c r="L42" i="1"/>
  <c r="P42" i="1" s="1"/>
  <c r="M42" i="1"/>
  <c r="Q42" i="1" s="1"/>
  <c r="L44" i="1"/>
  <c r="P44" i="1" s="1"/>
  <c r="M44" i="1"/>
  <c r="Q44" i="1" s="1"/>
  <c r="M47" i="1"/>
  <c r="Q47" i="1" s="1"/>
  <c r="L47" i="1"/>
  <c r="P47" i="1" s="1"/>
  <c r="L26" i="1"/>
  <c r="P26" i="1" s="1"/>
  <c r="M26" i="1"/>
  <c r="Q26" i="1" s="1"/>
  <c r="L37" i="1"/>
  <c r="P37" i="1" s="1"/>
  <c r="M37" i="1"/>
  <c r="Q37" i="1" s="1"/>
  <c r="L40" i="1"/>
  <c r="P40" i="1" s="1"/>
  <c r="M40" i="1"/>
  <c r="Q40" i="1" s="1"/>
  <c r="L27" i="1"/>
  <c r="P27" i="1" s="1"/>
  <c r="M27" i="1"/>
  <c r="Q27" i="1" s="1"/>
  <c r="L32" i="1"/>
  <c r="P32" i="1" s="1"/>
  <c r="M32" i="1"/>
  <c r="Q32" i="1" s="1"/>
  <c r="L35" i="1"/>
  <c r="P35" i="1" s="1"/>
  <c r="M35" i="1"/>
  <c r="Q35" i="1" s="1"/>
  <c r="L45" i="1"/>
  <c r="P45" i="1" s="1"/>
  <c r="M45" i="1"/>
  <c r="Q45" i="1" s="1"/>
  <c r="M31" i="1"/>
  <c r="Q31" i="1" s="1"/>
  <c r="L31" i="1"/>
  <c r="P31" i="1" s="1"/>
  <c r="L22" i="1"/>
  <c r="P22" i="1" s="1"/>
  <c r="M22" i="1"/>
  <c r="Q22" i="1" s="1"/>
  <c r="L19" i="1"/>
  <c r="P19" i="1" s="1"/>
  <c r="M19" i="1"/>
  <c r="Q19" i="1" s="1"/>
  <c r="L25" i="1"/>
  <c r="P25" i="1" s="1"/>
  <c r="M25" i="1"/>
  <c r="Q25" i="1" s="1"/>
  <c r="M38" i="1"/>
  <c r="Q38" i="1" s="1"/>
  <c r="L38" i="1"/>
  <c r="P38" i="1" s="1"/>
  <c r="L43" i="1"/>
  <c r="P43" i="1" s="1"/>
  <c r="M43" i="1"/>
  <c r="Q43" i="1" s="1"/>
  <c r="L48" i="1"/>
  <c r="P48" i="1" s="1"/>
  <c r="M48" i="1"/>
  <c r="Q48" i="1" s="1"/>
  <c r="L18" i="1"/>
  <c r="P18" i="1" s="1"/>
  <c r="M18" i="1"/>
  <c r="Q18" i="1" s="1"/>
  <c r="L21" i="1"/>
  <c r="P21" i="1" s="1"/>
  <c r="M21" i="1"/>
  <c r="Q21" i="1" s="1"/>
  <c r="BA16" i="1"/>
  <c r="L17" i="1"/>
  <c r="P17" i="1" s="1"/>
  <c r="M17" i="1"/>
  <c r="Q17" i="1" s="1"/>
  <c r="L28" i="1"/>
  <c r="P28" i="1" s="1"/>
  <c r="M28" i="1"/>
  <c r="Q28" i="1" s="1"/>
  <c r="L33" i="1"/>
  <c r="P33" i="1" s="1"/>
  <c r="M33" i="1"/>
  <c r="Q33" i="1" s="1"/>
  <c r="L36" i="1"/>
  <c r="P36" i="1" s="1"/>
  <c r="M36" i="1"/>
  <c r="Q36" i="1" s="1"/>
  <c r="L41" i="1"/>
  <c r="P41" i="1" s="1"/>
  <c r="M41" i="1"/>
  <c r="Q41" i="1" s="1"/>
  <c r="M46" i="1"/>
  <c r="Q46" i="1" s="1"/>
  <c r="L46" i="1"/>
  <c r="P46" i="1" s="1"/>
  <c r="L20" i="1"/>
  <c r="P20" i="1" s="1"/>
  <c r="M20" i="1"/>
  <c r="Q20" i="1" s="1"/>
  <c r="M39" i="1"/>
  <c r="Q39" i="1" s="1"/>
  <c r="L39" i="1"/>
  <c r="P39" i="1" s="1"/>
  <c r="L30" i="1"/>
  <c r="P30" i="1" s="1"/>
  <c r="M30" i="1"/>
  <c r="Q30" i="1" s="1"/>
  <c r="K24" i="1"/>
  <c r="K26" i="1"/>
  <c r="K29" i="1"/>
  <c r="J18" i="1"/>
  <c r="BB16" i="1"/>
  <c r="AV16" i="1"/>
  <c r="AA16" i="1"/>
  <c r="Z16" i="1"/>
  <c r="AI16" i="1"/>
  <c r="AF16" i="1"/>
  <c r="AJ16" i="1"/>
  <c r="AT16" i="1"/>
  <c r="AM16" i="1"/>
  <c r="AG16" i="1"/>
  <c r="AZ16" i="1"/>
  <c r="DD82" i="1" s="1"/>
  <c r="AU16" i="1"/>
  <c r="BC16" i="1"/>
  <c r="AO16" i="1"/>
  <c r="AB16" i="1"/>
  <c r="AY16" i="1"/>
  <c r="AH16" i="1"/>
  <c r="AS16" i="1"/>
  <c r="AD16" i="1"/>
  <c r="AU82" i="1" s="1"/>
  <c r="AW16" i="1"/>
  <c r="AR16" i="1"/>
  <c r="BJ82" i="1" s="1"/>
  <c r="AK16" i="1"/>
  <c r="AC16" i="1"/>
  <c r="AT82" i="1" s="1"/>
  <c r="AE16" i="1"/>
  <c r="AV82" i="1" s="1"/>
  <c r="AP16" i="1"/>
  <c r="X16" i="1"/>
  <c r="Y16" i="1"/>
  <c r="AP82" i="1" s="1"/>
  <c r="W16" i="1"/>
  <c r="AL16" i="1"/>
  <c r="BC82" i="1" s="1"/>
  <c r="AN16" i="1"/>
  <c r="CR82" i="1" s="1"/>
  <c r="AX16" i="1"/>
  <c r="AQ16" i="1"/>
  <c r="K45" i="1"/>
  <c r="K34" i="1"/>
  <c r="K35" i="1"/>
  <c r="J48" i="1"/>
  <c r="J40" i="1"/>
  <c r="J22" i="1"/>
  <c r="K25" i="1"/>
  <c r="K18" i="1"/>
  <c r="J41" i="1"/>
  <c r="J30" i="1"/>
  <c r="K33" i="1"/>
  <c r="J29" i="1"/>
  <c r="K39" i="1"/>
  <c r="J31" i="1"/>
  <c r="BC21" i="1"/>
  <c r="AV21" i="1"/>
  <c r="AO21" i="1"/>
  <c r="AK21" i="1"/>
  <c r="AU21" i="1"/>
  <c r="AW21" i="1"/>
  <c r="AL21" i="1"/>
  <c r="AQ21" i="1"/>
  <c r="AP21" i="1"/>
  <c r="AM21" i="1"/>
  <c r="AT21" i="1"/>
  <c r="AR21" i="1"/>
  <c r="AX21" i="1"/>
  <c r="AS21" i="1"/>
  <c r="AJ21" i="1"/>
  <c r="AN21" i="1"/>
  <c r="AZ21" i="1"/>
  <c r="AY21" i="1"/>
  <c r="AC21" i="1"/>
  <c r="AD21" i="1"/>
  <c r="AI21" i="1"/>
  <c r="AH21" i="1"/>
  <c r="AG21" i="1"/>
  <c r="AF21" i="1"/>
  <c r="AE21" i="1"/>
  <c r="AB21" i="1"/>
  <c r="AS87" i="1" s="1"/>
  <c r="Z21" i="1"/>
  <c r="AQ87" i="1" s="1"/>
  <c r="Y21" i="1"/>
  <c r="X21" i="1"/>
  <c r="W21" i="1"/>
  <c r="BA21" i="1"/>
  <c r="BB21" i="1"/>
  <c r="AA21" i="1"/>
  <c r="BC19" i="1"/>
  <c r="AX19" i="1"/>
  <c r="AN19" i="1"/>
  <c r="AZ19" i="1"/>
  <c r="AY19" i="1"/>
  <c r="AV19" i="1"/>
  <c r="AO19" i="1"/>
  <c r="AK19" i="1"/>
  <c r="AW19" i="1"/>
  <c r="AL19" i="1"/>
  <c r="AR19" i="1"/>
  <c r="AQ19" i="1"/>
  <c r="AP19" i="1"/>
  <c r="AM19" i="1"/>
  <c r="AS19" i="1"/>
  <c r="AT19" i="1"/>
  <c r="AU19" i="1"/>
  <c r="AJ19" i="1"/>
  <c r="BB85" i="1" s="1"/>
  <c r="AD19" i="1"/>
  <c r="AC19" i="1"/>
  <c r="AI19" i="1"/>
  <c r="AH19" i="1"/>
  <c r="AG19" i="1"/>
  <c r="AF19" i="1"/>
  <c r="AE19" i="1"/>
  <c r="AV85" i="1" s="1"/>
  <c r="AB19" i="1"/>
  <c r="Z19" i="1"/>
  <c r="Y19" i="1"/>
  <c r="AP85" i="1" s="1"/>
  <c r="W19" i="1"/>
  <c r="BA19" i="1"/>
  <c r="BB19" i="1"/>
  <c r="X19" i="1"/>
  <c r="AA19" i="1"/>
  <c r="BC20" i="1"/>
  <c r="AY20" i="1"/>
  <c r="AU20" i="1"/>
  <c r="AV20" i="1"/>
  <c r="AO20" i="1"/>
  <c r="AK20" i="1"/>
  <c r="AW20" i="1"/>
  <c r="AL20" i="1"/>
  <c r="AT20" i="1"/>
  <c r="AQ20" i="1"/>
  <c r="AP20" i="1"/>
  <c r="AM20" i="1"/>
  <c r="AS20" i="1"/>
  <c r="AR20" i="1"/>
  <c r="AJ20" i="1"/>
  <c r="AX20" i="1"/>
  <c r="AN20" i="1"/>
  <c r="AZ20" i="1"/>
  <c r="BQ86" i="1" s="1"/>
  <c r="AI20" i="1"/>
  <c r="CM86" i="1" s="1"/>
  <c r="AH20" i="1"/>
  <c r="AG20" i="1"/>
  <c r="AF20" i="1"/>
  <c r="AE20" i="1"/>
  <c r="AD20" i="1"/>
  <c r="AC20" i="1"/>
  <c r="AT86" i="1" s="1"/>
  <c r="AB20" i="1"/>
  <c r="Z20" i="1"/>
  <c r="Y20" i="1"/>
  <c r="X20" i="1"/>
  <c r="AO86" i="1" s="1"/>
  <c r="W20" i="1"/>
  <c r="BA20" i="1"/>
  <c r="BB20" i="1"/>
  <c r="DF86" i="1" s="1"/>
  <c r="AA20" i="1"/>
  <c r="AR86" i="1" s="1"/>
  <c r="BC32" i="1"/>
  <c r="AR32" i="1"/>
  <c r="AO32" i="1"/>
  <c r="AS32" i="1"/>
  <c r="AV32" i="1"/>
  <c r="AU32" i="1"/>
  <c r="AT32" i="1"/>
  <c r="AX32" i="1"/>
  <c r="AN32" i="1"/>
  <c r="AZ32" i="1"/>
  <c r="AJ32" i="1"/>
  <c r="AW32" i="1"/>
  <c r="AY32" i="1"/>
  <c r="AL32" i="1"/>
  <c r="AQ32" i="1"/>
  <c r="AK32" i="1"/>
  <c r="AP32" i="1"/>
  <c r="AD32" i="1"/>
  <c r="AB32" i="1"/>
  <c r="AC32" i="1"/>
  <c r="AI32" i="1"/>
  <c r="AH32" i="1"/>
  <c r="AG32" i="1"/>
  <c r="AF32" i="1"/>
  <c r="AW98" i="1" s="1"/>
  <c r="AE32" i="1"/>
  <c r="W32" i="1"/>
  <c r="BA32" i="1"/>
  <c r="AA32" i="1"/>
  <c r="AM32" i="1"/>
  <c r="BB32" i="1"/>
  <c r="DF98" i="1" s="1"/>
  <c r="Z32" i="1"/>
  <c r="Y32" i="1"/>
  <c r="AP98" i="1" s="1"/>
  <c r="X32" i="1"/>
  <c r="BC36" i="1"/>
  <c r="AY36" i="1"/>
  <c r="AS36" i="1"/>
  <c r="AV36" i="1"/>
  <c r="AN36" i="1"/>
  <c r="AU36" i="1"/>
  <c r="AW36" i="1"/>
  <c r="AK36" i="1"/>
  <c r="AP36" i="1"/>
  <c r="AL36" i="1"/>
  <c r="AR36" i="1"/>
  <c r="CV102" i="1" s="1"/>
  <c r="AT36" i="1"/>
  <c r="AX36" i="1"/>
  <c r="AZ36" i="1"/>
  <c r="AJ36" i="1"/>
  <c r="AM36" i="1"/>
  <c r="AI36" i="1"/>
  <c r="AH36" i="1"/>
  <c r="AG36" i="1"/>
  <c r="AF36" i="1"/>
  <c r="AE36" i="1"/>
  <c r="AD36" i="1"/>
  <c r="AB36" i="1"/>
  <c r="AS102" i="1" s="1"/>
  <c r="AC36" i="1"/>
  <c r="Z36" i="1"/>
  <c r="Y36" i="1"/>
  <c r="X36" i="1"/>
  <c r="AO102" i="1" s="1"/>
  <c r="BA36" i="1"/>
  <c r="BB36" i="1"/>
  <c r="DF102" i="1" s="1"/>
  <c r="AQ36" i="1"/>
  <c r="AO36" i="1"/>
  <c r="BF102" i="1" s="1"/>
  <c r="AA36" i="1"/>
  <c r="W36" i="1"/>
  <c r="BC40" i="1"/>
  <c r="AQ40" i="1"/>
  <c r="AR40" i="1"/>
  <c r="AV40" i="1"/>
  <c r="AW40" i="1"/>
  <c r="AT40" i="1"/>
  <c r="AS40" i="1"/>
  <c r="AX40" i="1"/>
  <c r="AM40" i="1"/>
  <c r="AZ40" i="1"/>
  <c r="AJ40" i="1"/>
  <c r="AY40" i="1"/>
  <c r="AN40" i="1"/>
  <c r="AK40" i="1"/>
  <c r="AL40" i="1"/>
  <c r="AP40" i="1"/>
  <c r="AB40" i="1"/>
  <c r="AD40" i="1"/>
  <c r="AU106" i="1" s="1"/>
  <c r="AC40" i="1"/>
  <c r="AI40" i="1"/>
  <c r="AH40" i="1"/>
  <c r="AG40" i="1"/>
  <c r="AF40" i="1"/>
  <c r="AE40" i="1"/>
  <c r="AU40" i="1"/>
  <c r="AA40" i="1"/>
  <c r="W40" i="1"/>
  <c r="AO40" i="1"/>
  <c r="Z40" i="1"/>
  <c r="Y40" i="1"/>
  <c r="AP106" i="1" s="1"/>
  <c r="X40" i="1"/>
  <c r="AO106" i="1" s="1"/>
  <c r="BA40" i="1"/>
  <c r="BB40" i="1"/>
  <c r="BC43" i="1"/>
  <c r="AU43" i="1"/>
  <c r="AM43" i="1"/>
  <c r="AZ43" i="1"/>
  <c r="AJ43" i="1"/>
  <c r="AY43" i="1"/>
  <c r="AN43" i="1"/>
  <c r="BE109" i="1" s="1"/>
  <c r="AR43" i="1"/>
  <c r="AV43" i="1"/>
  <c r="AK43" i="1"/>
  <c r="AW43" i="1"/>
  <c r="AP43" i="1"/>
  <c r="AL43" i="1"/>
  <c r="BD109" i="1" s="1"/>
  <c r="AQ43" i="1"/>
  <c r="AT43" i="1"/>
  <c r="AS43" i="1"/>
  <c r="AC43" i="1"/>
  <c r="AT109" i="1" s="1"/>
  <c r="AB43" i="1"/>
  <c r="AI43" i="1"/>
  <c r="AH43" i="1"/>
  <c r="AG43" i="1"/>
  <c r="AF43" i="1"/>
  <c r="AE43" i="1"/>
  <c r="AD43" i="1"/>
  <c r="Z43" i="1"/>
  <c r="AQ109" i="1" s="1"/>
  <c r="Y43" i="1"/>
  <c r="X43" i="1"/>
  <c r="BA43" i="1"/>
  <c r="BB43" i="1"/>
  <c r="DF109" i="1" s="1"/>
  <c r="W43" i="1"/>
  <c r="AO43" i="1"/>
  <c r="AA43" i="1"/>
  <c r="AX43" i="1"/>
  <c r="BO109" i="1" s="1"/>
  <c r="BC45" i="1"/>
  <c r="AX45" i="1"/>
  <c r="AN45" i="1"/>
  <c r="AY45" i="1"/>
  <c r="BP111" i="1" s="1"/>
  <c r="AV45" i="1"/>
  <c r="AK45" i="1"/>
  <c r="CO111" i="1" s="1"/>
  <c r="AW45" i="1"/>
  <c r="AP45" i="1"/>
  <c r="AO45" i="1"/>
  <c r="AL45" i="1"/>
  <c r="AT45" i="1"/>
  <c r="AQ45" i="1"/>
  <c r="AR45" i="1"/>
  <c r="AS45" i="1"/>
  <c r="AU45" i="1"/>
  <c r="AM45" i="1"/>
  <c r="AJ45" i="1"/>
  <c r="AB45" i="1"/>
  <c r="AC45" i="1"/>
  <c r="AT111" i="1" s="1"/>
  <c r="AI45" i="1"/>
  <c r="AH45" i="1"/>
  <c r="AG45" i="1"/>
  <c r="AF45" i="1"/>
  <c r="AE45" i="1"/>
  <c r="AV111" i="1" s="1"/>
  <c r="AD45" i="1"/>
  <c r="Z45" i="1"/>
  <c r="Y45" i="1"/>
  <c r="X45" i="1"/>
  <c r="AO111" i="1" s="1"/>
  <c r="W45" i="1"/>
  <c r="BA45" i="1"/>
  <c r="BB45" i="1"/>
  <c r="AZ45" i="1"/>
  <c r="AA45" i="1"/>
  <c r="BC46" i="1"/>
  <c r="AV46" i="1"/>
  <c r="AK46" i="1"/>
  <c r="AM46" i="1"/>
  <c r="AJ46" i="1"/>
  <c r="AW46" i="1"/>
  <c r="AP46" i="1"/>
  <c r="AO46" i="1"/>
  <c r="AL46" i="1"/>
  <c r="AQ46" i="1"/>
  <c r="AU46" i="1"/>
  <c r="AR46" i="1"/>
  <c r="AT46" i="1"/>
  <c r="AS46" i="1"/>
  <c r="AN46" i="1"/>
  <c r="AY46" i="1"/>
  <c r="AZ46" i="1"/>
  <c r="AX46" i="1"/>
  <c r="AC46" i="1"/>
  <c r="AT112" i="1" s="1"/>
  <c r="AE46" i="1"/>
  <c r="AI46" i="1"/>
  <c r="AH46" i="1"/>
  <c r="AG46" i="1"/>
  <c r="AF46" i="1"/>
  <c r="AB46" i="1"/>
  <c r="AD46" i="1"/>
  <c r="BA46" i="1"/>
  <c r="BR112" i="1" s="1"/>
  <c r="BB46" i="1"/>
  <c r="DF112" i="1" s="1"/>
  <c r="Z46" i="1"/>
  <c r="Y46" i="1"/>
  <c r="AA46" i="1"/>
  <c r="X46" i="1"/>
  <c r="W46" i="1"/>
  <c r="BC22" i="1"/>
  <c r="AW22" i="1"/>
  <c r="AL22" i="1"/>
  <c r="AQ22" i="1"/>
  <c r="CU88" i="1" s="1"/>
  <c r="AP22" i="1"/>
  <c r="AM22" i="1"/>
  <c r="AZ22" i="1"/>
  <c r="AR22" i="1"/>
  <c r="AS22" i="1"/>
  <c r="AX22" i="1"/>
  <c r="AN22" i="1"/>
  <c r="CR88" i="1" s="1"/>
  <c r="AU22" i="1"/>
  <c r="AT22" i="1"/>
  <c r="AJ22" i="1"/>
  <c r="AY22" i="1"/>
  <c r="AO22" i="1"/>
  <c r="AK22" i="1"/>
  <c r="AV22" i="1"/>
  <c r="AG22" i="1"/>
  <c r="AF22" i="1"/>
  <c r="AD22" i="1"/>
  <c r="AC22" i="1"/>
  <c r="AI22" i="1"/>
  <c r="AH22" i="1"/>
  <c r="AE22" i="1"/>
  <c r="AV88" i="1" s="1"/>
  <c r="AB22" i="1"/>
  <c r="AS88" i="1" s="1"/>
  <c r="BA22" i="1"/>
  <c r="BB22" i="1"/>
  <c r="DF88" i="1" s="1"/>
  <c r="AA22" i="1"/>
  <c r="Z22" i="1"/>
  <c r="W22" i="1"/>
  <c r="X22" i="1"/>
  <c r="AO88" i="1" s="1"/>
  <c r="Y22" i="1"/>
  <c r="AP88" i="1" s="1"/>
  <c r="BC41" i="1"/>
  <c r="AR41" i="1"/>
  <c r="AT41" i="1"/>
  <c r="AS41" i="1"/>
  <c r="AX41" i="1"/>
  <c r="AU41" i="1"/>
  <c r="AM41" i="1"/>
  <c r="AZ41" i="1"/>
  <c r="AJ41" i="1"/>
  <c r="AY41" i="1"/>
  <c r="AW41" i="1"/>
  <c r="AN41" i="1"/>
  <c r="AK41" i="1"/>
  <c r="AL41" i="1"/>
  <c r="AP41" i="1"/>
  <c r="AQ41" i="1"/>
  <c r="AB41" i="1"/>
  <c r="AC41" i="1"/>
  <c r="AI41" i="1"/>
  <c r="AH41" i="1"/>
  <c r="AG41" i="1"/>
  <c r="AF41" i="1"/>
  <c r="AE41" i="1"/>
  <c r="AD41" i="1"/>
  <c r="W41" i="1"/>
  <c r="AO41" i="1"/>
  <c r="CS107" i="1" s="1"/>
  <c r="AV41" i="1"/>
  <c r="Y41" i="1"/>
  <c r="X41" i="1"/>
  <c r="Z41" i="1"/>
  <c r="BA41" i="1"/>
  <c r="BB41" i="1"/>
  <c r="DF107" i="1" s="1"/>
  <c r="AA41" i="1"/>
  <c r="BC17" i="1"/>
  <c r="AS17" i="1"/>
  <c r="AU17" i="1"/>
  <c r="AT17" i="1"/>
  <c r="AJ17" i="1"/>
  <c r="AX17" i="1"/>
  <c r="AN17" i="1"/>
  <c r="AZ17" i="1"/>
  <c r="AW17" i="1"/>
  <c r="AL17" i="1"/>
  <c r="AY17" i="1"/>
  <c r="AV17" i="1"/>
  <c r="AO17" i="1"/>
  <c r="AK17" i="1"/>
  <c r="AQ17" i="1"/>
  <c r="AP17" i="1"/>
  <c r="AR17" i="1"/>
  <c r="AM17" i="1"/>
  <c r="AD17" i="1"/>
  <c r="AC17" i="1"/>
  <c r="AT83" i="1" s="1"/>
  <c r="AI17" i="1"/>
  <c r="AH17" i="1"/>
  <c r="AG17" i="1"/>
  <c r="AF17" i="1"/>
  <c r="AW83" i="1" s="1"/>
  <c r="AE17" i="1"/>
  <c r="AB17" i="1"/>
  <c r="AA17" i="1"/>
  <c r="Z17" i="1"/>
  <c r="AQ83" i="1" s="1"/>
  <c r="W17" i="1"/>
  <c r="Y17" i="1"/>
  <c r="BA17" i="1"/>
  <c r="BB17" i="1"/>
  <c r="DF83" i="1" s="1"/>
  <c r="X17" i="1"/>
  <c r="AO83" i="1" s="1"/>
  <c r="BC31" i="1"/>
  <c r="AQ31" i="1"/>
  <c r="BI97" i="1" s="1"/>
  <c r="AP31" i="1"/>
  <c r="AM31" i="1"/>
  <c r="AR31" i="1"/>
  <c r="AS31" i="1"/>
  <c r="AU31" i="1"/>
  <c r="AT31" i="1"/>
  <c r="AV31" i="1"/>
  <c r="AX31" i="1"/>
  <c r="AN31" i="1"/>
  <c r="AZ31" i="1"/>
  <c r="AJ31" i="1"/>
  <c r="AY31" i="1"/>
  <c r="AW31" i="1"/>
  <c r="AO31" i="1"/>
  <c r="AK31" i="1"/>
  <c r="AC31" i="1"/>
  <c r="AT97" i="1" s="1"/>
  <c r="AI31" i="1"/>
  <c r="AB31" i="1"/>
  <c r="AH31" i="1"/>
  <c r="AG31" i="1"/>
  <c r="AF31" i="1"/>
  <c r="AW97" i="1" s="1"/>
  <c r="AE31" i="1"/>
  <c r="AD31" i="1"/>
  <c r="AA31" i="1"/>
  <c r="BA31" i="1"/>
  <c r="Y31" i="1"/>
  <c r="BB31" i="1"/>
  <c r="DF97" i="1" s="1"/>
  <c r="W31" i="1"/>
  <c r="Z31" i="1"/>
  <c r="AQ97" i="1" s="1"/>
  <c r="AL31" i="1"/>
  <c r="X31" i="1"/>
  <c r="BC33" i="1"/>
  <c r="AS33" i="1"/>
  <c r="AU33" i="1"/>
  <c r="AT33" i="1"/>
  <c r="AK33" i="1"/>
  <c r="AX33" i="1"/>
  <c r="AZ33" i="1"/>
  <c r="AJ33" i="1"/>
  <c r="AY33" i="1"/>
  <c r="AV33" i="1"/>
  <c r="AO33" i="1"/>
  <c r="AW33" i="1"/>
  <c r="AR33" i="1"/>
  <c r="AL33" i="1"/>
  <c r="CP99" i="1" s="1"/>
  <c r="AQ33" i="1"/>
  <c r="AP33" i="1"/>
  <c r="AB33" i="1"/>
  <c r="AC33" i="1"/>
  <c r="AT99" i="1" s="1"/>
  <c r="AI33" i="1"/>
  <c r="AH33" i="1"/>
  <c r="AG33" i="1"/>
  <c r="AF33" i="1"/>
  <c r="AW99" i="1" s="1"/>
  <c r="AE33" i="1"/>
  <c r="AD33" i="1"/>
  <c r="W33" i="1"/>
  <c r="AA33" i="1"/>
  <c r="X33" i="1"/>
  <c r="AM33" i="1"/>
  <c r="Y33" i="1"/>
  <c r="AP99" i="1" s="1"/>
  <c r="AN33" i="1"/>
  <c r="Z33" i="1"/>
  <c r="BA33" i="1"/>
  <c r="BB33" i="1"/>
  <c r="DF99" i="1" s="1"/>
  <c r="BC42" i="1"/>
  <c r="AT42" i="1"/>
  <c r="AS42" i="1"/>
  <c r="AX42" i="1"/>
  <c r="AU42" i="1"/>
  <c r="BL108" i="1" s="1"/>
  <c r="AM42" i="1"/>
  <c r="AZ42" i="1"/>
  <c r="AJ42" i="1"/>
  <c r="AY42" i="1"/>
  <c r="AN42" i="1"/>
  <c r="AP42" i="1"/>
  <c r="AL42" i="1"/>
  <c r="AV42" i="1"/>
  <c r="AK42" i="1"/>
  <c r="AQ42" i="1"/>
  <c r="AR42" i="1"/>
  <c r="AC42" i="1"/>
  <c r="AT108" i="1" s="1"/>
  <c r="AI42" i="1"/>
  <c r="AH42" i="1"/>
  <c r="AG42" i="1"/>
  <c r="AY108" i="1" s="1"/>
  <c r="AF42" i="1"/>
  <c r="AW108" i="1" s="1"/>
  <c r="AE42" i="1"/>
  <c r="AD42" i="1"/>
  <c r="AB42" i="1"/>
  <c r="W42" i="1"/>
  <c r="Z42" i="1"/>
  <c r="Y42" i="1"/>
  <c r="X42" i="1"/>
  <c r="BA42" i="1"/>
  <c r="BB42" i="1"/>
  <c r="AO42" i="1"/>
  <c r="AA42" i="1"/>
  <c r="AR108" i="1" s="1"/>
  <c r="AW42" i="1"/>
  <c r="BC47" i="1"/>
  <c r="AW47" i="1"/>
  <c r="AP47" i="1"/>
  <c r="AO47" i="1"/>
  <c r="AL47" i="1"/>
  <c r="AQ47" i="1"/>
  <c r="AX47" i="1"/>
  <c r="AR47" i="1"/>
  <c r="AT47" i="1"/>
  <c r="AS47" i="1"/>
  <c r="AZ47" i="1"/>
  <c r="BQ113" i="1" s="1"/>
  <c r="AU47" i="1"/>
  <c r="AM47" i="1"/>
  <c r="AJ47" i="1"/>
  <c r="AN47" i="1"/>
  <c r="AK47" i="1"/>
  <c r="AY47" i="1"/>
  <c r="AV47" i="1"/>
  <c r="BA47" i="1"/>
  <c r="DE113" i="1" s="1"/>
  <c r="CK47" i="1" s="1"/>
  <c r="AF47" i="1"/>
  <c r="AW113" i="1" s="1"/>
  <c r="AB47" i="1"/>
  <c r="AE47" i="1"/>
  <c r="AD47" i="1"/>
  <c r="AC47" i="1"/>
  <c r="AI47" i="1"/>
  <c r="AH47" i="1"/>
  <c r="AG47" i="1"/>
  <c r="AA47" i="1"/>
  <c r="AR113" i="1" s="1"/>
  <c r="Y47" i="1"/>
  <c r="W47" i="1"/>
  <c r="X47" i="1"/>
  <c r="AO113" i="1" s="1"/>
  <c r="Z47" i="1"/>
  <c r="BB47" i="1"/>
  <c r="BC24" i="1"/>
  <c r="AR24" i="1"/>
  <c r="AS24" i="1"/>
  <c r="AU24" i="1"/>
  <c r="AT24" i="1"/>
  <c r="AJ24" i="1"/>
  <c r="AV24" i="1"/>
  <c r="AX24" i="1"/>
  <c r="AN24" i="1"/>
  <c r="AZ24" i="1"/>
  <c r="AO24" i="1"/>
  <c r="AK24" i="1"/>
  <c r="AY24" i="1"/>
  <c r="AW24" i="1"/>
  <c r="AQ24" i="1"/>
  <c r="AP24" i="1"/>
  <c r="AL24" i="1"/>
  <c r="AM24" i="1"/>
  <c r="AB24" i="1"/>
  <c r="AS90" i="1" s="1"/>
  <c r="AD24" i="1"/>
  <c r="AU90" i="1" s="1"/>
  <c r="AC24" i="1"/>
  <c r="AI24" i="1"/>
  <c r="CM90" i="1" s="1"/>
  <c r="AH24" i="1"/>
  <c r="AY90" i="1" s="1"/>
  <c r="AG24" i="1"/>
  <c r="AF24" i="1"/>
  <c r="AE24" i="1"/>
  <c r="W24" i="1"/>
  <c r="BA24" i="1"/>
  <c r="AA24" i="1"/>
  <c r="BB24" i="1"/>
  <c r="DF90" i="1" s="1"/>
  <c r="Z24" i="1"/>
  <c r="AQ90" i="1" s="1"/>
  <c r="Y24" i="1"/>
  <c r="X24" i="1"/>
  <c r="BC27" i="1"/>
  <c r="BT93" i="1" s="1"/>
  <c r="AX27" i="1"/>
  <c r="AN27" i="1"/>
  <c r="AZ27" i="1"/>
  <c r="AY27" i="1"/>
  <c r="AR27" i="1"/>
  <c r="AV27" i="1"/>
  <c r="AO27" i="1"/>
  <c r="AK27" i="1"/>
  <c r="AW27" i="1"/>
  <c r="AL27" i="1"/>
  <c r="AS27" i="1"/>
  <c r="AQ27" i="1"/>
  <c r="AP27" i="1"/>
  <c r="AM27" i="1"/>
  <c r="AT27" i="1"/>
  <c r="AJ27" i="1"/>
  <c r="CN93" i="1" s="1"/>
  <c r="AU27" i="1"/>
  <c r="CY93" i="1" s="1"/>
  <c r="AC27" i="1"/>
  <c r="AI27" i="1"/>
  <c r="AH27" i="1"/>
  <c r="AG27" i="1"/>
  <c r="AX93" i="1" s="1"/>
  <c r="AF27" i="1"/>
  <c r="AE27" i="1"/>
  <c r="AD27" i="1"/>
  <c r="AB27" i="1"/>
  <c r="AS93" i="1" s="1"/>
  <c r="Z27" i="1"/>
  <c r="AQ93" i="1" s="1"/>
  <c r="Y27" i="1"/>
  <c r="X27" i="1"/>
  <c r="BA27" i="1"/>
  <c r="BB27" i="1"/>
  <c r="DF93" i="1" s="1"/>
  <c r="AA27" i="1"/>
  <c r="W27" i="1"/>
  <c r="BC37" i="1"/>
  <c r="AV37" i="1"/>
  <c r="AN37" i="1"/>
  <c r="AW37" i="1"/>
  <c r="AK37" i="1"/>
  <c r="BB103" i="1" s="1"/>
  <c r="AU37" i="1"/>
  <c r="AP37" i="1"/>
  <c r="AL37" i="1"/>
  <c r="AX37" i="1"/>
  <c r="AQ37" i="1"/>
  <c r="AT37" i="1"/>
  <c r="AS37" i="1"/>
  <c r="AZ37" i="1"/>
  <c r="BQ103" i="1" s="1"/>
  <c r="AJ37" i="1"/>
  <c r="AY37" i="1"/>
  <c r="AM37" i="1"/>
  <c r="BD103" i="1" s="1"/>
  <c r="AC37" i="1"/>
  <c r="AT103" i="1" s="1"/>
  <c r="AB37" i="1"/>
  <c r="AI37" i="1"/>
  <c r="AH37" i="1"/>
  <c r="AG37" i="1"/>
  <c r="AX103" i="1" s="1"/>
  <c r="AF37" i="1"/>
  <c r="AE37" i="1"/>
  <c r="AD37" i="1"/>
  <c r="Z37" i="1"/>
  <c r="AQ103" i="1" s="1"/>
  <c r="Y37" i="1"/>
  <c r="AP103" i="1" s="1"/>
  <c r="X37" i="1"/>
  <c r="BA37" i="1"/>
  <c r="BB37" i="1"/>
  <c r="DF103" i="1" s="1"/>
  <c r="W37" i="1"/>
  <c r="AR37" i="1"/>
  <c r="AO37" i="1"/>
  <c r="AA37" i="1"/>
  <c r="AR103" i="1" s="1"/>
  <c r="J38" i="1"/>
  <c r="BC39" i="1"/>
  <c r="AP39" i="1"/>
  <c r="AL39" i="1"/>
  <c r="BD105" i="1" s="1"/>
  <c r="AV39" i="1"/>
  <c r="AQ39" i="1"/>
  <c r="AR39" i="1"/>
  <c r="AY39" i="1"/>
  <c r="AU39" i="1"/>
  <c r="AT39" i="1"/>
  <c r="AS39" i="1"/>
  <c r="AX39" i="1"/>
  <c r="AM39" i="1"/>
  <c r="AZ39" i="1"/>
  <c r="AJ39" i="1"/>
  <c r="AW39" i="1"/>
  <c r="AN39" i="1"/>
  <c r="AK39" i="1"/>
  <c r="AI39" i="1"/>
  <c r="AH39" i="1"/>
  <c r="AY105" i="1" s="1"/>
  <c r="AG39" i="1"/>
  <c r="AE39" i="1"/>
  <c r="AD39" i="1"/>
  <c r="AU105" i="1" s="1"/>
  <c r="AB39" i="1"/>
  <c r="AS105" i="1" s="1"/>
  <c r="AF39" i="1"/>
  <c r="AW105" i="1" s="1"/>
  <c r="AC39" i="1"/>
  <c r="AO39" i="1"/>
  <c r="CS105" i="1" s="1"/>
  <c r="AA39" i="1"/>
  <c r="AR105" i="1" s="1"/>
  <c r="X39" i="1"/>
  <c r="Z39" i="1"/>
  <c r="W39" i="1"/>
  <c r="CA105" i="1" s="1"/>
  <c r="BB39" i="1"/>
  <c r="DF105" i="1" s="1"/>
  <c r="Y39" i="1"/>
  <c r="AP105" i="1" s="1"/>
  <c r="BA39" i="1"/>
  <c r="BC38" i="1"/>
  <c r="AW38" i="1"/>
  <c r="AK38" i="1"/>
  <c r="AP38" i="1"/>
  <c r="AL38" i="1"/>
  <c r="BC104" i="1" s="1"/>
  <c r="AM38" i="1"/>
  <c r="BE104" i="1" s="1"/>
  <c r="AQ38" i="1"/>
  <c r="AZ38" i="1"/>
  <c r="AR38" i="1"/>
  <c r="AJ38" i="1"/>
  <c r="BA104" i="1" s="1"/>
  <c r="AU38" i="1"/>
  <c r="AT38" i="1"/>
  <c r="AX38" i="1"/>
  <c r="AY38" i="1"/>
  <c r="AN38" i="1"/>
  <c r="AV38" i="1"/>
  <c r="AC38" i="1"/>
  <c r="AD38" i="1"/>
  <c r="AU104" i="1" s="1"/>
  <c r="AI38" i="1"/>
  <c r="AH38" i="1"/>
  <c r="AF38" i="1"/>
  <c r="AW104" i="1" s="1"/>
  <c r="AB38" i="1"/>
  <c r="AG38" i="1"/>
  <c r="AE38" i="1"/>
  <c r="BA38" i="1"/>
  <c r="BB38" i="1"/>
  <c r="DF104" i="1" s="1"/>
  <c r="X38" i="1"/>
  <c r="AS38" i="1"/>
  <c r="AO38" i="1"/>
  <c r="AA38" i="1"/>
  <c r="AR104" i="1" s="1"/>
  <c r="Y38" i="1"/>
  <c r="AP104" i="1" s="1"/>
  <c r="W38" i="1"/>
  <c r="Z38" i="1"/>
  <c r="BC18" i="1"/>
  <c r="AU18" i="1"/>
  <c r="AT18" i="1"/>
  <c r="AJ18" i="1"/>
  <c r="AX18" i="1"/>
  <c r="AN18" i="1"/>
  <c r="AZ18" i="1"/>
  <c r="AQ18" i="1"/>
  <c r="AP18" i="1"/>
  <c r="AY18" i="1"/>
  <c r="AV18" i="1"/>
  <c r="AO18" i="1"/>
  <c r="AK18" i="1"/>
  <c r="AR18" i="1"/>
  <c r="AW18" i="1"/>
  <c r="AL18" i="1"/>
  <c r="AM18" i="1"/>
  <c r="AS18" i="1"/>
  <c r="AD18" i="1"/>
  <c r="AC18" i="1"/>
  <c r="AB18" i="1"/>
  <c r="AS84" i="1" s="1"/>
  <c r="AI18" i="1"/>
  <c r="AH18" i="1"/>
  <c r="AG18" i="1"/>
  <c r="AF18" i="1"/>
  <c r="AW84" i="1" s="1"/>
  <c r="AE18" i="1"/>
  <c r="X18" i="1"/>
  <c r="Z18" i="1"/>
  <c r="Y18" i="1"/>
  <c r="AP84" i="1" s="1"/>
  <c r="W18" i="1"/>
  <c r="BA18" i="1"/>
  <c r="BB18" i="1"/>
  <c r="DF84" i="1" s="1"/>
  <c r="AA18" i="1"/>
  <c r="AR84" i="1" s="1"/>
  <c r="BC28" i="1"/>
  <c r="AY28" i="1"/>
  <c r="AV28" i="1"/>
  <c r="AO28" i="1"/>
  <c r="AK28" i="1"/>
  <c r="AS28" i="1"/>
  <c r="AW28" i="1"/>
  <c r="AL28" i="1"/>
  <c r="AU28" i="1"/>
  <c r="AQ28" i="1"/>
  <c r="AP28" i="1"/>
  <c r="AM28" i="1"/>
  <c r="AT28" i="1"/>
  <c r="AR28" i="1"/>
  <c r="AX28" i="1"/>
  <c r="AJ28" i="1"/>
  <c r="AZ28" i="1"/>
  <c r="AN28" i="1"/>
  <c r="AI28" i="1"/>
  <c r="AH28" i="1"/>
  <c r="AG28" i="1"/>
  <c r="AF28" i="1"/>
  <c r="AE28" i="1"/>
  <c r="AD28" i="1"/>
  <c r="AU94" i="1" s="1"/>
  <c r="AB28" i="1"/>
  <c r="AC28" i="1"/>
  <c r="AT94" i="1" s="1"/>
  <c r="Z28" i="1"/>
  <c r="Y28" i="1"/>
  <c r="AP94" i="1" s="1"/>
  <c r="X28" i="1"/>
  <c r="AO94" i="1" s="1"/>
  <c r="BF28" i="1" s="1"/>
  <c r="BA28" i="1"/>
  <c r="BB28" i="1"/>
  <c r="DF94" i="1" s="1"/>
  <c r="AA28" i="1"/>
  <c r="AR94" i="1" s="1"/>
  <c r="W28" i="1"/>
  <c r="BC30" i="1"/>
  <c r="AW30" i="1"/>
  <c r="AL30" i="1"/>
  <c r="AX30" i="1"/>
  <c r="AQ30" i="1"/>
  <c r="AP30" i="1"/>
  <c r="AM30" i="1"/>
  <c r="BE96" i="1" s="1"/>
  <c r="AN30" i="1"/>
  <c r="AR30" i="1"/>
  <c r="AJ30" i="1"/>
  <c r="AS30" i="1"/>
  <c r="AU30" i="1"/>
  <c r="AT30" i="1"/>
  <c r="AZ30" i="1"/>
  <c r="AY30" i="1"/>
  <c r="AV30" i="1"/>
  <c r="AO30" i="1"/>
  <c r="AI30" i="1"/>
  <c r="CM96" i="1" s="1"/>
  <c r="AH30" i="1"/>
  <c r="AD30" i="1"/>
  <c r="AU96" i="1" s="1"/>
  <c r="AG30" i="1"/>
  <c r="AE30" i="1"/>
  <c r="AB30" i="1"/>
  <c r="AC30" i="1"/>
  <c r="AF30" i="1"/>
  <c r="BA30" i="1"/>
  <c r="BB30" i="1"/>
  <c r="AA30" i="1"/>
  <c r="AR96" i="1" s="1"/>
  <c r="W30" i="1"/>
  <c r="Y30" i="1"/>
  <c r="AK30" i="1"/>
  <c r="Z30" i="1"/>
  <c r="X30" i="1"/>
  <c r="AO96" i="1" s="1"/>
  <c r="BC34" i="1"/>
  <c r="BT100" i="1" s="1"/>
  <c r="AU34" i="1"/>
  <c r="AT34" i="1"/>
  <c r="AR34" i="1"/>
  <c r="AX34" i="1"/>
  <c r="AZ34" i="1"/>
  <c r="AJ34" i="1"/>
  <c r="AL34" i="1"/>
  <c r="AY34" i="1"/>
  <c r="AQ34" i="1"/>
  <c r="AV34" i="1"/>
  <c r="AW34" i="1"/>
  <c r="AK34" i="1"/>
  <c r="BB100" i="1" s="1"/>
  <c r="AP34" i="1"/>
  <c r="AS34" i="1"/>
  <c r="AC34" i="1"/>
  <c r="AT100" i="1" s="1"/>
  <c r="AI34" i="1"/>
  <c r="AH34" i="1"/>
  <c r="AG34" i="1"/>
  <c r="AF34" i="1"/>
  <c r="AE34" i="1"/>
  <c r="AD34" i="1"/>
  <c r="AU100" i="1" s="1"/>
  <c r="AB34" i="1"/>
  <c r="W34" i="1"/>
  <c r="AM34" i="1"/>
  <c r="AN34" i="1"/>
  <c r="Z34" i="1"/>
  <c r="AQ100" i="1" s="1"/>
  <c r="Y34" i="1"/>
  <c r="X34" i="1"/>
  <c r="AO100" i="1" s="1"/>
  <c r="BA34" i="1"/>
  <c r="BS100" i="1" s="1"/>
  <c r="BB34" i="1"/>
  <c r="DF100" i="1" s="1"/>
  <c r="AO34" i="1"/>
  <c r="AA34" i="1"/>
  <c r="BC23" i="1"/>
  <c r="AQ23" i="1"/>
  <c r="AP23" i="1"/>
  <c r="AM23" i="1"/>
  <c r="AR23" i="1"/>
  <c r="AY23" i="1"/>
  <c r="AS23" i="1"/>
  <c r="AU23" i="1"/>
  <c r="CY89" i="1" s="1"/>
  <c r="AT23" i="1"/>
  <c r="AJ23" i="1"/>
  <c r="AX23" i="1"/>
  <c r="AN23" i="1"/>
  <c r="AZ23" i="1"/>
  <c r="BQ89" i="1" s="1"/>
  <c r="AV23" i="1"/>
  <c r="AW23" i="1"/>
  <c r="AK23" i="1"/>
  <c r="AO23" i="1"/>
  <c r="AL23" i="1"/>
  <c r="AF23" i="1"/>
  <c r="AE23" i="1"/>
  <c r="AH23" i="1"/>
  <c r="AB23" i="1"/>
  <c r="AC23" i="1"/>
  <c r="AT89" i="1" s="1"/>
  <c r="AI23" i="1"/>
  <c r="AG23" i="1"/>
  <c r="AA23" i="1"/>
  <c r="AR89" i="1" s="1"/>
  <c r="X23" i="1"/>
  <c r="W23" i="1"/>
  <c r="Y23" i="1"/>
  <c r="AP89" i="1" s="1"/>
  <c r="BA23" i="1"/>
  <c r="Z23" i="1"/>
  <c r="AD23" i="1"/>
  <c r="AU89" i="1" s="1"/>
  <c r="BB23" i="1"/>
  <c r="BC26" i="1"/>
  <c r="AU26" i="1"/>
  <c r="AT26" i="1"/>
  <c r="AJ26" i="1"/>
  <c r="AQ26" i="1"/>
  <c r="AX26" i="1"/>
  <c r="AN26" i="1"/>
  <c r="AZ26" i="1"/>
  <c r="AY26" i="1"/>
  <c r="AP26" i="1"/>
  <c r="AM26" i="1"/>
  <c r="AV26" i="1"/>
  <c r="AO26" i="1"/>
  <c r="AK26" i="1"/>
  <c r="AW26" i="1"/>
  <c r="AL26" i="1"/>
  <c r="AR26" i="1"/>
  <c r="BI92" i="1" s="1"/>
  <c r="AS26" i="1"/>
  <c r="AC26" i="1"/>
  <c r="AT92" i="1" s="1"/>
  <c r="AI26" i="1"/>
  <c r="AH26" i="1"/>
  <c r="AG26" i="1"/>
  <c r="AF26" i="1"/>
  <c r="AE26" i="1"/>
  <c r="AV92" i="1" s="1"/>
  <c r="AD26" i="1"/>
  <c r="AB26" i="1"/>
  <c r="Z26" i="1"/>
  <c r="Y26" i="1"/>
  <c r="AP92" i="1" s="1"/>
  <c r="X26" i="1"/>
  <c r="BA26" i="1"/>
  <c r="BB26" i="1"/>
  <c r="DF92" i="1" s="1"/>
  <c r="AA26" i="1"/>
  <c r="AR92" i="1" s="1"/>
  <c r="W26" i="1"/>
  <c r="K28" i="1"/>
  <c r="BC29" i="1"/>
  <c r="AV29" i="1"/>
  <c r="AO29" i="1"/>
  <c r="AK29" i="1"/>
  <c r="AX29" i="1"/>
  <c r="AW29" i="1"/>
  <c r="AL29" i="1"/>
  <c r="AT29" i="1"/>
  <c r="AQ29" i="1"/>
  <c r="AP29" i="1"/>
  <c r="AM29" i="1"/>
  <c r="AR29" i="1"/>
  <c r="AS29" i="1"/>
  <c r="AU29" i="1"/>
  <c r="AY29" i="1"/>
  <c r="AZ29" i="1"/>
  <c r="AN29" i="1"/>
  <c r="AB29" i="1"/>
  <c r="AI29" i="1"/>
  <c r="AH29" i="1"/>
  <c r="AG29" i="1"/>
  <c r="AF29" i="1"/>
  <c r="AW95" i="1" s="1"/>
  <c r="AE29" i="1"/>
  <c r="AV95" i="1" s="1"/>
  <c r="AD29" i="1"/>
  <c r="AC29" i="1"/>
  <c r="Z29" i="1"/>
  <c r="AQ95" i="1" s="1"/>
  <c r="Y29" i="1"/>
  <c r="X29" i="1"/>
  <c r="BA29" i="1"/>
  <c r="BB29" i="1"/>
  <c r="DF95" i="1" s="1"/>
  <c r="AA29" i="1"/>
  <c r="AJ29" i="1"/>
  <c r="W29" i="1"/>
  <c r="BC35" i="1"/>
  <c r="AX35" i="1"/>
  <c r="AZ35" i="1"/>
  <c r="AJ35" i="1"/>
  <c r="AY35" i="1"/>
  <c r="AS35" i="1"/>
  <c r="AV35" i="1"/>
  <c r="AN35" i="1"/>
  <c r="AW35" i="1"/>
  <c r="AK35" i="1"/>
  <c r="AQ35" i="1"/>
  <c r="AP35" i="1"/>
  <c r="AL35" i="1"/>
  <c r="AR35" i="1"/>
  <c r="CV101" i="1" s="1"/>
  <c r="AT35" i="1"/>
  <c r="AU35" i="1"/>
  <c r="AC35" i="1"/>
  <c r="AT101" i="1" s="1"/>
  <c r="AI35" i="1"/>
  <c r="AH35" i="1"/>
  <c r="AG35" i="1"/>
  <c r="AF35" i="1"/>
  <c r="AW101" i="1" s="1"/>
  <c r="AE35" i="1"/>
  <c r="AV101" i="1" s="1"/>
  <c r="AD35" i="1"/>
  <c r="AB35" i="1"/>
  <c r="AM35" i="1"/>
  <c r="W35" i="1"/>
  <c r="Z35" i="1"/>
  <c r="Y35" i="1"/>
  <c r="X35" i="1"/>
  <c r="AO101" i="1" s="1"/>
  <c r="BA35" i="1"/>
  <c r="BB35" i="1"/>
  <c r="DF101" i="1" s="1"/>
  <c r="AO35" i="1"/>
  <c r="AA35" i="1"/>
  <c r="AR101" i="1" s="1"/>
  <c r="K22" i="1"/>
  <c r="BC25" i="1"/>
  <c r="AS25" i="1"/>
  <c r="AW25" i="1"/>
  <c r="AL25" i="1"/>
  <c r="AU25" i="1"/>
  <c r="AT25" i="1"/>
  <c r="AJ25" i="1"/>
  <c r="AX25" i="1"/>
  <c r="AN25" i="1"/>
  <c r="AZ25" i="1"/>
  <c r="AY25" i="1"/>
  <c r="AV25" i="1"/>
  <c r="AO25" i="1"/>
  <c r="AK25" i="1"/>
  <c r="AQ25" i="1"/>
  <c r="AP25" i="1"/>
  <c r="AR25" i="1"/>
  <c r="AM25" i="1"/>
  <c r="AB25" i="1"/>
  <c r="AS91" i="1" s="1"/>
  <c r="AC25" i="1"/>
  <c r="AI25" i="1"/>
  <c r="AH25" i="1"/>
  <c r="AG25" i="1"/>
  <c r="AF25" i="1"/>
  <c r="AE25" i="1"/>
  <c r="AD25" i="1"/>
  <c r="W25" i="1"/>
  <c r="Y25" i="1"/>
  <c r="AP91" i="1" s="1"/>
  <c r="X25" i="1"/>
  <c r="Z25" i="1"/>
  <c r="BA25" i="1"/>
  <c r="BB25" i="1"/>
  <c r="DF91" i="1" s="1"/>
  <c r="AA25" i="1"/>
  <c r="BC44" i="1"/>
  <c r="AS44" i="1"/>
  <c r="AN44" i="1"/>
  <c r="AT44" i="1"/>
  <c r="AV44" i="1"/>
  <c r="AK44" i="1"/>
  <c r="AR44" i="1"/>
  <c r="AW44" i="1"/>
  <c r="AP44" i="1"/>
  <c r="AO44" i="1"/>
  <c r="AL44" i="1"/>
  <c r="AQ44" i="1"/>
  <c r="AM44" i="1"/>
  <c r="AJ44" i="1"/>
  <c r="CN110" i="1" s="1"/>
  <c r="AZ44" i="1"/>
  <c r="AU44" i="1"/>
  <c r="AI44" i="1"/>
  <c r="AH44" i="1"/>
  <c r="AG44" i="1"/>
  <c r="AF44" i="1"/>
  <c r="AE44" i="1"/>
  <c r="AD44" i="1"/>
  <c r="AB44" i="1"/>
  <c r="AC44" i="1"/>
  <c r="Z44" i="1"/>
  <c r="Y44" i="1"/>
  <c r="AP110" i="1" s="1"/>
  <c r="X44" i="1"/>
  <c r="BA44" i="1"/>
  <c r="BB44" i="1"/>
  <c r="DF110" i="1" s="1"/>
  <c r="AY44" i="1"/>
  <c r="AA44" i="1"/>
  <c r="AX44" i="1"/>
  <c r="W44" i="1"/>
  <c r="CW82" i="1"/>
  <c r="K30" i="1"/>
  <c r="J37" i="1"/>
  <c r="K27" i="1"/>
  <c r="J46" i="1"/>
  <c r="J45" i="1"/>
  <c r="K46" i="1"/>
  <c r="J44" i="1"/>
  <c r="J43" i="1"/>
  <c r="K38" i="1"/>
  <c r="J39" i="1"/>
  <c r="K37" i="1"/>
  <c r="BG82" i="1"/>
  <c r="BX16" i="1" s="1"/>
  <c r="J35" i="1"/>
  <c r="J34" i="1"/>
  <c r="BE82" i="1"/>
  <c r="J33" i="1"/>
  <c r="K32" i="1"/>
  <c r="J27" i="1"/>
  <c r="AX82" i="1"/>
  <c r="J25" i="1"/>
  <c r="J23" i="1"/>
  <c r="K20" i="1"/>
  <c r="K19" i="1"/>
  <c r="J20" i="1"/>
  <c r="BG16" i="1"/>
  <c r="K17" i="1"/>
  <c r="J47" i="1"/>
  <c r="K47" i="1"/>
  <c r="K44" i="1"/>
  <c r="BP82" i="1"/>
  <c r="K41" i="1"/>
  <c r="K42" i="1"/>
  <c r="K36" i="1"/>
  <c r="BF82" i="1"/>
  <c r="BG99" i="1"/>
  <c r="BX33" i="1" s="1"/>
  <c r="K31" i="1"/>
  <c r="J26" i="1"/>
  <c r="J24" i="1"/>
  <c r="K23" i="1"/>
  <c r="J21" i="1"/>
  <c r="BC85" i="1"/>
  <c r="K48" i="1"/>
  <c r="BQ82" i="1"/>
  <c r="BR107" i="1"/>
  <c r="BR109" i="1"/>
  <c r="BQ87" i="1"/>
  <c r="BA109" i="1"/>
  <c r="K43" i="1"/>
  <c r="BS107" i="1"/>
  <c r="BK108" i="1"/>
  <c r="BK82" i="1"/>
  <c r="BH107" i="1"/>
  <c r="BY41" i="1" s="1"/>
  <c r="J36" i="1"/>
  <c r="BH82" i="1"/>
  <c r="BF106" i="1"/>
  <c r="BE99" i="1"/>
  <c r="BV33" i="1" s="1"/>
  <c r="BL99" i="1"/>
  <c r="BL98" i="1"/>
  <c r="BD113" i="1"/>
  <c r="BD93" i="1"/>
  <c r="BQ97" i="1"/>
  <c r="J28" i="1"/>
  <c r="AZ109" i="1"/>
  <c r="AZ106" i="1"/>
  <c r="AY82" i="1"/>
  <c r="AY109" i="1"/>
  <c r="BS93" i="1"/>
  <c r="AY98" i="1"/>
  <c r="AX90" i="1"/>
  <c r="BO24" i="1" s="1"/>
  <c r="BH90" i="1"/>
  <c r="BJ88" i="1"/>
  <c r="BG87" i="1"/>
  <c r="BS86" i="1"/>
  <c r="BL85" i="1"/>
  <c r="J19" i="1"/>
  <c r="AY83" i="1"/>
  <c r="BF83" i="1"/>
  <c r="AW110" i="1" l="1"/>
  <c r="AU97" i="1"/>
  <c r="AS83" i="1"/>
  <c r="AQ112" i="1"/>
  <c r="AV109" i="1"/>
  <c r="AQ102" i="1"/>
  <c r="AQ86" i="1"/>
  <c r="AO87" i="1"/>
  <c r="AO110" i="1"/>
  <c r="AR95" i="1"/>
  <c r="AU92" i="1"/>
  <c r="AP113" i="1"/>
  <c r="AV108" i="1"/>
  <c r="AQ99" i="1"/>
  <c r="AV99" i="1"/>
  <c r="AV97" i="1"/>
  <c r="AV83" i="1"/>
  <c r="AV112" i="1"/>
  <c r="BD112" i="1"/>
  <c r="CA109" i="1"/>
  <c r="AW109" i="1"/>
  <c r="AW106" i="1"/>
  <c r="AR102" i="1"/>
  <c r="AO98" i="1"/>
  <c r="AV98" i="1"/>
  <c r="AQ85" i="1"/>
  <c r="AU85" i="1"/>
  <c r="AS104" i="1"/>
  <c r="AS85" i="1"/>
  <c r="AT110" i="1"/>
  <c r="AR91" i="1"/>
  <c r="AW96" i="1"/>
  <c r="AO85" i="1"/>
  <c r="AQ108" i="1"/>
  <c r="AQ107" i="1"/>
  <c r="AW107" i="1"/>
  <c r="AO112" i="1"/>
  <c r="AR111" i="1"/>
  <c r="AT106" i="1"/>
  <c r="BD98" i="1"/>
  <c r="AW86" i="1"/>
  <c r="AW87" i="1"/>
  <c r="AQ88" i="1"/>
  <c r="AR106" i="1"/>
  <c r="AT98" i="1"/>
  <c r="BD87" i="1"/>
  <c r="AO91" i="1"/>
  <c r="AU101" i="1"/>
  <c r="AU95" i="1"/>
  <c r="AS92" i="1"/>
  <c r="AO89" i="1"/>
  <c r="AW89" i="1"/>
  <c r="AP100" i="1"/>
  <c r="AW100" i="1"/>
  <c r="AW94" i="1"/>
  <c r="AV104" i="1"/>
  <c r="AT105" i="1"/>
  <c r="AO103" i="1"/>
  <c r="AP93" i="1"/>
  <c r="AR90" i="1"/>
  <c r="AT90" i="1"/>
  <c r="AV113" i="1"/>
  <c r="AU108" i="1"/>
  <c r="AU99" i="1"/>
  <c r="AO97" i="1"/>
  <c r="AW88" i="1"/>
  <c r="AV106" i="1"/>
  <c r="AU98" i="1"/>
  <c r="AT85" i="1"/>
  <c r="CE82" i="1"/>
  <c r="BK16" i="1" s="1"/>
  <c r="AR82" i="1"/>
  <c r="AT91" i="1"/>
  <c r="AS103" i="1"/>
  <c r="AT93" i="1"/>
  <c r="AS113" i="1"/>
  <c r="AT107" i="1"/>
  <c r="AT102" i="1"/>
  <c r="AP87" i="1"/>
  <c r="AU87" i="1"/>
  <c r="AS107" i="1"/>
  <c r="AQ110" i="1"/>
  <c r="AU91" i="1"/>
  <c r="AP101" i="1"/>
  <c r="AW92" i="1"/>
  <c r="CE100" i="1"/>
  <c r="AR100" i="1"/>
  <c r="AQ94" i="1"/>
  <c r="AT84" i="1"/>
  <c r="BF104" i="1"/>
  <c r="AU103" i="1"/>
  <c r="AU93" i="1"/>
  <c r="AV90" i="1"/>
  <c r="CB108" i="1"/>
  <c r="AO108" i="1"/>
  <c r="BF42" i="1" s="1"/>
  <c r="AU107" i="1"/>
  <c r="AU112" i="1"/>
  <c r="AP111" i="1"/>
  <c r="AQ106" i="1"/>
  <c r="AU102" i="1"/>
  <c r="AQ98" i="1"/>
  <c r="AU86" i="1"/>
  <c r="AV91" i="1"/>
  <c r="AQ101" i="1"/>
  <c r="AO95" i="1"/>
  <c r="AQ89" i="1"/>
  <c r="AO84" i="1"/>
  <c r="AU84" i="1"/>
  <c r="AQ105" i="1"/>
  <c r="AV105" i="1"/>
  <c r="AV103" i="1"/>
  <c r="AR93" i="1"/>
  <c r="AV93" i="1"/>
  <c r="AO90" i="1"/>
  <c r="AP108" i="1"/>
  <c r="AV107" i="1"/>
  <c r="AS112" i="1"/>
  <c r="AQ111" i="1"/>
  <c r="AS111" i="1"/>
  <c r="AO109" i="1"/>
  <c r="AV102" i="1"/>
  <c r="AV86" i="1"/>
  <c r="AW85" i="1"/>
  <c r="AR87" i="1"/>
  <c r="AV87" i="1"/>
  <c r="AS82" i="1"/>
  <c r="CE110" i="1"/>
  <c r="AR110" i="1"/>
  <c r="AS110" i="1"/>
  <c r="AW91" i="1"/>
  <c r="AP95" i="1"/>
  <c r="AO92" i="1"/>
  <c r="AS89" i="1"/>
  <c r="AS100" i="1"/>
  <c r="AQ96" i="1"/>
  <c r="AT96" i="1"/>
  <c r="AS94" i="1"/>
  <c r="AV84" i="1"/>
  <c r="AO104" i="1"/>
  <c r="AO105" i="1"/>
  <c r="AW103" i="1"/>
  <c r="AW93" i="1"/>
  <c r="AP90" i="1"/>
  <c r="AO99" i="1"/>
  <c r="AP97" i="1"/>
  <c r="AS97" i="1"/>
  <c r="AW112" i="1"/>
  <c r="AU111" i="1"/>
  <c r="AP109" i="1"/>
  <c r="AS109" i="1"/>
  <c r="AW102" i="1"/>
  <c r="CS82" i="1"/>
  <c r="BY16" i="1" s="1"/>
  <c r="AW82" i="1"/>
  <c r="CE107" i="1"/>
  <c r="AR107" i="1"/>
  <c r="CH110" i="1"/>
  <c r="AU110" i="1"/>
  <c r="BB110" i="1"/>
  <c r="AS95" i="1"/>
  <c r="BA92" i="1"/>
  <c r="AS96" i="1"/>
  <c r="BB94" i="1"/>
  <c r="BS28" i="1" s="1"/>
  <c r="BC94" i="1"/>
  <c r="AQ113" i="1"/>
  <c r="AT113" i="1"/>
  <c r="AR99" i="1"/>
  <c r="AO107" i="1"/>
  <c r="AT88" i="1"/>
  <c r="CE112" i="1"/>
  <c r="AR112" i="1"/>
  <c r="AR98" i="1"/>
  <c r="AZ82" i="1"/>
  <c r="AV110" i="1"/>
  <c r="AQ91" i="1"/>
  <c r="AY91" i="1"/>
  <c r="BP25" i="1" s="1"/>
  <c r="BB91" i="1"/>
  <c r="AS101" i="1"/>
  <c r="AT95" i="1"/>
  <c r="BH95" i="1"/>
  <c r="AQ92" i="1"/>
  <c r="AV100" i="1"/>
  <c r="CC96" i="1"/>
  <c r="AP96" i="1"/>
  <c r="AV96" i="1"/>
  <c r="AV94" i="1"/>
  <c r="AQ104" i="1"/>
  <c r="AT104" i="1"/>
  <c r="AO93" i="1"/>
  <c r="AU113" i="1"/>
  <c r="AS108" i="1"/>
  <c r="AS99" i="1"/>
  <c r="AR97" i="1"/>
  <c r="AR83" i="1"/>
  <c r="AU83" i="1"/>
  <c r="AP107" i="1"/>
  <c r="AR88" i="1"/>
  <c r="BK88" i="1"/>
  <c r="AP112" i="1"/>
  <c r="AW111" i="1"/>
  <c r="AR109" i="1"/>
  <c r="AU109" i="1"/>
  <c r="AS106" i="1"/>
  <c r="AP102" i="1"/>
  <c r="AS98" i="1"/>
  <c r="AP86" i="1"/>
  <c r="DA82" i="1"/>
  <c r="CG16" i="1" s="1"/>
  <c r="CY82" i="1"/>
  <c r="AQ82" i="1"/>
  <c r="BH84" i="1"/>
  <c r="BH93" i="1"/>
  <c r="BR89" i="1"/>
  <c r="DE110" i="1"/>
  <c r="BN44" i="1"/>
  <c r="BA91" i="1"/>
  <c r="BG91" i="1"/>
  <c r="BL91" i="1"/>
  <c r="CX101" i="1"/>
  <c r="BH92" i="1"/>
  <c r="CQ83" i="1"/>
  <c r="BK111" i="1"/>
  <c r="CS109" i="1"/>
  <c r="BG106" i="1"/>
  <c r="CT102" i="1"/>
  <c r="BZ36" i="1" s="1"/>
  <c r="BT102" i="1"/>
  <c r="BI83" i="1"/>
  <c r="CG107" i="1"/>
  <c r="BQ107" i="1"/>
  <c r="BC88" i="1"/>
  <c r="BI112" i="1"/>
  <c r="DC109" i="1"/>
  <c r="CI43" i="1" s="1"/>
  <c r="BH98" i="1"/>
  <c r="CK82" i="1"/>
  <c r="BR100" i="1"/>
  <c r="BS103" i="1"/>
  <c r="BT103" i="1"/>
  <c r="AX83" i="1"/>
  <c r="BR83" i="1"/>
  <c r="CG112" i="1"/>
  <c r="CY112" i="1"/>
  <c r="CB111" i="1"/>
  <c r="BJ19" i="1"/>
  <c r="CT82" i="1"/>
  <c r="BQ96" i="1"/>
  <c r="AX84" i="1"/>
  <c r="BT110" i="1"/>
  <c r="BK91" i="1"/>
  <c r="BG101" i="1"/>
  <c r="BQ100" i="1"/>
  <c r="CD84" i="1"/>
  <c r="CS84" i="1"/>
  <c r="BY18" i="1" s="1"/>
  <c r="BC103" i="1"/>
  <c r="BI82" i="1"/>
  <c r="BD84" i="1"/>
  <c r="CG110" i="1"/>
  <c r="CY110" i="1"/>
  <c r="CD101" i="1"/>
  <c r="BI95" i="1"/>
  <c r="BB92" i="1"/>
  <c r="BJ89" i="1"/>
  <c r="CG100" i="1"/>
  <c r="BF96" i="1"/>
  <c r="BQ94" i="1"/>
  <c r="CH84" i="1"/>
  <c r="CX84" i="1"/>
  <c r="CL104" i="1"/>
  <c r="BR38" i="1" s="1"/>
  <c r="CX104" i="1"/>
  <c r="CD105" i="1"/>
  <c r="CI103" i="1"/>
  <c r="CI93" i="1"/>
  <c r="BO27" i="1" s="1"/>
  <c r="CS93" i="1"/>
  <c r="BY27" i="1" s="1"/>
  <c r="CB90" i="1"/>
  <c r="CJ90" i="1"/>
  <c r="BP24" i="1" s="1"/>
  <c r="CL113" i="1"/>
  <c r="BK113" i="1"/>
  <c r="DE107" i="1"/>
  <c r="CT107" i="1"/>
  <c r="CB88" i="1"/>
  <c r="CV88" i="1"/>
  <c r="BD82" i="1"/>
  <c r="BS104" i="1"/>
  <c r="AY103" i="1"/>
  <c r="CT91" i="1"/>
  <c r="CC95" i="1"/>
  <c r="CQ95" i="1"/>
  <c r="CS95" i="1"/>
  <c r="BY29" i="1" s="1"/>
  <c r="BR103" i="1"/>
  <c r="CB82" i="1"/>
  <c r="BH16" i="1" s="1"/>
  <c r="BE89" i="1"/>
  <c r="BR82" i="1"/>
  <c r="AY99" i="1"/>
  <c r="AY97" i="1"/>
  <c r="BF109" i="1"/>
  <c r="CJ82" i="1"/>
  <c r="BP16" i="1" s="1"/>
  <c r="BN82" i="1"/>
  <c r="CE16" i="1" s="1"/>
  <c r="BF41" i="1"/>
  <c r="CP82" i="1"/>
  <c r="BV16" i="1" s="1"/>
  <c r="CV82" i="1"/>
  <c r="CB16" i="1" s="1"/>
  <c r="BT82" i="1"/>
  <c r="CM82" i="1"/>
  <c r="BC83" i="1"/>
  <c r="CO82" i="1"/>
  <c r="CH82" i="1"/>
  <c r="BN16" i="1" s="1"/>
  <c r="CX82" i="1"/>
  <c r="CZ82" i="1"/>
  <c r="CN82" i="1"/>
  <c r="BT16" i="1" s="1"/>
  <c r="CL82" i="1"/>
  <c r="CQ82" i="1"/>
  <c r="BW16" i="1" s="1"/>
  <c r="DF82" i="1"/>
  <c r="BS82" i="1"/>
  <c r="CJ16" i="1" s="1"/>
  <c r="CC82" i="1"/>
  <c r="BI16" i="1" s="1"/>
  <c r="BL82" i="1"/>
  <c r="CC16" i="1" s="1"/>
  <c r="CU82" i="1"/>
  <c r="CA16" i="1" s="1"/>
  <c r="CI82" i="1"/>
  <c r="BO16" i="1" s="1"/>
  <c r="DC82" i="1"/>
  <c r="CI16" i="1" s="1"/>
  <c r="BM82" i="1"/>
  <c r="CD82" i="1"/>
  <c r="BB82" i="1"/>
  <c r="DB82" i="1"/>
  <c r="CH16" i="1" s="1"/>
  <c r="BO82" i="1"/>
  <c r="CG82" i="1"/>
  <c r="BM16" i="1" s="1"/>
  <c r="CF82" i="1"/>
  <c r="BA82" i="1"/>
  <c r="DE82" i="1"/>
  <c r="BL21" i="1"/>
  <c r="BF95" i="1"/>
  <c r="BQ109" i="1"/>
  <c r="CH43" i="1" s="1"/>
  <c r="BD99" i="1"/>
  <c r="BK41" i="1"/>
  <c r="AY95" i="1"/>
  <c r="BJ90" i="1"/>
  <c r="CI97" i="1"/>
  <c r="CX97" i="1"/>
  <c r="BJ83" i="1"/>
  <c r="CJ88" i="1"/>
  <c r="BL112" i="1"/>
  <c r="CK111" i="1"/>
  <c r="CI109" i="1"/>
  <c r="CI106" i="1"/>
  <c r="CD102" i="1"/>
  <c r="CA98" i="1"/>
  <c r="CT86" i="1"/>
  <c r="BL87" i="1"/>
  <c r="BF88" i="1"/>
  <c r="BG107" i="1"/>
  <c r="BB97" i="1"/>
  <c r="BE106" i="1"/>
  <c r="CH98" i="1"/>
  <c r="CC85" i="1"/>
  <c r="BI19" i="1" s="1"/>
  <c r="CG85" i="1"/>
  <c r="BM19" i="1" s="1"/>
  <c r="CU85" i="1"/>
  <c r="CB87" i="1"/>
  <c r="BF34" i="1"/>
  <c r="BG96" i="1"/>
  <c r="BA90" i="1"/>
  <c r="BP113" i="1"/>
  <c r="AX107" i="1"/>
  <c r="BI101" i="1"/>
  <c r="BZ35" i="1" s="1"/>
  <c r="CE96" i="1"/>
  <c r="BL83" i="1"/>
  <c r="BA112" i="1"/>
  <c r="BF36" i="1"/>
  <c r="AY113" i="1"/>
  <c r="BL97" i="1"/>
  <c r="BF45" i="1"/>
  <c r="AY111" i="1"/>
  <c r="AX106" i="1"/>
  <c r="BK86" i="1"/>
  <c r="BG105" i="1"/>
  <c r="BR86" i="1"/>
  <c r="CA99" i="1"/>
  <c r="BG33" i="1" s="1"/>
  <c r="BS92" i="1"/>
  <c r="BI93" i="1"/>
  <c r="AZ96" i="1"/>
  <c r="BC99" i="1"/>
  <c r="CY95" i="1"/>
  <c r="CA92" i="1"/>
  <c r="BG26" i="1" s="1"/>
  <c r="CE89" i="1"/>
  <c r="BK23" i="1" s="1"/>
  <c r="CY96" i="1"/>
  <c r="CX94" i="1"/>
  <c r="CO94" i="1"/>
  <c r="CV84" i="1"/>
  <c r="AX105" i="1"/>
  <c r="CY105" i="1"/>
  <c r="CP93" i="1"/>
  <c r="BT97" i="1"/>
  <c r="CH83" i="1"/>
  <c r="BG88" i="1"/>
  <c r="BX22" i="1" s="1"/>
  <c r="BI109" i="1"/>
  <c r="CT85" i="1"/>
  <c r="CA87" i="1"/>
  <c r="CL87" i="1"/>
  <c r="AZ101" i="1"/>
  <c r="BC100" i="1"/>
  <c r="BH94" i="1"/>
  <c r="BJ104" i="1"/>
  <c r="BH105" i="1"/>
  <c r="BY39" i="1" s="1"/>
  <c r="BE90" i="1"/>
  <c r="BK97" i="1"/>
  <c r="BI111" i="1"/>
  <c r="AX109" i="1"/>
  <c r="BK106" i="1"/>
  <c r="BK20" i="1"/>
  <c r="BS83" i="1"/>
  <c r="BL84" i="1"/>
  <c r="BH24" i="1"/>
  <c r="AZ90" i="1"/>
  <c r="BS91" i="1"/>
  <c r="BE95" i="1"/>
  <c r="BK46" i="1"/>
  <c r="BG95" i="1"/>
  <c r="BK84" i="1"/>
  <c r="BJ97" i="1"/>
  <c r="BH91" i="1"/>
  <c r="AZ113" i="1"/>
  <c r="CM109" i="1"/>
  <c r="CO85" i="1"/>
  <c r="BO37" i="1"/>
  <c r="BQ111" i="1"/>
  <c r="CW86" i="1"/>
  <c r="BS109" i="1"/>
  <c r="BM46" i="1"/>
  <c r="CA91" i="1"/>
  <c r="CP89" i="1"/>
  <c r="BV23" i="1" s="1"/>
  <c r="CH96" i="1"/>
  <c r="CC104" i="1"/>
  <c r="CU104" i="1"/>
  <c r="DE90" i="1"/>
  <c r="BQ83" i="1"/>
  <c r="BK109" i="1"/>
  <c r="BL106" i="1"/>
  <c r="CL102" i="1"/>
  <c r="BQ102" i="1"/>
  <c r="CM85" i="1"/>
  <c r="BS19" i="1" s="1"/>
  <c r="BN18" i="1"/>
  <c r="AZ104" i="1"/>
  <c r="BH110" i="1"/>
  <c r="BS95" i="1"/>
  <c r="BF89" i="1"/>
  <c r="BK89" i="1"/>
  <c r="BJ96" i="1"/>
  <c r="BF94" i="1"/>
  <c r="BJ39" i="1"/>
  <c r="BQ105" i="1"/>
  <c r="BF113" i="1"/>
  <c r="CO108" i="1"/>
  <c r="CU99" i="1"/>
  <c r="BA107" i="1"/>
  <c r="CY88" i="1"/>
  <c r="CX112" i="1"/>
  <c r="CN112" i="1"/>
  <c r="CM102" i="1"/>
  <c r="BI98" i="1"/>
  <c r="CD86" i="1"/>
  <c r="BJ20" i="1" s="1"/>
  <c r="BL86" i="1"/>
  <c r="CY87" i="1"/>
  <c r="BI30" i="1"/>
  <c r="BG93" i="1"/>
  <c r="BL101" i="1"/>
  <c r="BS110" i="1"/>
  <c r="CR91" i="1"/>
  <c r="BX25" i="1" s="1"/>
  <c r="BT91" i="1"/>
  <c r="CL101" i="1"/>
  <c r="CB95" i="1"/>
  <c r="BH29" i="1" s="1"/>
  <c r="CL95" i="1"/>
  <c r="BE92" i="1"/>
  <c r="BC89" i="1"/>
  <c r="BD100" i="1"/>
  <c r="CT94" i="1"/>
  <c r="CS104" i="1"/>
  <c r="CH105" i="1"/>
  <c r="BA105" i="1"/>
  <c r="CS103" i="1"/>
  <c r="CH103" i="1"/>
  <c r="CA93" i="1"/>
  <c r="BC93" i="1"/>
  <c r="BT27" i="1" s="1"/>
  <c r="CQ90" i="1"/>
  <c r="CK113" i="1"/>
  <c r="CJ99" i="1"/>
  <c r="BP33" i="1" s="1"/>
  <c r="CJ97" i="1"/>
  <c r="CI83" i="1"/>
  <c r="BT83" i="1"/>
  <c r="CA111" i="1"/>
  <c r="CL111" i="1"/>
  <c r="CJ109" i="1"/>
  <c r="BP43" i="1" s="1"/>
  <c r="CB106" i="1"/>
  <c r="CJ106" i="1"/>
  <c r="CE102" i="1"/>
  <c r="BK36" i="1" s="1"/>
  <c r="CG102" i="1"/>
  <c r="BM36" i="1" s="1"/>
  <c r="CQ102" i="1"/>
  <c r="BW36" i="1" s="1"/>
  <c r="CB98" i="1"/>
  <c r="CT98" i="1"/>
  <c r="CF86" i="1"/>
  <c r="CH85" i="1"/>
  <c r="BN19" i="1" s="1"/>
  <c r="CC87" i="1"/>
  <c r="BI21" i="1" s="1"/>
  <c r="CH87" i="1"/>
  <c r="CR107" i="1"/>
  <c r="BE107" i="1"/>
  <c r="BF107" i="1"/>
  <c r="CH88" i="1"/>
  <c r="BN22" i="1" s="1"/>
  <c r="BM22" i="1"/>
  <c r="DF111" i="1"/>
  <c r="BS111" i="1"/>
  <c r="CJ45" i="1" s="1"/>
  <c r="DE98" i="1"/>
  <c r="BS98" i="1"/>
  <c r="BR98" i="1"/>
  <c r="CN98" i="1"/>
  <c r="BB98" i="1"/>
  <c r="CQ86" i="1"/>
  <c r="BE86" i="1"/>
  <c r="BD86" i="1"/>
  <c r="CA85" i="1"/>
  <c r="BF19" i="1"/>
  <c r="CM110" i="1"/>
  <c r="BA110" i="1"/>
  <c r="DD91" i="1"/>
  <c r="BR91" i="1"/>
  <c r="CW91" i="1"/>
  <c r="CC25" i="1" s="1"/>
  <c r="BJ91" i="1"/>
  <c r="CN101" i="1"/>
  <c r="BB101" i="1"/>
  <c r="BA101" i="1"/>
  <c r="CP92" i="1"/>
  <c r="BC92" i="1"/>
  <c r="BD92" i="1"/>
  <c r="CS90" i="1"/>
  <c r="BY24" i="1" s="1"/>
  <c r="BG90" i="1"/>
  <c r="BF90" i="1"/>
  <c r="AZ100" i="1"/>
  <c r="BG113" i="1"/>
  <c r="DF106" i="1"/>
  <c r="BS106" i="1"/>
  <c r="BQ85" i="1"/>
  <c r="CN99" i="1"/>
  <c r="BT33" i="1" s="1"/>
  <c r="BA99" i="1"/>
  <c r="CC86" i="1"/>
  <c r="CW87" i="1"/>
  <c r="BJ87" i="1"/>
  <c r="BK87" i="1"/>
  <c r="DF89" i="1"/>
  <c r="BS89" i="1"/>
  <c r="CR100" i="1"/>
  <c r="BX34" i="1" s="1"/>
  <c r="BF100" i="1"/>
  <c r="DF96" i="1"/>
  <c r="BS96" i="1"/>
  <c r="CP96" i="1"/>
  <c r="BV30" i="1" s="1"/>
  <c r="BD96" i="1"/>
  <c r="BU30" i="1" s="1"/>
  <c r="CQ94" i="1"/>
  <c r="BD94" i="1"/>
  <c r="BE94" i="1"/>
  <c r="CA90" i="1"/>
  <c r="BG24" i="1" s="1"/>
  <c r="BF24" i="1"/>
  <c r="DF108" i="1"/>
  <c r="BS108" i="1"/>
  <c r="CQ108" i="1"/>
  <c r="BD108" i="1"/>
  <c r="BK107" i="1"/>
  <c r="AZ102" i="1"/>
  <c r="BS99" i="1"/>
  <c r="BR99" i="1"/>
  <c r="CB97" i="1"/>
  <c r="BH31" i="1" s="1"/>
  <c r="BF31" i="1"/>
  <c r="CC102" i="1"/>
  <c r="CP102" i="1"/>
  <c r="BD102" i="1"/>
  <c r="BC102" i="1"/>
  <c r="CS98" i="1"/>
  <c r="BY32" i="1" s="1"/>
  <c r="BG98" i="1"/>
  <c r="BF98" i="1"/>
  <c r="BW32" i="1" s="1"/>
  <c r="CO84" i="1"/>
  <c r="BB84" i="1"/>
  <c r="CE104" i="1"/>
  <c r="CY113" i="1"/>
  <c r="BL113" i="1"/>
  <c r="AZ87" i="1"/>
  <c r="CW95" i="1"/>
  <c r="BK95" i="1"/>
  <c r="BJ95" i="1"/>
  <c r="DD92" i="1"/>
  <c r="BR92" i="1"/>
  <c r="CK89" i="1"/>
  <c r="AY89" i="1"/>
  <c r="BL93" i="1"/>
  <c r="BC84" i="1"/>
  <c r="CY111" i="1"/>
  <c r="BL111" i="1"/>
  <c r="CL86" i="1"/>
  <c r="AY86" i="1"/>
  <c r="CD110" i="1"/>
  <c r="BA85" i="1"/>
  <c r="DE96" i="1"/>
  <c r="BK83" i="1"/>
  <c r="BI85" i="1"/>
  <c r="BH88" i="1"/>
  <c r="BF91" i="1"/>
  <c r="AY101" i="1"/>
  <c r="BR96" i="1"/>
  <c r="BG94" i="1"/>
  <c r="BK112" i="1"/>
  <c r="BD83" i="1"/>
  <c r="CV95" i="1"/>
  <c r="BC97" i="1"/>
  <c r="BF21" i="1"/>
  <c r="BF39" i="1"/>
  <c r="BH85" i="1"/>
  <c r="AZ95" i="1"/>
  <c r="BC111" i="1"/>
  <c r="BI99" i="1"/>
  <c r="CK91" i="1"/>
  <c r="CN91" i="1"/>
  <c r="CE101" i="1"/>
  <c r="BK35" i="1" s="1"/>
  <c r="CQ101" i="1"/>
  <c r="CF95" i="1"/>
  <c r="CT95" i="1"/>
  <c r="BZ29" i="1" s="1"/>
  <c r="CB92" i="1"/>
  <c r="BH26" i="1" s="1"/>
  <c r="CL92" i="1"/>
  <c r="BR26" i="1" s="1"/>
  <c r="CM104" i="1"/>
  <c r="CK105" i="1"/>
  <c r="CJ103" i="1"/>
  <c r="BP37" i="1" s="1"/>
  <c r="CN103" i="1"/>
  <c r="BT37" i="1" s="1"/>
  <c r="CJ93" i="1"/>
  <c r="CC90" i="1"/>
  <c r="CK90" i="1"/>
  <c r="CT90" i="1"/>
  <c r="CC108" i="1"/>
  <c r="CL108" i="1"/>
  <c r="CT83" i="1"/>
  <c r="BZ17" i="1" s="1"/>
  <c r="DD83" i="1"/>
  <c r="BT107" i="1"/>
  <c r="CK41" i="1" s="1"/>
  <c r="CK109" i="1"/>
  <c r="BQ43" i="1" s="1"/>
  <c r="CC106" i="1"/>
  <c r="CK106" i="1"/>
  <c r="BQ40" i="1" s="1"/>
  <c r="CC98" i="1"/>
  <c r="CJ98" i="1"/>
  <c r="BP32" i="1" s="1"/>
  <c r="CG86" i="1"/>
  <c r="BM20" i="1" s="1"/>
  <c r="CS87" i="1"/>
  <c r="CA22" i="1"/>
  <c r="BB89" i="1"/>
  <c r="BG84" i="1"/>
  <c r="BG102" i="1"/>
  <c r="CN84" i="1"/>
  <c r="CV90" i="1"/>
  <c r="BF84" i="1"/>
  <c r="BI88" i="1"/>
  <c r="BK34" i="1"/>
  <c r="BA86" i="1"/>
  <c r="BH99" i="1"/>
  <c r="BH86" i="1"/>
  <c r="AZ86" i="1"/>
  <c r="CU110" i="1"/>
  <c r="CS91" i="1"/>
  <c r="BA95" i="1"/>
  <c r="CO100" i="1"/>
  <c r="CI96" i="1"/>
  <c r="CP84" i="1"/>
  <c r="DE104" i="1"/>
  <c r="CG104" i="1"/>
  <c r="CV104" i="1"/>
  <c r="CB38" i="1" s="1"/>
  <c r="BT104" i="1"/>
  <c r="CT105" i="1"/>
  <c r="DE103" i="1"/>
  <c r="AY93" i="1"/>
  <c r="CU93" i="1"/>
  <c r="CA108" i="1"/>
  <c r="BG42" i="1" s="1"/>
  <c r="CB99" i="1"/>
  <c r="DD112" i="1"/>
  <c r="CJ46" i="1" s="1"/>
  <c r="CF111" i="1"/>
  <c r="CZ106" i="1"/>
  <c r="DE86" i="1"/>
  <c r="CX85" i="1"/>
  <c r="CE87" i="1"/>
  <c r="BK21" i="1" s="1"/>
  <c r="CV91" i="1"/>
  <c r="CB25" i="1" s="1"/>
  <c r="AZ94" i="1"/>
  <c r="DD99" i="1"/>
  <c r="CM112" i="1"/>
  <c r="BF32" i="1"/>
  <c r="BF29" i="1"/>
  <c r="BK44" i="1"/>
  <c r="BS88" i="1"/>
  <c r="BG109" i="1"/>
  <c r="BH102" i="1"/>
  <c r="BS113" i="1"/>
  <c r="BS101" i="1"/>
  <c r="CC100" i="1"/>
  <c r="BJ100" i="1"/>
  <c r="CW94" i="1"/>
  <c r="BK105" i="1"/>
  <c r="BT105" i="1"/>
  <c r="CT97" i="1"/>
  <c r="BZ31" i="1" s="1"/>
  <c r="CA83" i="1"/>
  <c r="BG17" i="1" s="1"/>
  <c r="CA88" i="1"/>
  <c r="BG22" i="1" s="1"/>
  <c r="BT111" i="1"/>
  <c r="CC109" i="1"/>
  <c r="CA86" i="1"/>
  <c r="BJ86" i="1"/>
  <c r="DE108" i="1"/>
  <c r="DE111" i="1"/>
  <c r="DE106" i="1"/>
  <c r="BL88" i="1"/>
  <c r="BW17" i="1"/>
  <c r="BL89" i="1"/>
  <c r="BI90" i="1"/>
  <c r="BI91" i="1"/>
  <c r="BZ25" i="1" s="1"/>
  <c r="AX111" i="1"/>
  <c r="AZ112" i="1"/>
  <c r="BA102" i="1"/>
  <c r="BR113" i="1"/>
  <c r="BG103" i="1"/>
  <c r="CC110" i="1"/>
  <c r="CS110" i="1"/>
  <c r="CJ101" i="1"/>
  <c r="CJ95" i="1"/>
  <c r="CH92" i="1"/>
  <c r="BT92" i="1"/>
  <c r="CN89" i="1"/>
  <c r="CK100" i="1"/>
  <c r="CX100" i="1"/>
  <c r="CB94" i="1"/>
  <c r="CA84" i="1"/>
  <c r="CR84" i="1"/>
  <c r="CK104" i="1"/>
  <c r="CR104" i="1"/>
  <c r="CC105" i="1"/>
  <c r="CC103" i="1"/>
  <c r="BI37" i="1" s="1"/>
  <c r="CG93" i="1"/>
  <c r="CR93" i="1"/>
  <c r="CH90" i="1"/>
  <c r="BN24" i="1" s="1"/>
  <c r="CO90" i="1"/>
  <c r="CY90" i="1"/>
  <c r="CC113" i="1"/>
  <c r="CF113" i="1"/>
  <c r="BL47" i="1" s="1"/>
  <c r="CH108" i="1"/>
  <c r="BR108" i="1"/>
  <c r="BT99" i="1"/>
  <c r="CD83" i="1"/>
  <c r="CX83" i="1"/>
  <c r="CB107" i="1"/>
  <c r="CK112" i="1"/>
  <c r="CD109" i="1"/>
  <c r="BT109" i="1"/>
  <c r="BR106" i="1"/>
  <c r="CB102" i="1"/>
  <c r="CW98" i="1"/>
  <c r="CC32" i="1" s="1"/>
  <c r="CB86" i="1"/>
  <c r="CK86" i="1"/>
  <c r="CS86" i="1"/>
  <c r="CL85" i="1"/>
  <c r="CQ85" i="1"/>
  <c r="CK87" i="1"/>
  <c r="CN87" i="1"/>
  <c r="CP87" i="1"/>
  <c r="CG91" i="1"/>
  <c r="CI95" i="1"/>
  <c r="CJ89" i="1"/>
  <c r="AX89" i="1"/>
  <c r="BN23" i="1"/>
  <c r="CX96" i="1"/>
  <c r="BK96" i="1"/>
  <c r="CL84" i="1"/>
  <c r="AY84" i="1"/>
  <c r="DE105" i="1"/>
  <c r="BS105" i="1"/>
  <c r="BR105" i="1"/>
  <c r="CX103" i="1"/>
  <c r="BK103" i="1"/>
  <c r="CB37" i="1" s="1"/>
  <c r="BL103" i="1"/>
  <c r="CI113" i="1"/>
  <c r="CP107" i="1"/>
  <c r="BD107" i="1"/>
  <c r="BC107" i="1"/>
  <c r="CB112" i="1"/>
  <c r="BF46" i="1"/>
  <c r="CN111" i="1"/>
  <c r="BA111" i="1"/>
  <c r="BB111" i="1"/>
  <c r="CS85" i="1"/>
  <c r="BG85" i="1"/>
  <c r="CF92" i="1"/>
  <c r="DB89" i="1"/>
  <c r="CH23" i="1" s="1"/>
  <c r="BO89" i="1"/>
  <c r="CA96" i="1"/>
  <c r="BF30" i="1"/>
  <c r="CV94" i="1"/>
  <c r="BI94" i="1"/>
  <c r="CA104" i="1"/>
  <c r="BF38" i="1"/>
  <c r="DD104" i="1"/>
  <c r="CJ38" i="1" s="1"/>
  <c r="BQ104" i="1"/>
  <c r="BR104" i="1"/>
  <c r="CG105" i="1"/>
  <c r="CB103" i="1"/>
  <c r="BF37" i="1"/>
  <c r="DD93" i="1"/>
  <c r="CJ27" i="1" s="1"/>
  <c r="BR93" i="1"/>
  <c r="BQ93" i="1"/>
  <c r="CN113" i="1"/>
  <c r="BA113" i="1"/>
  <c r="BR47" i="1" s="1"/>
  <c r="CE99" i="1"/>
  <c r="CR97" i="1"/>
  <c r="BF97" i="1"/>
  <c r="BE97" i="1"/>
  <c r="BV31" i="1" s="1"/>
  <c r="CD107" i="1"/>
  <c r="DD88" i="1"/>
  <c r="BQ88" i="1"/>
  <c r="BR88" i="1"/>
  <c r="CS111" i="1"/>
  <c r="BF111" i="1"/>
  <c r="DF87" i="1"/>
  <c r="BS87" i="1"/>
  <c r="BJ94" i="1"/>
  <c r="CB110" i="1"/>
  <c r="BF44" i="1"/>
  <c r="CP110" i="1"/>
  <c r="BC110" i="1"/>
  <c r="BT44" i="1" s="1"/>
  <c r="CZ91" i="1"/>
  <c r="BM91" i="1"/>
  <c r="DE101" i="1"/>
  <c r="BR101" i="1"/>
  <c r="CW101" i="1"/>
  <c r="BJ101" i="1"/>
  <c r="BK101" i="1"/>
  <c r="CB35" i="1" s="1"/>
  <c r="DC95" i="1"/>
  <c r="BP95" i="1"/>
  <c r="BQ95" i="1"/>
  <c r="CT92" i="1"/>
  <c r="BZ26" i="1" s="1"/>
  <c r="BG92" i="1"/>
  <c r="CV100" i="1"/>
  <c r="BI100" i="1"/>
  <c r="CU96" i="1"/>
  <c r="BH96" i="1"/>
  <c r="BI96" i="1"/>
  <c r="DE94" i="1"/>
  <c r="BS94" i="1"/>
  <c r="BR94" i="1"/>
  <c r="DE84" i="1"/>
  <c r="BR84" i="1"/>
  <c r="BS84" i="1"/>
  <c r="DA84" i="1"/>
  <c r="BN84" i="1"/>
  <c r="CZ104" i="1"/>
  <c r="BM104" i="1"/>
  <c r="CD38" i="1" s="1"/>
  <c r="CR103" i="1"/>
  <c r="BE103" i="1"/>
  <c r="CW93" i="1"/>
  <c r="BK93" i="1"/>
  <c r="BJ93" i="1"/>
  <c r="DC90" i="1"/>
  <c r="BP90" i="1"/>
  <c r="BQ90" i="1"/>
  <c r="CX90" i="1"/>
  <c r="BK90" i="1"/>
  <c r="CU113" i="1"/>
  <c r="BH113" i="1"/>
  <c r="BI113" i="1"/>
  <c r="CV108" i="1"/>
  <c r="CB42" i="1" s="1"/>
  <c r="BI108" i="1"/>
  <c r="CZ99" i="1"/>
  <c r="BM99" i="1"/>
  <c r="DE97" i="1"/>
  <c r="BR97" i="1"/>
  <c r="BS97" i="1"/>
  <c r="CM83" i="1"/>
  <c r="AZ83" i="1"/>
  <c r="CJ112" i="1"/>
  <c r="CO109" i="1"/>
  <c r="BU43" i="1" s="1"/>
  <c r="BB109" i="1"/>
  <c r="BC109" i="1"/>
  <c r="CN106" i="1"/>
  <c r="BB106" i="1"/>
  <c r="BA106" i="1"/>
  <c r="CJ102" i="1"/>
  <c r="CO86" i="1"/>
  <c r="BC86" i="1"/>
  <c r="BB86" i="1"/>
  <c r="BS20" i="1" s="1"/>
  <c r="CW85" i="1"/>
  <c r="CC19" i="1" s="1"/>
  <c r="BJ85" i="1"/>
  <c r="BK85" i="1"/>
  <c r="CU87" i="1"/>
  <c r="BH87" i="1"/>
  <c r="BI87" i="1"/>
  <c r="CR110" i="1"/>
  <c r="BE110" i="1"/>
  <c r="CI101" i="1"/>
  <c r="CB89" i="1"/>
  <c r="BF23" i="1"/>
  <c r="CJ100" i="1"/>
  <c r="CK96" i="1"/>
  <c r="AY96" i="1"/>
  <c r="AX96" i="1"/>
  <c r="CJ94" i="1"/>
  <c r="CI104" i="1"/>
  <c r="BM38" i="1"/>
  <c r="CO105" i="1"/>
  <c r="BU39" i="1" s="1"/>
  <c r="BC105" i="1"/>
  <c r="BB105" i="1"/>
  <c r="CC93" i="1"/>
  <c r="BI27" i="1" s="1"/>
  <c r="CG90" i="1"/>
  <c r="CF108" i="1"/>
  <c r="CN83" i="1"/>
  <c r="BT17" i="1" s="1"/>
  <c r="BA83" i="1"/>
  <c r="BB83" i="1"/>
  <c r="CY107" i="1"/>
  <c r="CE41" i="1" s="1"/>
  <c r="BL107" i="1"/>
  <c r="DC88" i="1"/>
  <c r="BP88" i="1"/>
  <c r="DC112" i="1"/>
  <c r="CI46" i="1" s="1"/>
  <c r="BQ112" i="1"/>
  <c r="CE111" i="1"/>
  <c r="BK45" i="1" s="1"/>
  <c r="CH111" i="1"/>
  <c r="CF109" i="1"/>
  <c r="CA106" i="1"/>
  <c r="BF40" i="1"/>
  <c r="CV106" i="1"/>
  <c r="BI106" i="1"/>
  <c r="CX102" i="1"/>
  <c r="BL102" i="1"/>
  <c r="BK102" i="1"/>
  <c r="CB36" i="1" s="1"/>
  <c r="DC98" i="1"/>
  <c r="BP98" i="1"/>
  <c r="BQ98" i="1"/>
  <c r="CV86" i="1"/>
  <c r="CB20" i="1" s="1"/>
  <c r="BI86" i="1"/>
  <c r="CR87" i="1"/>
  <c r="BX21" i="1" s="1"/>
  <c r="BF87" i="1"/>
  <c r="BE87" i="1"/>
  <c r="BG112" i="1"/>
  <c r="BF85" i="1"/>
  <c r="BP112" i="1"/>
  <c r="BF22" i="1"/>
  <c r="BG43" i="1"/>
  <c r="CK110" i="1"/>
  <c r="AX110" i="1"/>
  <c r="CC91" i="1"/>
  <c r="CP91" i="1"/>
  <c r="BD91" i="1"/>
  <c r="BC91" i="1"/>
  <c r="BT25" i="1" s="1"/>
  <c r="CE95" i="1"/>
  <c r="BI29" i="1"/>
  <c r="CP95" i="1"/>
  <c r="BD95" i="1"/>
  <c r="BC95" i="1"/>
  <c r="BT29" i="1" s="1"/>
  <c r="CW92" i="1"/>
  <c r="BK92" i="1"/>
  <c r="CY92" i="1"/>
  <c r="BL92" i="1"/>
  <c r="CT89" i="1"/>
  <c r="BG89" i="1"/>
  <c r="DA100" i="1"/>
  <c r="BN100" i="1"/>
  <c r="DD84" i="1"/>
  <c r="BQ84" i="1"/>
  <c r="CM103" i="1"/>
  <c r="BS37" i="1" s="1"/>
  <c r="AZ103" i="1"/>
  <c r="BA103" i="1"/>
  <c r="CM93" i="1"/>
  <c r="BA93" i="1"/>
  <c r="BR27" i="1" s="1"/>
  <c r="CE90" i="1"/>
  <c r="CA113" i="1"/>
  <c r="BF47" i="1"/>
  <c r="CE108" i="1"/>
  <c r="CN108" i="1"/>
  <c r="BA108" i="1"/>
  <c r="BB108" i="1"/>
  <c r="CG99" i="1"/>
  <c r="CW99" i="1"/>
  <c r="CC33" i="1" s="1"/>
  <c r="BK99" i="1"/>
  <c r="BJ99" i="1"/>
  <c r="CM97" i="1"/>
  <c r="BA97" i="1"/>
  <c r="AZ97" i="1"/>
  <c r="CS83" i="1"/>
  <c r="BG83" i="1"/>
  <c r="CJ107" i="1"/>
  <c r="CM88" i="1"/>
  <c r="AZ88" i="1"/>
  <c r="CS112" i="1"/>
  <c r="BF112" i="1"/>
  <c r="CY109" i="1"/>
  <c r="BL109" i="1"/>
  <c r="CG106" i="1"/>
  <c r="DE102" i="1"/>
  <c r="BS102" i="1"/>
  <c r="BR102" i="1"/>
  <c r="CZ102" i="1"/>
  <c r="BM102" i="1"/>
  <c r="CM98" i="1"/>
  <c r="BS32" i="1" s="1"/>
  <c r="BA98" i="1"/>
  <c r="AZ98" i="1"/>
  <c r="CZ98" i="1"/>
  <c r="BM98" i="1"/>
  <c r="CJ86" i="1"/>
  <c r="DF85" i="1"/>
  <c r="BS85" i="1"/>
  <c r="CK85" i="1"/>
  <c r="AY85" i="1"/>
  <c r="AX85" i="1"/>
  <c r="CJ87" i="1"/>
  <c r="BG97" i="1"/>
  <c r="BJ92" i="1"/>
  <c r="DA91" i="1"/>
  <c r="BN91" i="1"/>
  <c r="CP101" i="1"/>
  <c r="BD101" i="1"/>
  <c r="CD100" i="1"/>
  <c r="DB96" i="1"/>
  <c r="CH30" i="1" s="1"/>
  <c r="BO96" i="1"/>
  <c r="CK94" i="1"/>
  <c r="AX94" i="1"/>
  <c r="CR105" i="1"/>
  <c r="BE105" i="1"/>
  <c r="CF103" i="1"/>
  <c r="CD93" i="1"/>
  <c r="BJ27" i="1" s="1"/>
  <c r="CP113" i="1"/>
  <c r="BC113" i="1"/>
  <c r="CS108" i="1"/>
  <c r="BF108" i="1"/>
  <c r="BG108" i="1"/>
  <c r="CU108" i="1"/>
  <c r="CF99" i="1"/>
  <c r="CG97" i="1"/>
  <c r="DB107" i="1"/>
  <c r="CH41" i="1" s="1"/>
  <c r="BO107" i="1"/>
  <c r="CF41" i="1" s="1"/>
  <c r="CQ88" i="1"/>
  <c r="BD88" i="1"/>
  <c r="CQ111" i="1"/>
  <c r="BE111" i="1"/>
  <c r="BD111" i="1"/>
  <c r="BU45" i="1" s="1"/>
  <c r="CU106" i="1"/>
  <c r="CK102" i="1"/>
  <c r="AY102" i="1"/>
  <c r="CE98" i="1"/>
  <c r="DA98" i="1"/>
  <c r="BN98" i="1"/>
  <c r="BF25" i="1"/>
  <c r="BG39" i="1"/>
  <c r="BB90" i="1"/>
  <c r="BS24" i="1" s="1"/>
  <c r="AX104" i="1"/>
  <c r="AX101" i="1"/>
  <c r="BE84" i="1"/>
  <c r="BK98" i="1"/>
  <c r="BL100" i="1"/>
  <c r="BF110" i="1"/>
  <c r="BR90" i="1"/>
  <c r="CA110" i="1"/>
  <c r="CU89" i="1"/>
  <c r="CA23" i="1" s="1"/>
  <c r="BH89" i="1"/>
  <c r="CM84" i="1"/>
  <c r="AZ84" i="1"/>
  <c r="CU103" i="1"/>
  <c r="CA37" i="1" s="1"/>
  <c r="BI103" i="1"/>
  <c r="BH103" i="1"/>
  <c r="CQ113" i="1"/>
  <c r="BW47" i="1" s="1"/>
  <c r="BE113" i="1"/>
  <c r="CE97" i="1"/>
  <c r="CU97" i="1"/>
  <c r="BH97" i="1"/>
  <c r="CG83" i="1"/>
  <c r="CO107" i="1"/>
  <c r="CZ109" i="1"/>
  <c r="CF43" i="1" s="1"/>
  <c r="BM109" i="1"/>
  <c r="CE106" i="1"/>
  <c r="DD106" i="1"/>
  <c r="BQ106" i="1"/>
  <c r="CW102" i="1"/>
  <c r="BJ102" i="1"/>
  <c r="CA36" i="1" s="1"/>
  <c r="DE85" i="1"/>
  <c r="BR85" i="1"/>
  <c r="BL95" i="1"/>
  <c r="BJ98" i="1"/>
  <c r="BK100" i="1"/>
  <c r="BF105" i="1"/>
  <c r="BA89" i="1"/>
  <c r="BH106" i="1"/>
  <c r="AZ85" i="1"/>
  <c r="DB110" i="1"/>
  <c r="CH44" i="1" s="1"/>
  <c r="BO110" i="1"/>
  <c r="DA110" i="1"/>
  <c r="BN110" i="1"/>
  <c r="CE91" i="1"/>
  <c r="CI91" i="1"/>
  <c r="BO25" i="1" s="1"/>
  <c r="CU101" i="1"/>
  <c r="DD101" i="1"/>
  <c r="BQ101" i="1"/>
  <c r="CO95" i="1"/>
  <c r="CJ92" i="1"/>
  <c r="BP26" i="1" s="1"/>
  <c r="AX92" i="1"/>
  <c r="DA92" i="1"/>
  <c r="BN92" i="1"/>
  <c r="CR92" i="1"/>
  <c r="BF92" i="1"/>
  <c r="CM89" i="1"/>
  <c r="AZ89" i="1"/>
  <c r="CO89" i="1"/>
  <c r="CQ100" i="1"/>
  <c r="BE100" i="1"/>
  <c r="CM100" i="1"/>
  <c r="BS34" i="1" s="1"/>
  <c r="BA100" i="1"/>
  <c r="DC100" i="1"/>
  <c r="CI34" i="1" s="1"/>
  <c r="BP100" i="1"/>
  <c r="CG34" i="1" s="1"/>
  <c r="CN96" i="1"/>
  <c r="BT30" i="1" s="1"/>
  <c r="BA96" i="1"/>
  <c r="DA96" i="1"/>
  <c r="BN96" i="1"/>
  <c r="CD94" i="1"/>
  <c r="BJ28" i="1" s="1"/>
  <c r="CZ94" i="1"/>
  <c r="BM94" i="1"/>
  <c r="CG84" i="1"/>
  <c r="CJ104" i="1"/>
  <c r="DB104" i="1"/>
  <c r="BO104" i="1"/>
  <c r="CP104" i="1"/>
  <c r="BV38" i="1" s="1"/>
  <c r="BD104" i="1"/>
  <c r="CW110" i="1"/>
  <c r="BJ110" i="1"/>
  <c r="BK110" i="1"/>
  <c r="DA95" i="1"/>
  <c r="BN95" i="1"/>
  <c r="DC92" i="1"/>
  <c r="BP92" i="1"/>
  <c r="CJ105" i="1"/>
  <c r="BP39" i="1" s="1"/>
  <c r="CZ83" i="1"/>
  <c r="BM83" i="1"/>
  <c r="CK107" i="1"/>
  <c r="AY107" i="1"/>
  <c r="CN88" i="1"/>
  <c r="BT22" i="1" s="1"/>
  <c r="BA88" i="1"/>
  <c r="CR112" i="1"/>
  <c r="DE87" i="1"/>
  <c r="BF86" i="1"/>
  <c r="BF26" i="1"/>
  <c r="BD85" i="1"/>
  <c r="AY87" i="1"/>
  <c r="BD89" i="1"/>
  <c r="BL90" i="1"/>
  <c r="AX87" i="1"/>
  <c r="BQ92" i="1"/>
  <c r="BB88" i="1"/>
  <c r="BL96" i="1"/>
  <c r="BC101" i="1"/>
  <c r="BA84" i="1"/>
  <c r="CL110" i="1"/>
  <c r="AY110" i="1"/>
  <c r="DC91" i="1"/>
  <c r="CI25" i="1" s="1"/>
  <c r="BP91" i="1"/>
  <c r="CV92" i="1"/>
  <c r="CZ100" i="1"/>
  <c r="BM100" i="1"/>
  <c r="BS90" i="1"/>
  <c r="BB87" i="1"/>
  <c r="AX86" i="1"/>
  <c r="AZ110" i="1"/>
  <c r="BA87" i="1"/>
  <c r="AX95" i="1"/>
  <c r="BE93" i="1"/>
  <c r="BE112" i="1"/>
  <c r="BH108" i="1"/>
  <c r="BH104" i="1"/>
  <c r="BY38" i="1" s="1"/>
  <c r="BH17" i="1"/>
  <c r="CF91" i="1"/>
  <c r="CB101" i="1"/>
  <c r="BF35" i="1"/>
  <c r="DC101" i="1"/>
  <c r="BP101" i="1"/>
  <c r="CZ103" i="1"/>
  <c r="BM103" i="1"/>
  <c r="DD108" i="1"/>
  <c r="BQ108" i="1"/>
  <c r="DC99" i="1"/>
  <c r="BP99" i="1"/>
  <c r="DB97" i="1"/>
  <c r="CH31" i="1" s="1"/>
  <c r="BO97" i="1"/>
  <c r="CD88" i="1"/>
  <c r="CT112" i="1"/>
  <c r="BH112" i="1"/>
  <c r="CI111" i="1"/>
  <c r="CT111" i="1"/>
  <c r="BZ45" i="1" s="1"/>
  <c r="BH111" i="1"/>
  <c r="CG109" i="1"/>
  <c r="CH106" i="1"/>
  <c r="CG98" i="1"/>
  <c r="CZ85" i="1"/>
  <c r="BM85" i="1"/>
  <c r="BE85" i="1"/>
  <c r="BI89" i="1"/>
  <c r="BF33" i="1"/>
  <c r="BF20" i="1"/>
  <c r="BF18" i="1"/>
  <c r="BI84" i="1"/>
  <c r="BC87" i="1"/>
  <c r="BJ84" i="1"/>
  <c r="BR87" i="1"/>
  <c r="BQ91" i="1"/>
  <c r="AX112" i="1"/>
  <c r="BF93" i="1"/>
  <c r="BL94" i="1"/>
  <c r="BE91" i="1"/>
  <c r="AX100" i="1"/>
  <c r="BG111" i="1"/>
  <c r="AX102" i="1"/>
  <c r="BI104" i="1"/>
  <c r="BC90" i="1"/>
  <c r="AY100" i="1"/>
  <c r="AY112" i="1"/>
  <c r="AY104" i="1"/>
  <c r="AY94" i="1"/>
  <c r="BK94" i="1"/>
  <c r="BB107" i="1"/>
  <c r="BE88" i="1"/>
  <c r="BQ99" i="1"/>
  <c r="BG86" i="1"/>
  <c r="BL110" i="1"/>
  <c r="BM44" i="1"/>
  <c r="CT110" i="1"/>
  <c r="BG110" i="1"/>
  <c r="CH91" i="1"/>
  <c r="CQ91" i="1"/>
  <c r="CC101" i="1"/>
  <c r="CK101" i="1"/>
  <c r="DE95" i="1"/>
  <c r="CK95" i="1"/>
  <c r="DB95" i="1"/>
  <c r="BO95" i="1"/>
  <c r="CE92" i="1"/>
  <c r="CI92" i="1"/>
  <c r="CS89" i="1"/>
  <c r="CX89" i="1"/>
  <c r="BT89" i="1"/>
  <c r="CL100" i="1"/>
  <c r="CU100" i="1"/>
  <c r="CY100" i="1"/>
  <c r="CL96" i="1"/>
  <c r="CW96" i="1"/>
  <c r="CC94" i="1"/>
  <c r="CL94" i="1"/>
  <c r="BR28" i="1" s="1"/>
  <c r="CS94" i="1"/>
  <c r="CF84" i="1"/>
  <c r="BL18" i="1" s="1"/>
  <c r="BJ18" i="1"/>
  <c r="DB84" i="1"/>
  <c r="BO84" i="1"/>
  <c r="CF104" i="1"/>
  <c r="DC104" i="1"/>
  <c r="BP104" i="1"/>
  <c r="CQ104" i="1"/>
  <c r="BW38" i="1" s="1"/>
  <c r="CF105" i="1"/>
  <c r="DA105" i="1"/>
  <c r="BN105" i="1"/>
  <c r="DC105" i="1"/>
  <c r="BP105" i="1"/>
  <c r="CE103" i="1"/>
  <c r="CD103" i="1"/>
  <c r="CG103" i="1"/>
  <c r="DB103" i="1"/>
  <c r="CH37" i="1" s="1"/>
  <c r="BO103" i="1"/>
  <c r="CF93" i="1"/>
  <c r="BL27" i="1" s="1"/>
  <c r="DA93" i="1"/>
  <c r="BN93" i="1"/>
  <c r="CE27" i="1" s="1"/>
  <c r="DB93" i="1"/>
  <c r="BO93" i="1"/>
  <c r="CF90" i="1"/>
  <c r="CW90" i="1"/>
  <c r="CE113" i="1"/>
  <c r="CJ113" i="1"/>
  <c r="BP47" i="1" s="1"/>
  <c r="CS113" i="1"/>
  <c r="CI108" i="1"/>
  <c r="DE99" i="1"/>
  <c r="CH99" i="1"/>
  <c r="CT99" i="1"/>
  <c r="CH97" i="1"/>
  <c r="CO97" i="1"/>
  <c r="BU31" i="1" s="1"/>
  <c r="CZ97" i="1"/>
  <c r="BM97" i="1"/>
  <c r="CD31" i="1" s="1"/>
  <c r="CE83" i="1"/>
  <c r="BK17" i="1" s="1"/>
  <c r="DC83" i="1"/>
  <c r="BP83" i="1"/>
  <c r="CY83" i="1"/>
  <c r="CC107" i="1"/>
  <c r="CL107" i="1"/>
  <c r="CW107" i="1"/>
  <c r="BJ107" i="1"/>
  <c r="CE88" i="1"/>
  <c r="CX88" i="1"/>
  <c r="CT88" i="1"/>
  <c r="CC112" i="1"/>
  <c r="CL112" i="1"/>
  <c r="CW112" i="1"/>
  <c r="CC46" i="1" s="1"/>
  <c r="BJ112" i="1"/>
  <c r="DA112" i="1"/>
  <c r="BN112" i="1"/>
  <c r="CE46" i="1" s="1"/>
  <c r="CJ111" i="1"/>
  <c r="BP45" i="1" s="1"/>
  <c r="DA111" i="1"/>
  <c r="CG45" i="1" s="1"/>
  <c r="BN111" i="1"/>
  <c r="CE109" i="1"/>
  <c r="CH109" i="1"/>
  <c r="CW109" i="1"/>
  <c r="BJ109" i="1"/>
  <c r="CV109" i="1"/>
  <c r="CF106" i="1"/>
  <c r="CQ106" i="1"/>
  <c r="BW40" i="1" s="1"/>
  <c r="BD106" i="1"/>
  <c r="BT106" i="1"/>
  <c r="DC102" i="1"/>
  <c r="BP102" i="1"/>
  <c r="CF98" i="1"/>
  <c r="CZ86" i="1"/>
  <c r="BM86" i="1"/>
  <c r="DC85" i="1"/>
  <c r="BP85" i="1"/>
  <c r="DA87" i="1"/>
  <c r="BN87" i="1"/>
  <c r="CN105" i="1"/>
  <c r="CV105" i="1"/>
  <c r="BI105" i="1"/>
  <c r="CQ103" i="1"/>
  <c r="CP103" i="1"/>
  <c r="CH93" i="1"/>
  <c r="CO93" i="1"/>
  <c r="BU27" i="1" s="1"/>
  <c r="DD90" i="1"/>
  <c r="DD113" i="1"/>
  <c r="CT113" i="1"/>
  <c r="CJ108" i="1"/>
  <c r="BP42" i="1" s="1"/>
  <c r="CZ108" i="1"/>
  <c r="CF42" i="1" s="1"/>
  <c r="BM108" i="1"/>
  <c r="CY108" i="1"/>
  <c r="CD99" i="1"/>
  <c r="CI99" i="1"/>
  <c r="CS97" i="1"/>
  <c r="CF83" i="1"/>
  <c r="CP83" i="1"/>
  <c r="CW83" i="1"/>
  <c r="BM107" i="1"/>
  <c r="CM107" i="1"/>
  <c r="AZ107" i="1"/>
  <c r="DA107" i="1"/>
  <c r="CX107" i="1"/>
  <c r="CD112" i="1"/>
  <c r="CW111" i="1"/>
  <c r="BJ111" i="1"/>
  <c r="CX109" i="1"/>
  <c r="CR109" i="1"/>
  <c r="CT106" i="1"/>
  <c r="DB106" i="1"/>
  <c r="BO106" i="1"/>
  <c r="CA102" i="1"/>
  <c r="DD98" i="1"/>
  <c r="CV98" i="1"/>
  <c r="CY86" i="1"/>
  <c r="DD85" i="1"/>
  <c r="CM87" i="1"/>
  <c r="DB87" i="1"/>
  <c r="CH21" i="1" s="1"/>
  <c r="BO87" i="1"/>
  <c r="CF110" i="1"/>
  <c r="DD110" i="1"/>
  <c r="CV110" i="1"/>
  <c r="BI110" i="1"/>
  <c r="DB91" i="1"/>
  <c r="BO91" i="1"/>
  <c r="CA101" i="1"/>
  <c r="CM101" i="1"/>
  <c r="CO101" i="1"/>
  <c r="DB101" i="1"/>
  <c r="BO101" i="1"/>
  <c r="CM95" i="1"/>
  <c r="BS29" i="1" s="1"/>
  <c r="DE92" i="1"/>
  <c r="CO92" i="1"/>
  <c r="BU26" i="1" s="1"/>
  <c r="DB92" i="1"/>
  <c r="BO92" i="1"/>
  <c r="CD89" i="1"/>
  <c r="CG89" i="1"/>
  <c r="BM23" i="1" s="1"/>
  <c r="DA89" i="1"/>
  <c r="BN89" i="1"/>
  <c r="CE23" i="1" s="1"/>
  <c r="CW89" i="1"/>
  <c r="CA100" i="1"/>
  <c r="CP100" i="1"/>
  <c r="CB96" i="1"/>
  <c r="CJ96" i="1"/>
  <c r="CS96" i="1"/>
  <c r="CV96" i="1"/>
  <c r="BT96" i="1"/>
  <c r="CG94" i="1"/>
  <c r="BM28" i="1" s="1"/>
  <c r="CR94" i="1"/>
  <c r="CU94" i="1"/>
  <c r="DC94" i="1"/>
  <c r="BP94" i="1"/>
  <c r="CB84" i="1"/>
  <c r="BH18" i="1" s="1"/>
  <c r="CZ84" i="1"/>
  <c r="BM84" i="1"/>
  <c r="CD18" i="1" s="1"/>
  <c r="CT104" i="1"/>
  <c r="BG104" i="1"/>
  <c r="CI105" i="1"/>
  <c r="BO39" i="1" s="1"/>
  <c r="DD105" i="1"/>
  <c r="CU105" i="1"/>
  <c r="DC103" i="1"/>
  <c r="BP103" i="1"/>
  <c r="CT103" i="1"/>
  <c r="CE93" i="1"/>
  <c r="CX93" i="1"/>
  <c r="CP90" i="1"/>
  <c r="CR90" i="1"/>
  <c r="BT90" i="1"/>
  <c r="CZ113" i="1"/>
  <c r="BM113" i="1"/>
  <c r="CW113" i="1"/>
  <c r="CC47" i="1" s="1"/>
  <c r="BJ113" i="1"/>
  <c r="DA113" i="1"/>
  <c r="BN113" i="1"/>
  <c r="CK108" i="1"/>
  <c r="AX108" i="1"/>
  <c r="CP108" i="1"/>
  <c r="BC108" i="1"/>
  <c r="BT42" i="1" s="1"/>
  <c r="DB108" i="1"/>
  <c r="DB99" i="1"/>
  <c r="BO99" i="1"/>
  <c r="CD97" i="1"/>
  <c r="DA97" i="1"/>
  <c r="BN97" i="1"/>
  <c r="CY97" i="1"/>
  <c r="BF17" i="1"/>
  <c r="CV83" i="1"/>
  <c r="DA83" i="1"/>
  <c r="BN83" i="1"/>
  <c r="DC107" i="1"/>
  <c r="CI41" i="1" s="1"/>
  <c r="BP107" i="1"/>
  <c r="CV107" i="1"/>
  <c r="BI107" i="1"/>
  <c r="DE88" i="1"/>
  <c r="CK88" i="1"/>
  <c r="AX88" i="1"/>
  <c r="CP88" i="1"/>
  <c r="CI112" i="1"/>
  <c r="CV112" i="1"/>
  <c r="CQ112" i="1"/>
  <c r="CV111" i="1"/>
  <c r="CB45" i="1" s="1"/>
  <c r="CZ111" i="1"/>
  <c r="BM111" i="1"/>
  <c r="CU109" i="1"/>
  <c r="BH109" i="1"/>
  <c r="BY43" i="1" s="1"/>
  <c r="CP106" i="1"/>
  <c r="BC106" i="1"/>
  <c r="CW106" i="1"/>
  <c r="BJ106" i="1"/>
  <c r="CO102" i="1"/>
  <c r="BB102" i="1"/>
  <c r="BS36" i="1" s="1"/>
  <c r="CI98" i="1"/>
  <c r="CR98" i="1"/>
  <c r="BT98" i="1"/>
  <c r="DD86" i="1"/>
  <c r="CJ20" i="1" s="1"/>
  <c r="CU86" i="1"/>
  <c r="DC86" i="1"/>
  <c r="BP86" i="1"/>
  <c r="CV85" i="1"/>
  <c r="CR85" i="1"/>
  <c r="CV87" i="1"/>
  <c r="CO87" i="1"/>
  <c r="BU21" i="1" s="1"/>
  <c r="BH100" i="1"/>
  <c r="BY34" i="1" s="1"/>
  <c r="BP110" i="1"/>
  <c r="CO110" i="1"/>
  <c r="DE91" i="1"/>
  <c r="CU91" i="1"/>
  <c r="CG101" i="1"/>
  <c r="DA101" i="1"/>
  <c r="BN101" i="1"/>
  <c r="BT101" i="1"/>
  <c r="CD95" i="1"/>
  <c r="CZ95" i="1"/>
  <c r="BM95" i="1"/>
  <c r="CS92" i="1"/>
  <c r="CU92" i="1"/>
  <c r="DE89" i="1"/>
  <c r="CF89" i="1"/>
  <c r="CZ89" i="1"/>
  <c r="BM89" i="1"/>
  <c r="DC89" i="1"/>
  <c r="CI23" i="1" s="1"/>
  <c r="BP89" i="1"/>
  <c r="CF100" i="1"/>
  <c r="CW100" i="1"/>
  <c r="CN100" i="1"/>
  <c r="CD96" i="1"/>
  <c r="CG96" i="1"/>
  <c r="CZ96" i="1"/>
  <c r="BM96" i="1"/>
  <c r="CR96" i="1"/>
  <c r="CA94" i="1"/>
  <c r="CF94" i="1"/>
  <c r="DD94" i="1"/>
  <c r="CY94" i="1"/>
  <c r="BT94" i="1"/>
  <c r="CI84" i="1"/>
  <c r="BO18" i="1" s="1"/>
  <c r="CW84" i="1"/>
  <c r="DC84" i="1"/>
  <c r="BP84" i="1"/>
  <c r="CY84" i="1"/>
  <c r="CB104" i="1"/>
  <c r="CY104" i="1"/>
  <c r="BL104" i="1"/>
  <c r="CC38" i="1" s="1"/>
  <c r="CO104" i="1"/>
  <c r="BB104" i="1"/>
  <c r="CB105" i="1"/>
  <c r="CQ105" i="1"/>
  <c r="CZ105" i="1"/>
  <c r="BM105" i="1"/>
  <c r="CD39" i="1" s="1"/>
  <c r="CA103" i="1"/>
  <c r="CY103" i="1"/>
  <c r="CQ93" i="1"/>
  <c r="CZ93" i="1"/>
  <c r="BM93" i="1"/>
  <c r="DB90" i="1"/>
  <c r="BO90" i="1"/>
  <c r="CM113" i="1"/>
  <c r="DC113" i="1"/>
  <c r="CX113" i="1"/>
  <c r="CT108" i="1"/>
  <c r="CW108" i="1"/>
  <c r="CC42" i="1" s="1"/>
  <c r="BJ108" i="1"/>
  <c r="CC99" i="1"/>
  <c r="CK99" i="1"/>
  <c r="AX99" i="1"/>
  <c r="CV99" i="1"/>
  <c r="CO99" i="1"/>
  <c r="BB99" i="1"/>
  <c r="CA97" i="1"/>
  <c r="CK97" i="1"/>
  <c r="AX97" i="1"/>
  <c r="DC97" i="1"/>
  <c r="BP97" i="1"/>
  <c r="CW97" i="1"/>
  <c r="CJ83" i="1"/>
  <c r="BP17" i="1" s="1"/>
  <c r="CA107" i="1"/>
  <c r="CF107" i="1"/>
  <c r="CN107" i="1"/>
  <c r="CF88" i="1"/>
  <c r="BL22" i="1" s="1"/>
  <c r="CZ88" i="1"/>
  <c r="BM88" i="1"/>
  <c r="DB88" i="1"/>
  <c r="BO88" i="1"/>
  <c r="DA88" i="1"/>
  <c r="BN88" i="1"/>
  <c r="CO112" i="1"/>
  <c r="BU46" i="1" s="1"/>
  <c r="BB112" i="1"/>
  <c r="BS46" i="1" s="1"/>
  <c r="CM111" i="1"/>
  <c r="AZ111" i="1"/>
  <c r="CU111" i="1"/>
  <c r="DC111" i="1"/>
  <c r="CI45" i="1" s="1"/>
  <c r="CP109" i="1"/>
  <c r="BV43" i="1" s="1"/>
  <c r="CN109" i="1"/>
  <c r="CO106" i="1"/>
  <c r="CX106" i="1"/>
  <c r="CD40" i="1" s="1"/>
  <c r="CS102" i="1"/>
  <c r="CF102" i="1"/>
  <c r="CN102" i="1"/>
  <c r="DA102" i="1"/>
  <c r="BN102" i="1"/>
  <c r="CO98" i="1"/>
  <c r="BU32" i="1" s="1"/>
  <c r="DB98" i="1"/>
  <c r="BO98" i="1"/>
  <c r="CF32" i="1" s="1"/>
  <c r="CR86" i="1"/>
  <c r="CX86" i="1"/>
  <c r="BT86" i="1"/>
  <c r="CF85" i="1"/>
  <c r="CN85" i="1"/>
  <c r="BT19" i="1" s="1"/>
  <c r="CP85" i="1"/>
  <c r="DB85" i="1"/>
  <c r="BO85" i="1"/>
  <c r="CD87" i="1"/>
  <c r="BJ21" i="1" s="1"/>
  <c r="CG87" i="1"/>
  <c r="BM21" i="1" s="1"/>
  <c r="CX87" i="1"/>
  <c r="BF103" i="1"/>
  <c r="BR110" i="1"/>
  <c r="CI44" i="1" s="1"/>
  <c r="BR95" i="1"/>
  <c r="AX113" i="1"/>
  <c r="BD90" i="1"/>
  <c r="BB93" i="1"/>
  <c r="BS27" i="1" s="1"/>
  <c r="CI110" i="1"/>
  <c r="CQ110" i="1"/>
  <c r="BD110" i="1"/>
  <c r="CZ110" i="1"/>
  <c r="BM110" i="1"/>
  <c r="CD91" i="1"/>
  <c r="BJ25" i="1" s="1"/>
  <c r="CL91" i="1"/>
  <c r="CO91" i="1"/>
  <c r="CX91" i="1"/>
  <c r="CS101" i="1"/>
  <c r="BY35" i="1" s="1"/>
  <c r="BF101" i="1"/>
  <c r="CF101" i="1"/>
  <c r="BL35" i="1" s="1"/>
  <c r="CY101" i="1"/>
  <c r="CR101" i="1"/>
  <c r="BX35" i="1" s="1"/>
  <c r="BE101" i="1"/>
  <c r="CA95" i="1"/>
  <c r="CG95" i="1"/>
  <c r="CR95" i="1"/>
  <c r="CU95" i="1"/>
  <c r="BT95" i="1"/>
  <c r="CC92" i="1"/>
  <c r="CM92" i="1"/>
  <c r="BS26" i="1" s="1"/>
  <c r="AZ92" i="1"/>
  <c r="BQ26" i="1" s="1"/>
  <c r="CZ92" i="1"/>
  <c r="BM92" i="1"/>
  <c r="CN92" i="1"/>
  <c r="CC89" i="1"/>
  <c r="CL89" i="1"/>
  <c r="DD89" i="1"/>
  <c r="CV89" i="1"/>
  <c r="CB23" i="1" s="1"/>
  <c r="DE100" i="1"/>
  <c r="CK34" i="1" s="1"/>
  <c r="CH100" i="1"/>
  <c r="CT100" i="1"/>
  <c r="DD100" i="1"/>
  <c r="CJ34" i="1" s="1"/>
  <c r="BB96" i="1"/>
  <c r="BS30" i="1" s="1"/>
  <c r="CF96" i="1"/>
  <c r="DC96" i="1"/>
  <c r="BP96" i="1"/>
  <c r="CQ96" i="1"/>
  <c r="CE94" i="1"/>
  <c r="CH94" i="1"/>
  <c r="CN94" i="1"/>
  <c r="BT28" i="1" s="1"/>
  <c r="CP94" i="1"/>
  <c r="CE84" i="1"/>
  <c r="BI18" i="1"/>
  <c r="CJ84" i="1"/>
  <c r="CQ84" i="1"/>
  <c r="CT84" i="1"/>
  <c r="BT84" i="1"/>
  <c r="CH104" i="1"/>
  <c r="CN104" i="1"/>
  <c r="BT38" i="1" s="1"/>
  <c r="DA104" i="1"/>
  <c r="BN104" i="1"/>
  <c r="CE105" i="1"/>
  <c r="CL105" i="1"/>
  <c r="DB105" i="1"/>
  <c r="BO105" i="1"/>
  <c r="CP105" i="1"/>
  <c r="CK103" i="1"/>
  <c r="DD103" i="1"/>
  <c r="CJ37" i="1" s="1"/>
  <c r="CO103" i="1"/>
  <c r="BU37" i="1" s="1"/>
  <c r="DE93" i="1"/>
  <c r="CK27" i="1" s="1"/>
  <c r="CK93" i="1"/>
  <c r="BQ27" i="1" s="1"/>
  <c r="CT93" i="1"/>
  <c r="CV93" i="1"/>
  <c r="CD90" i="1"/>
  <c r="CL90" i="1"/>
  <c r="BR24" i="1" s="1"/>
  <c r="CU90" i="1"/>
  <c r="CZ90" i="1"/>
  <c r="BM90" i="1"/>
  <c r="CD113" i="1"/>
  <c r="CG113" i="1"/>
  <c r="CO113" i="1"/>
  <c r="BU47" i="1" s="1"/>
  <c r="BB113" i="1"/>
  <c r="CV113" i="1"/>
  <c r="CB47" i="1" s="1"/>
  <c r="CD108" i="1"/>
  <c r="BH42" i="1"/>
  <c r="CM108" i="1"/>
  <c r="AZ108" i="1"/>
  <c r="CR108" i="1"/>
  <c r="BE108" i="1"/>
  <c r="CX108" i="1"/>
  <c r="CQ99" i="1"/>
  <c r="BW33" i="1" s="1"/>
  <c r="CL99" i="1"/>
  <c r="DA99" i="1"/>
  <c r="BN99" i="1"/>
  <c r="CX99" i="1"/>
  <c r="CL97" i="1"/>
  <c r="CN97" i="1"/>
  <c r="CV97" i="1"/>
  <c r="CB31" i="1" s="1"/>
  <c r="DE83" i="1"/>
  <c r="CK83" i="1"/>
  <c r="CU83" i="1"/>
  <c r="BH83" i="1"/>
  <c r="CR83" i="1"/>
  <c r="BE83" i="1"/>
  <c r="CH107" i="1"/>
  <c r="CU107" i="1"/>
  <c r="DD107" i="1"/>
  <c r="CJ41" i="1" s="1"/>
  <c r="CC88" i="1"/>
  <c r="CI88" i="1"/>
  <c r="CO88" i="1"/>
  <c r="CW88" i="1"/>
  <c r="BT88" i="1"/>
  <c r="CH112" i="1"/>
  <c r="DB112" i="1"/>
  <c r="BO112" i="1"/>
  <c r="CU112" i="1"/>
  <c r="CZ112" i="1"/>
  <c r="BM112" i="1"/>
  <c r="CC111" i="1"/>
  <c r="CG111" i="1"/>
  <c r="CX111" i="1"/>
  <c r="CR111" i="1"/>
  <c r="DE109" i="1"/>
  <c r="CL109" i="1"/>
  <c r="BR43" i="1" s="1"/>
  <c r="CT109" i="1"/>
  <c r="DD109" i="1"/>
  <c r="CD106" i="1"/>
  <c r="CL106" i="1"/>
  <c r="AY106" i="1"/>
  <c r="CR106" i="1"/>
  <c r="BX40" i="1" s="1"/>
  <c r="DA106" i="1"/>
  <c r="BN106" i="1"/>
  <c r="CE40" i="1" s="1"/>
  <c r="CH102" i="1"/>
  <c r="DD102" i="1"/>
  <c r="CY102" i="1"/>
  <c r="CD98" i="1"/>
  <c r="CK98" i="1"/>
  <c r="AX98" i="1"/>
  <c r="CU98" i="1"/>
  <c r="CX98" i="1"/>
  <c r="CH86" i="1"/>
  <c r="DB86" i="1"/>
  <c r="CH20" i="1" s="1"/>
  <c r="BO86" i="1"/>
  <c r="CP86" i="1"/>
  <c r="BV20" i="1" s="1"/>
  <c r="CE85" i="1"/>
  <c r="CI85" i="1"/>
  <c r="CY85" i="1"/>
  <c r="DA85" i="1"/>
  <c r="BN85" i="1"/>
  <c r="BT85" i="1"/>
  <c r="DC87" i="1"/>
  <c r="BP87" i="1"/>
  <c r="CQ87" i="1"/>
  <c r="CZ87" i="1"/>
  <c r="BM87" i="1"/>
  <c r="CJ110" i="1"/>
  <c r="CX110" i="1"/>
  <c r="CB91" i="1"/>
  <c r="CM91" i="1"/>
  <c r="BS25" i="1" s="1"/>
  <c r="AZ91" i="1"/>
  <c r="CY91" i="1"/>
  <c r="CH101" i="1"/>
  <c r="CZ101" i="1"/>
  <c r="BM101" i="1"/>
  <c r="CD35" i="1" s="1"/>
  <c r="CH95" i="1"/>
  <c r="DD95" i="1"/>
  <c r="CX95" i="1"/>
  <c r="CD92" i="1"/>
  <c r="CG92" i="1"/>
  <c r="CQ92" i="1"/>
  <c r="CX92" i="1"/>
  <c r="CA89" i="1"/>
  <c r="BG23" i="1" s="1"/>
  <c r="CI89" i="1"/>
  <c r="CR89" i="1"/>
  <c r="CQ89" i="1"/>
  <c r="CB100" i="1"/>
  <c r="CI100" i="1"/>
  <c r="BM34" i="1"/>
  <c r="DB100" i="1"/>
  <c r="CH34" i="1" s="1"/>
  <c r="BO100" i="1"/>
  <c r="DD96" i="1"/>
  <c r="CT96" i="1"/>
  <c r="CI94" i="1"/>
  <c r="DB94" i="1"/>
  <c r="BO94" i="1"/>
  <c r="DA94" i="1"/>
  <c r="BN94" i="1"/>
  <c r="CK84" i="1"/>
  <c r="CU84" i="1"/>
  <c r="CD104" i="1"/>
  <c r="CM105" i="1"/>
  <c r="AZ105" i="1"/>
  <c r="CW105" i="1"/>
  <c r="CC39" i="1" s="1"/>
  <c r="BJ105" i="1"/>
  <c r="CL103" i="1"/>
  <c r="CW103" i="1"/>
  <c r="DA103" i="1"/>
  <c r="BN103" i="1"/>
  <c r="CB93" i="1"/>
  <c r="BF27" i="1"/>
  <c r="DC93" i="1"/>
  <c r="BP93" i="1"/>
  <c r="DA90" i="1"/>
  <c r="BN90" i="1"/>
  <c r="CE24" i="1" s="1"/>
  <c r="CN90" i="1"/>
  <c r="CB113" i="1"/>
  <c r="CH113" i="1"/>
  <c r="CR113" i="1"/>
  <c r="DB113" i="1"/>
  <c r="CH47" i="1" s="1"/>
  <c r="BO113" i="1"/>
  <c r="BN108" i="1"/>
  <c r="CG108" i="1"/>
  <c r="DC108" i="1"/>
  <c r="BP108" i="1"/>
  <c r="CG42" i="1" s="1"/>
  <c r="BT108" i="1"/>
  <c r="CM99" i="1"/>
  <c r="AZ99" i="1"/>
  <c r="CS99" i="1"/>
  <c r="CY99" i="1"/>
  <c r="CC97" i="1"/>
  <c r="CF97" i="1"/>
  <c r="DD97" i="1"/>
  <c r="CQ97" i="1"/>
  <c r="CC83" i="1"/>
  <c r="CL83" i="1"/>
  <c r="CO83" i="1"/>
  <c r="DB83" i="1"/>
  <c r="BO83" i="1"/>
  <c r="CI107" i="1"/>
  <c r="BM41" i="1"/>
  <c r="CQ107" i="1"/>
  <c r="CL88" i="1"/>
  <c r="AY88" i="1"/>
  <c r="CS88" i="1"/>
  <c r="CA112" i="1"/>
  <c r="CF112" i="1"/>
  <c r="CP112" i="1"/>
  <c r="BC112" i="1"/>
  <c r="BT112" i="1"/>
  <c r="CK46" i="1" s="1"/>
  <c r="CD111" i="1"/>
  <c r="CP111" i="1"/>
  <c r="DB111" i="1"/>
  <c r="BO111" i="1"/>
  <c r="CB109" i="1"/>
  <c r="BF43" i="1"/>
  <c r="DA109" i="1"/>
  <c r="CG43" i="1" s="1"/>
  <c r="BN109" i="1"/>
  <c r="CQ109" i="1"/>
  <c r="CS106" i="1"/>
  <c r="CM106" i="1"/>
  <c r="DC106" i="1"/>
  <c r="BP106" i="1"/>
  <c r="CI102" i="1"/>
  <c r="DB102" i="1"/>
  <c r="BO102" i="1"/>
  <c r="CR102" i="1"/>
  <c r="BE102" i="1"/>
  <c r="CL98" i="1"/>
  <c r="CP98" i="1"/>
  <c r="BV32" i="1" s="1"/>
  <c r="BC98" i="1"/>
  <c r="CY98" i="1"/>
  <c r="CI86" i="1"/>
  <c r="CN86" i="1"/>
  <c r="DA86" i="1"/>
  <c r="BN86" i="1"/>
  <c r="CB85" i="1"/>
  <c r="CJ85" i="1"/>
  <c r="CI87" i="1"/>
  <c r="DD87" i="1"/>
  <c r="CT87" i="1"/>
  <c r="BT87" i="1"/>
  <c r="BH45" i="1" l="1"/>
  <c r="BG21" i="1"/>
  <c r="BX32" i="1"/>
  <c r="BX31" i="1"/>
  <c r="BV21" i="1"/>
  <c r="CK44" i="1"/>
  <c r="BR25" i="1"/>
  <c r="CI17" i="1"/>
  <c r="BU16" i="1"/>
  <c r="BQ16" i="1"/>
  <c r="BU18" i="1"/>
  <c r="BS44" i="1"/>
  <c r="BJ16" i="1"/>
  <c r="CB39" i="1"/>
  <c r="CB22" i="1"/>
  <c r="CK43" i="1"/>
  <c r="CF16" i="1"/>
  <c r="BW43" i="1"/>
  <c r="BG25" i="1"/>
  <c r="BP22" i="1"/>
  <c r="CF25" i="1"/>
  <c r="BY25" i="1"/>
  <c r="BS16" i="1"/>
  <c r="BI47" i="1"/>
  <c r="CK16" i="1"/>
  <c r="BJ35" i="1"/>
  <c r="BL36" i="1"/>
  <c r="BY44" i="1"/>
  <c r="CH28" i="1"/>
  <c r="CI37" i="1"/>
  <c r="BU33" i="1"/>
  <c r="BR46" i="1"/>
  <c r="BL38" i="1"/>
  <c r="CD19" i="1"/>
  <c r="BM43" i="1"/>
  <c r="CC21" i="1"/>
  <c r="BZ16" i="1"/>
  <c r="BQ25" i="1"/>
  <c r="BL23" i="1"/>
  <c r="BJ46" i="1"/>
  <c r="BO41" i="1"/>
  <c r="CA17" i="1"/>
  <c r="CC18" i="1"/>
  <c r="CE45" i="1"/>
  <c r="BZ20" i="1"/>
  <c r="BU17" i="1"/>
  <c r="BQ29" i="1"/>
  <c r="BO17" i="1"/>
  <c r="CA38" i="1"/>
  <c r="BN32" i="1"/>
  <c r="CD16" i="1"/>
  <c r="BQ39" i="1"/>
  <c r="CE30" i="1"/>
  <c r="CK37" i="1"/>
  <c r="BP31" i="1"/>
  <c r="BO31" i="1"/>
  <c r="BQ35" i="1"/>
  <c r="BI34" i="1"/>
  <c r="BZ46" i="1"/>
  <c r="CK36" i="1"/>
  <c r="BY22" i="1"/>
  <c r="CA42" i="1"/>
  <c r="BH22" i="1"/>
  <c r="CE44" i="1"/>
  <c r="BJ41" i="1"/>
  <c r="CI40" i="1"/>
  <c r="BI26" i="1"/>
  <c r="BG41" i="1"/>
  <c r="BX30" i="1"/>
  <c r="BY26" i="1"/>
  <c r="BV18" i="1"/>
  <c r="BI25" i="1"/>
  <c r="CK31" i="1"/>
  <c r="BH46" i="1"/>
  <c r="BL29" i="1"/>
  <c r="BW30" i="1"/>
  <c r="BL28" i="1"/>
  <c r="BZ41" i="1"/>
  <c r="BJ36" i="1"/>
  <c r="CG23" i="1"/>
  <c r="BV40" i="1"/>
  <c r="BL44" i="1"/>
  <c r="BN25" i="1"/>
  <c r="BW29" i="1"/>
  <c r="BP38" i="1"/>
  <c r="CA33" i="1"/>
  <c r="BW22" i="1"/>
  <c r="BL41" i="1"/>
  <c r="CK40" i="1"/>
  <c r="BT35" i="1"/>
  <c r="BH21" i="1"/>
  <c r="CK32" i="1"/>
  <c r="CJ44" i="1"/>
  <c r="BP21" i="1"/>
  <c r="CF34" i="1"/>
  <c r="BV25" i="1"/>
  <c r="BU19" i="1"/>
  <c r="BQ45" i="1"/>
  <c r="BX28" i="1"/>
  <c r="BY19" i="1"/>
  <c r="BP29" i="1"/>
  <c r="BX29" i="1"/>
  <c r="BG18" i="1"/>
  <c r="BR36" i="1"/>
  <c r="CJ47" i="1"/>
  <c r="BO45" i="1"/>
  <c r="BX41" i="1"/>
  <c r="BL16" i="1"/>
  <c r="BG32" i="1"/>
  <c r="BR16" i="1"/>
  <c r="BN17" i="1"/>
  <c r="BZ44" i="1"/>
  <c r="BX43" i="1"/>
  <c r="BV27" i="1"/>
  <c r="BK32" i="1"/>
  <c r="BU20" i="1"/>
  <c r="BQ38" i="1"/>
  <c r="BH33" i="1"/>
  <c r="BJ44" i="1"/>
  <c r="BS43" i="1"/>
  <c r="CC35" i="1"/>
  <c r="CJ23" i="1"/>
  <c r="CB41" i="1"/>
  <c r="BH36" i="1"/>
  <c r="CH45" i="1"/>
  <c r="CA24" i="1"/>
  <c r="CA25" i="1"/>
  <c r="CG41" i="1"/>
  <c r="BX24" i="1"/>
  <c r="CC17" i="1"/>
  <c r="BI35" i="1"/>
  <c r="CC44" i="1"/>
  <c r="BT21" i="1"/>
  <c r="BP20" i="1"/>
  <c r="BI24" i="1"/>
  <c r="BM24" i="1"/>
  <c r="CA21" i="1"/>
  <c r="BG30" i="1"/>
  <c r="BQ21" i="1"/>
  <c r="BP35" i="1"/>
  <c r="BV26" i="1"/>
  <c r="BN30" i="1"/>
  <c r="BU28" i="1"/>
  <c r="CI20" i="1"/>
  <c r="BS23" i="1"/>
  <c r="CC40" i="1"/>
  <c r="BM39" i="1"/>
  <c r="CE42" i="1"/>
  <c r="BV24" i="1"/>
  <c r="BH30" i="1"/>
  <c r="CJ42" i="1"/>
  <c r="BS31" i="1"/>
  <c r="BR45" i="1"/>
  <c r="BQ34" i="1"/>
  <c r="BO43" i="1"/>
  <c r="BO40" i="1"/>
  <c r="BR39" i="1"/>
  <c r="BT26" i="1"/>
  <c r="CF33" i="1"/>
  <c r="BI40" i="1"/>
  <c r="CA19" i="1"/>
  <c r="BJ17" i="1"/>
  <c r="CF20" i="1"/>
  <c r="CI30" i="1"/>
  <c r="BP40" i="1"/>
  <c r="CC31" i="1"/>
  <c r="BN33" i="1"/>
  <c r="BM37" i="1"/>
  <c r="BP34" i="1"/>
  <c r="CA44" i="1"/>
  <c r="BM31" i="1"/>
  <c r="BW18" i="1"/>
  <c r="BW37" i="1"/>
  <c r="CB43" i="1"/>
  <c r="CD46" i="1"/>
  <c r="BK22" i="1"/>
  <c r="BI42" i="1"/>
  <c r="CA30" i="1"/>
  <c r="CB40" i="1"/>
  <c r="BG31" i="1"/>
  <c r="BS38" i="1"/>
  <c r="CB21" i="1"/>
  <c r="BH23" i="1"/>
  <c r="BH28" i="1"/>
  <c r="BI32" i="1"/>
  <c r="BN26" i="1"/>
  <c r="BR21" i="1"/>
  <c r="CE29" i="1"/>
  <c r="BL45" i="1"/>
  <c r="BQ28" i="1"/>
  <c r="BQ20" i="1"/>
  <c r="BW24" i="1"/>
  <c r="CA39" i="1"/>
  <c r="CD22" i="1"/>
  <c r="CG47" i="1"/>
  <c r="BN31" i="1"/>
  <c r="CE39" i="1"/>
  <c r="BN40" i="1"/>
  <c r="BU23" i="1"/>
  <c r="BN45" i="1"/>
  <c r="BX36" i="1"/>
  <c r="BK30" i="1"/>
  <c r="BG35" i="1"/>
  <c r="BW42" i="1"/>
  <c r="BV41" i="1"/>
  <c r="BP23" i="1"/>
  <c r="BU42" i="1"/>
  <c r="BQ47" i="1"/>
  <c r="CB17" i="1"/>
  <c r="CI26" i="1"/>
  <c r="CF38" i="1"/>
  <c r="BG27" i="1"/>
  <c r="BN37" i="1"/>
  <c r="CK17" i="1"/>
  <c r="BU24" i="1"/>
  <c r="BT36" i="1"/>
  <c r="BU36" i="1"/>
  <c r="CA34" i="1"/>
  <c r="BJ22" i="1"/>
  <c r="BR20" i="1"/>
  <c r="BG45" i="1"/>
  <c r="CH17" i="1"/>
  <c r="CD21" i="1"/>
  <c r="CF28" i="1"/>
  <c r="CK25" i="1"/>
  <c r="CA40" i="1"/>
  <c r="CK33" i="1"/>
  <c r="BO38" i="1"/>
  <c r="BW19" i="1"/>
  <c r="BO30" i="1"/>
  <c r="BU34" i="1"/>
  <c r="CC27" i="1"/>
  <c r="CB18" i="1"/>
  <c r="BX47" i="1"/>
  <c r="CA43" i="1"/>
  <c r="BY28" i="1"/>
  <c r="CD17" i="1"/>
  <c r="CI24" i="1"/>
  <c r="CI32" i="1"/>
  <c r="BI39" i="1"/>
  <c r="BX18" i="1"/>
  <c r="BT46" i="1"/>
  <c r="BY42" i="1"/>
  <c r="CC26" i="1"/>
  <c r="BQ30" i="1"/>
  <c r="CJ22" i="1"/>
  <c r="BL39" i="1"/>
  <c r="BZ28" i="1"/>
  <c r="BH20" i="1"/>
  <c r="BZ24" i="1"/>
  <c r="BX39" i="1"/>
  <c r="BW41" i="1"/>
  <c r="BW23" i="1"/>
  <c r="CH39" i="1"/>
  <c r="CI47" i="1"/>
  <c r="BT32" i="1"/>
  <c r="BI43" i="1"/>
  <c r="CI33" i="1"/>
  <c r="BH35" i="1"/>
  <c r="BS22" i="1"/>
  <c r="CD36" i="1"/>
  <c r="BZ19" i="1"/>
  <c r="CJ43" i="1"/>
  <c r="BV36" i="1"/>
  <c r="CE28" i="1"/>
  <c r="BZ43" i="1"/>
  <c r="BT34" i="1"/>
  <c r="CE21" i="1"/>
  <c r="BN43" i="1"/>
  <c r="BY21" i="1"/>
  <c r="BH41" i="1"/>
  <c r="CC20" i="1"/>
  <c r="BS35" i="1"/>
  <c r="BR41" i="1"/>
  <c r="BY37" i="1"/>
  <c r="BN21" i="1"/>
  <c r="BX27" i="1"/>
  <c r="BL34" i="1"/>
  <c r="BN27" i="1"/>
  <c r="BW25" i="1"/>
  <c r="BW34" i="1"/>
  <c r="CK39" i="1"/>
  <c r="CH36" i="1"/>
  <c r="CG37" i="1"/>
  <c r="CC23" i="1"/>
  <c r="CD28" i="1"/>
  <c r="BT45" i="1"/>
  <c r="BN47" i="1"/>
  <c r="BP18" i="1"/>
  <c r="BR19" i="1"/>
  <c r="CI42" i="1"/>
  <c r="BM27" i="1"/>
  <c r="BG19" i="1"/>
  <c r="CJ25" i="1"/>
  <c r="BL37" i="1"/>
  <c r="CK42" i="1"/>
  <c r="BK19" i="1"/>
  <c r="BT31" i="1"/>
  <c r="BK29" i="1"/>
  <c r="BI20" i="1"/>
  <c r="CD37" i="1"/>
  <c r="BV29" i="1"/>
  <c r="BG40" i="1"/>
  <c r="BS39" i="1"/>
  <c r="BI44" i="1"/>
  <c r="BJ32" i="1"/>
  <c r="BZ27" i="1"/>
  <c r="CK24" i="1"/>
  <c r="BS18" i="1"/>
  <c r="BJ29" i="1"/>
  <c r="CJ26" i="1"/>
  <c r="BK38" i="1"/>
  <c r="BH32" i="1"/>
  <c r="CA31" i="1"/>
  <c r="BY33" i="1"/>
  <c r="BR33" i="1"/>
  <c r="CE22" i="1"/>
  <c r="CE47" i="1"/>
  <c r="CA46" i="1"/>
  <c r="CA41" i="1"/>
  <c r="CK29" i="1"/>
  <c r="BO34" i="1"/>
  <c r="BY45" i="1"/>
  <c r="CG35" i="1"/>
  <c r="CJ35" i="1"/>
  <c r="BL24" i="1"/>
  <c r="BK33" i="1"/>
  <c r="BX46" i="1"/>
  <c r="BL25" i="1"/>
  <c r="CJ17" i="1"/>
  <c r="CB46" i="1"/>
  <c r="BQ33" i="1"/>
  <c r="BV28" i="1"/>
  <c r="BM32" i="1"/>
  <c r="BX38" i="1"/>
  <c r="CG39" i="1"/>
  <c r="BT23" i="1"/>
  <c r="BX37" i="1"/>
  <c r="CK45" i="1"/>
  <c r="BW28" i="1"/>
  <c r="CF39" i="1"/>
  <c r="BS33" i="1"/>
  <c r="CD30" i="1"/>
  <c r="CD29" i="1"/>
  <c r="CJ32" i="1"/>
  <c r="CC45" i="1"/>
  <c r="CH26" i="1"/>
  <c r="BN39" i="1"/>
  <c r="CC29" i="1"/>
  <c r="BV47" i="1"/>
  <c r="BL42" i="1"/>
  <c r="BP27" i="1"/>
  <c r="BI38" i="1"/>
  <c r="BZ32" i="1"/>
  <c r="BZ22" i="1"/>
  <c r="BZ33" i="1"/>
  <c r="BH43" i="1"/>
  <c r="BR42" i="1"/>
  <c r="BL20" i="1"/>
  <c r="CJ29" i="1"/>
  <c r="BG29" i="1"/>
  <c r="CK30" i="1"/>
  <c r="CK26" i="1"/>
  <c r="CG25" i="1"/>
  <c r="CH40" i="1"/>
  <c r="BL17" i="1"/>
  <c r="BR29" i="1"/>
  <c r="BQ24" i="1"/>
  <c r="BH40" i="1"/>
  <c r="CK22" i="1"/>
  <c r="CC22" i="1"/>
  <c r="BL46" i="1"/>
  <c r="CD24" i="1"/>
  <c r="BZ18" i="1"/>
  <c r="BV19" i="1"/>
  <c r="BK43" i="1"/>
  <c r="BQ23" i="1"/>
  <c r="BW39" i="1"/>
  <c r="CJ40" i="1"/>
  <c r="BM17" i="1"/>
  <c r="CH32" i="1"/>
  <c r="BR17" i="1"/>
  <c r="CA27" i="1"/>
  <c r="CB29" i="1"/>
  <c r="BR35" i="1"/>
  <c r="CA28" i="1"/>
  <c r="CG32" i="1"/>
  <c r="CH19" i="1"/>
  <c r="BY36" i="1"/>
  <c r="CD41" i="1"/>
  <c r="BJ38" i="1"/>
  <c r="BO46" i="1"/>
  <c r="BI17" i="1"/>
  <c r="BN29" i="1"/>
  <c r="BJ40" i="1"/>
  <c r="BZ37" i="1"/>
  <c r="BW44" i="1"/>
  <c r="BN35" i="1"/>
  <c r="BL33" i="1"/>
  <c r="BO44" i="1"/>
  <c r="BJ43" i="1"/>
  <c r="BK42" i="1"/>
  <c r="BP30" i="1"/>
  <c r="CJ21" i="1"/>
  <c r="BI41" i="1"/>
  <c r="BK39" i="1"/>
  <c r="BQ46" i="1"/>
  <c r="BX17" i="1"/>
  <c r="BM26" i="1"/>
  <c r="BG38" i="1"/>
  <c r="BR44" i="1"/>
  <c r="BK18" i="1"/>
  <c r="BV34" i="1"/>
  <c r="BY31" i="1"/>
  <c r="BO35" i="1"/>
  <c r="BP36" i="1"/>
  <c r="BX42" i="1"/>
  <c r="BJ34" i="1"/>
  <c r="BN20" i="1"/>
  <c r="CG46" i="1"/>
  <c r="BL43" i="1"/>
  <c r="BZ47" i="1"/>
  <c r="BY30" i="1"/>
  <c r="CD47" i="1"/>
  <c r="CA45" i="1"/>
  <c r="CF46" i="1"/>
  <c r="CA29" i="1"/>
  <c r="CA20" i="1"/>
  <c r="BU40" i="1"/>
  <c r="BP46" i="1"/>
  <c r="BL30" i="1"/>
  <c r="BL32" i="1"/>
  <c r="BG20" i="1"/>
  <c r="BR22" i="1"/>
  <c r="CG26" i="1"/>
  <c r="BO26" i="1"/>
  <c r="BQ36" i="1"/>
  <c r="BU35" i="1"/>
  <c r="BS42" i="1"/>
  <c r="CH18" i="1"/>
  <c r="CB26" i="1"/>
  <c r="CJ31" i="1"/>
  <c r="CB27" i="1"/>
  <c r="CJ18" i="1"/>
  <c r="CH27" i="1"/>
  <c r="BI36" i="1"/>
  <c r="BQ19" i="1"/>
  <c r="BO32" i="1"/>
  <c r="BS47" i="1"/>
  <c r="BL19" i="1"/>
  <c r="CE36" i="1"/>
  <c r="CK23" i="1"/>
  <c r="BG36" i="1"/>
  <c r="BN42" i="1"/>
  <c r="BO29" i="1"/>
  <c r="CD34" i="1"/>
  <c r="BK27" i="1"/>
  <c r="BR30" i="1"/>
  <c r="BL31" i="1"/>
  <c r="BT43" i="1"/>
  <c r="CI31" i="1"/>
  <c r="CA35" i="1"/>
  <c r="CK38" i="1"/>
  <c r="BY20" i="1"/>
  <c r="CJ19" i="1"/>
  <c r="BW35" i="1"/>
  <c r="BU44" i="1"/>
  <c r="CK20" i="1"/>
  <c r="CD27" i="1"/>
  <c r="CF40" i="1"/>
  <c r="BV22" i="1"/>
  <c r="CC28" i="1"/>
  <c r="BJ23" i="1"/>
  <c r="BS21" i="1"/>
  <c r="BJ30" i="1"/>
  <c r="BP41" i="1"/>
  <c r="BK31" i="1"/>
  <c r="BO28" i="1"/>
  <c r="CE25" i="1"/>
  <c r="CB24" i="1"/>
  <c r="BV37" i="1"/>
  <c r="CJ30" i="1"/>
  <c r="CF17" i="1"/>
  <c r="CF22" i="1"/>
  <c r="BZ39" i="1"/>
  <c r="BH37" i="1"/>
  <c r="BS41" i="1"/>
  <c r="BW27" i="1"/>
  <c r="CI21" i="1"/>
  <c r="BM40" i="1"/>
  <c r="BQ44" i="1"/>
  <c r="BJ31" i="1"/>
  <c r="BW20" i="1"/>
  <c r="CE32" i="1"/>
  <c r="BG34" i="1"/>
  <c r="BT18" i="1"/>
  <c r="CJ33" i="1"/>
  <c r="CG36" i="1"/>
  <c r="CA32" i="1"/>
  <c r="CH46" i="1"/>
  <c r="CD26" i="1"/>
  <c r="CE31" i="1"/>
  <c r="BW46" i="1"/>
  <c r="BT39" i="1"/>
  <c r="CC37" i="1"/>
  <c r="CE43" i="1"/>
  <c r="BV17" i="1"/>
  <c r="CF37" i="1"/>
  <c r="BG28" i="1"/>
  <c r="BT47" i="1"/>
  <c r="BT20" i="1"/>
  <c r="BQ42" i="1"/>
  <c r="CD23" i="1"/>
  <c r="CG44" i="1"/>
  <c r="BH44" i="1"/>
  <c r="CF21" i="1"/>
  <c r="BX20" i="1"/>
  <c r="BZ38" i="1"/>
  <c r="CH25" i="1"/>
  <c r="BG37" i="1"/>
  <c r="BM45" i="1"/>
  <c r="CG33" i="1"/>
  <c r="BV46" i="1"/>
  <c r="BO21" i="1"/>
  <c r="CB44" i="1"/>
  <c r="CH35" i="1"/>
  <c r="CF44" i="1"/>
  <c r="BR23" i="1"/>
  <c r="CI19" i="1"/>
  <c r="BQ18" i="1"/>
  <c r="CD32" i="1"/>
  <c r="CJ36" i="1"/>
  <c r="BQ22" i="1"/>
  <c r="BU25" i="1"/>
  <c r="BW21" i="1"/>
  <c r="CC36" i="1"/>
  <c r="BN38" i="1"/>
  <c r="BN34" i="1"/>
  <c r="BZ21" i="1"/>
  <c r="CD33" i="1"/>
  <c r="CI28" i="1"/>
  <c r="BX26" i="1"/>
  <c r="CI35" i="1"/>
  <c r="BW45" i="1"/>
  <c r="CI27" i="1"/>
  <c r="CH38" i="1"/>
  <c r="CF23" i="1"/>
  <c r="BX19" i="1"/>
  <c r="BT41" i="1"/>
  <c r="CC43" i="1"/>
  <c r="BM35" i="1"/>
  <c r="BS40" i="1"/>
  <c r="CE20" i="1"/>
  <c r="BY47" i="1"/>
  <c r="BG46" i="1"/>
  <c r="CG27" i="1"/>
  <c r="BY40" i="1"/>
  <c r="BZ34" i="1"/>
  <c r="BK25" i="1"/>
  <c r="CF36" i="1"/>
  <c r="CF19" i="1"/>
  <c r="CG28" i="1"/>
  <c r="CF35" i="1"/>
  <c r="BT24" i="1"/>
  <c r="BH39" i="1"/>
  <c r="BU38" i="1"/>
  <c r="CB32" i="1"/>
  <c r="BV45" i="1"/>
  <c r="CI36" i="1"/>
  <c r="BR31" i="1"/>
  <c r="BJ42" i="1"/>
  <c r="CK18" i="1"/>
  <c r="CI38" i="1"/>
  <c r="BY17" i="1"/>
  <c r="CE33" i="1"/>
  <c r="CG30" i="1"/>
  <c r="BV35" i="1"/>
  <c r="BO47" i="1"/>
  <c r="CG31" i="1"/>
  <c r="BO33" i="1"/>
  <c r="CE17" i="1"/>
  <c r="CD20" i="1"/>
  <c r="CG17" i="1"/>
  <c r="CF29" i="1"/>
  <c r="BX44" i="1"/>
  <c r="BH38" i="1"/>
  <c r="BL40" i="1"/>
  <c r="BO20" i="1"/>
  <c r="BR18" i="1"/>
  <c r="CC30" i="1"/>
  <c r="CC24" i="1"/>
  <c r="BG47" i="1"/>
  <c r="BI28" i="1"/>
  <c r="BW26" i="1"/>
  <c r="CK19" i="1"/>
  <c r="CD43" i="1"/>
  <c r="BI31" i="1"/>
  <c r="BJ33" i="1"/>
  <c r="BH27" i="1"/>
  <c r="CF30" i="1"/>
  <c r="CA26" i="1"/>
  <c r="BO19" i="1"/>
  <c r="CE34" i="1"/>
  <c r="CC41" i="1"/>
  <c r="BK24" i="1"/>
  <c r="BN36" i="1"/>
  <c r="BN46" i="1"/>
  <c r="CH24" i="1"/>
  <c r="CJ28" i="1"/>
  <c r="CK35" i="1"/>
  <c r="BW31" i="1"/>
  <c r="BU41" i="1"/>
  <c r="CI39" i="1"/>
  <c r="BO23" i="1"/>
  <c r="CD44" i="1"/>
  <c r="BQ37" i="1"/>
  <c r="BM18" i="1"/>
  <c r="BO42" i="1"/>
  <c r="CD42" i="1"/>
  <c r="BJ24" i="1"/>
  <c r="BV44" i="1"/>
  <c r="CI18" i="1"/>
  <c r="CB30" i="1"/>
  <c r="CG21" i="1"/>
  <c r="BT40" i="1"/>
  <c r="CG19" i="1"/>
  <c r="CF18" i="1"/>
  <c r="CG22" i="1"/>
  <c r="CG40" i="1"/>
  <c r="CE37" i="1"/>
  <c r="CE19" i="1"/>
  <c r="CE38" i="1"/>
  <c r="CI29" i="1"/>
  <c r="CF24" i="1"/>
  <c r="CE35" i="1"/>
  <c r="BH19" i="1"/>
  <c r="BO22" i="1"/>
  <c r="CA47" i="1"/>
  <c r="CF26" i="1"/>
  <c r="BQ41" i="1"/>
  <c r="BM33" i="1"/>
  <c r="BI22" i="1"/>
  <c r="CF27" i="1"/>
  <c r="BM30" i="1"/>
  <c r="CH33" i="1"/>
  <c r="CB28" i="1"/>
  <c r="BH47" i="1"/>
  <c r="BO36" i="1"/>
  <c r="BI46" i="1"/>
  <c r="BZ23" i="1"/>
  <c r="BY46" i="1"/>
  <c r="CH42" i="1"/>
  <c r="BJ47" i="1"/>
  <c r="CJ24" i="1"/>
  <c r="CK21" i="1"/>
  <c r="BR34" i="1"/>
  <c r="CB34" i="1"/>
  <c r="BY23" i="1"/>
  <c r="BU22" i="1"/>
  <c r="BP19" i="1"/>
  <c r="BQ32" i="1"/>
  <c r="BK40" i="1"/>
  <c r="BN41" i="1"/>
  <c r="CB33" i="1"/>
  <c r="BU29" i="1"/>
  <c r="BZ40" i="1"/>
  <c r="BJ45" i="1"/>
  <c r="BZ42" i="1"/>
  <c r="CG24" i="1"/>
  <c r="CK28" i="1"/>
  <c r="CH29" i="1"/>
  <c r="CD25" i="1"/>
  <c r="CI22" i="1"/>
  <c r="BK26" i="1"/>
  <c r="BS45" i="1"/>
  <c r="CJ39" i="1"/>
  <c r="CC34" i="1"/>
  <c r="BV39" i="1"/>
  <c r="CF47" i="1"/>
  <c r="BV42" i="1"/>
  <c r="CF31" i="1"/>
  <c r="BQ31" i="1"/>
  <c r="CF45" i="1"/>
  <c r="CG18" i="1"/>
  <c r="CG20" i="1"/>
  <c r="CD45" i="1"/>
  <c r="BK28" i="1"/>
  <c r="BM42" i="1"/>
  <c r="CG38" i="1"/>
  <c r="BP28" i="1"/>
  <c r="BK37" i="1"/>
  <c r="BX45" i="1"/>
  <c r="CA18" i="1"/>
  <c r="BG44" i="1"/>
  <c r="BP44" i="1"/>
  <c r="BK47" i="1"/>
  <c r="BI23" i="1"/>
  <c r="CE26" i="1"/>
  <c r="BM25" i="1"/>
  <c r="BL26" i="1"/>
  <c r="BJ37" i="1"/>
  <c r="BH34" i="1"/>
  <c r="BR32" i="1"/>
  <c r="BR37" i="1"/>
  <c r="BX23" i="1"/>
  <c r="BH25" i="1"/>
  <c r="BI45" i="1"/>
  <c r="BS17" i="1"/>
  <c r="BN28" i="1"/>
  <c r="CB19" i="1"/>
  <c r="BR40" i="1"/>
  <c r="BQ17" i="1"/>
  <c r="CE18" i="1"/>
  <c r="BZ30" i="1"/>
  <c r="CG29" i="1"/>
  <c r="CH22" i="1"/>
  <c r="BI33" i="1"/>
  <c r="BJ26" i="1"/>
  <c r="BM47" i="1"/>
  <c r="BM29" i="1"/>
  <c r="CM16" i="1" l="1" a="1"/>
  <c r="DG19" i="1" l="1"/>
  <c r="CO38" i="1"/>
  <c r="DP21" i="1"/>
  <c r="CZ30" i="1"/>
  <c r="CO19" i="1"/>
  <c r="CX43" i="1"/>
  <c r="DD31" i="1"/>
  <c r="CV25" i="1"/>
  <c r="DL25" i="1"/>
  <c r="CY38" i="1"/>
  <c r="CQ35" i="1"/>
  <c r="DK46" i="1"/>
  <c r="DA28" i="1"/>
  <c r="DI24" i="1"/>
  <c r="CO43" i="1"/>
  <c r="DP23" i="1"/>
  <c r="DO47" i="1"/>
  <c r="DF44" i="1"/>
  <c r="DE25" i="1"/>
  <c r="CO36" i="1"/>
  <c r="CR42" i="1"/>
  <c r="CN38" i="1"/>
  <c r="CT25" i="1"/>
  <c r="CS29" i="1"/>
  <c r="CP19" i="1"/>
  <c r="DL40" i="1"/>
  <c r="CP37" i="1"/>
  <c r="DB45" i="1"/>
  <c r="DF41" i="1"/>
  <c r="DM35" i="1"/>
  <c r="DP26" i="1"/>
  <c r="CV28" i="1"/>
  <c r="DE22" i="1"/>
  <c r="CX27" i="1"/>
  <c r="CP34" i="1"/>
  <c r="DR17" i="1"/>
  <c r="CZ42" i="1"/>
  <c r="DI25" i="1"/>
  <c r="DQ33" i="1"/>
  <c r="DI43" i="1"/>
  <c r="CW33" i="1"/>
  <c r="CY26" i="1"/>
  <c r="DH35" i="1"/>
  <c r="DQ38" i="1"/>
  <c r="DR36" i="1"/>
  <c r="DF27" i="1"/>
  <c r="DO25" i="1"/>
  <c r="CP36" i="1"/>
  <c r="DK38" i="1"/>
  <c r="DA46" i="1"/>
  <c r="CU27" i="1"/>
  <c r="CV17" i="1"/>
  <c r="DK45" i="1"/>
  <c r="DD24" i="1"/>
  <c r="DR19" i="1"/>
  <c r="CN42" i="1"/>
  <c r="DK37" i="1"/>
  <c r="CY24" i="1"/>
  <c r="DE47" i="1"/>
  <c r="CN20" i="1"/>
  <c r="DL19" i="1"/>
  <c r="DJ47" i="1"/>
  <c r="DB47" i="1"/>
  <c r="DO29" i="1"/>
  <c r="DO26" i="1"/>
  <c r="DF18" i="1"/>
  <c r="CP39" i="1"/>
  <c r="CP20" i="1"/>
  <c r="DK16" i="1"/>
  <c r="CR35" i="1"/>
  <c r="CN19" i="1"/>
  <c r="DN29" i="1"/>
  <c r="DO30" i="1"/>
  <c r="CQ37" i="1"/>
  <c r="DQ19" i="1"/>
  <c r="DH39" i="1"/>
  <c r="CS30" i="1"/>
  <c r="DL16" i="1"/>
  <c r="CQ33" i="1"/>
  <c r="DF36" i="1"/>
  <c r="CV38" i="1"/>
  <c r="DF24" i="1"/>
  <c r="CO34" i="1"/>
  <c r="DO39" i="1"/>
  <c r="DJ42" i="1"/>
  <c r="DL38" i="1"/>
  <c r="DF39" i="1"/>
  <c r="DN46" i="1"/>
  <c r="DM22" i="1"/>
  <c r="CU25" i="1"/>
  <c r="DE43" i="1"/>
  <c r="DA19" i="1"/>
  <c r="CX34" i="1"/>
  <c r="DQ37" i="1"/>
  <c r="CR46" i="1"/>
  <c r="DP46" i="1"/>
  <c r="CW41" i="1"/>
  <c r="DH22" i="1"/>
  <c r="DF22" i="1"/>
  <c r="CU44" i="1"/>
  <c r="DJ26" i="1"/>
  <c r="DG21" i="1"/>
  <c r="CX21" i="1"/>
  <c r="CX32" i="1"/>
  <c r="CT23" i="1"/>
  <c r="CR21" i="1"/>
  <c r="DQ16" i="1"/>
  <c r="DH38" i="1"/>
  <c r="CW42" i="1"/>
  <c r="DR44" i="1"/>
  <c r="CU41" i="1"/>
  <c r="CW21" i="1"/>
  <c r="DP19" i="1"/>
  <c r="DA37" i="1"/>
  <c r="CP31" i="1"/>
  <c r="CV22" i="1"/>
  <c r="CV39" i="1"/>
  <c r="DD34" i="1"/>
  <c r="DR22" i="1"/>
  <c r="DB24" i="1"/>
  <c r="DN17" i="1"/>
  <c r="DQ42" i="1"/>
  <c r="DB16" i="1"/>
  <c r="DJ30" i="1"/>
  <c r="DF35" i="1"/>
  <c r="DE24" i="1"/>
  <c r="DC36" i="1"/>
  <c r="DI35" i="1"/>
  <c r="DO36" i="1"/>
  <c r="CQ45" i="1"/>
  <c r="DJ46" i="1"/>
  <c r="CM41" i="1"/>
  <c r="CY28" i="1"/>
  <c r="CO21" i="1"/>
  <c r="CX38" i="1"/>
  <c r="DF30" i="1"/>
  <c r="DC33" i="1"/>
  <c r="DQ25" i="1"/>
  <c r="DB44" i="1"/>
  <c r="DA26" i="1"/>
  <c r="CN30" i="1"/>
  <c r="CZ37" i="1"/>
  <c r="CP24" i="1"/>
  <c r="CY27" i="1"/>
  <c r="DI28" i="1"/>
  <c r="DG47" i="1"/>
  <c r="DP25" i="1"/>
  <c r="CU46" i="1"/>
  <c r="DO28" i="1"/>
  <c r="DA31" i="1"/>
  <c r="DK31" i="1"/>
  <c r="DP18" i="1"/>
  <c r="CO39" i="1"/>
  <c r="DD33" i="1"/>
  <c r="CU33" i="1"/>
  <c r="DM23" i="1"/>
  <c r="DM32" i="1"/>
  <c r="DG42" i="1"/>
  <c r="CT29" i="1"/>
  <c r="CU21" i="1"/>
  <c r="DA29" i="1"/>
  <c r="DG39" i="1"/>
  <c r="CQ36" i="1"/>
  <c r="DB35" i="1"/>
  <c r="CT35" i="1"/>
  <c r="CY23" i="1"/>
  <c r="DC45" i="1"/>
  <c r="CN22" i="1"/>
  <c r="CQ22" i="1"/>
  <c r="CT17" i="1"/>
  <c r="DM46" i="1"/>
  <c r="CV43" i="1"/>
  <c r="DM19" i="1"/>
  <c r="CQ21" i="1"/>
  <c r="DA42" i="1"/>
  <c r="CR44" i="1"/>
  <c r="DP28" i="1"/>
  <c r="DQ20" i="1"/>
  <c r="CX41" i="1"/>
  <c r="DH40" i="1"/>
  <c r="CX45" i="1"/>
  <c r="CU35" i="1"/>
  <c r="CZ22" i="1"/>
  <c r="DL17" i="1"/>
  <c r="DF20" i="1"/>
  <c r="DM37" i="1"/>
  <c r="DK40" i="1"/>
  <c r="DP31" i="1"/>
  <c r="CM16" i="1"/>
  <c r="DI38" i="1"/>
  <c r="DO37" i="1"/>
  <c r="CU20" i="1"/>
  <c r="CN25" i="1"/>
  <c r="CT36" i="1"/>
  <c r="DR41" i="1"/>
  <c r="CZ38" i="1"/>
  <c r="DO22" i="1"/>
  <c r="CW36" i="1"/>
  <c r="CN45" i="1"/>
  <c r="DF17" i="1"/>
  <c r="DQ21" i="1"/>
  <c r="CR45" i="1"/>
  <c r="DP42" i="1"/>
  <c r="CX44" i="1"/>
  <c r="DA16" i="1"/>
  <c r="DD18" i="1"/>
  <c r="CM32" i="1"/>
  <c r="DH26" i="1"/>
  <c r="DN45" i="1"/>
  <c r="DN41" i="1"/>
  <c r="DL37" i="1"/>
  <c r="DG28" i="1"/>
  <c r="DG26" i="1"/>
  <c r="DD17" i="1"/>
  <c r="CU32" i="1"/>
  <c r="DE16" i="1"/>
  <c r="CO26" i="1"/>
  <c r="CU40" i="1"/>
  <c r="DG31" i="1"/>
  <c r="CP28" i="1"/>
  <c r="DP20" i="1"/>
  <c r="DF29" i="1"/>
  <c r="DG32" i="1"/>
  <c r="DA17" i="1"/>
  <c r="DF46" i="1"/>
  <c r="DG33" i="1"/>
  <c r="DD39" i="1"/>
  <c r="DM21" i="1"/>
  <c r="CM33" i="1"/>
  <c r="DJ37" i="1"/>
  <c r="DO27" i="1"/>
  <c r="CU39" i="1"/>
  <c r="DM36" i="1"/>
  <c r="CS43" i="1"/>
  <c r="DJ38" i="1"/>
  <c r="DB46" i="1"/>
  <c r="DO24" i="1"/>
  <c r="DD47" i="1"/>
  <c r="DE35" i="1"/>
  <c r="CS35" i="1"/>
  <c r="DJ27" i="1"/>
  <c r="CN26" i="1"/>
  <c r="CP42" i="1"/>
  <c r="CQ23" i="1"/>
  <c r="CT21" i="1"/>
  <c r="DO33" i="1"/>
  <c r="DJ39" i="1"/>
  <c r="DI20" i="1"/>
  <c r="CQ41" i="1"/>
  <c r="DB43" i="1"/>
  <c r="DR43" i="1"/>
  <c r="CM25" i="1"/>
  <c r="DM18" i="1"/>
  <c r="DG20" i="1"/>
  <c r="DJ29" i="1"/>
  <c r="DF40" i="1"/>
  <c r="DA27" i="1"/>
  <c r="CO42" i="1"/>
  <c r="CS32" i="1"/>
  <c r="DB39" i="1"/>
  <c r="CM40" i="1"/>
  <c r="CO47" i="1"/>
  <c r="CT18" i="1"/>
  <c r="DH16" i="1"/>
  <c r="CP26" i="1"/>
  <c r="CP22" i="1"/>
  <c r="DQ41" i="1"/>
  <c r="DO23" i="1"/>
  <c r="DJ44" i="1"/>
  <c r="CZ24" i="1"/>
  <c r="DK28" i="1"/>
  <c r="DN35" i="1"/>
  <c r="DC31" i="1"/>
  <c r="CN31" i="1"/>
  <c r="CM24" i="1"/>
  <c r="DA18" i="1"/>
  <c r="DH33" i="1"/>
  <c r="CS27" i="1"/>
  <c r="DQ46" i="1"/>
  <c r="DP34" i="1"/>
  <c r="DN47" i="1"/>
  <c r="DD30" i="1"/>
  <c r="DC21" i="1"/>
  <c r="CW37" i="1"/>
  <c r="CR27" i="1"/>
  <c r="DN32" i="1"/>
  <c r="CZ47" i="1"/>
  <c r="CZ34" i="1"/>
  <c r="DA43" i="1"/>
  <c r="DQ45" i="1"/>
  <c r="DJ40" i="1"/>
  <c r="DB19" i="1"/>
  <c r="DE31" i="1"/>
  <c r="DB33" i="1"/>
  <c r="CU31" i="1"/>
  <c r="CO29" i="1"/>
  <c r="CY39" i="1"/>
  <c r="CP44" i="1"/>
  <c r="CS24" i="1"/>
  <c r="DN36" i="1"/>
  <c r="DI33" i="1"/>
  <c r="CZ40" i="1"/>
  <c r="CV42" i="1"/>
  <c r="DD38" i="1"/>
  <c r="CN24" i="1"/>
  <c r="DE18" i="1"/>
  <c r="DA20" i="1"/>
  <c r="DG46" i="1"/>
  <c r="CO17" i="1"/>
  <c r="DK19" i="1"/>
  <c r="DC18" i="1"/>
  <c r="CW38" i="1"/>
  <c r="CP38" i="1"/>
  <c r="DM34" i="1"/>
  <c r="DK47" i="1"/>
  <c r="DO16" i="1"/>
  <c r="DM24" i="1"/>
  <c r="CU36" i="1"/>
  <c r="DC44" i="1"/>
  <c r="CN16" i="1"/>
  <c r="DM20" i="1"/>
  <c r="DG17" i="1"/>
  <c r="DI23" i="1"/>
  <c r="DQ39" i="1"/>
  <c r="DM38" i="1"/>
  <c r="DG25" i="1"/>
  <c r="CS37" i="1"/>
  <c r="DR47" i="1"/>
  <c r="CX25" i="1"/>
  <c r="CV41" i="1"/>
  <c r="DF21" i="1"/>
  <c r="CO44" i="1"/>
  <c r="DM45" i="1"/>
  <c r="CY36" i="1"/>
  <c r="DH41" i="1"/>
  <c r="DQ22" i="1"/>
  <c r="CV29" i="1"/>
  <c r="CS31" i="1"/>
  <c r="CZ16" i="1"/>
  <c r="CW45" i="1"/>
  <c r="DN18" i="1"/>
  <c r="DR31" i="1"/>
  <c r="DM47" i="1"/>
  <c r="DQ31" i="1"/>
  <c r="CR47" i="1"/>
  <c r="DI22" i="1"/>
  <c r="CO46" i="1"/>
  <c r="CW16" i="1"/>
  <c r="DD46" i="1"/>
  <c r="DP32" i="1"/>
  <c r="CV30" i="1"/>
  <c r="CX20" i="1"/>
  <c r="CT39" i="1"/>
  <c r="DE44" i="1"/>
  <c r="CT20" i="1"/>
  <c r="DG30" i="1"/>
  <c r="CS22" i="1"/>
  <c r="DL42" i="1"/>
  <c r="CR17" i="1"/>
  <c r="CT33" i="1"/>
  <c r="DF16" i="1"/>
  <c r="DQ28" i="1"/>
  <c r="CO45" i="1"/>
  <c r="CZ17" i="1"/>
  <c r="DM39" i="1"/>
  <c r="DH24" i="1"/>
  <c r="CZ25" i="1"/>
  <c r="CV32" i="1"/>
  <c r="CW18" i="1"/>
  <c r="CZ21" i="1"/>
  <c r="DP43" i="1"/>
  <c r="DH37" i="1"/>
  <c r="CO22" i="1"/>
  <c r="DK18" i="1"/>
  <c r="DM26" i="1"/>
  <c r="DG37" i="1"/>
  <c r="CZ19" i="1"/>
  <c r="CT31" i="1"/>
  <c r="DI30" i="1"/>
  <c r="CM43" i="1"/>
  <c r="DM42" i="1"/>
  <c r="CM21" i="1"/>
  <c r="CW19" i="1"/>
  <c r="DG29" i="1"/>
  <c r="CS39" i="1"/>
  <c r="DC30" i="1"/>
  <c r="DB32" i="1"/>
  <c r="CV47" i="1"/>
  <c r="CZ44" i="1"/>
  <c r="DR32" i="1"/>
  <c r="CS28" i="1"/>
  <c r="CU18" i="1"/>
  <c r="DJ25" i="1"/>
  <c r="DH29" i="1"/>
  <c r="DR16" i="1"/>
  <c r="CN21" i="1"/>
  <c r="CY20" i="1"/>
  <c r="DE17" i="1"/>
  <c r="DB26" i="1"/>
  <c r="DI27" i="1"/>
  <c r="DN42" i="1"/>
  <c r="DC27" i="1"/>
  <c r="DN22" i="1"/>
  <c r="DF19" i="1"/>
  <c r="DC20" i="1"/>
  <c r="DE33" i="1"/>
  <c r="DA32" i="1"/>
  <c r="DJ33" i="1"/>
  <c r="DR27" i="1"/>
  <c r="DH45" i="1"/>
  <c r="CM28" i="1"/>
  <c r="CZ20" i="1"/>
  <c r="CX24" i="1"/>
  <c r="DH42" i="1"/>
  <c r="DQ30" i="1"/>
  <c r="CY18" i="1"/>
  <c r="CQ32" i="1"/>
  <c r="DE37" i="1"/>
  <c r="CT38" i="1"/>
  <c r="CR34" i="1"/>
  <c r="DP35" i="1"/>
  <c r="DL36" i="1"/>
  <c r="CW29" i="1"/>
  <c r="CM29" i="1"/>
  <c r="CT42" i="1"/>
  <c r="DI36" i="1"/>
  <c r="DM17" i="1"/>
  <c r="DG43" i="1"/>
  <c r="CX29" i="1"/>
  <c r="CX23" i="1"/>
  <c r="CT16" i="1"/>
  <c r="CR38" i="1"/>
  <c r="CT43" i="1"/>
  <c r="DO20" i="1"/>
  <c r="DI26" i="1"/>
  <c r="DE34" i="1"/>
  <c r="CP29" i="1"/>
  <c r="DL43" i="1"/>
  <c r="CZ26" i="1"/>
  <c r="CR41" i="1"/>
  <c r="DM40" i="1"/>
  <c r="DN31" i="1"/>
  <c r="DL47" i="1"/>
  <c r="CY30" i="1"/>
  <c r="DN40" i="1"/>
  <c r="CY46" i="1"/>
  <c r="CV36" i="1"/>
  <c r="DI37" i="1"/>
  <c r="CQ16" i="1"/>
  <c r="DI18" i="1"/>
  <c r="CZ27" i="1"/>
  <c r="CP43" i="1"/>
  <c r="DC32" i="1"/>
  <c r="CU19" i="1"/>
  <c r="CN40" i="1"/>
  <c r="CV44" i="1"/>
  <c r="CO37" i="1"/>
  <c r="DC41" i="1"/>
  <c r="DO31" i="1"/>
  <c r="DI16" i="1"/>
  <c r="CY33" i="1"/>
  <c r="DD20" i="1"/>
  <c r="CW32" i="1"/>
  <c r="CZ31" i="1"/>
  <c r="CW27" i="1"/>
  <c r="DF33" i="1"/>
  <c r="CV35" i="1"/>
  <c r="DJ43" i="1"/>
  <c r="CS47" i="1"/>
  <c r="CP47" i="1"/>
  <c r="DF43" i="1"/>
  <c r="DI42" i="1"/>
  <c r="DH21" i="1"/>
  <c r="DL31" i="1"/>
  <c r="DB40" i="1"/>
  <c r="DR34" i="1"/>
  <c r="CQ18" i="1"/>
  <c r="DI41" i="1"/>
  <c r="CP17" i="1"/>
  <c r="DD37" i="1"/>
  <c r="CW26" i="1"/>
  <c r="DK39" i="1"/>
  <c r="DA44" i="1"/>
  <c r="CN17" i="1"/>
  <c r="DG41" i="1"/>
  <c r="CW39" i="1"/>
  <c r="DC35" i="1"/>
  <c r="DA25" i="1"/>
  <c r="DH28" i="1"/>
  <c r="DJ34" i="1"/>
  <c r="CT27" i="1"/>
  <c r="CN43" i="1"/>
  <c r="DF45" i="1"/>
  <c r="DD25" i="1"/>
  <c r="CU17" i="1"/>
  <c r="CQ28" i="1"/>
  <c r="DM33" i="1"/>
  <c r="DL23" i="1"/>
  <c r="CS38" i="1"/>
  <c r="DA41" i="1"/>
  <c r="CM23" i="1"/>
  <c r="CP18" i="1"/>
  <c r="DC38" i="1"/>
  <c r="CW43" i="1"/>
  <c r="DP45" i="1"/>
  <c r="DI32" i="1"/>
  <c r="DB20" i="1"/>
  <c r="DD26" i="1"/>
  <c r="CV27" i="1"/>
  <c r="DB22" i="1"/>
  <c r="CM22" i="1"/>
  <c r="CS17" i="1"/>
  <c r="DG40" i="1"/>
  <c r="CS20" i="1"/>
  <c r="CN27" i="1"/>
  <c r="DJ22" i="1"/>
  <c r="CX26" i="1"/>
  <c r="CM36" i="1"/>
  <c r="CT30" i="1"/>
  <c r="CM38" i="1"/>
  <c r="DF42" i="1"/>
  <c r="DP41" i="1"/>
  <c r="CX35" i="1"/>
  <c r="DL34" i="1"/>
  <c r="CR19" i="1"/>
  <c r="CR39" i="1"/>
  <c r="DE27" i="1"/>
  <c r="DK25" i="1"/>
  <c r="CM34" i="1"/>
  <c r="DH25" i="1"/>
  <c r="CR29" i="1"/>
  <c r="DJ32" i="1"/>
  <c r="DD45" i="1"/>
  <c r="DD28" i="1"/>
  <c r="DB25" i="1"/>
  <c r="CO25" i="1"/>
  <c r="DK26" i="1"/>
  <c r="DN21" i="1"/>
  <c r="DL22" i="1"/>
  <c r="DA22" i="1"/>
  <c r="CU34" i="1"/>
  <c r="CS42" i="1"/>
  <c r="CM17" i="1"/>
  <c r="DB18" i="1"/>
  <c r="DG27" i="1"/>
  <c r="DI45" i="1"/>
  <c r="CZ29" i="1"/>
  <c r="CQ43" i="1"/>
  <c r="DN27" i="1"/>
  <c r="DN23" i="1"/>
  <c r="CY22" i="1"/>
  <c r="CT40" i="1"/>
  <c r="DK30" i="1"/>
  <c r="CR20" i="1"/>
  <c r="DG45" i="1"/>
  <c r="DP30" i="1"/>
  <c r="CZ18" i="1"/>
  <c r="DF25" i="1"/>
  <c r="DA23" i="1"/>
  <c r="DB36" i="1"/>
  <c r="CQ17" i="1"/>
  <c r="CO41" i="1"/>
  <c r="CX46" i="1"/>
  <c r="DE28" i="1"/>
  <c r="DD35" i="1"/>
  <c r="CO28" i="1"/>
  <c r="CW44" i="1"/>
  <c r="DM30" i="1"/>
  <c r="DO21" i="1"/>
  <c r="CR30" i="1"/>
  <c r="DP27" i="1"/>
  <c r="CU45" i="1"/>
  <c r="DE42" i="1"/>
  <c r="CU16" i="1"/>
  <c r="DQ27" i="1"/>
  <c r="DA30" i="1"/>
  <c r="DR33" i="1"/>
  <c r="DL35" i="1"/>
  <c r="DA33" i="1"/>
  <c r="CQ34" i="1"/>
  <c r="CZ28" i="1"/>
  <c r="CN37" i="1"/>
  <c r="CM18" i="1"/>
  <c r="CZ43" i="1"/>
  <c r="DR20" i="1"/>
  <c r="DL45" i="1"/>
  <c r="DJ17" i="1"/>
  <c r="CV20" i="1"/>
  <c r="CP41" i="1"/>
  <c r="DK35" i="1"/>
  <c r="CZ39" i="1"/>
  <c r="DE32" i="1"/>
  <c r="CM44" i="1"/>
  <c r="DK27" i="1"/>
  <c r="DA45" i="1"/>
  <c r="CY25" i="1"/>
  <c r="DQ24" i="1"/>
  <c r="DK21" i="1"/>
  <c r="DP33" i="1"/>
  <c r="DM31" i="1"/>
  <c r="CY45" i="1"/>
  <c r="DB31" i="1"/>
  <c r="CT45" i="1"/>
  <c r="DI40" i="1"/>
  <c r="DH17" i="1"/>
  <c r="DN33" i="1"/>
  <c r="CP33" i="1"/>
  <c r="DI31" i="1"/>
  <c r="DC26" i="1"/>
  <c r="CX42" i="1"/>
  <c r="DL29" i="1"/>
  <c r="CR16" i="1"/>
  <c r="DC37" i="1"/>
  <c r="CR33" i="1"/>
  <c r="CW46" i="1"/>
  <c r="CW35" i="1"/>
  <c r="CY42" i="1"/>
  <c r="DM28" i="1"/>
  <c r="DN34" i="1"/>
  <c r="CN32" i="1"/>
  <c r="DL39" i="1"/>
  <c r="DE29" i="1"/>
  <c r="CP25" i="1"/>
  <c r="CZ23" i="1"/>
  <c r="DL27" i="1"/>
  <c r="DK43" i="1"/>
  <c r="DK33" i="1"/>
  <c r="DB17" i="1"/>
  <c r="DQ18" i="1"/>
  <c r="DE40" i="1"/>
  <c r="CW47" i="1"/>
  <c r="CQ46" i="1"/>
  <c r="DP44" i="1"/>
  <c r="CU38" i="1"/>
  <c r="DP17" i="1"/>
  <c r="CU26" i="1"/>
  <c r="DJ19" i="1"/>
  <c r="CS18" i="1"/>
  <c r="DJ21" i="1"/>
  <c r="DR18" i="1"/>
  <c r="CM31" i="1"/>
  <c r="DA47" i="1"/>
  <c r="CY40" i="1"/>
  <c r="DL32" i="1"/>
  <c r="DA40" i="1"/>
  <c r="DF38" i="1"/>
  <c r="DC23" i="1"/>
  <c r="DR29" i="1"/>
  <c r="DG22" i="1"/>
  <c r="DJ36" i="1"/>
  <c r="CX39" i="1"/>
  <c r="CM46" i="1"/>
  <c r="CT19" i="1"/>
  <c r="DR38" i="1"/>
  <c r="DN19" i="1"/>
  <c r="DF28" i="1"/>
  <c r="CX36" i="1"/>
  <c r="DQ32" i="1"/>
  <c r="DG36" i="1"/>
  <c r="DR46" i="1"/>
  <c r="CW17" i="1"/>
  <c r="CX47" i="1"/>
  <c r="DK41" i="1"/>
  <c r="DD23" i="1"/>
  <c r="DM25" i="1"/>
  <c r="CS41" i="1"/>
  <c r="DK32" i="1"/>
  <c r="CT47" i="1"/>
  <c r="CN44" i="1"/>
  <c r="DO35" i="1"/>
  <c r="DB27" i="1"/>
  <c r="DR42" i="1"/>
  <c r="CO23" i="1"/>
  <c r="DN28" i="1"/>
  <c r="CX33" i="1"/>
  <c r="DP36" i="1"/>
  <c r="DP40" i="1"/>
  <c r="DC19" i="1"/>
  <c r="CV45" i="1"/>
  <c r="DJ16" i="1"/>
  <c r="CX30" i="1"/>
  <c r="CO27" i="1"/>
  <c r="DD42" i="1"/>
  <c r="DC25" i="1"/>
  <c r="CR22" i="1"/>
  <c r="DB30" i="1"/>
  <c r="DD41" i="1"/>
  <c r="DF37" i="1"/>
  <c r="CU42" i="1"/>
  <c r="DO44" i="1"/>
  <c r="DQ34" i="1"/>
  <c r="CV24" i="1"/>
  <c r="CT32" i="1"/>
  <c r="CQ42" i="1"/>
  <c r="DF26" i="1"/>
  <c r="DG18" i="1"/>
  <c r="DB29" i="1"/>
  <c r="DH19" i="1"/>
  <c r="CQ25" i="1"/>
  <c r="DE36" i="1"/>
  <c r="DM44" i="1"/>
  <c r="CN18" i="1"/>
  <c r="DA21" i="1"/>
  <c r="DH32" i="1"/>
  <c r="DI46" i="1"/>
  <c r="DC17" i="1"/>
  <c r="DE38" i="1"/>
  <c r="CO18" i="1"/>
  <c r="CX22" i="1"/>
  <c r="CZ41" i="1"/>
  <c r="DG34" i="1"/>
  <c r="DL30" i="1"/>
  <c r="DQ17" i="1"/>
  <c r="DH47" i="1"/>
  <c r="CU28" i="1"/>
  <c r="DH31" i="1"/>
  <c r="DD36" i="1"/>
  <c r="DI19" i="1"/>
  <c r="CW30" i="1"/>
  <c r="DC39" i="1"/>
  <c r="DD21" i="1"/>
  <c r="CO33" i="1"/>
  <c r="CW22" i="1"/>
  <c r="CS26" i="1"/>
  <c r="CY47" i="1"/>
  <c r="CQ26" i="1"/>
  <c r="DE21" i="1"/>
  <c r="DI47" i="1"/>
  <c r="CM42" i="1"/>
  <c r="CW28" i="1"/>
  <c r="DK34" i="1"/>
  <c r="DQ35" i="1"/>
  <c r="CR36" i="1"/>
  <c r="CY21" i="1"/>
  <c r="CM37" i="1"/>
  <c r="DH46" i="1"/>
  <c r="DK42" i="1"/>
  <c r="CO40" i="1"/>
  <c r="DG16" i="1"/>
  <c r="DJ20" i="1"/>
  <c r="DH20" i="1"/>
  <c r="DQ44" i="1"/>
  <c r="CR26" i="1"/>
  <c r="DM41" i="1"/>
  <c r="DI17" i="1"/>
  <c r="CY43" i="1"/>
  <c r="DQ29" i="1"/>
  <c r="CW20" i="1"/>
  <c r="CV19" i="1"/>
  <c r="DG24" i="1"/>
  <c r="CY19" i="1"/>
  <c r="CP21" i="1"/>
  <c r="DN16" i="1"/>
  <c r="DE23" i="1"/>
  <c r="DC16" i="1"/>
  <c r="CY44" i="1"/>
  <c r="CY31" i="1"/>
  <c r="CU29" i="1"/>
  <c r="DE19" i="1"/>
  <c r="DK29" i="1"/>
  <c r="DB37" i="1"/>
  <c r="DE46" i="1"/>
  <c r="CY41" i="1"/>
  <c r="DO18" i="1"/>
  <c r="DE41" i="1"/>
  <c r="CR18" i="1"/>
  <c r="DP47" i="1"/>
  <c r="DJ18" i="1"/>
  <c r="CS25" i="1"/>
  <c r="CT44" i="1"/>
  <c r="DR40" i="1"/>
  <c r="DB41" i="1"/>
  <c r="CU24" i="1"/>
  <c r="DG35" i="1"/>
  <c r="DQ26" i="1"/>
  <c r="DR21" i="1"/>
  <c r="DL26" i="1"/>
  <c r="CR40" i="1"/>
  <c r="DA35" i="1"/>
  <c r="CR28" i="1"/>
  <c r="CY34" i="1"/>
  <c r="DN20" i="1"/>
  <c r="CT37" i="1"/>
  <c r="CW31" i="1"/>
  <c r="CX31" i="1"/>
  <c r="CU30" i="1"/>
  <c r="CP46" i="1"/>
  <c r="CV26" i="1"/>
  <c r="CT28" i="1"/>
  <c r="CS44" i="1"/>
  <c r="CP45" i="1"/>
  <c r="DN38" i="1"/>
  <c r="CT26" i="1"/>
  <c r="DA39" i="1"/>
  <c r="CP40" i="1"/>
  <c r="DN25" i="1"/>
  <c r="DO32" i="1"/>
  <c r="DI29" i="1"/>
  <c r="CS45" i="1"/>
  <c r="DP29" i="1"/>
  <c r="CS34" i="1"/>
  <c r="CM30" i="1"/>
  <c r="DN24" i="1"/>
  <c r="DC22" i="1"/>
  <c r="CO31" i="1"/>
  <c r="DJ31" i="1"/>
  <c r="DH43" i="1"/>
  <c r="CU37" i="1"/>
  <c r="DA36" i="1"/>
  <c r="DR24" i="1"/>
  <c r="DL21" i="1"/>
  <c r="CQ47" i="1"/>
  <c r="DB42" i="1"/>
  <c r="DB38" i="1"/>
  <c r="CQ30" i="1"/>
  <c r="DQ40" i="1"/>
  <c r="CQ29" i="1"/>
  <c r="DL28" i="1"/>
  <c r="CW25" i="1"/>
  <c r="DI44" i="1"/>
  <c r="DA38" i="1"/>
  <c r="CY37" i="1"/>
  <c r="CN23" i="1"/>
  <c r="DR30" i="1"/>
  <c r="CN33" i="1"/>
  <c r="CO24" i="1"/>
  <c r="DG44" i="1"/>
  <c r="DH36" i="1"/>
  <c r="CS36" i="1"/>
  <c r="CR24" i="1"/>
  <c r="DK36" i="1"/>
  <c r="DJ45" i="1"/>
  <c r="DK23" i="1"/>
  <c r="CP35" i="1"/>
  <c r="CZ46" i="1"/>
  <c r="DC29" i="1"/>
  <c r="DN44" i="1"/>
  <c r="CR25" i="1"/>
  <c r="DH18" i="1"/>
  <c r="DL20" i="1"/>
  <c r="CM47" i="1"/>
  <c r="DO45" i="1"/>
  <c r="CV34" i="1"/>
  <c r="CV46" i="1"/>
  <c r="DC42" i="1"/>
  <c r="DR37" i="1"/>
  <c r="DF47" i="1"/>
  <c r="DD27" i="1"/>
  <c r="DD29" i="1"/>
  <c r="CR43" i="1"/>
  <c r="DR28" i="1"/>
  <c r="CX40" i="1"/>
  <c r="CV40" i="1"/>
  <c r="DP16" i="1"/>
  <c r="DD32" i="1"/>
  <c r="CQ19" i="1"/>
  <c r="CX17" i="1"/>
  <c r="CQ44" i="1"/>
  <c r="CS33" i="1"/>
  <c r="CV16" i="1"/>
  <c r="CN46" i="1"/>
  <c r="CV18" i="1"/>
  <c r="CX18" i="1"/>
  <c r="CP27" i="1"/>
  <c r="DM27" i="1"/>
  <c r="DG38" i="1"/>
  <c r="CU47" i="1"/>
  <c r="CN34" i="1"/>
  <c r="CQ24" i="1"/>
  <c r="CZ35" i="1"/>
  <c r="DF23" i="1"/>
  <c r="CW40" i="1"/>
  <c r="CS40" i="1"/>
  <c r="CY16" i="1"/>
  <c r="CP16" i="1"/>
  <c r="CW24" i="1"/>
  <c r="CZ36" i="1"/>
  <c r="CV31" i="1"/>
  <c r="CP30" i="1"/>
  <c r="DE30" i="1"/>
  <c r="CV37" i="1"/>
  <c r="DP37" i="1"/>
  <c r="DQ23" i="1"/>
  <c r="DK17" i="1"/>
  <c r="CQ31" i="1"/>
  <c r="DO34" i="1"/>
  <c r="CN47" i="1"/>
  <c r="CY17" i="1"/>
  <c r="DR45" i="1"/>
  <c r="CT24" i="1"/>
  <c r="DI34" i="1"/>
  <c r="DB34" i="1"/>
  <c r="CV21" i="1"/>
  <c r="DJ28" i="1"/>
  <c r="CZ32" i="1"/>
  <c r="DE26" i="1"/>
  <c r="DO19" i="1"/>
  <c r="DJ24" i="1"/>
  <c r="DO46" i="1"/>
  <c r="CM45" i="1"/>
  <c r="DC34" i="1"/>
  <c r="CV23" i="1"/>
  <c r="DL41" i="1"/>
  <c r="CO16" i="1"/>
  <c r="CW34" i="1"/>
  <c r="DD43" i="1"/>
  <c r="DN39" i="1"/>
  <c r="DE39" i="1"/>
  <c r="DM29" i="1"/>
  <c r="CT41" i="1"/>
  <c r="CN29" i="1"/>
  <c r="CM20" i="1"/>
  <c r="DO38" i="1"/>
  <c r="DR35" i="1"/>
  <c r="DJ41" i="1"/>
  <c r="DN43" i="1"/>
  <c r="CM19" i="1"/>
  <c r="DM16" i="1"/>
  <c r="DK22" i="1"/>
  <c r="CQ40" i="1"/>
  <c r="DP38" i="1"/>
  <c r="CY32" i="1"/>
  <c r="DM43" i="1"/>
  <c r="DD19" i="1"/>
  <c r="CQ39" i="1"/>
  <c r="CU43" i="1"/>
  <c r="DN37" i="1"/>
  <c r="DB23" i="1"/>
  <c r="CS19" i="1"/>
  <c r="DR26" i="1"/>
  <c r="CM27" i="1"/>
  <c r="DI39" i="1"/>
  <c r="CS23" i="1"/>
  <c r="CO35" i="1"/>
  <c r="DK20" i="1"/>
  <c r="DC46" i="1"/>
  <c r="DA34" i="1"/>
  <c r="DL33" i="1"/>
  <c r="DC28" i="1"/>
  <c r="DG23" i="1"/>
  <c r="CO32" i="1"/>
  <c r="DQ43" i="1"/>
  <c r="DQ36" i="1"/>
  <c r="CR23" i="1"/>
  <c r="DO43" i="1"/>
  <c r="CM35" i="1"/>
  <c r="CY35" i="1"/>
  <c r="DJ23" i="1"/>
  <c r="CO20" i="1"/>
  <c r="DP39" i="1"/>
  <c r="CR37" i="1"/>
  <c r="DF32" i="1"/>
  <c r="CQ27" i="1"/>
  <c r="DE45" i="1"/>
  <c r="CS16" i="1"/>
  <c r="DD44" i="1"/>
  <c r="DO17" i="1"/>
  <c r="DN26" i="1"/>
  <c r="DR25" i="1"/>
  <c r="DD16" i="1"/>
  <c r="DO42" i="1"/>
  <c r="CP23" i="1"/>
  <c r="DC47" i="1"/>
  <c r="DD22" i="1"/>
  <c r="CV33" i="1"/>
  <c r="CS46" i="1"/>
  <c r="CX19" i="1"/>
  <c r="DH30" i="1"/>
  <c r="CN36" i="1"/>
  <c r="CN35" i="1"/>
  <c r="DD40" i="1"/>
  <c r="CZ45" i="1"/>
  <c r="DP22" i="1"/>
  <c r="DB28" i="1"/>
  <c r="CM39" i="1"/>
  <c r="CR32" i="1"/>
  <c r="DK44" i="1"/>
  <c r="DI21" i="1"/>
  <c r="CU23" i="1"/>
  <c r="CS21" i="1"/>
  <c r="DH44" i="1"/>
  <c r="DL46" i="1"/>
  <c r="CQ20" i="1"/>
  <c r="DO41" i="1"/>
  <c r="DP24" i="1"/>
  <c r="DC24" i="1"/>
  <c r="DN30" i="1"/>
  <c r="CM26" i="1"/>
  <c r="CY29" i="1"/>
  <c r="CN28" i="1"/>
  <c r="DF31" i="1"/>
  <c r="CX28" i="1"/>
  <c r="CU22" i="1"/>
  <c r="CZ33" i="1"/>
  <c r="DK24" i="1"/>
  <c r="DJ35" i="1"/>
  <c r="DC43" i="1"/>
  <c r="DB21" i="1"/>
  <c r="CX37" i="1"/>
  <c r="CN41" i="1"/>
  <c r="DF34" i="1"/>
  <c r="CT46" i="1"/>
  <c r="CN39" i="1"/>
  <c r="DH27" i="1"/>
  <c r="DH23" i="1"/>
  <c r="CR31" i="1"/>
  <c r="DE20" i="1"/>
  <c r="DO40" i="1"/>
  <c r="CQ38" i="1"/>
  <c r="CW23" i="1"/>
  <c r="CP32" i="1"/>
  <c r="DQ47" i="1"/>
  <c r="CO30" i="1"/>
  <c r="CT22" i="1"/>
  <c r="DL44" i="1"/>
  <c r="CX16" i="1"/>
  <c r="DL24" i="1"/>
  <c r="DL18" i="1"/>
  <c r="CT34" i="1"/>
  <c r="DC40" i="1"/>
  <c r="DR23" i="1"/>
  <c r="DH34" i="1"/>
  <c r="DA24" i="1"/>
  <c r="DR39" i="1"/>
  <c r="G61" i="1" l="1" a="1"/>
  <c r="I61" i="1" a="1"/>
  <c r="I61" i="1" l="1"/>
  <c r="I69" i="1"/>
  <c r="I92" i="1"/>
  <c r="M92" i="1" s="1"/>
  <c r="I63" i="1"/>
  <c r="I74" i="1"/>
  <c r="I66" i="1"/>
  <c r="I67" i="1"/>
  <c r="I68" i="1"/>
  <c r="I78" i="1"/>
  <c r="I79" i="1"/>
  <c r="I89" i="1"/>
  <c r="I65" i="1"/>
  <c r="I73" i="1"/>
  <c r="I64" i="1"/>
  <c r="M64" i="1" s="1"/>
  <c r="Q64" i="1" s="1"/>
  <c r="U64" i="1" s="1"/>
  <c r="I72" i="1"/>
  <c r="M72" i="1" s="1"/>
  <c r="Y72" i="1" s="1"/>
  <c r="I62" i="1"/>
  <c r="I75" i="1"/>
  <c r="I70" i="1"/>
  <c r="I85" i="1"/>
  <c r="I90" i="1"/>
  <c r="I81" i="1"/>
  <c r="I80" i="1"/>
  <c r="I76" i="1"/>
  <c r="M76" i="1" s="1"/>
  <c r="Y76" i="1" s="1"/>
  <c r="I87" i="1"/>
  <c r="M87" i="1" s="1"/>
  <c r="Q87" i="1" s="1"/>
  <c r="U87" i="1" s="1"/>
  <c r="I71" i="1"/>
  <c r="I84" i="1"/>
  <c r="I77" i="1"/>
  <c r="I88" i="1"/>
  <c r="I86" i="1"/>
  <c r="I83" i="1"/>
  <c r="I91" i="1"/>
  <c r="M91" i="1" s="1"/>
  <c r="Q91" i="1" s="1"/>
  <c r="U91" i="1" s="1"/>
  <c r="I82" i="1"/>
  <c r="M82" i="1" s="1"/>
  <c r="Y82" i="1" s="1"/>
  <c r="G61" i="1"/>
  <c r="G85" i="1"/>
  <c r="G84" i="1"/>
  <c r="G90" i="1"/>
  <c r="G75" i="1"/>
  <c r="G72" i="1"/>
  <c r="G78" i="1"/>
  <c r="G70" i="1"/>
  <c r="K70" i="1" s="1"/>
  <c r="O70" i="1" s="1"/>
  <c r="S70" i="1" s="1"/>
  <c r="G87" i="1"/>
  <c r="G73" i="1"/>
  <c r="G88" i="1"/>
  <c r="G77" i="1"/>
  <c r="G80" i="1"/>
  <c r="G82" i="1"/>
  <c r="G65" i="1"/>
  <c r="G64" i="1"/>
  <c r="K64" i="1" s="1"/>
  <c r="W64" i="1" s="1"/>
  <c r="G91" i="1"/>
  <c r="G89" i="1"/>
  <c r="G67" i="1"/>
  <c r="G74" i="1"/>
  <c r="G62" i="1"/>
  <c r="G71" i="1"/>
  <c r="K71" i="1" s="1"/>
  <c r="W71" i="1" s="1"/>
  <c r="G81" i="1"/>
  <c r="K81" i="1" s="1"/>
  <c r="O81" i="1" s="1"/>
  <c r="S81" i="1" s="1"/>
  <c r="G92" i="1"/>
  <c r="K92" i="1" s="1"/>
  <c r="G76" i="1"/>
  <c r="G66" i="1"/>
  <c r="G68" i="1"/>
  <c r="G86" i="1"/>
  <c r="G63" i="1"/>
  <c r="G83" i="1"/>
  <c r="K83" i="1" s="1"/>
  <c r="W83" i="1" s="1"/>
  <c r="G69" i="1"/>
  <c r="G79" i="1"/>
  <c r="K79" i="1" s="1"/>
  <c r="W79" i="1" s="1"/>
  <c r="K65" i="1" l="1"/>
  <c r="W65" i="1" s="1"/>
  <c r="K72" i="1"/>
  <c r="O72" i="1" s="1"/>
  <c r="S72" i="1" s="1"/>
  <c r="K88" i="1"/>
  <c r="O88" i="1" s="1"/>
  <c r="S88" i="1" s="1"/>
  <c r="K84" i="1"/>
  <c r="O84" i="1" s="1"/>
  <c r="S84" i="1" s="1"/>
  <c r="M88" i="1"/>
  <c r="Y88" i="1" s="1"/>
  <c r="M68" i="1"/>
  <c r="Y68" i="1" s="1"/>
  <c r="M83" i="1"/>
  <c r="Q83" i="1" s="1"/>
  <c r="U83" i="1" s="1"/>
  <c r="M73" i="1"/>
  <c r="Y73" i="1" s="1"/>
  <c r="K61" i="1"/>
  <c r="W61" i="1" s="1"/>
  <c r="M77" i="1"/>
  <c r="Q77" i="1" s="1"/>
  <c r="U77" i="1" s="1"/>
  <c r="K75" i="1"/>
  <c r="W75" i="1" s="1"/>
  <c r="M74" i="1"/>
  <c r="Q74" i="1" s="1"/>
  <c r="U74" i="1" s="1"/>
  <c r="K86" i="1"/>
  <c r="W86" i="1" s="1"/>
  <c r="K90" i="1"/>
  <c r="O90" i="1" s="1"/>
  <c r="S90" i="1" s="1"/>
  <c r="M70" i="1"/>
  <c r="Q70" i="1" s="1"/>
  <c r="U70" i="1" s="1"/>
  <c r="Y64" i="1"/>
  <c r="Y83" i="1"/>
  <c r="W72" i="1"/>
  <c r="M80" i="1"/>
  <c r="K74" i="1"/>
  <c r="Y91" i="1"/>
  <c r="Q72" i="1"/>
  <c r="U72" i="1" s="1"/>
  <c r="Q73" i="1"/>
  <c r="U73" i="1" s="1"/>
  <c r="W84" i="1"/>
  <c r="O92" i="1"/>
  <c r="S92" i="1" s="1"/>
  <c r="W92" i="1"/>
  <c r="M61" i="1"/>
  <c r="M62" i="1"/>
  <c r="K82" i="1"/>
  <c r="M66" i="1"/>
  <c r="O64" i="1"/>
  <c r="S64" i="1" s="1"/>
  <c r="K62" i="1"/>
  <c r="K63" i="1"/>
  <c r="K80" i="1"/>
  <c r="M86" i="1"/>
  <c r="M81" i="1"/>
  <c r="K77" i="1"/>
  <c r="M90" i="1"/>
  <c r="M65" i="1"/>
  <c r="M63" i="1"/>
  <c r="M67" i="1"/>
  <c r="Q82" i="1"/>
  <c r="U82" i="1" s="1"/>
  <c r="K67" i="1"/>
  <c r="M85" i="1"/>
  <c r="M89" i="1"/>
  <c r="Y92" i="1"/>
  <c r="Q92" i="1"/>
  <c r="U92" i="1" s="1"/>
  <c r="K69" i="1"/>
  <c r="K78" i="1"/>
  <c r="O83" i="1"/>
  <c r="S83" i="1" s="1"/>
  <c r="W70" i="1"/>
  <c r="W81" i="1"/>
  <c r="K68" i="1"/>
  <c r="Y87" i="1"/>
  <c r="W88" i="1"/>
  <c r="K66" i="1"/>
  <c r="K89" i="1"/>
  <c r="K73" i="1"/>
  <c r="K85" i="1"/>
  <c r="M84" i="1"/>
  <c r="M79" i="1"/>
  <c r="M69" i="1"/>
  <c r="O79" i="1"/>
  <c r="S79" i="1" s="1"/>
  <c r="Q76" i="1"/>
  <c r="U76" i="1" s="1"/>
  <c r="O71" i="1"/>
  <c r="S71" i="1" s="1"/>
  <c r="K76" i="1"/>
  <c r="K91" i="1"/>
  <c r="K87" i="1"/>
  <c r="M71" i="1"/>
  <c r="M75" i="1"/>
  <c r="M78" i="1"/>
  <c r="O65" i="1" l="1"/>
  <c r="S65" i="1" s="1"/>
  <c r="Q88" i="1"/>
  <c r="U88" i="1" s="1"/>
  <c r="Y74" i="1"/>
  <c r="Q68" i="1"/>
  <c r="U68" i="1" s="1"/>
  <c r="Y77" i="1"/>
  <c r="Y70" i="1"/>
  <c r="O75" i="1"/>
  <c r="S75" i="1" s="1"/>
  <c r="O61" i="1"/>
  <c r="S61" i="1" s="1"/>
  <c r="O86" i="1"/>
  <c r="S86" i="1" s="1"/>
  <c r="W90" i="1"/>
  <c r="W74" i="1"/>
  <c r="O74" i="1"/>
  <c r="S74" i="1" s="1"/>
  <c r="Y80" i="1"/>
  <c r="Q80" i="1"/>
  <c r="U80" i="1" s="1"/>
  <c r="Q79" i="1"/>
  <c r="U79" i="1" s="1"/>
  <c r="Y79" i="1"/>
  <c r="W85" i="1"/>
  <c r="O85" i="1"/>
  <c r="S85" i="1" s="1"/>
  <c r="Q85" i="1"/>
  <c r="U85" i="1" s="1"/>
  <c r="Y85" i="1"/>
  <c r="Q81" i="1"/>
  <c r="U81" i="1" s="1"/>
  <c r="Y81" i="1"/>
  <c r="Y66" i="1"/>
  <c r="Q66" i="1"/>
  <c r="U66" i="1" s="1"/>
  <c r="W68" i="1"/>
  <c r="O68" i="1"/>
  <c r="S68" i="1" s="1"/>
  <c r="Y78" i="1"/>
  <c r="Q78" i="1"/>
  <c r="U78" i="1" s="1"/>
  <c r="O73" i="1"/>
  <c r="S73" i="1" s="1"/>
  <c r="W73" i="1"/>
  <c r="O67" i="1"/>
  <c r="S67" i="1" s="1"/>
  <c r="W67" i="1"/>
  <c r="Q86" i="1"/>
  <c r="U86" i="1" s="1"/>
  <c r="Y86" i="1"/>
  <c r="W82" i="1"/>
  <c r="O82" i="1"/>
  <c r="S82" i="1" s="1"/>
  <c r="W76" i="1"/>
  <c r="O76" i="1"/>
  <c r="S76" i="1" s="1"/>
  <c r="O77" i="1"/>
  <c r="S77" i="1" s="1"/>
  <c r="W77" i="1"/>
  <c r="Q75" i="1"/>
  <c r="U75" i="1" s="1"/>
  <c r="Y75" i="1"/>
  <c r="O89" i="1"/>
  <c r="S89" i="1" s="1"/>
  <c r="W89" i="1"/>
  <c r="W80" i="1"/>
  <c r="O80" i="1"/>
  <c r="S80" i="1" s="1"/>
  <c r="Q62" i="1"/>
  <c r="U62" i="1" s="1"/>
  <c r="Y62" i="1"/>
  <c r="O62" i="1"/>
  <c r="S62" i="1" s="1"/>
  <c r="W62" i="1"/>
  <c r="K96" i="1"/>
  <c r="Y89" i="1"/>
  <c r="Q89" i="1"/>
  <c r="U89" i="1" s="1"/>
  <c r="Q71" i="1"/>
  <c r="U71" i="1" s="1"/>
  <c r="Y71" i="1"/>
  <c r="W66" i="1"/>
  <c r="O66" i="1"/>
  <c r="S66" i="1" s="1"/>
  <c r="O78" i="1"/>
  <c r="S78" i="1" s="1"/>
  <c r="W78" i="1"/>
  <c r="Y67" i="1"/>
  <c r="Q67" i="1"/>
  <c r="U67" i="1" s="1"/>
  <c r="Y61" i="1"/>
  <c r="Q61" i="1"/>
  <c r="U61" i="1" s="1"/>
  <c r="M96" i="1"/>
  <c r="Y90" i="1"/>
  <c r="Q90" i="1"/>
  <c r="U90" i="1" s="1"/>
  <c r="W87" i="1"/>
  <c r="O87" i="1"/>
  <c r="S87" i="1" s="1"/>
  <c r="O69" i="1"/>
  <c r="S69" i="1" s="1"/>
  <c r="W69" i="1"/>
  <c r="Y63" i="1"/>
  <c r="Q63" i="1"/>
  <c r="U63" i="1" s="1"/>
  <c r="Q84" i="1"/>
  <c r="U84" i="1" s="1"/>
  <c r="Y84" i="1"/>
  <c r="O91" i="1"/>
  <c r="S91" i="1" s="1"/>
  <c r="W91" i="1"/>
  <c r="Q69" i="1"/>
  <c r="U69" i="1" s="1"/>
  <c r="Y69" i="1"/>
  <c r="Y65" i="1"/>
  <c r="Q65" i="1"/>
  <c r="U65" i="1" s="1"/>
  <c r="O63" i="1"/>
  <c r="S63" i="1" s="1"/>
  <c r="W63" i="1"/>
  <c r="W96" i="1" l="1"/>
  <c r="Y96" i="1"/>
</calcChain>
</file>

<file path=xl/sharedStrings.xml><?xml version="1.0" encoding="utf-8"?>
<sst xmlns="http://schemas.openxmlformats.org/spreadsheetml/2006/main" count="200" uniqueCount="72">
  <si>
    <t>f</t>
  </si>
  <si>
    <t>Numero de paneles</t>
  </si>
  <si>
    <t>Xf</t>
  </si>
  <si>
    <t>Ca</t>
  </si>
  <si>
    <t>xNodo_sinAlerón</t>
  </si>
  <si>
    <t>zNodo_sinAlerón</t>
  </si>
  <si>
    <t>zNodo_conAlerón</t>
  </si>
  <si>
    <t>xci_sinAlerón</t>
  </si>
  <si>
    <t>xci_conAlerón</t>
  </si>
  <si>
    <t>zci_sinAlerón</t>
  </si>
  <si>
    <t>zci_conAlerón</t>
  </si>
  <si>
    <t>(dz/dx)i_conAlerón</t>
  </si>
  <si>
    <t>Numero de nodos</t>
  </si>
  <si>
    <t>Cuerda</t>
  </si>
  <si>
    <t>Datos de entrada</t>
  </si>
  <si>
    <t>(dz/dx)i_sinAlerón</t>
  </si>
  <si>
    <t>INPUT</t>
  </si>
  <si>
    <t>bi_sinAlerón</t>
  </si>
  <si>
    <t>bi_conAlerón</t>
  </si>
  <si>
    <t>lj</t>
  </si>
  <si>
    <t>r(i,j)</t>
  </si>
  <si>
    <t>MATRIZ B</t>
  </si>
  <si>
    <t>Condición en matriz B</t>
  </si>
  <si>
    <t>si i=j</t>
  </si>
  <si>
    <t>Término vale -1</t>
  </si>
  <si>
    <t>Numero paneles</t>
  </si>
  <si>
    <t>delta e - grad</t>
  </si>
  <si>
    <t>delta e - rad</t>
  </si>
  <si>
    <t>Alfa -grad</t>
  </si>
  <si>
    <t>Alfa - rad</t>
  </si>
  <si>
    <t>L panel</t>
  </si>
  <si>
    <t>NO TOCAR NINGÚN VALOR DE AQUÍ PARA ABAJO</t>
  </si>
  <si>
    <t>MODIFICAR INPUTS, RESTO CAMBIA SOLO</t>
  </si>
  <si>
    <t>NOTA IMPORTANTE</t>
  </si>
  <si>
    <t>SI SE MODIFICAN EL NÚMERO TOTAL DE PANELES HABRÁ QUE AMPLIAR O REDUCIR LAS COLUMNAS DE DATOS - PREFERIBLEMENTE AMPLIARLAS PARA MAYOR PRECISIÓN</t>
  </si>
  <si>
    <t>SI SE MODIFICAN LOS VALORES DE Xf ó Ca HABRÁ QUE MODIFICAR LAS COLUMNAS DE COORDENADAS PARA LOS DATOS DE LA LM TANTO LOS PC COMO NODOS.</t>
  </si>
  <si>
    <t>MATRIZ C</t>
  </si>
  <si>
    <t>MATRIZ A</t>
  </si>
  <si>
    <t>Matriz A invertida</t>
  </si>
  <si>
    <t>Gamma_j_sinAlerón</t>
  </si>
  <si>
    <t>Gamma_j_conAlerón</t>
  </si>
  <si>
    <t>Cli_sinAleron</t>
  </si>
  <si>
    <t>Cli_conAlerón</t>
  </si>
  <si>
    <t>Cpint_sinAlerón</t>
  </si>
  <si>
    <t>Cpint_conAlerón</t>
  </si>
  <si>
    <t>Cpext_sinAlerón</t>
  </si>
  <si>
    <t>Cpext_conAlerón</t>
  </si>
  <si>
    <t>Cl_total</t>
  </si>
  <si>
    <t>Cmiba_sinAlerón</t>
  </si>
  <si>
    <t>Cmiba_conAlerón</t>
  </si>
  <si>
    <t>Cmiba_total</t>
  </si>
  <si>
    <t>Condición en Matriz C</t>
  </si>
  <si>
    <t>si i=j termino vale 1</t>
  </si>
  <si>
    <t>C(i,0)=0</t>
  </si>
  <si>
    <t>NO PINTA NADA</t>
  </si>
  <si>
    <t>?????????</t>
  </si>
  <si>
    <t>??????????</t>
  </si>
  <si>
    <t>Con -1 sale bastante preciso</t>
  </si>
  <si>
    <t>I</t>
  </si>
  <si>
    <t>Cm0,25</t>
  </si>
  <si>
    <t>Cm0,25_ sin alerón</t>
  </si>
  <si>
    <t>Cm0,25_conalerón</t>
  </si>
  <si>
    <t>Xcp sin alerón</t>
  </si>
  <si>
    <t>Xcp con alerón</t>
  </si>
  <si>
    <t>NOTAS IMPORTANTES</t>
  </si>
  <si>
    <t>VALE PARA CUALQUIER TIPO DE PERFIL NACA DE 4 DIGITOS</t>
  </si>
  <si>
    <t>SI SE MODIFICA EL VALOR DE LA CURVATURA HAY QUE MODIFICAR EL EJE Y DE ESTAS DOS GRÁFICAS -- CLICK DERECHO SOBRE LOS DATOS DEL EJE Y -- DAR FORMATO AL EJE, Y AMPLIAR O REDUCIR EL VALOR NUMÉRICO SEGÚN INTERESE</t>
  </si>
  <si>
    <t>MISMA HISTORIA PARA EL RESTO DE GRÁFICAS SIEMPRE Y CUANDO LAS CURVAS SE SALGAN DEL ÁREA MARCADA POR EL INTERVALOR NUMÉRICO DEL EJE QUE CORRESPONDA.</t>
  </si>
  <si>
    <t>XXXXXXX</t>
  </si>
  <si>
    <t>XXXXXXXX</t>
  </si>
  <si>
    <t>XXXXXX</t>
  </si>
  <si>
    <t>MEJORABLE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</si>
</sst>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/>
    <xf numFmtId="0" fontId="2" fillId="5" borderId="0" xfId="0" applyFont="1" applyFill="1"/>
    <xf numFmtId="0" fontId="1" fillId="0" borderId="0" xfId="0" applyFont="1" applyFill="1"/>
    <xf numFmtId="0" fontId="0" fillId="0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Linea</a:t>
            </a:r>
            <a:r>
              <a:rPr lang="es-ES" baseline="0"/>
              <a:t> Media sin alerón deflectado 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Nodos_sinAlerón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'N32'!$E$17:$E$49</c:f>
              <c:numCache>
                <c:formatCode>General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'N32'!$F$17:$F$49</c:f>
              <c:numCache>
                <c:formatCode>General</c:formatCode>
                <c:ptCount val="33"/>
                <c:pt idx="0">
                  <c:v>0</c:v>
                </c:pt>
                <c:pt idx="1">
                  <c:v>1.1523437499999999E-2</c:v>
                </c:pt>
                <c:pt idx="2">
                  <c:v>2.1093749999999998E-2</c:v>
                </c:pt>
                <c:pt idx="3">
                  <c:v>2.8710937499999999E-2</c:v>
                </c:pt>
                <c:pt idx="4">
                  <c:v>3.4374999999999996E-2</c:v>
                </c:pt>
                <c:pt idx="5">
                  <c:v>3.8085937499999993E-2</c:v>
                </c:pt>
                <c:pt idx="6">
                  <c:v>3.9843750000000004E-2</c:v>
                </c:pt>
                <c:pt idx="7">
                  <c:v>3.9978027343749993E-2</c:v>
                </c:pt>
                <c:pt idx="8">
                  <c:v>3.984374999999999E-2</c:v>
                </c:pt>
                <c:pt idx="9">
                  <c:v>3.9587402343749994E-2</c:v>
                </c:pt>
                <c:pt idx="10">
                  <c:v>3.9208984374999992E-2</c:v>
                </c:pt>
                <c:pt idx="11">
                  <c:v>3.8708496093749996E-2</c:v>
                </c:pt>
                <c:pt idx="12">
                  <c:v>3.8085937499999993E-2</c:v>
                </c:pt>
                <c:pt idx="13">
                  <c:v>3.734130859374999E-2</c:v>
                </c:pt>
                <c:pt idx="14">
                  <c:v>3.6474609374999994E-2</c:v>
                </c:pt>
                <c:pt idx="15">
                  <c:v>3.5485839843749992E-2</c:v>
                </c:pt>
                <c:pt idx="16">
                  <c:v>3.4374999999999996E-2</c:v>
                </c:pt>
                <c:pt idx="17">
                  <c:v>3.3142089843749993E-2</c:v>
                </c:pt>
                <c:pt idx="18">
                  <c:v>3.178710937499999E-2</c:v>
                </c:pt>
                <c:pt idx="19">
                  <c:v>3.0310058593749994E-2</c:v>
                </c:pt>
                <c:pt idx="20">
                  <c:v>2.8710937499999992E-2</c:v>
                </c:pt>
                <c:pt idx="21">
                  <c:v>2.6989746093749996E-2</c:v>
                </c:pt>
                <c:pt idx="22">
                  <c:v>2.5146484374999993E-2</c:v>
                </c:pt>
                <c:pt idx="23">
                  <c:v>2.3181152343749994E-2</c:v>
                </c:pt>
                <c:pt idx="24">
                  <c:v>2.1093749999999998E-2</c:v>
                </c:pt>
                <c:pt idx="25">
                  <c:v>1.8884277343749995E-2</c:v>
                </c:pt>
                <c:pt idx="26">
                  <c:v>1.6552734374999999E-2</c:v>
                </c:pt>
                <c:pt idx="27">
                  <c:v>1.4099121093749997E-2</c:v>
                </c:pt>
                <c:pt idx="28">
                  <c:v>1.1523437499999995E-2</c:v>
                </c:pt>
                <c:pt idx="29">
                  <c:v>8.8256835937499997E-3</c:v>
                </c:pt>
                <c:pt idx="30">
                  <c:v>6.0058593749999969E-3</c:v>
                </c:pt>
                <c:pt idx="31">
                  <c:v>3.0639648437500019E-3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10-4A8B-84E5-82687961D048}"/>
            </c:ext>
          </c:extLst>
        </c:ser>
        <c:ser>
          <c:idx val="1"/>
          <c:order val="1"/>
          <c:tx>
            <c:v>PC_sinAlerón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'N32'!$H$17:$H$48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'N32'!$J$17:$J$48</c:f>
              <c:numCache>
                <c:formatCode>General</c:formatCode>
                <c:ptCount val="32"/>
                <c:pt idx="0">
                  <c:v>5.7617187499999995E-3</c:v>
                </c:pt>
                <c:pt idx="1">
                  <c:v>1.6308593749999999E-2</c:v>
                </c:pt>
                <c:pt idx="2">
                  <c:v>2.490234375E-2</c:v>
                </c:pt>
                <c:pt idx="3">
                  <c:v>3.1542968749999997E-2</c:v>
                </c:pt>
                <c:pt idx="4">
                  <c:v>3.6230468749999994E-2</c:v>
                </c:pt>
                <c:pt idx="5">
                  <c:v>3.8964843749999999E-2</c:v>
                </c:pt>
                <c:pt idx="6">
                  <c:v>3.9910888671874999E-2</c:v>
                </c:pt>
                <c:pt idx="7">
                  <c:v>3.9910888671874992E-2</c:v>
                </c:pt>
                <c:pt idx="8">
                  <c:v>3.9715576171874989E-2</c:v>
                </c:pt>
                <c:pt idx="9">
                  <c:v>3.9398193359374993E-2</c:v>
                </c:pt>
                <c:pt idx="10">
                  <c:v>3.8958740234374997E-2</c:v>
                </c:pt>
                <c:pt idx="11">
                  <c:v>3.8397216796874994E-2</c:v>
                </c:pt>
                <c:pt idx="12">
                  <c:v>3.7713623046874992E-2</c:v>
                </c:pt>
                <c:pt idx="13">
                  <c:v>3.6907958984374989E-2</c:v>
                </c:pt>
                <c:pt idx="14">
                  <c:v>3.5980224609374993E-2</c:v>
                </c:pt>
                <c:pt idx="15">
                  <c:v>3.4930419921874997E-2</c:v>
                </c:pt>
                <c:pt idx="16">
                  <c:v>3.3758544921874994E-2</c:v>
                </c:pt>
                <c:pt idx="17">
                  <c:v>3.2464599609374992E-2</c:v>
                </c:pt>
                <c:pt idx="18">
                  <c:v>3.1048583984374992E-2</c:v>
                </c:pt>
                <c:pt idx="19">
                  <c:v>2.9510498046874993E-2</c:v>
                </c:pt>
                <c:pt idx="20">
                  <c:v>2.7850341796874994E-2</c:v>
                </c:pt>
                <c:pt idx="21">
                  <c:v>2.6068115234374994E-2</c:v>
                </c:pt>
                <c:pt idx="22">
                  <c:v>2.4163818359374992E-2</c:v>
                </c:pt>
                <c:pt idx="23">
                  <c:v>2.2137451171874996E-2</c:v>
                </c:pt>
                <c:pt idx="24">
                  <c:v>1.9989013671874997E-2</c:v>
                </c:pt>
                <c:pt idx="25">
                  <c:v>1.7718505859374997E-2</c:v>
                </c:pt>
                <c:pt idx="26">
                  <c:v>1.5325927734374998E-2</c:v>
                </c:pt>
                <c:pt idx="27">
                  <c:v>1.2811279296874995E-2</c:v>
                </c:pt>
                <c:pt idx="28">
                  <c:v>1.0174560546874998E-2</c:v>
                </c:pt>
                <c:pt idx="29">
                  <c:v>7.4157714843749983E-3</c:v>
                </c:pt>
                <c:pt idx="30">
                  <c:v>4.534912109374999E-3</c:v>
                </c:pt>
                <c:pt idx="31">
                  <c:v>1.531982421875001E-3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10-4A8B-84E5-82687961D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22272"/>
        <c:axId val="157231084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Nodos_conAlerón</c:v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'N32'!$E$17:$E$49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3.125E-2</c:v>
                      </c:pt>
                      <c:pt idx="2">
                        <c:v>6.25E-2</c:v>
                      </c:pt>
                      <c:pt idx="3">
                        <c:v>9.375E-2</c:v>
                      </c:pt>
                      <c:pt idx="4">
                        <c:v>0.125</c:v>
                      </c:pt>
                      <c:pt idx="5">
                        <c:v>0.15625</c:v>
                      </c:pt>
                      <c:pt idx="6">
                        <c:v>0.1875</c:v>
                      </c:pt>
                      <c:pt idx="7">
                        <c:v>0.21875</c:v>
                      </c:pt>
                      <c:pt idx="8">
                        <c:v>0.25</c:v>
                      </c:pt>
                      <c:pt idx="9">
                        <c:v>0.28125</c:v>
                      </c:pt>
                      <c:pt idx="10">
                        <c:v>0.3125</c:v>
                      </c:pt>
                      <c:pt idx="11">
                        <c:v>0.34375</c:v>
                      </c:pt>
                      <c:pt idx="12">
                        <c:v>0.375</c:v>
                      </c:pt>
                      <c:pt idx="13">
                        <c:v>0.40625</c:v>
                      </c:pt>
                      <c:pt idx="14">
                        <c:v>0.4375</c:v>
                      </c:pt>
                      <c:pt idx="15">
                        <c:v>0.46875</c:v>
                      </c:pt>
                      <c:pt idx="16">
                        <c:v>0.5</c:v>
                      </c:pt>
                      <c:pt idx="17">
                        <c:v>0.53125</c:v>
                      </c:pt>
                      <c:pt idx="18">
                        <c:v>0.5625</c:v>
                      </c:pt>
                      <c:pt idx="19">
                        <c:v>0.59375</c:v>
                      </c:pt>
                      <c:pt idx="20">
                        <c:v>0.625</c:v>
                      </c:pt>
                      <c:pt idx="21">
                        <c:v>0.65625</c:v>
                      </c:pt>
                      <c:pt idx="22">
                        <c:v>0.6875</c:v>
                      </c:pt>
                      <c:pt idx="23">
                        <c:v>0.71875</c:v>
                      </c:pt>
                      <c:pt idx="24">
                        <c:v>0.75</c:v>
                      </c:pt>
                      <c:pt idx="25">
                        <c:v>0.78125</c:v>
                      </c:pt>
                      <c:pt idx="26">
                        <c:v>0.8125</c:v>
                      </c:pt>
                      <c:pt idx="27">
                        <c:v>0.84375</c:v>
                      </c:pt>
                      <c:pt idx="28">
                        <c:v>0.875</c:v>
                      </c:pt>
                      <c:pt idx="29">
                        <c:v>0.90625</c:v>
                      </c:pt>
                      <c:pt idx="30">
                        <c:v>0.9375</c:v>
                      </c:pt>
                      <c:pt idx="31">
                        <c:v>0.96875</c:v>
                      </c:pt>
                      <c:pt idx="32">
                        <c:v>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'N32'!$G$17:$G$49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1.1523437499999999E-2</c:v>
                      </c:pt>
                      <c:pt idx="2">
                        <c:v>2.1093749999999998E-2</c:v>
                      </c:pt>
                      <c:pt idx="3">
                        <c:v>2.8710937499999999E-2</c:v>
                      </c:pt>
                      <c:pt idx="4">
                        <c:v>3.4374999999999996E-2</c:v>
                      </c:pt>
                      <c:pt idx="5">
                        <c:v>3.8085937499999993E-2</c:v>
                      </c:pt>
                      <c:pt idx="6">
                        <c:v>3.9843750000000004E-2</c:v>
                      </c:pt>
                      <c:pt idx="7">
                        <c:v>3.9978027343749993E-2</c:v>
                      </c:pt>
                      <c:pt idx="8">
                        <c:v>3.984374999999999E-2</c:v>
                      </c:pt>
                      <c:pt idx="9">
                        <c:v>3.9587402343749994E-2</c:v>
                      </c:pt>
                      <c:pt idx="10">
                        <c:v>3.9208984374999992E-2</c:v>
                      </c:pt>
                      <c:pt idx="11">
                        <c:v>3.8708496093749996E-2</c:v>
                      </c:pt>
                      <c:pt idx="12">
                        <c:v>3.8085937499999993E-2</c:v>
                      </c:pt>
                      <c:pt idx="13">
                        <c:v>3.734130859374999E-2</c:v>
                      </c:pt>
                      <c:pt idx="14">
                        <c:v>3.6474609374999994E-2</c:v>
                      </c:pt>
                      <c:pt idx="15">
                        <c:v>3.5485839843749992E-2</c:v>
                      </c:pt>
                      <c:pt idx="16">
                        <c:v>3.4374999999999996E-2</c:v>
                      </c:pt>
                      <c:pt idx="17">
                        <c:v>3.3142089843749993E-2</c:v>
                      </c:pt>
                      <c:pt idx="18">
                        <c:v>3.178710937499999E-2</c:v>
                      </c:pt>
                      <c:pt idx="19">
                        <c:v>3.0310058593749994E-2</c:v>
                      </c:pt>
                      <c:pt idx="20">
                        <c:v>2.8710937499999992E-2</c:v>
                      </c:pt>
                      <c:pt idx="21">
                        <c:v>2.6989746093749996E-2</c:v>
                      </c:pt>
                      <c:pt idx="22">
                        <c:v>2.5146484374999993E-2</c:v>
                      </c:pt>
                      <c:pt idx="23">
                        <c:v>2.3181152343749994E-2</c:v>
                      </c:pt>
                      <c:pt idx="24">
                        <c:v>2.1093749999999998E-2</c:v>
                      </c:pt>
                      <c:pt idx="25">
                        <c:v>1.8884277343749995E-2</c:v>
                      </c:pt>
                      <c:pt idx="26">
                        <c:v>1.6552734374999999E-2</c:v>
                      </c:pt>
                      <c:pt idx="27">
                        <c:v>1.4099121093749997E-2</c:v>
                      </c:pt>
                      <c:pt idx="28">
                        <c:v>1.1523437499999995E-2</c:v>
                      </c:pt>
                      <c:pt idx="29">
                        <c:v>8.8256835937499997E-3</c:v>
                      </c:pt>
                      <c:pt idx="30">
                        <c:v>6.0058593749999969E-3</c:v>
                      </c:pt>
                      <c:pt idx="31">
                        <c:v>3.0639648437500019E-3</c:v>
                      </c:pt>
                      <c:pt idx="32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2F10-4A8B-84E5-82687961D04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PC_conAlerón</c:v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 cap="rnd">
                      <a:solidFill>
                        <a:schemeClr val="accent4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'N32'!$I$17:$I$48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1.5625E-2</c:v>
                      </c:pt>
                      <c:pt idx="1">
                        <c:v>4.6875E-2</c:v>
                      </c:pt>
                      <c:pt idx="2">
                        <c:v>7.8125E-2</c:v>
                      </c:pt>
                      <c:pt idx="3">
                        <c:v>0.109375</c:v>
                      </c:pt>
                      <c:pt idx="4">
                        <c:v>0.140625</c:v>
                      </c:pt>
                      <c:pt idx="5">
                        <c:v>0.171875</c:v>
                      </c:pt>
                      <c:pt idx="6">
                        <c:v>0.203125</c:v>
                      </c:pt>
                      <c:pt idx="7">
                        <c:v>0.234375</c:v>
                      </c:pt>
                      <c:pt idx="8">
                        <c:v>0.265625</c:v>
                      </c:pt>
                      <c:pt idx="9">
                        <c:v>0.296875</c:v>
                      </c:pt>
                      <c:pt idx="10">
                        <c:v>0.328125</c:v>
                      </c:pt>
                      <c:pt idx="11">
                        <c:v>0.359375</c:v>
                      </c:pt>
                      <c:pt idx="12">
                        <c:v>0.390625</c:v>
                      </c:pt>
                      <c:pt idx="13">
                        <c:v>0.421875</c:v>
                      </c:pt>
                      <c:pt idx="14">
                        <c:v>0.453125</c:v>
                      </c:pt>
                      <c:pt idx="15">
                        <c:v>0.484375</c:v>
                      </c:pt>
                      <c:pt idx="16">
                        <c:v>0.515625</c:v>
                      </c:pt>
                      <c:pt idx="17">
                        <c:v>0.546875</c:v>
                      </c:pt>
                      <c:pt idx="18">
                        <c:v>0.578125</c:v>
                      </c:pt>
                      <c:pt idx="19">
                        <c:v>0.609375</c:v>
                      </c:pt>
                      <c:pt idx="20">
                        <c:v>0.640625</c:v>
                      </c:pt>
                      <c:pt idx="21">
                        <c:v>0.671875</c:v>
                      </c:pt>
                      <c:pt idx="22">
                        <c:v>0.703125</c:v>
                      </c:pt>
                      <c:pt idx="23">
                        <c:v>0.734375</c:v>
                      </c:pt>
                      <c:pt idx="24">
                        <c:v>0.765625</c:v>
                      </c:pt>
                      <c:pt idx="25">
                        <c:v>0.796875</c:v>
                      </c:pt>
                      <c:pt idx="26">
                        <c:v>0.828125</c:v>
                      </c:pt>
                      <c:pt idx="27">
                        <c:v>0.859375</c:v>
                      </c:pt>
                      <c:pt idx="28">
                        <c:v>0.890625</c:v>
                      </c:pt>
                      <c:pt idx="29">
                        <c:v>0.921875</c:v>
                      </c:pt>
                      <c:pt idx="30">
                        <c:v>0.953125</c:v>
                      </c:pt>
                      <c:pt idx="31">
                        <c:v>0.984375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'N32'!$K$17:$K$48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5.7617187499999995E-3</c:v>
                      </c:pt>
                      <c:pt idx="1">
                        <c:v>1.6308593749999999E-2</c:v>
                      </c:pt>
                      <c:pt idx="2">
                        <c:v>2.490234375E-2</c:v>
                      </c:pt>
                      <c:pt idx="3">
                        <c:v>3.1542968749999997E-2</c:v>
                      </c:pt>
                      <c:pt idx="4">
                        <c:v>3.6230468749999994E-2</c:v>
                      </c:pt>
                      <c:pt idx="5">
                        <c:v>3.8964843749999999E-2</c:v>
                      </c:pt>
                      <c:pt idx="6">
                        <c:v>3.9910888671874999E-2</c:v>
                      </c:pt>
                      <c:pt idx="7">
                        <c:v>3.9910888671874992E-2</c:v>
                      </c:pt>
                      <c:pt idx="8">
                        <c:v>3.9715576171874989E-2</c:v>
                      </c:pt>
                      <c:pt idx="9">
                        <c:v>3.9398193359374993E-2</c:v>
                      </c:pt>
                      <c:pt idx="10">
                        <c:v>3.8958740234374997E-2</c:v>
                      </c:pt>
                      <c:pt idx="11">
                        <c:v>3.8397216796874994E-2</c:v>
                      </c:pt>
                      <c:pt idx="12">
                        <c:v>3.7713623046874992E-2</c:v>
                      </c:pt>
                      <c:pt idx="13">
                        <c:v>3.6907958984374989E-2</c:v>
                      </c:pt>
                      <c:pt idx="14">
                        <c:v>3.5980224609374993E-2</c:v>
                      </c:pt>
                      <c:pt idx="15">
                        <c:v>3.4930419921874997E-2</c:v>
                      </c:pt>
                      <c:pt idx="16">
                        <c:v>3.3758544921874994E-2</c:v>
                      </c:pt>
                      <c:pt idx="17">
                        <c:v>3.2464599609374992E-2</c:v>
                      </c:pt>
                      <c:pt idx="18">
                        <c:v>3.1048583984374992E-2</c:v>
                      </c:pt>
                      <c:pt idx="19">
                        <c:v>2.9510498046874993E-2</c:v>
                      </c:pt>
                      <c:pt idx="20">
                        <c:v>2.7850341796874994E-2</c:v>
                      </c:pt>
                      <c:pt idx="21">
                        <c:v>2.6068115234374994E-2</c:v>
                      </c:pt>
                      <c:pt idx="22">
                        <c:v>2.4163818359374992E-2</c:v>
                      </c:pt>
                      <c:pt idx="23">
                        <c:v>2.2137451171874996E-2</c:v>
                      </c:pt>
                      <c:pt idx="24">
                        <c:v>1.9989013671874997E-2</c:v>
                      </c:pt>
                      <c:pt idx="25">
                        <c:v>1.7718505859374997E-2</c:v>
                      </c:pt>
                      <c:pt idx="26">
                        <c:v>1.5325927734374998E-2</c:v>
                      </c:pt>
                      <c:pt idx="27">
                        <c:v>1.2811279296874995E-2</c:v>
                      </c:pt>
                      <c:pt idx="28">
                        <c:v>1.0174560546874998E-2</c:v>
                      </c:pt>
                      <c:pt idx="29">
                        <c:v>7.4157714843749983E-3</c:v>
                      </c:pt>
                      <c:pt idx="30">
                        <c:v>4.534912109374999E-3</c:v>
                      </c:pt>
                      <c:pt idx="31">
                        <c:v>1.531982421875001E-3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2F10-4A8B-84E5-82687961D048}"/>
                  </c:ext>
                </c:extLst>
              </c15:ser>
            </c15:filteredScatterSeries>
          </c:ext>
        </c:extLst>
      </c:scatterChart>
      <c:valAx>
        <c:axId val="157232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0848"/>
        <c:crosses val="autoZero"/>
        <c:crossBetween val="midCat"/>
      </c:valAx>
      <c:valAx>
        <c:axId val="157231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22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6029085843270034"/>
          <c:y val="0.21679352580927383"/>
          <c:w val="3.9709284934765408E-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Linea media con alerón deflectado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Nodos_conAlerón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'N32'!$E$17:$E$49</c:f>
              <c:numCache>
                <c:formatCode>General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'N32'!$G$17:$G$49</c:f>
              <c:numCache>
                <c:formatCode>General</c:formatCode>
                <c:ptCount val="33"/>
                <c:pt idx="0">
                  <c:v>0</c:v>
                </c:pt>
                <c:pt idx="1">
                  <c:v>1.1523437499999999E-2</c:v>
                </c:pt>
                <c:pt idx="2">
                  <c:v>2.1093749999999998E-2</c:v>
                </c:pt>
                <c:pt idx="3">
                  <c:v>2.8710937499999999E-2</c:v>
                </c:pt>
                <c:pt idx="4">
                  <c:v>3.4374999999999996E-2</c:v>
                </c:pt>
                <c:pt idx="5">
                  <c:v>3.8085937499999993E-2</c:v>
                </c:pt>
                <c:pt idx="6">
                  <c:v>3.9843750000000004E-2</c:v>
                </c:pt>
                <c:pt idx="7">
                  <c:v>3.9978027343749993E-2</c:v>
                </c:pt>
                <c:pt idx="8">
                  <c:v>3.984374999999999E-2</c:v>
                </c:pt>
                <c:pt idx="9">
                  <c:v>3.9587402343749994E-2</c:v>
                </c:pt>
                <c:pt idx="10">
                  <c:v>3.9208984374999992E-2</c:v>
                </c:pt>
                <c:pt idx="11">
                  <c:v>3.8708496093749996E-2</c:v>
                </c:pt>
                <c:pt idx="12">
                  <c:v>3.8085937499999993E-2</c:v>
                </c:pt>
                <c:pt idx="13">
                  <c:v>3.734130859374999E-2</c:v>
                </c:pt>
                <c:pt idx="14">
                  <c:v>3.6474609374999994E-2</c:v>
                </c:pt>
                <c:pt idx="15">
                  <c:v>3.5485839843749992E-2</c:v>
                </c:pt>
                <c:pt idx="16">
                  <c:v>3.4374999999999996E-2</c:v>
                </c:pt>
                <c:pt idx="17">
                  <c:v>3.3142089843749993E-2</c:v>
                </c:pt>
                <c:pt idx="18">
                  <c:v>3.178710937499999E-2</c:v>
                </c:pt>
                <c:pt idx="19">
                  <c:v>3.0310058593749994E-2</c:v>
                </c:pt>
                <c:pt idx="20">
                  <c:v>2.8710937499999992E-2</c:v>
                </c:pt>
                <c:pt idx="21">
                  <c:v>2.6989746093749996E-2</c:v>
                </c:pt>
                <c:pt idx="22">
                  <c:v>2.5146484374999993E-2</c:v>
                </c:pt>
                <c:pt idx="23">
                  <c:v>2.3181152343749994E-2</c:v>
                </c:pt>
                <c:pt idx="24">
                  <c:v>2.1093749999999998E-2</c:v>
                </c:pt>
                <c:pt idx="25">
                  <c:v>1.8884277343749995E-2</c:v>
                </c:pt>
                <c:pt idx="26">
                  <c:v>1.6552734374999999E-2</c:v>
                </c:pt>
                <c:pt idx="27">
                  <c:v>1.4099121093749997E-2</c:v>
                </c:pt>
                <c:pt idx="28">
                  <c:v>1.1523437499999995E-2</c:v>
                </c:pt>
                <c:pt idx="29">
                  <c:v>8.8256835937499997E-3</c:v>
                </c:pt>
                <c:pt idx="30">
                  <c:v>6.0058593749999969E-3</c:v>
                </c:pt>
                <c:pt idx="31">
                  <c:v>3.0639648437500019E-3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B5-4C1A-8D74-56E5013923F9}"/>
            </c:ext>
          </c:extLst>
        </c:ser>
        <c:ser>
          <c:idx val="1"/>
          <c:order val="1"/>
          <c:tx>
            <c:v>PC_conAlerón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'N32'!$I$17:$I$48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'N32'!$K$17:$K$48</c:f>
              <c:numCache>
                <c:formatCode>General</c:formatCode>
                <c:ptCount val="32"/>
                <c:pt idx="0">
                  <c:v>5.7617187499999995E-3</c:v>
                </c:pt>
                <c:pt idx="1">
                  <c:v>1.6308593749999999E-2</c:v>
                </c:pt>
                <c:pt idx="2">
                  <c:v>2.490234375E-2</c:v>
                </c:pt>
                <c:pt idx="3">
                  <c:v>3.1542968749999997E-2</c:v>
                </c:pt>
                <c:pt idx="4">
                  <c:v>3.6230468749999994E-2</c:v>
                </c:pt>
                <c:pt idx="5">
                  <c:v>3.8964843749999999E-2</c:v>
                </c:pt>
                <c:pt idx="6">
                  <c:v>3.9910888671874999E-2</c:v>
                </c:pt>
                <c:pt idx="7">
                  <c:v>3.9910888671874992E-2</c:v>
                </c:pt>
                <c:pt idx="8">
                  <c:v>3.9715576171874989E-2</c:v>
                </c:pt>
                <c:pt idx="9">
                  <c:v>3.9398193359374993E-2</c:v>
                </c:pt>
                <c:pt idx="10">
                  <c:v>3.8958740234374997E-2</c:v>
                </c:pt>
                <c:pt idx="11">
                  <c:v>3.8397216796874994E-2</c:v>
                </c:pt>
                <c:pt idx="12">
                  <c:v>3.7713623046874992E-2</c:v>
                </c:pt>
                <c:pt idx="13">
                  <c:v>3.6907958984374989E-2</c:v>
                </c:pt>
                <c:pt idx="14">
                  <c:v>3.5980224609374993E-2</c:v>
                </c:pt>
                <c:pt idx="15">
                  <c:v>3.4930419921874997E-2</c:v>
                </c:pt>
                <c:pt idx="16">
                  <c:v>3.3758544921874994E-2</c:v>
                </c:pt>
                <c:pt idx="17">
                  <c:v>3.2464599609374992E-2</c:v>
                </c:pt>
                <c:pt idx="18">
                  <c:v>3.1048583984374992E-2</c:v>
                </c:pt>
                <c:pt idx="19">
                  <c:v>2.9510498046874993E-2</c:v>
                </c:pt>
                <c:pt idx="20">
                  <c:v>2.7850341796874994E-2</c:v>
                </c:pt>
                <c:pt idx="21">
                  <c:v>2.6068115234374994E-2</c:v>
                </c:pt>
                <c:pt idx="22">
                  <c:v>2.4163818359374992E-2</c:v>
                </c:pt>
                <c:pt idx="23">
                  <c:v>2.2137451171874996E-2</c:v>
                </c:pt>
                <c:pt idx="24">
                  <c:v>1.9989013671874997E-2</c:v>
                </c:pt>
                <c:pt idx="25">
                  <c:v>1.7718505859374997E-2</c:v>
                </c:pt>
                <c:pt idx="26">
                  <c:v>1.5325927734374998E-2</c:v>
                </c:pt>
                <c:pt idx="27">
                  <c:v>1.2811279296874995E-2</c:v>
                </c:pt>
                <c:pt idx="28">
                  <c:v>1.0174560546874998E-2</c:v>
                </c:pt>
                <c:pt idx="29">
                  <c:v>7.4157714843749983E-3</c:v>
                </c:pt>
                <c:pt idx="30">
                  <c:v>4.534912109374999E-3</c:v>
                </c:pt>
                <c:pt idx="31">
                  <c:v>1.531982421875001E-3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B5-4C1A-8D74-56E501392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08128"/>
        <c:axId val="1572306496"/>
      </c:scatterChart>
      <c:valAx>
        <c:axId val="157230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06496"/>
        <c:crosses val="autoZero"/>
        <c:crossBetween val="midCat"/>
      </c:valAx>
      <c:valAx>
        <c:axId val="15723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0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COMPARATIVA</a:t>
            </a:r>
            <a:r>
              <a:rPr lang="es-ES" baseline="0"/>
              <a:t> </a:t>
            </a:r>
            <a:r>
              <a:rPr lang="es-ES"/>
              <a:t>Linea</a:t>
            </a:r>
            <a:r>
              <a:rPr lang="es-ES" baseline="0"/>
              <a:t> Media sin/con alerón deflectado 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Nodos_sinAlerón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'N32'!$E$17:$E$49</c:f>
              <c:numCache>
                <c:formatCode>General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'N32'!$F$17:$F$49</c:f>
              <c:numCache>
                <c:formatCode>General</c:formatCode>
                <c:ptCount val="33"/>
                <c:pt idx="0">
                  <c:v>0</c:v>
                </c:pt>
                <c:pt idx="1">
                  <c:v>1.1523437499999999E-2</c:v>
                </c:pt>
                <c:pt idx="2">
                  <c:v>2.1093749999999998E-2</c:v>
                </c:pt>
                <c:pt idx="3">
                  <c:v>2.8710937499999999E-2</c:v>
                </c:pt>
                <c:pt idx="4">
                  <c:v>3.4374999999999996E-2</c:v>
                </c:pt>
                <c:pt idx="5">
                  <c:v>3.8085937499999993E-2</c:v>
                </c:pt>
                <c:pt idx="6">
                  <c:v>3.9843750000000004E-2</c:v>
                </c:pt>
                <c:pt idx="7">
                  <c:v>3.9978027343749993E-2</c:v>
                </c:pt>
                <c:pt idx="8">
                  <c:v>3.984374999999999E-2</c:v>
                </c:pt>
                <c:pt idx="9">
                  <c:v>3.9587402343749994E-2</c:v>
                </c:pt>
                <c:pt idx="10">
                  <c:v>3.9208984374999992E-2</c:v>
                </c:pt>
                <c:pt idx="11">
                  <c:v>3.8708496093749996E-2</c:v>
                </c:pt>
                <c:pt idx="12">
                  <c:v>3.8085937499999993E-2</c:v>
                </c:pt>
                <c:pt idx="13">
                  <c:v>3.734130859374999E-2</c:v>
                </c:pt>
                <c:pt idx="14">
                  <c:v>3.6474609374999994E-2</c:v>
                </c:pt>
                <c:pt idx="15">
                  <c:v>3.5485839843749992E-2</c:v>
                </c:pt>
                <c:pt idx="16">
                  <c:v>3.4374999999999996E-2</c:v>
                </c:pt>
                <c:pt idx="17">
                  <c:v>3.3142089843749993E-2</c:v>
                </c:pt>
                <c:pt idx="18">
                  <c:v>3.178710937499999E-2</c:v>
                </c:pt>
                <c:pt idx="19">
                  <c:v>3.0310058593749994E-2</c:v>
                </c:pt>
                <c:pt idx="20">
                  <c:v>2.8710937499999992E-2</c:v>
                </c:pt>
                <c:pt idx="21">
                  <c:v>2.6989746093749996E-2</c:v>
                </c:pt>
                <c:pt idx="22">
                  <c:v>2.5146484374999993E-2</c:v>
                </c:pt>
                <c:pt idx="23">
                  <c:v>2.3181152343749994E-2</c:v>
                </c:pt>
                <c:pt idx="24">
                  <c:v>2.1093749999999998E-2</c:v>
                </c:pt>
                <c:pt idx="25">
                  <c:v>1.8884277343749995E-2</c:v>
                </c:pt>
                <c:pt idx="26">
                  <c:v>1.6552734374999999E-2</c:v>
                </c:pt>
                <c:pt idx="27">
                  <c:v>1.4099121093749997E-2</c:v>
                </c:pt>
                <c:pt idx="28">
                  <c:v>1.1523437499999995E-2</c:v>
                </c:pt>
                <c:pt idx="29">
                  <c:v>8.8256835937499997E-3</c:v>
                </c:pt>
                <c:pt idx="30">
                  <c:v>6.0058593749999969E-3</c:v>
                </c:pt>
                <c:pt idx="31">
                  <c:v>3.0639648437500019E-3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E-4320-BAA4-40522B05424F}"/>
            </c:ext>
          </c:extLst>
        </c:ser>
        <c:ser>
          <c:idx val="1"/>
          <c:order val="1"/>
          <c:tx>
            <c:v>PC_sinAlerón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'N32'!$H$17:$H$48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'N32'!$J$17:$J$48</c:f>
              <c:numCache>
                <c:formatCode>General</c:formatCode>
                <c:ptCount val="32"/>
                <c:pt idx="0">
                  <c:v>5.7617187499999995E-3</c:v>
                </c:pt>
                <c:pt idx="1">
                  <c:v>1.6308593749999999E-2</c:v>
                </c:pt>
                <c:pt idx="2">
                  <c:v>2.490234375E-2</c:v>
                </c:pt>
                <c:pt idx="3">
                  <c:v>3.1542968749999997E-2</c:v>
                </c:pt>
                <c:pt idx="4">
                  <c:v>3.6230468749999994E-2</c:v>
                </c:pt>
                <c:pt idx="5">
                  <c:v>3.8964843749999999E-2</c:v>
                </c:pt>
                <c:pt idx="6">
                  <c:v>3.9910888671874999E-2</c:v>
                </c:pt>
                <c:pt idx="7">
                  <c:v>3.9910888671874992E-2</c:v>
                </c:pt>
                <c:pt idx="8">
                  <c:v>3.9715576171874989E-2</c:v>
                </c:pt>
                <c:pt idx="9">
                  <c:v>3.9398193359374993E-2</c:v>
                </c:pt>
                <c:pt idx="10">
                  <c:v>3.8958740234374997E-2</c:v>
                </c:pt>
                <c:pt idx="11">
                  <c:v>3.8397216796874994E-2</c:v>
                </c:pt>
                <c:pt idx="12">
                  <c:v>3.7713623046874992E-2</c:v>
                </c:pt>
                <c:pt idx="13">
                  <c:v>3.6907958984374989E-2</c:v>
                </c:pt>
                <c:pt idx="14">
                  <c:v>3.5980224609374993E-2</c:v>
                </c:pt>
                <c:pt idx="15">
                  <c:v>3.4930419921874997E-2</c:v>
                </c:pt>
                <c:pt idx="16">
                  <c:v>3.3758544921874994E-2</c:v>
                </c:pt>
                <c:pt idx="17">
                  <c:v>3.2464599609374992E-2</c:v>
                </c:pt>
                <c:pt idx="18">
                  <c:v>3.1048583984374992E-2</c:v>
                </c:pt>
                <c:pt idx="19">
                  <c:v>2.9510498046874993E-2</c:v>
                </c:pt>
                <c:pt idx="20">
                  <c:v>2.7850341796874994E-2</c:v>
                </c:pt>
                <c:pt idx="21">
                  <c:v>2.6068115234374994E-2</c:v>
                </c:pt>
                <c:pt idx="22">
                  <c:v>2.4163818359374992E-2</c:v>
                </c:pt>
                <c:pt idx="23">
                  <c:v>2.2137451171874996E-2</c:v>
                </c:pt>
                <c:pt idx="24">
                  <c:v>1.9989013671874997E-2</c:v>
                </c:pt>
                <c:pt idx="25">
                  <c:v>1.7718505859374997E-2</c:v>
                </c:pt>
                <c:pt idx="26">
                  <c:v>1.5325927734374998E-2</c:v>
                </c:pt>
                <c:pt idx="27">
                  <c:v>1.2811279296874995E-2</c:v>
                </c:pt>
                <c:pt idx="28">
                  <c:v>1.0174560546874998E-2</c:v>
                </c:pt>
                <c:pt idx="29">
                  <c:v>7.4157714843749983E-3</c:v>
                </c:pt>
                <c:pt idx="30">
                  <c:v>4.534912109374999E-3</c:v>
                </c:pt>
                <c:pt idx="31">
                  <c:v>1.531982421875001E-3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0E-4320-BAA4-40522B05424F}"/>
            </c:ext>
          </c:extLst>
        </c:ser>
        <c:ser>
          <c:idx val="2"/>
          <c:order val="2"/>
          <c:tx>
            <c:v>Nodos_conAlerón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'N32'!$E$17:$E$49</c:f>
              <c:numCache>
                <c:formatCode>General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  <c:extLst xmlns:c15="http://schemas.microsoft.com/office/drawing/2012/chart"/>
            </c:numRef>
          </c:xVal>
          <c:yVal>
            <c:numRef>
              <c:f>'N32'!$G$17:$G$49</c:f>
              <c:numCache>
                <c:formatCode>General</c:formatCode>
                <c:ptCount val="33"/>
                <c:pt idx="0">
                  <c:v>0</c:v>
                </c:pt>
                <c:pt idx="1">
                  <c:v>1.1523437499999999E-2</c:v>
                </c:pt>
                <c:pt idx="2">
                  <c:v>2.1093749999999998E-2</c:v>
                </c:pt>
                <c:pt idx="3">
                  <c:v>2.8710937499999999E-2</c:v>
                </c:pt>
                <c:pt idx="4">
                  <c:v>3.4374999999999996E-2</c:v>
                </c:pt>
                <c:pt idx="5">
                  <c:v>3.8085937499999993E-2</c:v>
                </c:pt>
                <c:pt idx="6">
                  <c:v>3.9843750000000004E-2</c:v>
                </c:pt>
                <c:pt idx="7">
                  <c:v>3.9978027343749993E-2</c:v>
                </c:pt>
                <c:pt idx="8">
                  <c:v>3.984374999999999E-2</c:v>
                </c:pt>
                <c:pt idx="9">
                  <c:v>3.9587402343749994E-2</c:v>
                </c:pt>
                <c:pt idx="10">
                  <c:v>3.9208984374999992E-2</c:v>
                </c:pt>
                <c:pt idx="11">
                  <c:v>3.8708496093749996E-2</c:v>
                </c:pt>
                <c:pt idx="12">
                  <c:v>3.8085937499999993E-2</c:v>
                </c:pt>
                <c:pt idx="13">
                  <c:v>3.734130859374999E-2</c:v>
                </c:pt>
                <c:pt idx="14">
                  <c:v>3.6474609374999994E-2</c:v>
                </c:pt>
                <c:pt idx="15">
                  <c:v>3.5485839843749992E-2</c:v>
                </c:pt>
                <c:pt idx="16">
                  <c:v>3.4374999999999996E-2</c:v>
                </c:pt>
                <c:pt idx="17">
                  <c:v>3.3142089843749993E-2</c:v>
                </c:pt>
                <c:pt idx="18">
                  <c:v>3.178710937499999E-2</c:v>
                </c:pt>
                <c:pt idx="19">
                  <c:v>3.0310058593749994E-2</c:v>
                </c:pt>
                <c:pt idx="20">
                  <c:v>2.8710937499999992E-2</c:v>
                </c:pt>
                <c:pt idx="21">
                  <c:v>2.6989746093749996E-2</c:v>
                </c:pt>
                <c:pt idx="22">
                  <c:v>2.5146484374999993E-2</c:v>
                </c:pt>
                <c:pt idx="23">
                  <c:v>2.3181152343749994E-2</c:v>
                </c:pt>
                <c:pt idx="24">
                  <c:v>2.1093749999999998E-2</c:v>
                </c:pt>
                <c:pt idx="25">
                  <c:v>1.8884277343749995E-2</c:v>
                </c:pt>
                <c:pt idx="26">
                  <c:v>1.6552734374999999E-2</c:v>
                </c:pt>
                <c:pt idx="27">
                  <c:v>1.4099121093749997E-2</c:v>
                </c:pt>
                <c:pt idx="28">
                  <c:v>1.1523437499999995E-2</c:v>
                </c:pt>
                <c:pt idx="29">
                  <c:v>8.8256835937499997E-3</c:v>
                </c:pt>
                <c:pt idx="30">
                  <c:v>6.0058593749999969E-3</c:v>
                </c:pt>
                <c:pt idx="31">
                  <c:v>3.0639648437500019E-3</c:v>
                </c:pt>
                <c:pt idx="32">
                  <c:v>0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2-170E-4320-BAA4-40522B05424F}"/>
            </c:ext>
          </c:extLst>
        </c:ser>
        <c:ser>
          <c:idx val="3"/>
          <c:order val="3"/>
          <c:tx>
            <c:v>PC_conAlerón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'N32'!$I$17:$I$48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  <c:extLst xmlns:c15="http://schemas.microsoft.com/office/drawing/2012/chart"/>
            </c:numRef>
          </c:xVal>
          <c:yVal>
            <c:numRef>
              <c:f>'N32'!$K$17:$K$48</c:f>
              <c:numCache>
                <c:formatCode>General</c:formatCode>
                <c:ptCount val="32"/>
                <c:pt idx="0">
                  <c:v>5.7617187499999995E-3</c:v>
                </c:pt>
                <c:pt idx="1">
                  <c:v>1.6308593749999999E-2</c:v>
                </c:pt>
                <c:pt idx="2">
                  <c:v>2.490234375E-2</c:v>
                </c:pt>
                <c:pt idx="3">
                  <c:v>3.1542968749999997E-2</c:v>
                </c:pt>
                <c:pt idx="4">
                  <c:v>3.6230468749999994E-2</c:v>
                </c:pt>
                <c:pt idx="5">
                  <c:v>3.8964843749999999E-2</c:v>
                </c:pt>
                <c:pt idx="6">
                  <c:v>3.9910888671874999E-2</c:v>
                </c:pt>
                <c:pt idx="7">
                  <c:v>3.9910888671874992E-2</c:v>
                </c:pt>
                <c:pt idx="8">
                  <c:v>3.9715576171874989E-2</c:v>
                </c:pt>
                <c:pt idx="9">
                  <c:v>3.9398193359374993E-2</c:v>
                </c:pt>
                <c:pt idx="10">
                  <c:v>3.8958740234374997E-2</c:v>
                </c:pt>
                <c:pt idx="11">
                  <c:v>3.8397216796874994E-2</c:v>
                </c:pt>
                <c:pt idx="12">
                  <c:v>3.7713623046874992E-2</c:v>
                </c:pt>
                <c:pt idx="13">
                  <c:v>3.6907958984374989E-2</c:v>
                </c:pt>
                <c:pt idx="14">
                  <c:v>3.5980224609374993E-2</c:v>
                </c:pt>
                <c:pt idx="15">
                  <c:v>3.4930419921874997E-2</c:v>
                </c:pt>
                <c:pt idx="16">
                  <c:v>3.3758544921874994E-2</c:v>
                </c:pt>
                <c:pt idx="17">
                  <c:v>3.2464599609374992E-2</c:v>
                </c:pt>
                <c:pt idx="18">
                  <c:v>3.1048583984374992E-2</c:v>
                </c:pt>
                <c:pt idx="19">
                  <c:v>2.9510498046874993E-2</c:v>
                </c:pt>
                <c:pt idx="20">
                  <c:v>2.7850341796874994E-2</c:v>
                </c:pt>
                <c:pt idx="21">
                  <c:v>2.6068115234374994E-2</c:v>
                </c:pt>
                <c:pt idx="22">
                  <c:v>2.4163818359374992E-2</c:v>
                </c:pt>
                <c:pt idx="23">
                  <c:v>2.2137451171874996E-2</c:v>
                </c:pt>
                <c:pt idx="24">
                  <c:v>1.9989013671874997E-2</c:v>
                </c:pt>
                <c:pt idx="25">
                  <c:v>1.7718505859374997E-2</c:v>
                </c:pt>
                <c:pt idx="26">
                  <c:v>1.5325927734374998E-2</c:v>
                </c:pt>
                <c:pt idx="27">
                  <c:v>1.2811279296874995E-2</c:v>
                </c:pt>
                <c:pt idx="28">
                  <c:v>1.0174560546874998E-2</c:v>
                </c:pt>
                <c:pt idx="29">
                  <c:v>7.4157714843749983E-3</c:v>
                </c:pt>
                <c:pt idx="30">
                  <c:v>4.534912109374999E-3</c:v>
                </c:pt>
                <c:pt idx="31">
                  <c:v>1.531982421875001E-3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3-170E-4320-BAA4-40522B054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15744"/>
        <c:axId val="1572314112"/>
        <c:extLst/>
      </c:scatterChart>
      <c:valAx>
        <c:axId val="157231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4112"/>
        <c:crosses val="autoZero"/>
        <c:crossBetween val="midCat"/>
      </c:valAx>
      <c:valAx>
        <c:axId val="157231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Cp</a:t>
            </a:r>
            <a:r>
              <a:rPr lang="es-ES" baseline="0"/>
              <a:t>_sinAlerón vs x/c(PC)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Cpint_sinAlerón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'N32'!$H$17:$H$48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'N32'!$O$61:$O$92</c:f>
              <c:numCache>
                <c:formatCode>General</c:formatCode>
                <c:ptCount val="32"/>
                <c:pt idx="0">
                  <c:v>-0.82494765916941915</c:v>
                </c:pt>
                <c:pt idx="1">
                  <c:v>6.1062980438500822E-2</c:v>
                </c:pt>
                <c:pt idx="2">
                  <c:v>0.23160802759575244</c:v>
                </c:pt>
                <c:pt idx="3">
                  <c:v>0.34223250338723654</c:v>
                </c:pt>
                <c:pt idx="4">
                  <c:v>0.39838363543211408</c:v>
                </c:pt>
                <c:pt idx="5">
                  <c:v>0.4112786793311215</c:v>
                </c:pt>
                <c:pt idx="6">
                  <c:v>0.34660436812623074</c:v>
                </c:pt>
                <c:pt idx="7">
                  <c:v>0.274215731550977</c:v>
                </c:pt>
                <c:pt idx="8">
                  <c:v>0.25296911551619661</c:v>
                </c:pt>
                <c:pt idx="9">
                  <c:v>0.23697533068384236</c:v>
                </c:pt>
                <c:pt idx="10">
                  <c:v>0.225576182243243</c:v>
                </c:pt>
                <c:pt idx="11">
                  <c:v>0.21672766919864975</c:v>
                </c:pt>
                <c:pt idx="12">
                  <c:v>0.20943972040040332</c:v>
                </c:pt>
                <c:pt idx="13">
                  <c:v>0.20311891339221277</c:v>
                </c:pt>
                <c:pt idx="14">
                  <c:v>0.19738785518958976</c:v>
                </c:pt>
                <c:pt idx="15">
                  <c:v>0.19199119239244025</c:v>
                </c:pt>
                <c:pt idx="16">
                  <c:v>0.18674645198867235</c:v>
                </c:pt>
                <c:pt idx="17">
                  <c:v>0.18151605206070653</c:v>
                </c:pt>
                <c:pt idx="18">
                  <c:v>0.17619026891942119</c:v>
                </c:pt>
                <c:pt idx="19">
                  <c:v>0.17067611417437278</c:v>
                </c:pt>
                <c:pt idx="20">
                  <c:v>0.16488942403020421</c:v>
                </c:pt>
                <c:pt idx="21">
                  <c:v>0.15874855773912533</c:v>
                </c:pt>
                <c:pt idx="22">
                  <c:v>0.15216858213202739</c:v>
                </c:pt>
                <c:pt idx="23">
                  <c:v>0.14505492197200265</c:v>
                </c:pt>
                <c:pt idx="24">
                  <c:v>0.13729520669964104</c:v>
                </c:pt>
                <c:pt idx="25">
                  <c:v>0.1287472525936264</c:v>
                </c:pt>
                <c:pt idx="26">
                  <c:v>0.11921916702909666</c:v>
                </c:pt>
                <c:pt idx="27">
                  <c:v>0.10843239863226675</c:v>
                </c:pt>
                <c:pt idx="28">
                  <c:v>9.5946079537755052E-2</c:v>
                </c:pt>
                <c:pt idx="29">
                  <c:v>8.0933704748009649E-2</c:v>
                </c:pt>
                <c:pt idx="30">
                  <c:v>6.2051732712643824E-2</c:v>
                </c:pt>
                <c:pt idx="31">
                  <c:v>2.5722814379506326E-2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9-4863-A57E-4859766F9EC0}"/>
            </c:ext>
          </c:extLst>
        </c:ser>
        <c:ser>
          <c:idx val="1"/>
          <c:order val="1"/>
          <c:tx>
            <c:v>Cpext_sinAlerón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'N32'!$H$17:$H$48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'N32'!$S$61:$S$92</c:f>
              <c:numCache>
                <c:formatCode>General</c:formatCode>
                <c:ptCount val="32"/>
                <c:pt idx="0">
                  <c:v>0.82494765916941915</c:v>
                </c:pt>
                <c:pt idx="1">
                  <c:v>-6.1062980438500822E-2</c:v>
                </c:pt>
                <c:pt idx="2">
                  <c:v>-0.23160802759575244</c:v>
                </c:pt>
                <c:pt idx="3">
                  <c:v>-0.34223250338723654</c:v>
                </c:pt>
                <c:pt idx="4">
                  <c:v>-0.39838363543211408</c:v>
                </c:pt>
                <c:pt idx="5">
                  <c:v>-0.4112786793311215</c:v>
                </c:pt>
                <c:pt idx="6">
                  <c:v>-0.34660436812623074</c:v>
                </c:pt>
                <c:pt idx="7">
                  <c:v>-0.274215731550977</c:v>
                </c:pt>
                <c:pt idx="8">
                  <c:v>-0.25296911551619661</c:v>
                </c:pt>
                <c:pt idx="9">
                  <c:v>-0.23697533068384236</c:v>
                </c:pt>
                <c:pt idx="10">
                  <c:v>-0.225576182243243</c:v>
                </c:pt>
                <c:pt idx="11">
                  <c:v>-0.21672766919864975</c:v>
                </c:pt>
                <c:pt idx="12">
                  <c:v>-0.20943972040040332</c:v>
                </c:pt>
                <c:pt idx="13">
                  <c:v>-0.20311891339221277</c:v>
                </c:pt>
                <c:pt idx="14">
                  <c:v>-0.19738785518958976</c:v>
                </c:pt>
                <c:pt idx="15">
                  <c:v>-0.19199119239244025</c:v>
                </c:pt>
                <c:pt idx="16">
                  <c:v>-0.18674645198867235</c:v>
                </c:pt>
                <c:pt idx="17">
                  <c:v>-0.18151605206070653</c:v>
                </c:pt>
                <c:pt idx="18">
                  <c:v>-0.17619026891942119</c:v>
                </c:pt>
                <c:pt idx="19">
                  <c:v>-0.17067611417437278</c:v>
                </c:pt>
                <c:pt idx="20">
                  <c:v>-0.16488942403020421</c:v>
                </c:pt>
                <c:pt idx="21">
                  <c:v>-0.15874855773912533</c:v>
                </c:pt>
                <c:pt idx="22">
                  <c:v>-0.15216858213202739</c:v>
                </c:pt>
                <c:pt idx="23">
                  <c:v>-0.14505492197200265</c:v>
                </c:pt>
                <c:pt idx="24">
                  <c:v>-0.13729520669964104</c:v>
                </c:pt>
                <c:pt idx="25">
                  <c:v>-0.1287472525936264</c:v>
                </c:pt>
                <c:pt idx="26">
                  <c:v>-0.11921916702909666</c:v>
                </c:pt>
                <c:pt idx="27">
                  <c:v>-0.10843239863226675</c:v>
                </c:pt>
                <c:pt idx="28">
                  <c:v>-9.5946079537755052E-2</c:v>
                </c:pt>
                <c:pt idx="29">
                  <c:v>-8.0933704748009649E-2</c:v>
                </c:pt>
                <c:pt idx="30">
                  <c:v>-6.2051732712643824E-2</c:v>
                </c:pt>
                <c:pt idx="31">
                  <c:v>-2.5722814379506326E-2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9-4863-A57E-4859766F9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03232"/>
        <c:axId val="1572313568"/>
      </c:scatterChart>
      <c:valAx>
        <c:axId val="15723032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3568"/>
        <c:crosses val="autoZero"/>
        <c:crossBetween val="midCat"/>
      </c:valAx>
      <c:valAx>
        <c:axId val="157231356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03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Cp_conAlerón</a:t>
            </a:r>
            <a:r>
              <a:rPr lang="es-ES" baseline="0"/>
              <a:t> vs x/c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581146106736655E-2"/>
          <c:y val="0.19721055701370663"/>
          <c:w val="0.87318963254593174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Cpint_conAlerón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'N32'!$I$17:$I$48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'N32'!$Q$61:$Q$92</c:f>
              <c:numCache>
                <c:formatCode>General</c:formatCode>
                <c:ptCount val="32"/>
                <c:pt idx="0">
                  <c:v>-0.82494765916941915</c:v>
                </c:pt>
                <c:pt idx="1">
                  <c:v>6.1062980438500822E-2</c:v>
                </c:pt>
                <c:pt idx="2">
                  <c:v>0.23160802759575244</c:v>
                </c:pt>
                <c:pt idx="3">
                  <c:v>0.34223250338723654</c:v>
                </c:pt>
                <c:pt idx="4">
                  <c:v>0.39838363543211408</c:v>
                </c:pt>
                <c:pt idx="5">
                  <c:v>0.4112786793311215</c:v>
                </c:pt>
                <c:pt idx="6">
                  <c:v>0.34660436812623074</c:v>
                </c:pt>
                <c:pt idx="7">
                  <c:v>0.274215731550977</c:v>
                </c:pt>
                <c:pt idx="8">
                  <c:v>0.25296911551619661</c:v>
                </c:pt>
                <c:pt idx="9">
                  <c:v>0.23697533068384236</c:v>
                </c:pt>
                <c:pt idx="10">
                  <c:v>0.225576182243243</c:v>
                </c:pt>
                <c:pt idx="11">
                  <c:v>0.21672766919864975</c:v>
                </c:pt>
                <c:pt idx="12">
                  <c:v>0.20943972040040332</c:v>
                </c:pt>
                <c:pt idx="13">
                  <c:v>0.20311891339221277</c:v>
                </c:pt>
                <c:pt idx="14">
                  <c:v>0.19738785518958976</c:v>
                </c:pt>
                <c:pt idx="15">
                  <c:v>0.19199119239244025</c:v>
                </c:pt>
                <c:pt idx="16">
                  <c:v>0.18674645198867235</c:v>
                </c:pt>
                <c:pt idx="17">
                  <c:v>0.18151605206070653</c:v>
                </c:pt>
                <c:pt idx="18">
                  <c:v>0.17619026891942119</c:v>
                </c:pt>
                <c:pt idx="19">
                  <c:v>0.17067611417437278</c:v>
                </c:pt>
                <c:pt idx="20">
                  <c:v>0.16488942403020421</c:v>
                </c:pt>
                <c:pt idx="21">
                  <c:v>0.15874855773912533</c:v>
                </c:pt>
                <c:pt idx="22">
                  <c:v>0.15216858213202739</c:v>
                </c:pt>
                <c:pt idx="23">
                  <c:v>0.14505492197200265</c:v>
                </c:pt>
                <c:pt idx="24">
                  <c:v>0.13729520669964104</c:v>
                </c:pt>
                <c:pt idx="25">
                  <c:v>0.1287472525936264</c:v>
                </c:pt>
                <c:pt idx="26">
                  <c:v>0.11921916702909666</c:v>
                </c:pt>
                <c:pt idx="27">
                  <c:v>0.10843239863226675</c:v>
                </c:pt>
                <c:pt idx="28">
                  <c:v>9.5946079537755052E-2</c:v>
                </c:pt>
                <c:pt idx="29">
                  <c:v>8.0933704748009649E-2</c:v>
                </c:pt>
                <c:pt idx="30">
                  <c:v>6.2051732712643824E-2</c:v>
                </c:pt>
                <c:pt idx="31">
                  <c:v>2.5722814379506326E-2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7-45B8-89D2-860BC78434E8}"/>
            </c:ext>
          </c:extLst>
        </c:ser>
        <c:ser>
          <c:idx val="1"/>
          <c:order val="1"/>
          <c:tx>
            <c:v>Cpext_conAlerón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'N32'!$I$17:$I$48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'N32'!$U$61:$U$92</c:f>
              <c:numCache>
                <c:formatCode>General</c:formatCode>
                <c:ptCount val="32"/>
                <c:pt idx="0">
                  <c:v>0.82494765916941915</c:v>
                </c:pt>
                <c:pt idx="1">
                  <c:v>-6.1062980438500822E-2</c:v>
                </c:pt>
                <c:pt idx="2">
                  <c:v>-0.23160802759575244</c:v>
                </c:pt>
                <c:pt idx="3">
                  <c:v>-0.34223250338723654</c:v>
                </c:pt>
                <c:pt idx="4">
                  <c:v>-0.39838363543211408</c:v>
                </c:pt>
                <c:pt idx="5">
                  <c:v>-0.4112786793311215</c:v>
                </c:pt>
                <c:pt idx="6">
                  <c:v>-0.34660436812623074</c:v>
                </c:pt>
                <c:pt idx="7">
                  <c:v>-0.274215731550977</c:v>
                </c:pt>
                <c:pt idx="8">
                  <c:v>-0.25296911551619661</c:v>
                </c:pt>
                <c:pt idx="9">
                  <c:v>-0.23697533068384236</c:v>
                </c:pt>
                <c:pt idx="10">
                  <c:v>-0.225576182243243</c:v>
                </c:pt>
                <c:pt idx="11">
                  <c:v>-0.21672766919864975</c:v>
                </c:pt>
                <c:pt idx="12">
                  <c:v>-0.20943972040040332</c:v>
                </c:pt>
                <c:pt idx="13">
                  <c:v>-0.20311891339221277</c:v>
                </c:pt>
                <c:pt idx="14">
                  <c:v>-0.19738785518958976</c:v>
                </c:pt>
                <c:pt idx="15">
                  <c:v>-0.19199119239244025</c:v>
                </c:pt>
                <c:pt idx="16">
                  <c:v>-0.18674645198867235</c:v>
                </c:pt>
                <c:pt idx="17">
                  <c:v>-0.18151605206070653</c:v>
                </c:pt>
                <c:pt idx="18">
                  <c:v>-0.17619026891942119</c:v>
                </c:pt>
                <c:pt idx="19">
                  <c:v>-0.17067611417437278</c:v>
                </c:pt>
                <c:pt idx="20">
                  <c:v>-0.16488942403020421</c:v>
                </c:pt>
                <c:pt idx="21">
                  <c:v>-0.15874855773912533</c:v>
                </c:pt>
                <c:pt idx="22">
                  <c:v>-0.15216858213202739</c:v>
                </c:pt>
                <c:pt idx="23">
                  <c:v>-0.14505492197200265</c:v>
                </c:pt>
                <c:pt idx="24">
                  <c:v>-0.13729520669964104</c:v>
                </c:pt>
                <c:pt idx="25">
                  <c:v>-0.1287472525936264</c:v>
                </c:pt>
                <c:pt idx="26">
                  <c:v>-0.11921916702909666</c:v>
                </c:pt>
                <c:pt idx="27">
                  <c:v>-0.10843239863226675</c:v>
                </c:pt>
                <c:pt idx="28">
                  <c:v>-9.5946079537755052E-2</c:v>
                </c:pt>
                <c:pt idx="29">
                  <c:v>-8.0933704748009649E-2</c:v>
                </c:pt>
                <c:pt idx="30">
                  <c:v>-6.2051732712643824E-2</c:v>
                </c:pt>
                <c:pt idx="31">
                  <c:v>-2.5722814379506326E-2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7-45B8-89D2-860BC7843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17376"/>
        <c:axId val="1572305408"/>
      </c:scatterChart>
      <c:valAx>
        <c:axId val="15723173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05408"/>
        <c:crosses val="autoZero"/>
        <c:crossBetween val="midCat"/>
      </c:valAx>
      <c:valAx>
        <c:axId val="15723054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Cli</a:t>
            </a:r>
            <a:r>
              <a:rPr lang="es-ES" baseline="0"/>
              <a:t> vs x/c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Cli_sinAlerón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'N32'!$H$17:$H$48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'N32'!$K$61:$K$92</c:f>
              <c:numCache>
                <c:formatCode>General</c:formatCode>
                <c:ptCount val="32"/>
                <c:pt idx="0">
                  <c:v>-1.6498953183388383</c:v>
                </c:pt>
                <c:pt idx="1">
                  <c:v>0.12212596087700164</c:v>
                </c:pt>
                <c:pt idx="2">
                  <c:v>0.46321605519150488</c:v>
                </c:pt>
                <c:pt idx="3">
                  <c:v>0.68446500677447308</c:v>
                </c:pt>
                <c:pt idx="4">
                  <c:v>0.79676727086422816</c:v>
                </c:pt>
                <c:pt idx="5">
                  <c:v>0.822557358662243</c:v>
                </c:pt>
                <c:pt idx="6">
                  <c:v>0.69320873625246149</c:v>
                </c:pt>
                <c:pt idx="7">
                  <c:v>0.54843146310195401</c:v>
                </c:pt>
                <c:pt idx="8">
                  <c:v>0.50593823103239322</c:v>
                </c:pt>
                <c:pt idx="9">
                  <c:v>0.47395066136768471</c:v>
                </c:pt>
                <c:pt idx="10">
                  <c:v>0.45115236448648599</c:v>
                </c:pt>
                <c:pt idx="11">
                  <c:v>0.43345533839729949</c:v>
                </c:pt>
                <c:pt idx="12">
                  <c:v>0.41887944080080664</c:v>
                </c:pt>
                <c:pt idx="13">
                  <c:v>0.40623782678442555</c:v>
                </c:pt>
                <c:pt idx="14">
                  <c:v>0.39477571037917952</c:v>
                </c:pt>
                <c:pt idx="15">
                  <c:v>0.3839823847848805</c:v>
                </c:pt>
                <c:pt idx="16">
                  <c:v>0.37349290397734469</c:v>
                </c:pt>
                <c:pt idx="17">
                  <c:v>0.36303210412141307</c:v>
                </c:pt>
                <c:pt idx="18">
                  <c:v>0.35238053783884238</c:v>
                </c:pt>
                <c:pt idx="19">
                  <c:v>0.34135222834874557</c:v>
                </c:pt>
                <c:pt idx="20">
                  <c:v>0.32977884806040841</c:v>
                </c:pt>
                <c:pt idx="21">
                  <c:v>0.31749711547825066</c:v>
                </c:pt>
                <c:pt idx="22">
                  <c:v>0.30433716426405477</c:v>
                </c:pt>
                <c:pt idx="23">
                  <c:v>0.2901098439440053</c:v>
                </c:pt>
                <c:pt idx="24">
                  <c:v>0.27459041339928209</c:v>
                </c:pt>
                <c:pt idx="25">
                  <c:v>0.25749450518725281</c:v>
                </c:pt>
                <c:pt idx="26">
                  <c:v>0.23843833405819331</c:v>
                </c:pt>
                <c:pt idx="27">
                  <c:v>0.2168647972645335</c:v>
                </c:pt>
                <c:pt idx="28">
                  <c:v>0.1918921590755101</c:v>
                </c:pt>
                <c:pt idx="29">
                  <c:v>0.1618674094960193</c:v>
                </c:pt>
                <c:pt idx="30">
                  <c:v>0.12410346542528765</c:v>
                </c:pt>
                <c:pt idx="31">
                  <c:v>5.1445628759012652E-2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B-4BB5-9D6E-362CE31F68DD}"/>
            </c:ext>
          </c:extLst>
        </c:ser>
        <c:ser>
          <c:idx val="1"/>
          <c:order val="1"/>
          <c:tx>
            <c:v>Cli_conAlerón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'N32'!$I$17:$I$48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'N32'!$M$61:$M$92</c:f>
              <c:numCache>
                <c:formatCode>General</c:formatCode>
                <c:ptCount val="32"/>
                <c:pt idx="0">
                  <c:v>-1.6498953183388383</c:v>
                </c:pt>
                <c:pt idx="1">
                  <c:v>0.12212596087700164</c:v>
                </c:pt>
                <c:pt idx="2">
                  <c:v>0.46321605519150488</c:v>
                </c:pt>
                <c:pt idx="3">
                  <c:v>0.68446500677447308</c:v>
                </c:pt>
                <c:pt idx="4">
                  <c:v>0.79676727086422816</c:v>
                </c:pt>
                <c:pt idx="5">
                  <c:v>0.822557358662243</c:v>
                </c:pt>
                <c:pt idx="6">
                  <c:v>0.69320873625246149</c:v>
                </c:pt>
                <c:pt idx="7">
                  <c:v>0.54843146310195401</c:v>
                </c:pt>
                <c:pt idx="8">
                  <c:v>0.50593823103239322</c:v>
                </c:pt>
                <c:pt idx="9">
                  <c:v>0.47395066136768471</c:v>
                </c:pt>
                <c:pt idx="10">
                  <c:v>0.45115236448648599</c:v>
                </c:pt>
                <c:pt idx="11">
                  <c:v>0.43345533839729949</c:v>
                </c:pt>
                <c:pt idx="12">
                  <c:v>0.41887944080080664</c:v>
                </c:pt>
                <c:pt idx="13">
                  <c:v>0.40623782678442555</c:v>
                </c:pt>
                <c:pt idx="14">
                  <c:v>0.39477571037917952</c:v>
                </c:pt>
                <c:pt idx="15">
                  <c:v>0.3839823847848805</c:v>
                </c:pt>
                <c:pt idx="16">
                  <c:v>0.37349290397734469</c:v>
                </c:pt>
                <c:pt idx="17">
                  <c:v>0.36303210412141307</c:v>
                </c:pt>
                <c:pt idx="18">
                  <c:v>0.35238053783884238</c:v>
                </c:pt>
                <c:pt idx="19">
                  <c:v>0.34135222834874557</c:v>
                </c:pt>
                <c:pt idx="20">
                  <c:v>0.32977884806040841</c:v>
                </c:pt>
                <c:pt idx="21">
                  <c:v>0.31749711547825066</c:v>
                </c:pt>
                <c:pt idx="22">
                  <c:v>0.30433716426405477</c:v>
                </c:pt>
                <c:pt idx="23">
                  <c:v>0.2901098439440053</c:v>
                </c:pt>
                <c:pt idx="24">
                  <c:v>0.27459041339928209</c:v>
                </c:pt>
                <c:pt idx="25">
                  <c:v>0.25749450518725281</c:v>
                </c:pt>
                <c:pt idx="26">
                  <c:v>0.23843833405819331</c:v>
                </c:pt>
                <c:pt idx="27">
                  <c:v>0.2168647972645335</c:v>
                </c:pt>
                <c:pt idx="28">
                  <c:v>0.1918921590755101</c:v>
                </c:pt>
                <c:pt idx="29">
                  <c:v>0.1618674094960193</c:v>
                </c:pt>
                <c:pt idx="30">
                  <c:v>0.12410346542528765</c:v>
                </c:pt>
                <c:pt idx="31">
                  <c:v>5.1445628759012652E-2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7B-4BB5-9D6E-362CE31F6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17920"/>
        <c:axId val="1572308672"/>
      </c:scatterChart>
      <c:valAx>
        <c:axId val="157231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08672"/>
        <c:crosses val="autoZero"/>
        <c:crossBetween val="midCat"/>
      </c:valAx>
      <c:valAx>
        <c:axId val="157230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Cmiba</a:t>
            </a:r>
            <a:r>
              <a:rPr lang="es-ES" baseline="0"/>
              <a:t> vs x/c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Cmiba_sinAlerón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'N32'!$H$17:$H$48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'N32'!$W$61:$W$92</c:f>
              <c:numCache>
                <c:formatCode>General</c:formatCode>
                <c:ptCount val="32"/>
                <c:pt idx="0">
                  <c:v>2.5779614349044348E-2</c:v>
                </c:pt>
                <c:pt idx="1">
                  <c:v>-5.7246544161094516E-3</c:v>
                </c:pt>
                <c:pt idx="2">
                  <c:v>-3.6188754311836317E-2</c:v>
                </c:pt>
                <c:pt idx="3">
                  <c:v>-7.4863360115957997E-2</c:v>
                </c:pt>
                <c:pt idx="4">
                  <c:v>-0.11204539746528208</c:v>
                </c:pt>
                <c:pt idx="5">
                  <c:v>-0.14137704602007301</c:v>
                </c:pt>
                <c:pt idx="6">
                  <c:v>-0.14080802455128125</c:v>
                </c:pt>
                <c:pt idx="7">
                  <c:v>-0.12853862416452047</c:v>
                </c:pt>
                <c:pt idx="8">
                  <c:v>-0.13438984261797945</c:v>
                </c:pt>
                <c:pt idx="9">
                  <c:v>-0.14070410259353139</c:v>
                </c:pt>
                <c:pt idx="10">
                  <c:v>-0.14803436959712821</c:v>
                </c:pt>
                <c:pt idx="11">
                  <c:v>-0.15577301223652951</c:v>
                </c:pt>
                <c:pt idx="12">
                  <c:v>-0.1636247815628151</c:v>
                </c:pt>
                <c:pt idx="13">
                  <c:v>-0.17138158317467952</c:v>
                </c:pt>
                <c:pt idx="14">
                  <c:v>-0.17888274376556573</c:v>
                </c:pt>
                <c:pt idx="15">
                  <c:v>-0.18599146763017649</c:v>
                </c:pt>
                <c:pt idx="16">
                  <c:v>-0.19258227861331836</c:v>
                </c:pt>
                <c:pt idx="17">
                  <c:v>-0.19853318194139777</c:v>
                </c:pt>
                <c:pt idx="18">
                  <c:v>-0.20371999843808075</c:v>
                </c:pt>
                <c:pt idx="19">
                  <c:v>-0.20801151415001684</c:v>
                </c:pt>
                <c:pt idx="20">
                  <c:v>-0.21126457453869915</c:v>
                </c:pt>
                <c:pt idx="21">
                  <c:v>-0.21331837446194965</c:v>
                </c:pt>
                <c:pt idx="22">
                  <c:v>-0.21398706862316352</c:v>
                </c:pt>
                <c:pt idx="23">
                  <c:v>-0.21304941664637889</c:v>
                </c:pt>
                <c:pt idx="24">
                  <c:v>-0.21023328525882534</c:v>
                </c:pt>
                <c:pt idx="25">
                  <c:v>-0.20519093382109208</c:v>
                </c:pt>
                <c:pt idx="26">
                  <c:v>-0.19745674539194133</c:v>
                </c:pt>
                <c:pt idx="27">
                  <c:v>-0.18636818514920847</c:v>
                </c:pt>
                <c:pt idx="28">
                  <c:v>-0.17090395417662618</c:v>
                </c:pt>
                <c:pt idx="29">
                  <c:v>-0.1492215181291428</c:v>
                </c:pt>
                <c:pt idx="30">
                  <c:v>-0.11828611548347728</c:v>
                </c:pt>
                <c:pt idx="31">
                  <c:v>-5.064179080965308E-2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9-4BAB-AA0B-121A8D43FD63}"/>
            </c:ext>
          </c:extLst>
        </c:ser>
        <c:ser>
          <c:idx val="1"/>
          <c:order val="1"/>
          <c:tx>
            <c:v>Cmiba_conAlerón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'N32'!$I$17:$I$48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'N32'!$Y$61:$Y$92</c:f>
              <c:numCache>
                <c:formatCode>General</c:formatCode>
                <c:ptCount val="32"/>
                <c:pt idx="0">
                  <c:v>2.5779614349044348E-2</c:v>
                </c:pt>
                <c:pt idx="1">
                  <c:v>-5.7246544161094516E-3</c:v>
                </c:pt>
                <c:pt idx="2">
                  <c:v>-3.6188754311836317E-2</c:v>
                </c:pt>
                <c:pt idx="3">
                  <c:v>-7.4863360115957997E-2</c:v>
                </c:pt>
                <c:pt idx="4">
                  <c:v>-0.11204539746528208</c:v>
                </c:pt>
                <c:pt idx="5">
                  <c:v>-0.14137704602007301</c:v>
                </c:pt>
                <c:pt idx="6">
                  <c:v>-0.14080802455128125</c:v>
                </c:pt>
                <c:pt idx="7">
                  <c:v>-0.12853862416452047</c:v>
                </c:pt>
                <c:pt idx="8">
                  <c:v>-0.13438984261797945</c:v>
                </c:pt>
                <c:pt idx="9">
                  <c:v>-0.14070410259353139</c:v>
                </c:pt>
                <c:pt idx="10">
                  <c:v>-0.14803436959712821</c:v>
                </c:pt>
                <c:pt idx="11">
                  <c:v>-0.15577301223652951</c:v>
                </c:pt>
                <c:pt idx="12">
                  <c:v>-0.1636247815628151</c:v>
                </c:pt>
                <c:pt idx="13">
                  <c:v>-0.17138158317467952</c:v>
                </c:pt>
                <c:pt idx="14">
                  <c:v>-0.17888274376556573</c:v>
                </c:pt>
                <c:pt idx="15">
                  <c:v>-0.18599146763017649</c:v>
                </c:pt>
                <c:pt idx="16">
                  <c:v>-0.19258227861331836</c:v>
                </c:pt>
                <c:pt idx="17">
                  <c:v>-0.19853318194139777</c:v>
                </c:pt>
                <c:pt idx="18">
                  <c:v>-0.20371999843808075</c:v>
                </c:pt>
                <c:pt idx="19">
                  <c:v>-0.20801151415001684</c:v>
                </c:pt>
                <c:pt idx="20">
                  <c:v>-0.21126457453869915</c:v>
                </c:pt>
                <c:pt idx="21">
                  <c:v>-0.21331837446194965</c:v>
                </c:pt>
                <c:pt idx="22">
                  <c:v>-0.21398706862316352</c:v>
                </c:pt>
                <c:pt idx="23">
                  <c:v>-0.21304941664637889</c:v>
                </c:pt>
                <c:pt idx="24">
                  <c:v>-0.21023328525882534</c:v>
                </c:pt>
                <c:pt idx="25">
                  <c:v>-0.20519093382109208</c:v>
                </c:pt>
                <c:pt idx="26">
                  <c:v>-0.19745674539194133</c:v>
                </c:pt>
                <c:pt idx="27">
                  <c:v>-0.18636818514920847</c:v>
                </c:pt>
                <c:pt idx="28">
                  <c:v>-0.17090395417662618</c:v>
                </c:pt>
                <c:pt idx="29">
                  <c:v>-0.1492215181291428</c:v>
                </c:pt>
                <c:pt idx="30">
                  <c:v>-0.11828611548347728</c:v>
                </c:pt>
                <c:pt idx="31">
                  <c:v>-5.064179080965308E-2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9-4BAB-AA0B-121A8D43F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12480"/>
        <c:axId val="1572322816"/>
      </c:scatterChart>
      <c:valAx>
        <c:axId val="15723124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22816"/>
        <c:crosses val="autoZero"/>
        <c:crossBetween val="midCat"/>
      </c:valAx>
      <c:valAx>
        <c:axId val="15723228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Linea</a:t>
            </a:r>
            <a:r>
              <a:rPr lang="es-ES" baseline="0"/>
              <a:t> Media sin alerón deflectado 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SIN AL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'N70'!$E$16:$E$86</c:f>
              <c:numCache>
                <c:formatCode>General</c:formatCode>
                <c:ptCount val="71"/>
                <c:pt idx="0">
                  <c:v>0</c:v>
                </c:pt>
                <c:pt idx="1">
                  <c:v>1.4285714285714285E-2</c:v>
                </c:pt>
                <c:pt idx="2">
                  <c:v>2.8571428571428571E-2</c:v>
                </c:pt>
                <c:pt idx="3">
                  <c:v>4.2857142857142858E-2</c:v>
                </c:pt>
                <c:pt idx="4">
                  <c:v>5.7142857142857141E-2</c:v>
                </c:pt>
                <c:pt idx="5">
                  <c:v>7.1428571428571425E-2</c:v>
                </c:pt>
                <c:pt idx="6">
                  <c:v>8.5714285714285715E-2</c:v>
                </c:pt>
                <c:pt idx="7">
                  <c:v>9.9999999999999992E-2</c:v>
                </c:pt>
                <c:pt idx="8">
                  <c:v>0.11428571428571428</c:v>
                </c:pt>
                <c:pt idx="9">
                  <c:v>0.12857142857142856</c:v>
                </c:pt>
                <c:pt idx="10">
                  <c:v>0.14285714285714285</c:v>
                </c:pt>
                <c:pt idx="11">
                  <c:v>0.15714285714285714</c:v>
                </c:pt>
                <c:pt idx="12">
                  <c:v>0.17142857142857143</c:v>
                </c:pt>
                <c:pt idx="13">
                  <c:v>0.18571428571428572</c:v>
                </c:pt>
                <c:pt idx="14">
                  <c:v>0.19999999999999998</c:v>
                </c:pt>
                <c:pt idx="15">
                  <c:v>0.21428571428571427</c:v>
                </c:pt>
                <c:pt idx="16">
                  <c:v>0.22857142857142856</c:v>
                </c:pt>
                <c:pt idx="17">
                  <c:v>0.24285714285714285</c:v>
                </c:pt>
                <c:pt idx="18">
                  <c:v>0.25714285714285712</c:v>
                </c:pt>
                <c:pt idx="19">
                  <c:v>0.27142857142857141</c:v>
                </c:pt>
                <c:pt idx="20">
                  <c:v>0.2857142857142857</c:v>
                </c:pt>
                <c:pt idx="21">
                  <c:v>0.3</c:v>
                </c:pt>
                <c:pt idx="22">
                  <c:v>0.31428571428571428</c:v>
                </c:pt>
                <c:pt idx="23">
                  <c:v>0.32857142857142857</c:v>
                </c:pt>
                <c:pt idx="24">
                  <c:v>0.34285714285714286</c:v>
                </c:pt>
                <c:pt idx="25">
                  <c:v>0.35714285714285715</c:v>
                </c:pt>
                <c:pt idx="26">
                  <c:v>0.37142857142857144</c:v>
                </c:pt>
                <c:pt idx="27">
                  <c:v>0.38571428571428568</c:v>
                </c:pt>
                <c:pt idx="28">
                  <c:v>0.39999999999999997</c:v>
                </c:pt>
                <c:pt idx="29">
                  <c:v>0.41428571428571426</c:v>
                </c:pt>
                <c:pt idx="30">
                  <c:v>0.42857142857142855</c:v>
                </c:pt>
                <c:pt idx="31">
                  <c:v>0.44285714285714284</c:v>
                </c:pt>
                <c:pt idx="32">
                  <c:v>0.45714285714285713</c:v>
                </c:pt>
                <c:pt idx="33">
                  <c:v>0.47142857142857142</c:v>
                </c:pt>
                <c:pt idx="34">
                  <c:v>0.48571428571428571</c:v>
                </c:pt>
                <c:pt idx="35">
                  <c:v>0.5</c:v>
                </c:pt>
                <c:pt idx="36">
                  <c:v>0.51428571428571423</c:v>
                </c:pt>
                <c:pt idx="37">
                  <c:v>0.52857142857142858</c:v>
                </c:pt>
                <c:pt idx="38">
                  <c:v>0.54285714285714282</c:v>
                </c:pt>
                <c:pt idx="39">
                  <c:v>0.55714285714285716</c:v>
                </c:pt>
                <c:pt idx="40">
                  <c:v>0.5714285714285714</c:v>
                </c:pt>
                <c:pt idx="41">
                  <c:v>0.58571428571428574</c:v>
                </c:pt>
                <c:pt idx="42">
                  <c:v>0.6</c:v>
                </c:pt>
                <c:pt idx="43">
                  <c:v>0.61428571428571421</c:v>
                </c:pt>
                <c:pt idx="44">
                  <c:v>0.62857142857142856</c:v>
                </c:pt>
                <c:pt idx="45">
                  <c:v>0.64285714285714279</c:v>
                </c:pt>
                <c:pt idx="46">
                  <c:v>0.65714285714285714</c:v>
                </c:pt>
                <c:pt idx="47">
                  <c:v>0.67142857142857137</c:v>
                </c:pt>
                <c:pt idx="48">
                  <c:v>0.68571428571428572</c:v>
                </c:pt>
                <c:pt idx="49">
                  <c:v>0.7</c:v>
                </c:pt>
                <c:pt idx="50">
                  <c:v>0.7142857142857143</c:v>
                </c:pt>
                <c:pt idx="51">
                  <c:v>0.72857142857142854</c:v>
                </c:pt>
                <c:pt idx="52">
                  <c:v>0.74285714285714288</c:v>
                </c:pt>
                <c:pt idx="53">
                  <c:v>0.75714285714285712</c:v>
                </c:pt>
                <c:pt idx="54">
                  <c:v>0.77142857142857135</c:v>
                </c:pt>
                <c:pt idx="55">
                  <c:v>0.7857142857142857</c:v>
                </c:pt>
                <c:pt idx="56">
                  <c:v>0.79999999999999993</c:v>
                </c:pt>
                <c:pt idx="57">
                  <c:v>0.81428571428571428</c:v>
                </c:pt>
                <c:pt idx="58">
                  <c:v>0.82857142857142851</c:v>
                </c:pt>
                <c:pt idx="59">
                  <c:v>0.84285714285714286</c:v>
                </c:pt>
                <c:pt idx="60">
                  <c:v>0.8571428571428571</c:v>
                </c:pt>
                <c:pt idx="61">
                  <c:v>0.87142857142857144</c:v>
                </c:pt>
                <c:pt idx="62">
                  <c:v>0.88571428571428568</c:v>
                </c:pt>
                <c:pt idx="63">
                  <c:v>0.9</c:v>
                </c:pt>
                <c:pt idx="64">
                  <c:v>0.91428571428571426</c:v>
                </c:pt>
                <c:pt idx="65">
                  <c:v>0.92857142857142849</c:v>
                </c:pt>
                <c:pt idx="66">
                  <c:v>0.94285714285714284</c:v>
                </c:pt>
                <c:pt idx="67">
                  <c:v>0.95714285714285707</c:v>
                </c:pt>
                <c:pt idx="68">
                  <c:v>0.97142857142857142</c:v>
                </c:pt>
                <c:pt idx="69">
                  <c:v>0.98571428571428565</c:v>
                </c:pt>
                <c:pt idx="70">
                  <c:v>1</c:v>
                </c:pt>
              </c:numCache>
            </c:numRef>
          </c:xVal>
          <c:yVal>
            <c:numRef>
              <c:f>'N70'!$F$16:$F$86</c:f>
              <c:numCache>
                <c:formatCode>General</c:formatCode>
                <c:ptCount val="71"/>
                <c:pt idx="0">
                  <c:v>0</c:v>
                </c:pt>
                <c:pt idx="1">
                  <c:v>5.5102040816326523E-3</c:v>
                </c:pt>
                <c:pt idx="2">
                  <c:v>1.0612244897959183E-2</c:v>
                </c:pt>
                <c:pt idx="3">
                  <c:v>1.530612244897959E-2</c:v>
                </c:pt>
                <c:pt idx="4">
                  <c:v>1.9591836734693873E-2</c:v>
                </c:pt>
                <c:pt idx="5">
                  <c:v>2.3469387755102034E-2</c:v>
                </c:pt>
                <c:pt idx="6">
                  <c:v>2.6938775510204075E-2</c:v>
                </c:pt>
                <c:pt idx="7">
                  <c:v>2.9999999999999995E-2</c:v>
                </c:pt>
                <c:pt idx="8">
                  <c:v>3.2653061224489792E-2</c:v>
                </c:pt>
                <c:pt idx="9">
                  <c:v>3.4897959183673465E-2</c:v>
                </c:pt>
                <c:pt idx="10">
                  <c:v>3.673469387755101E-2</c:v>
                </c:pt>
                <c:pt idx="11">
                  <c:v>3.8163265306122449E-2</c:v>
                </c:pt>
                <c:pt idx="12">
                  <c:v>3.9183673469387746E-2</c:v>
                </c:pt>
                <c:pt idx="13">
                  <c:v>3.979591836734693E-2</c:v>
                </c:pt>
                <c:pt idx="14">
                  <c:v>3.9999999999999987E-2</c:v>
                </c:pt>
                <c:pt idx="15">
                  <c:v>3.9987244897959177E-2</c:v>
                </c:pt>
                <c:pt idx="16">
                  <c:v>3.9948979591836728E-2</c:v>
                </c:pt>
                <c:pt idx="17">
                  <c:v>3.9885204081632639E-2</c:v>
                </c:pt>
                <c:pt idx="18">
                  <c:v>3.979591836734693E-2</c:v>
                </c:pt>
                <c:pt idx="19">
                  <c:v>3.9681122448979582E-2</c:v>
                </c:pt>
                <c:pt idx="20">
                  <c:v>3.9540816326530608E-2</c:v>
                </c:pt>
                <c:pt idx="21">
                  <c:v>3.9374999999999993E-2</c:v>
                </c:pt>
                <c:pt idx="22">
                  <c:v>3.9183673469387753E-2</c:v>
                </c:pt>
                <c:pt idx="23">
                  <c:v>3.8966836734693873E-2</c:v>
                </c:pt>
                <c:pt idx="24">
                  <c:v>3.872448979591836E-2</c:v>
                </c:pt>
                <c:pt idx="25">
                  <c:v>3.8456632653061221E-2</c:v>
                </c:pt>
                <c:pt idx="26">
                  <c:v>3.8163265306122442E-2</c:v>
                </c:pt>
                <c:pt idx="27">
                  <c:v>3.784438775510203E-2</c:v>
                </c:pt>
                <c:pt idx="28">
                  <c:v>3.7499999999999999E-2</c:v>
                </c:pt>
                <c:pt idx="29">
                  <c:v>3.7130102040816321E-2</c:v>
                </c:pt>
                <c:pt idx="30">
                  <c:v>3.673469387755101E-2</c:v>
                </c:pt>
                <c:pt idx="31">
                  <c:v>3.6313775510204073E-2</c:v>
                </c:pt>
                <c:pt idx="32">
                  <c:v>3.5867346938775503E-2</c:v>
                </c:pt>
                <c:pt idx="33">
                  <c:v>3.53954081632653E-2</c:v>
                </c:pt>
                <c:pt idx="34">
                  <c:v>3.4897959183673465E-2</c:v>
                </c:pt>
                <c:pt idx="35">
                  <c:v>3.4374999999999996E-2</c:v>
                </c:pt>
                <c:pt idx="36">
                  <c:v>3.3826530612244894E-2</c:v>
                </c:pt>
                <c:pt idx="37">
                  <c:v>3.3252551020408153E-2</c:v>
                </c:pt>
                <c:pt idx="38">
                  <c:v>3.2653061224489792E-2</c:v>
                </c:pt>
                <c:pt idx="39">
                  <c:v>3.2028061224489791E-2</c:v>
                </c:pt>
                <c:pt idx="40">
                  <c:v>3.1377551020408158E-2</c:v>
                </c:pt>
                <c:pt idx="41">
                  <c:v>3.0701530612244888E-2</c:v>
                </c:pt>
                <c:pt idx="42">
                  <c:v>2.9999999999999992E-2</c:v>
                </c:pt>
                <c:pt idx="43">
                  <c:v>2.9272959183673463E-2</c:v>
                </c:pt>
                <c:pt idx="44">
                  <c:v>2.8520408163265301E-2</c:v>
                </c:pt>
                <c:pt idx="45">
                  <c:v>2.7742346938775506E-2</c:v>
                </c:pt>
                <c:pt idx="46">
                  <c:v>2.6938775510204068E-2</c:v>
                </c:pt>
                <c:pt idx="47">
                  <c:v>2.6109693877551018E-2</c:v>
                </c:pt>
                <c:pt idx="48">
                  <c:v>2.5255102040816321E-2</c:v>
                </c:pt>
                <c:pt idx="49">
                  <c:v>2.437499999999999E-2</c:v>
                </c:pt>
                <c:pt idx="50">
                  <c:v>2.3469387755102031E-2</c:v>
                </c:pt>
                <c:pt idx="51">
                  <c:v>2.2538265306122452E-2</c:v>
                </c:pt>
                <c:pt idx="52">
                  <c:v>2.1581632653061216E-2</c:v>
                </c:pt>
                <c:pt idx="53">
                  <c:v>2.0599489795918361E-2</c:v>
                </c:pt>
                <c:pt idx="54">
                  <c:v>1.959183673469388E-2</c:v>
                </c:pt>
                <c:pt idx="55">
                  <c:v>1.8558673469387752E-2</c:v>
                </c:pt>
                <c:pt idx="56">
                  <c:v>1.7499999999999998E-2</c:v>
                </c:pt>
                <c:pt idx="57">
                  <c:v>1.6415816326530611E-2</c:v>
                </c:pt>
                <c:pt idx="58">
                  <c:v>1.5306122448979591E-2</c:v>
                </c:pt>
                <c:pt idx="59">
                  <c:v>1.4170918367346939E-2</c:v>
                </c:pt>
                <c:pt idx="60">
                  <c:v>1.3010204081632653E-2</c:v>
                </c:pt>
                <c:pt idx="61">
                  <c:v>1.1823979591836734E-2</c:v>
                </c:pt>
                <c:pt idx="62">
                  <c:v>1.0612244897959184E-2</c:v>
                </c:pt>
                <c:pt idx="63">
                  <c:v>9.3749999999999927E-3</c:v>
                </c:pt>
                <c:pt idx="64">
                  <c:v>8.112244897959189E-3</c:v>
                </c:pt>
                <c:pt idx="65">
                  <c:v>6.8239795918367385E-3</c:v>
                </c:pt>
                <c:pt idx="66">
                  <c:v>5.5102040816326489E-3</c:v>
                </c:pt>
                <c:pt idx="67">
                  <c:v>4.1709183673469463E-3</c:v>
                </c:pt>
                <c:pt idx="68">
                  <c:v>2.8061224489795904E-3</c:v>
                </c:pt>
                <c:pt idx="69">
                  <c:v>1.4158163265306151E-3</c:v>
                </c:pt>
                <c:pt idx="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9-4ECE-9370-102A16B0C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13024"/>
        <c:axId val="1572319552"/>
        <c:extLst/>
      </c:scatterChart>
      <c:valAx>
        <c:axId val="15723130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9552"/>
        <c:crosses val="autoZero"/>
        <c:crossBetween val="midCat"/>
      </c:valAx>
      <c:valAx>
        <c:axId val="1572319552"/>
        <c:scaling>
          <c:orientation val="minMax"/>
          <c:max val="5.000000000000001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6029085843270034"/>
          <c:y val="0.21679352580927383"/>
          <c:w val="3.0538422196274524E-2"/>
          <c:h val="0.198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Linea media con alerón deflectad</a:t>
            </a:r>
            <a:r>
              <a:rPr lang="es-ES" baseline="0"/>
              <a:t>o un ángulo </a:t>
            </a:r>
            <a:r>
              <a:rPr lang="el-GR" baseline="0">
                <a:latin typeface="Calibri" panose="020F0502020204030204" pitchFamily="34" charset="0"/>
                <a:cs typeface="Calibri" panose="020F0502020204030204" pitchFamily="34" charset="0"/>
              </a:rPr>
              <a:t>δ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CON AL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'N70'!$E$16:$E$86</c:f>
              <c:numCache>
                <c:formatCode>General</c:formatCode>
                <c:ptCount val="71"/>
                <c:pt idx="0">
                  <c:v>0</c:v>
                </c:pt>
                <c:pt idx="1">
                  <c:v>1.4285714285714285E-2</c:v>
                </c:pt>
                <c:pt idx="2">
                  <c:v>2.8571428571428571E-2</c:v>
                </c:pt>
                <c:pt idx="3">
                  <c:v>4.2857142857142858E-2</c:v>
                </c:pt>
                <c:pt idx="4">
                  <c:v>5.7142857142857141E-2</c:v>
                </c:pt>
                <c:pt idx="5">
                  <c:v>7.1428571428571425E-2</c:v>
                </c:pt>
                <c:pt idx="6">
                  <c:v>8.5714285714285715E-2</c:v>
                </c:pt>
                <c:pt idx="7">
                  <c:v>9.9999999999999992E-2</c:v>
                </c:pt>
                <c:pt idx="8">
                  <c:v>0.11428571428571428</c:v>
                </c:pt>
                <c:pt idx="9">
                  <c:v>0.12857142857142856</c:v>
                </c:pt>
                <c:pt idx="10">
                  <c:v>0.14285714285714285</c:v>
                </c:pt>
                <c:pt idx="11">
                  <c:v>0.15714285714285714</c:v>
                </c:pt>
                <c:pt idx="12">
                  <c:v>0.17142857142857143</c:v>
                </c:pt>
                <c:pt idx="13">
                  <c:v>0.18571428571428572</c:v>
                </c:pt>
                <c:pt idx="14">
                  <c:v>0.19999999999999998</c:v>
                </c:pt>
                <c:pt idx="15">
                  <c:v>0.21428571428571427</c:v>
                </c:pt>
                <c:pt idx="16">
                  <c:v>0.22857142857142856</c:v>
                </c:pt>
                <c:pt idx="17">
                  <c:v>0.24285714285714285</c:v>
                </c:pt>
                <c:pt idx="18">
                  <c:v>0.25714285714285712</c:v>
                </c:pt>
                <c:pt idx="19">
                  <c:v>0.27142857142857141</c:v>
                </c:pt>
                <c:pt idx="20">
                  <c:v>0.2857142857142857</c:v>
                </c:pt>
                <c:pt idx="21">
                  <c:v>0.3</c:v>
                </c:pt>
                <c:pt idx="22">
                  <c:v>0.31428571428571428</c:v>
                </c:pt>
                <c:pt idx="23">
                  <c:v>0.32857142857142857</c:v>
                </c:pt>
                <c:pt idx="24">
                  <c:v>0.34285714285714286</c:v>
                </c:pt>
                <c:pt idx="25">
                  <c:v>0.35714285714285715</c:v>
                </c:pt>
                <c:pt idx="26">
                  <c:v>0.37142857142857144</c:v>
                </c:pt>
                <c:pt idx="27">
                  <c:v>0.38571428571428568</c:v>
                </c:pt>
                <c:pt idx="28">
                  <c:v>0.39999999999999997</c:v>
                </c:pt>
                <c:pt idx="29">
                  <c:v>0.41428571428571426</c:v>
                </c:pt>
                <c:pt idx="30">
                  <c:v>0.42857142857142855</c:v>
                </c:pt>
                <c:pt idx="31">
                  <c:v>0.44285714285714284</c:v>
                </c:pt>
                <c:pt idx="32">
                  <c:v>0.45714285714285713</c:v>
                </c:pt>
                <c:pt idx="33">
                  <c:v>0.47142857142857142</c:v>
                </c:pt>
                <c:pt idx="34">
                  <c:v>0.48571428571428571</c:v>
                </c:pt>
                <c:pt idx="35">
                  <c:v>0.5</c:v>
                </c:pt>
                <c:pt idx="36">
                  <c:v>0.51428571428571423</c:v>
                </c:pt>
                <c:pt idx="37">
                  <c:v>0.52857142857142858</c:v>
                </c:pt>
                <c:pt idx="38">
                  <c:v>0.54285714285714282</c:v>
                </c:pt>
                <c:pt idx="39">
                  <c:v>0.55714285714285716</c:v>
                </c:pt>
                <c:pt idx="40">
                  <c:v>0.5714285714285714</c:v>
                </c:pt>
                <c:pt idx="41">
                  <c:v>0.58571428571428574</c:v>
                </c:pt>
                <c:pt idx="42">
                  <c:v>0.6</c:v>
                </c:pt>
                <c:pt idx="43">
                  <c:v>0.61428571428571421</c:v>
                </c:pt>
                <c:pt idx="44">
                  <c:v>0.62857142857142856</c:v>
                </c:pt>
                <c:pt idx="45">
                  <c:v>0.64285714285714279</c:v>
                </c:pt>
                <c:pt idx="46">
                  <c:v>0.65714285714285714</c:v>
                </c:pt>
                <c:pt idx="47">
                  <c:v>0.67142857142857137</c:v>
                </c:pt>
                <c:pt idx="48">
                  <c:v>0.68571428571428572</c:v>
                </c:pt>
                <c:pt idx="49">
                  <c:v>0.7</c:v>
                </c:pt>
                <c:pt idx="50">
                  <c:v>0.7142857142857143</c:v>
                </c:pt>
                <c:pt idx="51">
                  <c:v>0.72857142857142854</c:v>
                </c:pt>
                <c:pt idx="52">
                  <c:v>0.74285714285714288</c:v>
                </c:pt>
                <c:pt idx="53">
                  <c:v>0.75714285714285712</c:v>
                </c:pt>
                <c:pt idx="54">
                  <c:v>0.77142857142857135</c:v>
                </c:pt>
                <c:pt idx="55">
                  <c:v>0.7857142857142857</c:v>
                </c:pt>
                <c:pt idx="56">
                  <c:v>0.79999999999999993</c:v>
                </c:pt>
                <c:pt idx="57">
                  <c:v>0.81428571428571428</c:v>
                </c:pt>
                <c:pt idx="58">
                  <c:v>0.82857142857142851</c:v>
                </c:pt>
                <c:pt idx="59">
                  <c:v>0.84285714285714286</c:v>
                </c:pt>
                <c:pt idx="60">
                  <c:v>0.8571428571428571</c:v>
                </c:pt>
                <c:pt idx="61">
                  <c:v>0.87142857142857144</c:v>
                </c:pt>
                <c:pt idx="62">
                  <c:v>0.88571428571428568</c:v>
                </c:pt>
                <c:pt idx="63">
                  <c:v>0.9</c:v>
                </c:pt>
                <c:pt idx="64">
                  <c:v>0.91428571428571426</c:v>
                </c:pt>
                <c:pt idx="65">
                  <c:v>0.92857142857142849</c:v>
                </c:pt>
                <c:pt idx="66">
                  <c:v>0.94285714285714284</c:v>
                </c:pt>
                <c:pt idx="67">
                  <c:v>0.95714285714285707</c:v>
                </c:pt>
                <c:pt idx="68">
                  <c:v>0.97142857142857142</c:v>
                </c:pt>
                <c:pt idx="69">
                  <c:v>0.98571428571428565</c:v>
                </c:pt>
                <c:pt idx="70">
                  <c:v>1</c:v>
                </c:pt>
              </c:numCache>
            </c:numRef>
          </c:xVal>
          <c:yVal>
            <c:numRef>
              <c:f>'N70'!$G$16:$G$86</c:f>
              <c:numCache>
                <c:formatCode>General</c:formatCode>
                <c:ptCount val="71"/>
                <c:pt idx="0">
                  <c:v>0</c:v>
                </c:pt>
                <c:pt idx="1">
                  <c:v>5.5102040816326523E-3</c:v>
                </c:pt>
                <c:pt idx="2">
                  <c:v>1.0612244897959183E-2</c:v>
                </c:pt>
                <c:pt idx="3">
                  <c:v>1.530612244897959E-2</c:v>
                </c:pt>
                <c:pt idx="4">
                  <c:v>1.9591836734693873E-2</c:v>
                </c:pt>
                <c:pt idx="5">
                  <c:v>2.3469387755102034E-2</c:v>
                </c:pt>
                <c:pt idx="6">
                  <c:v>2.6938775510204075E-2</c:v>
                </c:pt>
                <c:pt idx="7">
                  <c:v>2.9999999999999995E-2</c:v>
                </c:pt>
                <c:pt idx="8">
                  <c:v>3.2653061224489792E-2</c:v>
                </c:pt>
                <c:pt idx="9">
                  <c:v>3.4897959183673465E-2</c:v>
                </c:pt>
                <c:pt idx="10">
                  <c:v>3.673469387755101E-2</c:v>
                </c:pt>
                <c:pt idx="11">
                  <c:v>3.8163265306122449E-2</c:v>
                </c:pt>
                <c:pt idx="12">
                  <c:v>3.9183673469387746E-2</c:v>
                </c:pt>
                <c:pt idx="13">
                  <c:v>3.979591836734693E-2</c:v>
                </c:pt>
                <c:pt idx="14">
                  <c:v>3.9999999999999987E-2</c:v>
                </c:pt>
                <c:pt idx="15">
                  <c:v>3.9987244897959177E-2</c:v>
                </c:pt>
                <c:pt idx="16">
                  <c:v>3.9948979591836728E-2</c:v>
                </c:pt>
                <c:pt idx="17">
                  <c:v>3.9885204081632639E-2</c:v>
                </c:pt>
                <c:pt idx="18">
                  <c:v>3.979591836734693E-2</c:v>
                </c:pt>
                <c:pt idx="19">
                  <c:v>3.9681122448979582E-2</c:v>
                </c:pt>
                <c:pt idx="20">
                  <c:v>3.9540816326530608E-2</c:v>
                </c:pt>
                <c:pt idx="21">
                  <c:v>3.9374999999999993E-2</c:v>
                </c:pt>
                <c:pt idx="22">
                  <c:v>3.9183673469387753E-2</c:v>
                </c:pt>
                <c:pt idx="23">
                  <c:v>3.8966836734693873E-2</c:v>
                </c:pt>
                <c:pt idx="24">
                  <c:v>3.872448979591836E-2</c:v>
                </c:pt>
                <c:pt idx="25">
                  <c:v>3.8456632653061221E-2</c:v>
                </c:pt>
                <c:pt idx="26">
                  <c:v>3.8163265306122442E-2</c:v>
                </c:pt>
                <c:pt idx="27">
                  <c:v>3.784438775510203E-2</c:v>
                </c:pt>
                <c:pt idx="28">
                  <c:v>3.7499999999999999E-2</c:v>
                </c:pt>
                <c:pt idx="29">
                  <c:v>3.7130102040816321E-2</c:v>
                </c:pt>
                <c:pt idx="30">
                  <c:v>3.673469387755101E-2</c:v>
                </c:pt>
                <c:pt idx="31">
                  <c:v>3.6313775510204073E-2</c:v>
                </c:pt>
                <c:pt idx="32">
                  <c:v>3.5867346938775503E-2</c:v>
                </c:pt>
                <c:pt idx="33">
                  <c:v>3.53954081632653E-2</c:v>
                </c:pt>
                <c:pt idx="34">
                  <c:v>3.4897959183673465E-2</c:v>
                </c:pt>
                <c:pt idx="35">
                  <c:v>3.4374999999999996E-2</c:v>
                </c:pt>
                <c:pt idx="36">
                  <c:v>3.3826530612244894E-2</c:v>
                </c:pt>
                <c:pt idx="37">
                  <c:v>3.3252551020408153E-2</c:v>
                </c:pt>
                <c:pt idx="38">
                  <c:v>3.2653061224489792E-2</c:v>
                </c:pt>
                <c:pt idx="39">
                  <c:v>3.2028061224489791E-2</c:v>
                </c:pt>
                <c:pt idx="40">
                  <c:v>3.1377551020408158E-2</c:v>
                </c:pt>
                <c:pt idx="41">
                  <c:v>3.0701530612244888E-2</c:v>
                </c:pt>
                <c:pt idx="42">
                  <c:v>2.9999999999999992E-2</c:v>
                </c:pt>
                <c:pt idx="43">
                  <c:v>2.9272959183673463E-2</c:v>
                </c:pt>
                <c:pt idx="44">
                  <c:v>2.8520408163265301E-2</c:v>
                </c:pt>
                <c:pt idx="45">
                  <c:v>2.7742346938775506E-2</c:v>
                </c:pt>
                <c:pt idx="46">
                  <c:v>2.6938775510204068E-2</c:v>
                </c:pt>
                <c:pt idx="47">
                  <c:v>2.6109693877551018E-2</c:v>
                </c:pt>
                <c:pt idx="48">
                  <c:v>2.5255102040816321E-2</c:v>
                </c:pt>
                <c:pt idx="49">
                  <c:v>2.437499999999999E-2</c:v>
                </c:pt>
                <c:pt idx="50">
                  <c:v>2.0976060252252977E-2</c:v>
                </c:pt>
                <c:pt idx="51">
                  <c:v>1.7551610300424368E-2</c:v>
                </c:pt>
                <c:pt idx="52">
                  <c:v>1.4101650144514078E-2</c:v>
                </c:pt>
                <c:pt idx="53">
                  <c:v>1.062617978452219E-2</c:v>
                </c:pt>
                <c:pt idx="54">
                  <c:v>7.1251992204486754E-3</c:v>
                </c:pt>
                <c:pt idx="55">
                  <c:v>3.5987084522934951E-3</c:v>
                </c:pt>
                <c:pt idx="56">
                  <c:v>4.6707480056706191E-5</c:v>
                </c:pt>
                <c:pt idx="57">
                  <c:v>-3.5308036962617313E-3</c:v>
                </c:pt>
                <c:pt idx="58">
                  <c:v>-7.1338250766617844E-3</c:v>
                </c:pt>
                <c:pt idx="59">
                  <c:v>-1.0762356661143491E-2</c:v>
                </c:pt>
                <c:pt idx="60">
                  <c:v>-1.441639844970681E-2</c:v>
                </c:pt>
                <c:pt idx="61">
                  <c:v>-1.809595044235178E-2</c:v>
                </c:pt>
                <c:pt idx="62">
                  <c:v>-2.1801012639078361E-2</c:v>
                </c:pt>
                <c:pt idx="63">
                  <c:v>-2.5531585039886603E-2</c:v>
                </c:pt>
                <c:pt idx="64">
                  <c:v>-2.9287667644776444E-2</c:v>
                </c:pt>
                <c:pt idx="65">
                  <c:v>-3.3069260453747924E-2</c:v>
                </c:pt>
                <c:pt idx="66">
                  <c:v>-3.6876363466801072E-2</c:v>
                </c:pt>
                <c:pt idx="67">
                  <c:v>-4.0708976683935805E-2</c:v>
                </c:pt>
                <c:pt idx="68">
                  <c:v>-4.4567100105152219E-2</c:v>
                </c:pt>
                <c:pt idx="69">
                  <c:v>-4.8450733730450224E-2</c:v>
                </c:pt>
                <c:pt idx="70">
                  <c:v>-5.235987755982989E-2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BF-4ACC-8EFE-84CDE5B03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09760"/>
        <c:axId val="1572300512"/>
      </c:scatterChart>
      <c:valAx>
        <c:axId val="15723097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00512"/>
        <c:crosses val="autoZero"/>
        <c:crossBetween val="midCat"/>
      </c:valAx>
      <c:valAx>
        <c:axId val="157230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0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5654724057888485"/>
          <c:y val="0.39734908136482938"/>
          <c:w val="4.0253257770789634E-2"/>
          <c:h val="0.20775517643627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Cli</a:t>
            </a:r>
            <a:r>
              <a:rPr lang="es-ES" baseline="0"/>
              <a:t> vs x/c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6783663845372933E-2"/>
          <c:y val="7.0473018065725396E-2"/>
          <c:w val="0.85656268638383493"/>
          <c:h val="0.88508789771191065"/>
        </c:manualLayout>
      </c:layout>
      <c:scatterChart>
        <c:scatterStyle val="lineMarker"/>
        <c:varyColors val="0"/>
        <c:ser>
          <c:idx val="0"/>
          <c:order val="0"/>
          <c:tx>
            <c:v>Cli_sinAlerón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'N32'!$H$17:$H$48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'N32'!$K$61:$K$92</c:f>
              <c:numCache>
                <c:formatCode>General</c:formatCode>
                <c:ptCount val="32"/>
                <c:pt idx="0">
                  <c:v>-1.6498953183388383</c:v>
                </c:pt>
                <c:pt idx="1">
                  <c:v>0.12212596087700164</c:v>
                </c:pt>
                <c:pt idx="2">
                  <c:v>0.46321605519150488</c:v>
                </c:pt>
                <c:pt idx="3">
                  <c:v>0.68446500677447308</c:v>
                </c:pt>
                <c:pt idx="4">
                  <c:v>0.79676727086422816</c:v>
                </c:pt>
                <c:pt idx="5">
                  <c:v>0.822557358662243</c:v>
                </c:pt>
                <c:pt idx="6">
                  <c:v>0.69320873625246149</c:v>
                </c:pt>
                <c:pt idx="7">
                  <c:v>0.54843146310195401</c:v>
                </c:pt>
                <c:pt idx="8">
                  <c:v>0.50593823103239322</c:v>
                </c:pt>
                <c:pt idx="9">
                  <c:v>0.47395066136768471</c:v>
                </c:pt>
                <c:pt idx="10">
                  <c:v>0.45115236448648599</c:v>
                </c:pt>
                <c:pt idx="11">
                  <c:v>0.43345533839729949</c:v>
                </c:pt>
                <c:pt idx="12">
                  <c:v>0.41887944080080664</c:v>
                </c:pt>
                <c:pt idx="13">
                  <c:v>0.40623782678442555</c:v>
                </c:pt>
                <c:pt idx="14">
                  <c:v>0.39477571037917952</c:v>
                </c:pt>
                <c:pt idx="15">
                  <c:v>0.3839823847848805</c:v>
                </c:pt>
                <c:pt idx="16">
                  <c:v>0.37349290397734469</c:v>
                </c:pt>
                <c:pt idx="17">
                  <c:v>0.36303210412141307</c:v>
                </c:pt>
                <c:pt idx="18">
                  <c:v>0.35238053783884238</c:v>
                </c:pt>
                <c:pt idx="19">
                  <c:v>0.34135222834874557</c:v>
                </c:pt>
                <c:pt idx="20">
                  <c:v>0.32977884806040841</c:v>
                </c:pt>
                <c:pt idx="21">
                  <c:v>0.31749711547825066</c:v>
                </c:pt>
                <c:pt idx="22">
                  <c:v>0.30433716426405477</c:v>
                </c:pt>
                <c:pt idx="23">
                  <c:v>0.2901098439440053</c:v>
                </c:pt>
                <c:pt idx="24">
                  <c:v>0.27459041339928209</c:v>
                </c:pt>
                <c:pt idx="25">
                  <c:v>0.25749450518725281</c:v>
                </c:pt>
                <c:pt idx="26">
                  <c:v>0.23843833405819331</c:v>
                </c:pt>
                <c:pt idx="27">
                  <c:v>0.2168647972645335</c:v>
                </c:pt>
                <c:pt idx="28">
                  <c:v>0.1918921590755101</c:v>
                </c:pt>
                <c:pt idx="29">
                  <c:v>0.1618674094960193</c:v>
                </c:pt>
                <c:pt idx="30">
                  <c:v>0.12410346542528765</c:v>
                </c:pt>
                <c:pt idx="31">
                  <c:v>5.1445628759012652E-2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C-461E-AEB6-3C259CBCE1DF}"/>
            </c:ext>
          </c:extLst>
        </c:ser>
        <c:ser>
          <c:idx val="1"/>
          <c:order val="1"/>
          <c:tx>
            <c:v>Cli_conAlerón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'N32'!$I$17:$I$48</c:f>
              <c:numCache>
                <c:formatCode>General</c:formatCode>
                <c:ptCount val="32"/>
                <c:pt idx="0">
                  <c:v>1.5625E-2</c:v>
                </c:pt>
                <c:pt idx="1">
                  <c:v>4.6875E-2</c:v>
                </c:pt>
                <c:pt idx="2">
                  <c:v>7.8125E-2</c:v>
                </c:pt>
                <c:pt idx="3">
                  <c:v>0.109375</c:v>
                </c:pt>
                <c:pt idx="4">
                  <c:v>0.140625</c:v>
                </c:pt>
                <c:pt idx="5">
                  <c:v>0.171875</c:v>
                </c:pt>
                <c:pt idx="6">
                  <c:v>0.203125</c:v>
                </c:pt>
                <c:pt idx="7">
                  <c:v>0.234375</c:v>
                </c:pt>
                <c:pt idx="8">
                  <c:v>0.265625</c:v>
                </c:pt>
                <c:pt idx="9">
                  <c:v>0.296875</c:v>
                </c:pt>
                <c:pt idx="10">
                  <c:v>0.328125</c:v>
                </c:pt>
                <c:pt idx="11">
                  <c:v>0.359375</c:v>
                </c:pt>
                <c:pt idx="12">
                  <c:v>0.390625</c:v>
                </c:pt>
                <c:pt idx="13">
                  <c:v>0.421875</c:v>
                </c:pt>
                <c:pt idx="14">
                  <c:v>0.453125</c:v>
                </c:pt>
                <c:pt idx="15">
                  <c:v>0.484375</c:v>
                </c:pt>
                <c:pt idx="16">
                  <c:v>0.515625</c:v>
                </c:pt>
                <c:pt idx="17">
                  <c:v>0.546875</c:v>
                </c:pt>
                <c:pt idx="18">
                  <c:v>0.578125</c:v>
                </c:pt>
                <c:pt idx="19">
                  <c:v>0.609375</c:v>
                </c:pt>
                <c:pt idx="20">
                  <c:v>0.640625</c:v>
                </c:pt>
                <c:pt idx="21">
                  <c:v>0.671875</c:v>
                </c:pt>
                <c:pt idx="22">
                  <c:v>0.703125</c:v>
                </c:pt>
                <c:pt idx="23">
                  <c:v>0.734375</c:v>
                </c:pt>
                <c:pt idx="24">
                  <c:v>0.765625</c:v>
                </c:pt>
                <c:pt idx="25">
                  <c:v>0.796875</c:v>
                </c:pt>
                <c:pt idx="26">
                  <c:v>0.828125</c:v>
                </c:pt>
                <c:pt idx="27">
                  <c:v>0.859375</c:v>
                </c:pt>
                <c:pt idx="28">
                  <c:v>0.890625</c:v>
                </c:pt>
                <c:pt idx="29">
                  <c:v>0.921875</c:v>
                </c:pt>
                <c:pt idx="30">
                  <c:v>0.953125</c:v>
                </c:pt>
                <c:pt idx="31">
                  <c:v>0.984375</c:v>
                </c:pt>
              </c:numCache>
            </c:numRef>
          </c:xVal>
          <c:yVal>
            <c:numRef>
              <c:f>'N32'!$M$61:$M$92</c:f>
              <c:numCache>
                <c:formatCode>General</c:formatCode>
                <c:ptCount val="32"/>
                <c:pt idx="0">
                  <c:v>-1.6498953183388383</c:v>
                </c:pt>
                <c:pt idx="1">
                  <c:v>0.12212596087700164</c:v>
                </c:pt>
                <c:pt idx="2">
                  <c:v>0.46321605519150488</c:v>
                </c:pt>
                <c:pt idx="3">
                  <c:v>0.68446500677447308</c:v>
                </c:pt>
                <c:pt idx="4">
                  <c:v>0.79676727086422816</c:v>
                </c:pt>
                <c:pt idx="5">
                  <c:v>0.822557358662243</c:v>
                </c:pt>
                <c:pt idx="6">
                  <c:v>0.69320873625246149</c:v>
                </c:pt>
                <c:pt idx="7">
                  <c:v>0.54843146310195401</c:v>
                </c:pt>
                <c:pt idx="8">
                  <c:v>0.50593823103239322</c:v>
                </c:pt>
                <c:pt idx="9">
                  <c:v>0.47395066136768471</c:v>
                </c:pt>
                <c:pt idx="10">
                  <c:v>0.45115236448648599</c:v>
                </c:pt>
                <c:pt idx="11">
                  <c:v>0.43345533839729949</c:v>
                </c:pt>
                <c:pt idx="12">
                  <c:v>0.41887944080080664</c:v>
                </c:pt>
                <c:pt idx="13">
                  <c:v>0.40623782678442555</c:v>
                </c:pt>
                <c:pt idx="14">
                  <c:v>0.39477571037917952</c:v>
                </c:pt>
                <c:pt idx="15">
                  <c:v>0.3839823847848805</c:v>
                </c:pt>
                <c:pt idx="16">
                  <c:v>0.37349290397734469</c:v>
                </c:pt>
                <c:pt idx="17">
                  <c:v>0.36303210412141307</c:v>
                </c:pt>
                <c:pt idx="18">
                  <c:v>0.35238053783884238</c:v>
                </c:pt>
                <c:pt idx="19">
                  <c:v>0.34135222834874557</c:v>
                </c:pt>
                <c:pt idx="20">
                  <c:v>0.32977884806040841</c:v>
                </c:pt>
                <c:pt idx="21">
                  <c:v>0.31749711547825066</c:v>
                </c:pt>
                <c:pt idx="22">
                  <c:v>0.30433716426405477</c:v>
                </c:pt>
                <c:pt idx="23">
                  <c:v>0.2901098439440053</c:v>
                </c:pt>
                <c:pt idx="24">
                  <c:v>0.27459041339928209</c:v>
                </c:pt>
                <c:pt idx="25">
                  <c:v>0.25749450518725281</c:v>
                </c:pt>
                <c:pt idx="26">
                  <c:v>0.23843833405819331</c:v>
                </c:pt>
                <c:pt idx="27">
                  <c:v>0.2168647972645335</c:v>
                </c:pt>
                <c:pt idx="28">
                  <c:v>0.1918921590755101</c:v>
                </c:pt>
                <c:pt idx="29">
                  <c:v>0.1618674094960193</c:v>
                </c:pt>
                <c:pt idx="30">
                  <c:v>0.12410346542528765</c:v>
                </c:pt>
                <c:pt idx="31">
                  <c:v>5.1445628759012652E-2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6C-461E-AEB6-3C259CBCE1DF}"/>
            </c:ext>
          </c:extLst>
        </c:ser>
        <c:ser>
          <c:idx val="2"/>
          <c:order val="2"/>
          <c:tx>
            <c:v>CL_sINALERON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'N70'!$H$16:$H$85</c:f>
              <c:numCache>
                <c:formatCode>General</c:formatCode>
                <c:ptCount val="70"/>
                <c:pt idx="0">
                  <c:v>7.1428571428571426E-3</c:v>
                </c:pt>
                <c:pt idx="1">
                  <c:v>2.1428571428571429E-2</c:v>
                </c:pt>
                <c:pt idx="2">
                  <c:v>3.5714285714285712E-2</c:v>
                </c:pt>
                <c:pt idx="3">
                  <c:v>0.05</c:v>
                </c:pt>
                <c:pt idx="4">
                  <c:v>6.4285714285714279E-2</c:v>
                </c:pt>
                <c:pt idx="5">
                  <c:v>7.857142857142857E-2</c:v>
                </c:pt>
                <c:pt idx="6">
                  <c:v>9.285714285714286E-2</c:v>
                </c:pt>
                <c:pt idx="7">
                  <c:v>0.10714285714285714</c:v>
                </c:pt>
                <c:pt idx="8">
                  <c:v>0.12142857142857141</c:v>
                </c:pt>
                <c:pt idx="9">
                  <c:v>0.1357142857142857</c:v>
                </c:pt>
                <c:pt idx="10">
                  <c:v>0.15</c:v>
                </c:pt>
                <c:pt idx="11">
                  <c:v>0.16428571428571428</c:v>
                </c:pt>
                <c:pt idx="12">
                  <c:v>0.17857142857142858</c:v>
                </c:pt>
                <c:pt idx="13">
                  <c:v>0.19285714285714284</c:v>
                </c:pt>
                <c:pt idx="14">
                  <c:v>0.20714285714285713</c:v>
                </c:pt>
                <c:pt idx="15">
                  <c:v>0.22142857142857142</c:v>
                </c:pt>
                <c:pt idx="16">
                  <c:v>0.23571428571428571</c:v>
                </c:pt>
                <c:pt idx="17">
                  <c:v>0.25</c:v>
                </c:pt>
                <c:pt idx="18">
                  <c:v>0.26428571428571423</c:v>
                </c:pt>
                <c:pt idx="19">
                  <c:v>0.27857142857142858</c:v>
                </c:pt>
                <c:pt idx="20">
                  <c:v>0.29285714285714282</c:v>
                </c:pt>
                <c:pt idx="21">
                  <c:v>0.30714285714285716</c:v>
                </c:pt>
                <c:pt idx="22">
                  <c:v>0.3214285714285714</c:v>
                </c:pt>
                <c:pt idx="23">
                  <c:v>0.33571428571428574</c:v>
                </c:pt>
                <c:pt idx="24">
                  <c:v>0.35</c:v>
                </c:pt>
                <c:pt idx="25">
                  <c:v>0.36428571428571432</c:v>
                </c:pt>
                <c:pt idx="26">
                  <c:v>0.37857142857142856</c:v>
                </c:pt>
                <c:pt idx="27">
                  <c:v>0.39285714285714279</c:v>
                </c:pt>
                <c:pt idx="28">
                  <c:v>0.40714285714285714</c:v>
                </c:pt>
                <c:pt idx="29">
                  <c:v>0.42142857142857137</c:v>
                </c:pt>
                <c:pt idx="30">
                  <c:v>0.43571428571428572</c:v>
                </c:pt>
                <c:pt idx="31">
                  <c:v>0.44999999999999996</c:v>
                </c:pt>
                <c:pt idx="32">
                  <c:v>0.4642857142857143</c:v>
                </c:pt>
                <c:pt idx="33">
                  <c:v>0.47857142857142854</c:v>
                </c:pt>
                <c:pt idx="34">
                  <c:v>0.49285714285714288</c:v>
                </c:pt>
                <c:pt idx="35">
                  <c:v>0.50714285714285712</c:v>
                </c:pt>
                <c:pt idx="36">
                  <c:v>0.52142857142857135</c:v>
                </c:pt>
                <c:pt idx="37">
                  <c:v>0.5357142857142857</c:v>
                </c:pt>
                <c:pt idx="38">
                  <c:v>0.55000000000000004</c:v>
                </c:pt>
                <c:pt idx="39">
                  <c:v>0.56428571428571428</c:v>
                </c:pt>
                <c:pt idx="40">
                  <c:v>0.57857142857142851</c:v>
                </c:pt>
                <c:pt idx="41">
                  <c:v>0.59285714285714286</c:v>
                </c:pt>
                <c:pt idx="42">
                  <c:v>0.6071428571428571</c:v>
                </c:pt>
                <c:pt idx="43">
                  <c:v>0.62142857142857144</c:v>
                </c:pt>
                <c:pt idx="44">
                  <c:v>0.63571428571428568</c:v>
                </c:pt>
                <c:pt idx="45">
                  <c:v>0.64999999999999991</c:v>
                </c:pt>
                <c:pt idx="46">
                  <c:v>0.66428571428571426</c:v>
                </c:pt>
                <c:pt idx="47">
                  <c:v>0.6785714285714286</c:v>
                </c:pt>
                <c:pt idx="48">
                  <c:v>0.69285714285714284</c:v>
                </c:pt>
                <c:pt idx="49">
                  <c:v>0.70714285714285707</c:v>
                </c:pt>
                <c:pt idx="50">
                  <c:v>0.72142857142857142</c:v>
                </c:pt>
                <c:pt idx="51">
                  <c:v>0.73571428571428577</c:v>
                </c:pt>
                <c:pt idx="52">
                  <c:v>0.75</c:v>
                </c:pt>
                <c:pt idx="53">
                  <c:v>0.76428571428571423</c:v>
                </c:pt>
                <c:pt idx="54">
                  <c:v>0.77857142857142847</c:v>
                </c:pt>
                <c:pt idx="55">
                  <c:v>0.79285714285714282</c:v>
                </c:pt>
                <c:pt idx="56">
                  <c:v>0.80714285714285716</c:v>
                </c:pt>
                <c:pt idx="57">
                  <c:v>0.8214285714285714</c:v>
                </c:pt>
                <c:pt idx="58">
                  <c:v>0.83571428571428563</c:v>
                </c:pt>
                <c:pt idx="59">
                  <c:v>0.85</c:v>
                </c:pt>
                <c:pt idx="60">
                  <c:v>0.86428571428571432</c:v>
                </c:pt>
                <c:pt idx="61">
                  <c:v>0.87857142857142856</c:v>
                </c:pt>
                <c:pt idx="62">
                  <c:v>0.89285714285714279</c:v>
                </c:pt>
                <c:pt idx="63">
                  <c:v>0.90714285714285714</c:v>
                </c:pt>
                <c:pt idx="64">
                  <c:v>0.92142857142857137</c:v>
                </c:pt>
                <c:pt idx="65">
                  <c:v>0.93571428571428572</c:v>
                </c:pt>
                <c:pt idx="66">
                  <c:v>0.95</c:v>
                </c:pt>
                <c:pt idx="67">
                  <c:v>0.96428571428571419</c:v>
                </c:pt>
                <c:pt idx="68">
                  <c:v>0.97857142857142854</c:v>
                </c:pt>
                <c:pt idx="69">
                  <c:v>0.99285714285714288</c:v>
                </c:pt>
              </c:numCache>
            </c:numRef>
          </c:xVal>
          <c:yVal>
            <c:numRef>
              <c:f>'N70'!$W$15:$W$84</c:f>
              <c:numCache>
                <c:formatCode>General</c:formatCode>
                <c:ptCount val="70"/>
                <c:pt idx="0">
                  <c:v>-1.7689201796188876</c:v>
                </c:pt>
                <c:pt idx="1">
                  <c:v>-0.13653104503959934</c:v>
                </c:pt>
                <c:pt idx="2">
                  <c:v>0.17438775258605813</c:v>
                </c:pt>
                <c:pt idx="3">
                  <c:v>0.40781238998386193</c:v>
                </c:pt>
                <c:pt idx="4">
                  <c:v>0.57285738818724941</c:v>
                </c:pt>
                <c:pt idx="5">
                  <c:v>0.69755383788798231</c:v>
                </c:pt>
                <c:pt idx="6">
                  <c:v>0.79322237777551285</c:v>
                </c:pt>
                <c:pt idx="7">
                  <c:v>0.86602074251725869</c:v>
                </c:pt>
                <c:pt idx="8">
                  <c:v>0.91938006615988255</c:v>
                </c:pt>
                <c:pt idx="9">
                  <c:v>0.95508353443189886</c:v>
                </c:pt>
                <c:pt idx="10">
                  <c:v>0.9736440281507176</c:v>
                </c:pt>
                <c:pt idx="11">
                  <c:v>0.97415265513898153</c:v>
                </c:pt>
                <c:pt idx="12">
                  <c:v>0.95380466123320407</c:v>
                </c:pt>
                <c:pt idx="13">
                  <c:v>0.89353402906074875</c:v>
                </c:pt>
                <c:pt idx="14">
                  <c:v>0.80218941101770547</c:v>
                </c:pt>
                <c:pt idx="15">
                  <c:v>0.73166706997828967</c:v>
                </c:pt>
                <c:pt idx="16">
                  <c:v>0.69059412212020876</c:v>
                </c:pt>
                <c:pt idx="17">
                  <c:v>0.65943842582162282</c:v>
                </c:pt>
                <c:pt idx="18">
                  <c:v>0.63463285785965551</c:v>
                </c:pt>
                <c:pt idx="19">
                  <c:v>0.61411608546455765</c:v>
                </c:pt>
                <c:pt idx="20">
                  <c:v>0.59669420153268438</c:v>
                </c:pt>
                <c:pt idx="21">
                  <c:v>0.58159492686132408</c:v>
                </c:pt>
                <c:pt idx="22">
                  <c:v>0.56828777949633114</c:v>
                </c:pt>
                <c:pt idx="23">
                  <c:v>0.55639170013306505</c:v>
                </c:pt>
                <c:pt idx="24">
                  <c:v>0.54562349758879225</c:v>
                </c:pt>
                <c:pt idx="25">
                  <c:v>0.5357669351533525</c:v>
                </c:pt>
                <c:pt idx="26">
                  <c:v>0.52665317685188118</c:v>
                </c:pt>
                <c:pt idx="27">
                  <c:v>0.5181478832314228</c:v>
                </c:pt>
                <c:pt idx="28">
                  <c:v>0.51014239621977409</c:v>
                </c:pt>
                <c:pt idx="29">
                  <c:v>0.50254754140853752</c:v>
                </c:pt>
                <c:pt idx="30">
                  <c:v>0.495289162479159</c:v>
                </c:pt>
                <c:pt idx="31">
                  <c:v>0.48830483454481471</c:v>
                </c:pt>
                <c:pt idx="32">
                  <c:v>0.48154139930393502</c:v>
                </c:pt>
                <c:pt idx="33">
                  <c:v>0.47495308495523281</c:v>
                </c:pt>
                <c:pt idx="34">
                  <c:v>0.46850004960670322</c:v>
                </c:pt>
                <c:pt idx="35">
                  <c:v>0.46214723603794483</c:v>
                </c:pt>
                <c:pt idx="36">
                  <c:v>0.45586345826730901</c:v>
                </c:pt>
                <c:pt idx="37">
                  <c:v>0.44962066243488208</c:v>
                </c:pt>
                <c:pt idx="38">
                  <c:v>0.44339331969913576</c:v>
                </c:pt>
                <c:pt idx="39">
                  <c:v>0.43715791944532201</c:v>
                </c:pt>
                <c:pt idx="40">
                  <c:v>0.43089253857500687</c:v>
                </c:pt>
                <c:pt idx="41">
                  <c:v>0.42457646793372783</c:v>
                </c:pt>
                <c:pt idx="42">
                  <c:v>0.4181898806563592</c:v>
                </c:pt>
                <c:pt idx="43">
                  <c:v>0.4117135297729867</c:v>
                </c:pt>
                <c:pt idx="44">
                  <c:v>0.40512846408236569</c:v>
                </c:pt>
                <c:pt idx="45">
                  <c:v>0.39841575222144299</c:v>
                </c:pt>
                <c:pt idx="46">
                  <c:v>0.39155620511210654</c:v>
                </c:pt>
                <c:pt idx="47">
                  <c:v>0.38453008655148274</c:v>
                </c:pt>
                <c:pt idx="48">
                  <c:v>0.37731680055486122</c:v>
                </c:pt>
                <c:pt idx="49">
                  <c:v>0.36989454199323779</c:v>
                </c:pt>
                <c:pt idx="50">
                  <c:v>0.36223989379578259</c:v>
                </c:pt>
                <c:pt idx="51">
                  <c:v>0.35432734902644381</c:v>
                </c:pt>
                <c:pt idx="52">
                  <c:v>0.34612872870899825</c:v>
                </c:pt>
                <c:pt idx="53">
                  <c:v>0.33761245508835713</c:v>
                </c:pt>
                <c:pt idx="54">
                  <c:v>0.32874262296158474</c:v>
                </c:pt>
                <c:pt idx="55">
                  <c:v>0.31947778519651787</c:v>
                </c:pt>
                <c:pt idx="56">
                  <c:v>0.30976932629581</c:v>
                </c:pt>
                <c:pt idx="57">
                  <c:v>0.29955922848076832</c:v>
                </c:pt>
                <c:pt idx="58">
                  <c:v>0.28877691680784368</c:v>
                </c:pt>
                <c:pt idx="59">
                  <c:v>0.27733466090432635</c:v>
                </c:pt>
                <c:pt idx="60">
                  <c:v>0.26512062256403823</c:v>
                </c:pt>
                <c:pt idx="61">
                  <c:v>0.25198787389738092</c:v>
                </c:pt>
                <c:pt idx="62">
                  <c:v>0.23773609448800276</c:v>
                </c:pt>
                <c:pt idx="63">
                  <c:v>0.22207896348317069</c:v>
                </c:pt>
                <c:pt idx="64">
                  <c:v>0.20458025747800143</c:v>
                </c:pt>
                <c:pt idx="65">
                  <c:v>0.18452042872452942</c:v>
                </c:pt>
                <c:pt idx="66">
                  <c:v>0.16043000882451372</c:v>
                </c:pt>
                <c:pt idx="67">
                  <c:v>0.13052389490616118</c:v>
                </c:pt>
                <c:pt idx="68">
                  <c:v>5.7350944193360454E-2</c:v>
                </c:pt>
                <c:pt idx="69">
                  <c:v>3.8859803416630085E-4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6C-461E-AEB6-3C259CBCE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18464"/>
        <c:axId val="1572291264"/>
      </c:scatterChart>
      <c:valAx>
        <c:axId val="15723184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291264"/>
        <c:crosses val="autoZero"/>
        <c:crossBetween val="midCat"/>
      </c:valAx>
      <c:valAx>
        <c:axId val="15722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42749362883579"/>
          <c:y val="0.47666122494714319"/>
          <c:w val="9.2261183734114738E-2"/>
          <c:h val="0.13816644711041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Cmiba</a:t>
            </a:r>
            <a:r>
              <a:rPr lang="es-ES" baseline="0"/>
              <a:t> vs x/c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Cm_N70_SINTIMÓN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'N70'!$H$16:$H$85</c:f>
              <c:numCache>
                <c:formatCode>General</c:formatCode>
                <c:ptCount val="70"/>
                <c:pt idx="0">
                  <c:v>7.1428571428571426E-3</c:v>
                </c:pt>
                <c:pt idx="1">
                  <c:v>2.1428571428571429E-2</c:v>
                </c:pt>
                <c:pt idx="2">
                  <c:v>3.5714285714285712E-2</c:v>
                </c:pt>
                <c:pt idx="3">
                  <c:v>0.05</c:v>
                </c:pt>
                <c:pt idx="4">
                  <c:v>6.4285714285714279E-2</c:v>
                </c:pt>
                <c:pt idx="5">
                  <c:v>7.857142857142857E-2</c:v>
                </c:pt>
                <c:pt idx="6">
                  <c:v>9.285714285714286E-2</c:v>
                </c:pt>
                <c:pt idx="7">
                  <c:v>0.10714285714285714</c:v>
                </c:pt>
                <c:pt idx="8">
                  <c:v>0.12142857142857141</c:v>
                </c:pt>
                <c:pt idx="9">
                  <c:v>0.1357142857142857</c:v>
                </c:pt>
                <c:pt idx="10">
                  <c:v>0.15</c:v>
                </c:pt>
                <c:pt idx="11">
                  <c:v>0.16428571428571428</c:v>
                </c:pt>
                <c:pt idx="12">
                  <c:v>0.17857142857142858</c:v>
                </c:pt>
                <c:pt idx="13">
                  <c:v>0.19285714285714284</c:v>
                </c:pt>
                <c:pt idx="14">
                  <c:v>0.20714285714285713</c:v>
                </c:pt>
                <c:pt idx="15">
                  <c:v>0.22142857142857142</c:v>
                </c:pt>
                <c:pt idx="16">
                  <c:v>0.23571428571428571</c:v>
                </c:pt>
                <c:pt idx="17">
                  <c:v>0.25</c:v>
                </c:pt>
                <c:pt idx="18">
                  <c:v>0.26428571428571423</c:v>
                </c:pt>
                <c:pt idx="19">
                  <c:v>0.27857142857142858</c:v>
                </c:pt>
                <c:pt idx="20">
                  <c:v>0.29285714285714282</c:v>
                </c:pt>
                <c:pt idx="21">
                  <c:v>0.30714285714285716</c:v>
                </c:pt>
                <c:pt idx="22">
                  <c:v>0.3214285714285714</c:v>
                </c:pt>
                <c:pt idx="23">
                  <c:v>0.33571428571428574</c:v>
                </c:pt>
                <c:pt idx="24">
                  <c:v>0.35</c:v>
                </c:pt>
                <c:pt idx="25">
                  <c:v>0.36428571428571432</c:v>
                </c:pt>
                <c:pt idx="26">
                  <c:v>0.37857142857142856</c:v>
                </c:pt>
                <c:pt idx="27">
                  <c:v>0.39285714285714279</c:v>
                </c:pt>
                <c:pt idx="28">
                  <c:v>0.40714285714285714</c:v>
                </c:pt>
                <c:pt idx="29">
                  <c:v>0.42142857142857137</c:v>
                </c:pt>
                <c:pt idx="30">
                  <c:v>0.43571428571428572</c:v>
                </c:pt>
                <c:pt idx="31">
                  <c:v>0.44999999999999996</c:v>
                </c:pt>
                <c:pt idx="32">
                  <c:v>0.4642857142857143</c:v>
                </c:pt>
                <c:pt idx="33">
                  <c:v>0.47857142857142854</c:v>
                </c:pt>
                <c:pt idx="34">
                  <c:v>0.49285714285714288</c:v>
                </c:pt>
                <c:pt idx="35">
                  <c:v>0.50714285714285712</c:v>
                </c:pt>
                <c:pt idx="36">
                  <c:v>0.52142857142857135</c:v>
                </c:pt>
                <c:pt idx="37">
                  <c:v>0.5357142857142857</c:v>
                </c:pt>
                <c:pt idx="38">
                  <c:v>0.55000000000000004</c:v>
                </c:pt>
                <c:pt idx="39">
                  <c:v>0.56428571428571428</c:v>
                </c:pt>
                <c:pt idx="40">
                  <c:v>0.57857142857142851</c:v>
                </c:pt>
                <c:pt idx="41">
                  <c:v>0.59285714285714286</c:v>
                </c:pt>
                <c:pt idx="42">
                  <c:v>0.6071428571428571</c:v>
                </c:pt>
                <c:pt idx="43">
                  <c:v>0.62142857142857144</c:v>
                </c:pt>
                <c:pt idx="44">
                  <c:v>0.63571428571428568</c:v>
                </c:pt>
                <c:pt idx="45">
                  <c:v>0.64999999999999991</c:v>
                </c:pt>
                <c:pt idx="46">
                  <c:v>0.66428571428571426</c:v>
                </c:pt>
                <c:pt idx="47">
                  <c:v>0.6785714285714286</c:v>
                </c:pt>
                <c:pt idx="48">
                  <c:v>0.69285714285714284</c:v>
                </c:pt>
                <c:pt idx="49">
                  <c:v>0.70714285714285707</c:v>
                </c:pt>
                <c:pt idx="50">
                  <c:v>0.72142857142857142</c:v>
                </c:pt>
                <c:pt idx="51">
                  <c:v>0.73571428571428577</c:v>
                </c:pt>
                <c:pt idx="52">
                  <c:v>0.75</c:v>
                </c:pt>
                <c:pt idx="53">
                  <c:v>0.76428571428571423</c:v>
                </c:pt>
                <c:pt idx="54">
                  <c:v>0.77857142857142847</c:v>
                </c:pt>
                <c:pt idx="55">
                  <c:v>0.79285714285714282</c:v>
                </c:pt>
                <c:pt idx="56">
                  <c:v>0.80714285714285716</c:v>
                </c:pt>
                <c:pt idx="57">
                  <c:v>0.8214285714285714</c:v>
                </c:pt>
                <c:pt idx="58">
                  <c:v>0.83571428571428563</c:v>
                </c:pt>
                <c:pt idx="59">
                  <c:v>0.85</c:v>
                </c:pt>
                <c:pt idx="60">
                  <c:v>0.86428571428571432</c:v>
                </c:pt>
                <c:pt idx="61">
                  <c:v>0.87857142857142856</c:v>
                </c:pt>
                <c:pt idx="62">
                  <c:v>0.89285714285714279</c:v>
                </c:pt>
                <c:pt idx="63">
                  <c:v>0.90714285714285714</c:v>
                </c:pt>
                <c:pt idx="64">
                  <c:v>0.92142857142857137</c:v>
                </c:pt>
                <c:pt idx="65">
                  <c:v>0.93571428571428572</c:v>
                </c:pt>
                <c:pt idx="66">
                  <c:v>0.95</c:v>
                </c:pt>
                <c:pt idx="67">
                  <c:v>0.96428571428571419</c:v>
                </c:pt>
                <c:pt idx="68">
                  <c:v>0.97857142857142854</c:v>
                </c:pt>
                <c:pt idx="69">
                  <c:v>0.99285714285714288</c:v>
                </c:pt>
              </c:numCache>
            </c:numRef>
          </c:xVal>
          <c:yVal>
            <c:numRef>
              <c:f>'N70'!$AI$15:$AI$84</c:f>
              <c:numCache>
                <c:formatCode>General</c:formatCode>
                <c:ptCount val="70"/>
                <c:pt idx="0">
                  <c:v>1.2635144140134912E-2</c:v>
                </c:pt>
                <c:pt idx="1">
                  <c:v>2.9256652508485572E-3</c:v>
                </c:pt>
                <c:pt idx="2">
                  <c:v>-6.2281340209306467E-3</c:v>
                </c:pt>
                <c:pt idx="3">
                  <c:v>-2.0390619499193099E-2</c:v>
                </c:pt>
                <c:pt idx="4">
                  <c:v>-3.6826546383466031E-2</c:v>
                </c:pt>
                <c:pt idx="5">
                  <c:v>-5.4807801548341466E-2</c:v>
                </c:pt>
                <c:pt idx="6">
                  <c:v>-7.365636365058334E-2</c:v>
                </c:pt>
                <c:pt idx="7">
                  <c:v>-9.2787936698277715E-2</c:v>
                </c:pt>
                <c:pt idx="8">
                  <c:v>-0.11163900803370001</c:v>
                </c:pt>
                <c:pt idx="9">
                  <c:v>-0.12961847967290055</c:v>
                </c:pt>
                <c:pt idx="10">
                  <c:v>-0.14604660422260762</c:v>
                </c:pt>
                <c:pt idx="11">
                  <c:v>-0.16003936477283268</c:v>
                </c:pt>
                <c:pt idx="12">
                  <c:v>-0.17032226093450073</c:v>
                </c:pt>
                <c:pt idx="13">
                  <c:v>-0.17232441989028724</c:v>
                </c:pt>
                <c:pt idx="14">
                  <c:v>-0.16616780656795327</c:v>
                </c:pt>
                <c:pt idx="15">
                  <c:v>-0.16201199406662128</c:v>
                </c:pt>
                <c:pt idx="16">
                  <c:v>-0.1627829002140492</c:v>
                </c:pt>
                <c:pt idx="17">
                  <c:v>-0.16485960645540571</c:v>
                </c:pt>
                <c:pt idx="18">
                  <c:v>-0.16772439814862322</c:v>
                </c:pt>
                <c:pt idx="19">
                  <c:v>-0.17107519523655534</c:v>
                </c:pt>
                <c:pt idx="20">
                  <c:v>-0.17474615902028612</c:v>
                </c:pt>
                <c:pt idx="21">
                  <c:v>-0.17863272753597811</c:v>
                </c:pt>
                <c:pt idx="22">
                  <c:v>-0.18266392912382071</c:v>
                </c:pt>
                <c:pt idx="23">
                  <c:v>-0.186788642187529</c:v>
                </c:pt>
                <c:pt idx="24">
                  <c:v>-0.19096822415607728</c:v>
                </c:pt>
                <c:pt idx="25">
                  <c:v>-0.19517224066300701</c:v>
                </c:pt>
                <c:pt idx="26">
                  <c:v>-0.19937584552249787</c:v>
                </c:pt>
                <c:pt idx="27">
                  <c:v>-0.20355809698377322</c:v>
                </c:pt>
                <c:pt idx="28">
                  <c:v>-0.20770083274662229</c:v>
                </c:pt>
                <c:pt idx="29">
                  <c:v>-0.21178789245074078</c:v>
                </c:pt>
                <c:pt idx="30">
                  <c:v>-0.21580456365163356</c:v>
                </c:pt>
                <c:pt idx="31">
                  <c:v>-0.21973717554516661</c:v>
                </c:pt>
                <c:pt idx="32">
                  <c:v>-0.22357279253396983</c:v>
                </c:pt>
                <c:pt idx="33">
                  <c:v>-0.22729897637143281</c:v>
                </c:pt>
                <c:pt idx="34">
                  <c:v>-0.23090359587758946</c:v>
                </c:pt>
                <c:pt idx="35">
                  <c:v>-0.23437466970495771</c:v>
                </c:pt>
                <c:pt idx="36">
                  <c:v>-0.2377002318108111</c:v>
                </c:pt>
                <c:pt idx="37">
                  <c:v>-0.24086821201868683</c:v>
                </c:pt>
                <c:pt idx="38">
                  <c:v>-0.24386632583452469</c:v>
                </c:pt>
                <c:pt idx="39">
                  <c:v>-0.24668196882986027</c:v>
                </c:pt>
                <c:pt idx="40">
                  <c:v>-0.24930211160411109</c:v>
                </c:pt>
                <c:pt idx="41">
                  <c:v>-0.25171319170356721</c:v>
                </c:pt>
                <c:pt idx="42">
                  <c:v>-0.25390099896993235</c:v>
                </c:pt>
                <c:pt idx="43">
                  <c:v>-0.25585055064464174</c:v>
                </c:pt>
                <c:pt idx="44">
                  <c:v>-0.25754595216664672</c:v>
                </c:pt>
                <c:pt idx="45">
                  <c:v>-0.25897023894393789</c:v>
                </c:pt>
                <c:pt idx="46">
                  <c:v>-0.26010519339589933</c:v>
                </c:pt>
                <c:pt idx="47">
                  <c:v>-0.26093113015993474</c:v>
                </c:pt>
                <c:pt idx="48">
                  <c:v>-0.26142664038443958</c:v>
                </c:pt>
                <c:pt idx="49">
                  <c:v>-0.26156828326664672</c:v>
                </c:pt>
                <c:pt idx="50">
                  <c:v>-0.26133020909552884</c:v>
                </c:pt>
                <c:pt idx="51">
                  <c:v>-0.26068369249802653</c:v>
                </c:pt>
                <c:pt idx="52">
                  <c:v>-0.25959654653174868</c:v>
                </c:pt>
                <c:pt idx="53">
                  <c:v>-0.25803237638895865</c:v>
                </c:pt>
                <c:pt idx="54">
                  <c:v>-0.25594961359151952</c:v>
                </c:pt>
                <c:pt idx="55">
                  <c:v>-0.25330024397723916</c:v>
                </c:pt>
                <c:pt idx="56">
                  <c:v>-0.25002809908161805</c:v>
                </c:pt>
                <c:pt idx="57">
                  <c:v>-0.24606650910920255</c:v>
                </c:pt>
                <c:pt idx="58">
                  <c:v>-0.24133499476084075</c:v>
                </c:pt>
                <c:pt idx="59">
                  <c:v>-0.23573446176867738</c:v>
                </c:pt>
                <c:pt idx="60">
                  <c:v>-0.22913996664463304</c:v>
                </c:pt>
                <c:pt idx="61">
                  <c:v>-0.22138934635269894</c:v>
                </c:pt>
                <c:pt idx="62">
                  <c:v>-0.21226437007857388</c:v>
                </c:pt>
                <c:pt idx="63">
                  <c:v>-0.20145734544544769</c:v>
                </c:pt>
                <c:pt idx="64">
                  <c:v>-0.18850609439044416</c:v>
                </c:pt>
                <c:pt idx="65">
                  <c:v>-0.17265840116366682</c:v>
                </c:pt>
                <c:pt idx="66">
                  <c:v>-0.15240850838328804</c:v>
                </c:pt>
                <c:pt idx="67">
                  <c:v>-0.12586232723094112</c:v>
                </c:pt>
                <c:pt idx="68">
                  <c:v>-5.6121995389217014E-2</c:v>
                </c:pt>
                <c:pt idx="69">
                  <c:v>-3.8582233392225586E-4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0-42F3-8E43-ABBF83FBF767}"/>
            </c:ext>
          </c:extLst>
        </c:ser>
        <c:ser>
          <c:idx val="3"/>
          <c:order val="1"/>
          <c:tx>
            <c:v>Cmba_N70_CONTIMON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'N70'!$H$16:$H$85</c:f>
              <c:numCache>
                <c:formatCode>General</c:formatCode>
                <c:ptCount val="70"/>
                <c:pt idx="0">
                  <c:v>7.1428571428571426E-3</c:v>
                </c:pt>
                <c:pt idx="1">
                  <c:v>2.1428571428571429E-2</c:v>
                </c:pt>
                <c:pt idx="2">
                  <c:v>3.5714285714285712E-2</c:v>
                </c:pt>
                <c:pt idx="3">
                  <c:v>0.05</c:v>
                </c:pt>
                <c:pt idx="4">
                  <c:v>6.4285714285714279E-2</c:v>
                </c:pt>
                <c:pt idx="5">
                  <c:v>7.857142857142857E-2</c:v>
                </c:pt>
                <c:pt idx="6">
                  <c:v>9.285714285714286E-2</c:v>
                </c:pt>
                <c:pt idx="7">
                  <c:v>0.10714285714285714</c:v>
                </c:pt>
                <c:pt idx="8">
                  <c:v>0.12142857142857141</c:v>
                </c:pt>
                <c:pt idx="9">
                  <c:v>0.1357142857142857</c:v>
                </c:pt>
                <c:pt idx="10">
                  <c:v>0.15</c:v>
                </c:pt>
                <c:pt idx="11">
                  <c:v>0.16428571428571428</c:v>
                </c:pt>
                <c:pt idx="12">
                  <c:v>0.17857142857142858</c:v>
                </c:pt>
                <c:pt idx="13">
                  <c:v>0.19285714285714284</c:v>
                </c:pt>
                <c:pt idx="14">
                  <c:v>0.20714285714285713</c:v>
                </c:pt>
                <c:pt idx="15">
                  <c:v>0.22142857142857142</c:v>
                </c:pt>
                <c:pt idx="16">
                  <c:v>0.23571428571428571</c:v>
                </c:pt>
                <c:pt idx="17">
                  <c:v>0.25</c:v>
                </c:pt>
                <c:pt idx="18">
                  <c:v>0.26428571428571423</c:v>
                </c:pt>
                <c:pt idx="19">
                  <c:v>0.27857142857142858</c:v>
                </c:pt>
                <c:pt idx="20">
                  <c:v>0.29285714285714282</c:v>
                </c:pt>
                <c:pt idx="21">
                  <c:v>0.30714285714285716</c:v>
                </c:pt>
                <c:pt idx="22">
                  <c:v>0.3214285714285714</c:v>
                </c:pt>
                <c:pt idx="23">
                  <c:v>0.33571428571428574</c:v>
                </c:pt>
                <c:pt idx="24">
                  <c:v>0.35</c:v>
                </c:pt>
                <c:pt idx="25">
                  <c:v>0.36428571428571432</c:v>
                </c:pt>
                <c:pt idx="26">
                  <c:v>0.37857142857142856</c:v>
                </c:pt>
                <c:pt idx="27">
                  <c:v>0.39285714285714279</c:v>
                </c:pt>
                <c:pt idx="28">
                  <c:v>0.40714285714285714</c:v>
                </c:pt>
                <c:pt idx="29">
                  <c:v>0.42142857142857137</c:v>
                </c:pt>
                <c:pt idx="30">
                  <c:v>0.43571428571428572</c:v>
                </c:pt>
                <c:pt idx="31">
                  <c:v>0.44999999999999996</c:v>
                </c:pt>
                <c:pt idx="32">
                  <c:v>0.4642857142857143</c:v>
                </c:pt>
                <c:pt idx="33">
                  <c:v>0.47857142857142854</c:v>
                </c:pt>
                <c:pt idx="34">
                  <c:v>0.49285714285714288</c:v>
                </c:pt>
                <c:pt idx="35">
                  <c:v>0.50714285714285712</c:v>
                </c:pt>
                <c:pt idx="36">
                  <c:v>0.52142857142857135</c:v>
                </c:pt>
                <c:pt idx="37">
                  <c:v>0.5357142857142857</c:v>
                </c:pt>
                <c:pt idx="38">
                  <c:v>0.55000000000000004</c:v>
                </c:pt>
                <c:pt idx="39">
                  <c:v>0.56428571428571428</c:v>
                </c:pt>
                <c:pt idx="40">
                  <c:v>0.57857142857142851</c:v>
                </c:pt>
                <c:pt idx="41">
                  <c:v>0.59285714285714286</c:v>
                </c:pt>
                <c:pt idx="42">
                  <c:v>0.6071428571428571</c:v>
                </c:pt>
                <c:pt idx="43">
                  <c:v>0.62142857142857144</c:v>
                </c:pt>
                <c:pt idx="44">
                  <c:v>0.63571428571428568</c:v>
                </c:pt>
                <c:pt idx="45">
                  <c:v>0.64999999999999991</c:v>
                </c:pt>
                <c:pt idx="46">
                  <c:v>0.66428571428571426</c:v>
                </c:pt>
                <c:pt idx="47">
                  <c:v>0.6785714285714286</c:v>
                </c:pt>
                <c:pt idx="48">
                  <c:v>0.69285714285714284</c:v>
                </c:pt>
                <c:pt idx="49">
                  <c:v>0.70714285714285707</c:v>
                </c:pt>
                <c:pt idx="50">
                  <c:v>0.72142857142857142</c:v>
                </c:pt>
                <c:pt idx="51">
                  <c:v>0.73571428571428577</c:v>
                </c:pt>
                <c:pt idx="52">
                  <c:v>0.75</c:v>
                </c:pt>
                <c:pt idx="53">
                  <c:v>0.76428571428571423</c:v>
                </c:pt>
                <c:pt idx="54">
                  <c:v>0.77857142857142847</c:v>
                </c:pt>
                <c:pt idx="55">
                  <c:v>0.79285714285714282</c:v>
                </c:pt>
                <c:pt idx="56">
                  <c:v>0.80714285714285716</c:v>
                </c:pt>
                <c:pt idx="57">
                  <c:v>0.8214285714285714</c:v>
                </c:pt>
                <c:pt idx="58">
                  <c:v>0.83571428571428563</c:v>
                </c:pt>
                <c:pt idx="59">
                  <c:v>0.85</c:v>
                </c:pt>
                <c:pt idx="60">
                  <c:v>0.86428571428571432</c:v>
                </c:pt>
                <c:pt idx="61">
                  <c:v>0.87857142857142856</c:v>
                </c:pt>
                <c:pt idx="62">
                  <c:v>0.89285714285714279</c:v>
                </c:pt>
                <c:pt idx="63">
                  <c:v>0.90714285714285714</c:v>
                </c:pt>
                <c:pt idx="64">
                  <c:v>0.92142857142857137</c:v>
                </c:pt>
                <c:pt idx="65">
                  <c:v>0.93571428571428572</c:v>
                </c:pt>
                <c:pt idx="66">
                  <c:v>0.95</c:v>
                </c:pt>
                <c:pt idx="67">
                  <c:v>0.96428571428571419</c:v>
                </c:pt>
                <c:pt idx="68">
                  <c:v>0.97857142857142854</c:v>
                </c:pt>
                <c:pt idx="69">
                  <c:v>0.99285714285714288</c:v>
                </c:pt>
              </c:numCache>
            </c:numRef>
          </c:xVal>
          <c:yVal>
            <c:numRef>
              <c:f>'N70'!$AK$15:$AK$84</c:f>
              <c:numCache>
                <c:formatCode>General</c:formatCode>
                <c:ptCount val="70"/>
                <c:pt idx="0">
                  <c:v>-2.1882589834358281E-2</c:v>
                </c:pt>
                <c:pt idx="1">
                  <c:v>-3.6517129950720824E-2</c:v>
                </c:pt>
                <c:pt idx="2">
                  <c:v>-6.1038265186928578E-2</c:v>
                </c:pt>
                <c:pt idx="3">
                  <c:v>-8.5612049406621371E-2</c:v>
                </c:pt>
                <c:pt idx="4">
                  <c:v>-0.11153851438012842</c:v>
                </c:pt>
                <c:pt idx="5">
                  <c:v>-0.13823839124585824</c:v>
                </c:pt>
                <c:pt idx="6">
                  <c:v>-0.16529268686258294</c:v>
                </c:pt>
                <c:pt idx="7">
                  <c:v>-0.19226111233446902</c:v>
                </c:pt>
                <c:pt idx="8">
                  <c:v>-0.21867900686128647</c:v>
                </c:pt>
                <c:pt idx="9">
                  <c:v>-0.24402650896403197</c:v>
                </c:pt>
                <c:pt idx="10">
                  <c:v>-0.26767792967822251</c:v>
                </c:pt>
                <c:pt idx="11">
                  <c:v>-0.28879201136434757</c:v>
                </c:pt>
                <c:pt idx="12">
                  <c:v>-0.30612932222803863</c:v>
                </c:pt>
                <c:pt idx="13">
                  <c:v>-0.31514870144770868</c:v>
                </c:pt>
                <c:pt idx="14">
                  <c:v>-0.31599805188555308</c:v>
                </c:pt>
                <c:pt idx="15">
                  <c:v>-0.31886023008164516</c:v>
                </c:pt>
                <c:pt idx="16">
                  <c:v>-0.32668260795362075</c:v>
                </c:pt>
                <c:pt idx="17">
                  <c:v>-0.33586452564301444</c:v>
                </c:pt>
                <c:pt idx="18">
                  <c:v>-0.34590784071631575</c:v>
                </c:pt>
                <c:pt idx="19">
                  <c:v>-0.35652978702237614</c:v>
                </c:pt>
                <c:pt idx="20">
                  <c:v>-0.36758396018666434</c:v>
                </c:pt>
                <c:pt idx="21">
                  <c:v>-0.37898570564966466</c:v>
                </c:pt>
                <c:pt idx="22">
                  <c:v>-0.390684777698379</c:v>
                </c:pt>
                <c:pt idx="23">
                  <c:v>-0.40265195405570681</c:v>
                </c:pt>
                <c:pt idx="24">
                  <c:v>-0.41487204500467806</c:v>
                </c:pt>
                <c:pt idx="25">
                  <c:v>-0.42734004488021549</c:v>
                </c:pt>
                <c:pt idx="26">
                  <c:v>-0.44005899562351225</c:v>
                </c:pt>
                <c:pt idx="27">
                  <c:v>-0.45303887094574458</c:v>
                </c:pt>
                <c:pt idx="28">
                  <c:v>-0.46629613268837644</c:v>
                </c:pt>
                <c:pt idx="29">
                  <c:v>-0.47985378607722906</c:v>
                </c:pt>
                <c:pt idx="30">
                  <c:v>-0.49374186079466659</c:v>
                </c:pt>
                <c:pt idx="31">
                  <c:v>-0.50799831193599676</c:v>
                </c:pt>
                <c:pt idx="32">
                  <c:v>-0.52267039067826637</c:v>
                </c:pt>
                <c:pt idx="33">
                  <c:v>-0.53781659311289143</c:v>
                </c:pt>
                <c:pt idx="34">
                  <c:v>-0.55350937034260317</c:v>
                </c:pt>
                <c:pt idx="35">
                  <c:v>-0.56983889055975345</c:v>
                </c:pt>
                <c:pt idx="36">
                  <c:v>-0.58691831122859295</c:v>
                </c:pt>
                <c:pt idx="37">
                  <c:v>-0.60489129401340735</c:v>
                </c:pt>
                <c:pt idx="38">
                  <c:v>-0.62394296596342058</c:v>
                </c:pt>
                <c:pt idx="39">
                  <c:v>-0.64431637553702226</c:v>
                </c:pt>
                <c:pt idx="40">
                  <c:v>-0.66633808675705342</c:v>
                </c:pt>
                <c:pt idx="41">
                  <c:v>-0.69045974480009609</c:v>
                </c:pt>
                <c:pt idx="42">
                  <c:v>-0.71732929692806091</c:v>
                </c:pt>
                <c:pt idx="43">
                  <c:v>-0.74792149586953227</c:v>
                </c:pt>
                <c:pt idx="44">
                  <c:v>-0.78380046477197929</c:v>
                </c:pt>
                <c:pt idx="45">
                  <c:v>-0.82769138498443162</c:v>
                </c:pt>
                <c:pt idx="46">
                  <c:v>-0.88538446412585403</c:v>
                </c:pt>
                <c:pt idx="47">
                  <c:v>-0.96593390032725002</c:v>
                </c:pt>
                <c:pt idx="48">
                  <c:v>-1.2068794137174674</c:v>
                </c:pt>
                <c:pt idx="49">
                  <c:v>-1.2200887691070834</c:v>
                </c:pt>
                <c:pt idx="50">
                  <c:v>-0.99117249776568761</c:v>
                </c:pt>
                <c:pt idx="51">
                  <c:v>-0.91967082355301133</c:v>
                </c:pt>
                <c:pt idx="52">
                  <c:v>-0.86782386547054657</c:v>
                </c:pt>
                <c:pt idx="53">
                  <c:v>-0.82759443235135133</c:v>
                </c:pt>
                <c:pt idx="54">
                  <c:v>-0.79345900566277527</c:v>
                </c:pt>
                <c:pt idx="55">
                  <c:v>-0.76282587502041854</c:v>
                </c:pt>
                <c:pt idx="56">
                  <c:v>-0.73416312579719178</c:v>
                </c:pt>
                <c:pt idx="57">
                  <c:v>-0.70645784209507911</c:v>
                </c:pt>
                <c:pt idx="58">
                  <c:v>-0.67896272003638569</c:v>
                </c:pt>
                <c:pt idx="59">
                  <c:v>-0.65106404122339689</c:v>
                </c:pt>
                <c:pt idx="60">
                  <c:v>-0.62219932697269986</c:v>
                </c:pt>
                <c:pt idx="61">
                  <c:v>-0.59179266509749895</c:v>
                </c:pt>
                <c:pt idx="62">
                  <c:v>-0.55918686813445773</c:v>
                </c:pt>
                <c:pt idx="63">
                  <c:v>-0.52354910047244041</c:v>
                </c:pt>
                <c:pt idx="64">
                  <c:v>-0.48370538576203181</c:v>
                </c:pt>
                <c:pt idx="65">
                  <c:v>-0.4378081967041314</c:v>
                </c:pt>
                <c:pt idx="66">
                  <c:v>-0.38221027767686427</c:v>
                </c:pt>
                <c:pt idx="67">
                  <c:v>-0.31237393268232333</c:v>
                </c:pt>
                <c:pt idx="68">
                  <c:v>-0.13845844942939375</c:v>
                </c:pt>
                <c:pt idx="69">
                  <c:v>-9.4116226641312339E-4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30-42F3-8E43-ABBF83FBF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14656"/>
        <c:axId val="1572295072"/>
      </c:scatterChart>
      <c:valAx>
        <c:axId val="1572314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295072"/>
        <c:crosses val="autoZero"/>
        <c:crossBetween val="midCat"/>
      </c:valAx>
      <c:valAx>
        <c:axId val="15722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Cm0,25(x)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Cm0,25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'N70'!$H$16:$H$85</c:f>
              <c:numCache>
                <c:formatCode>General</c:formatCode>
                <c:ptCount val="70"/>
                <c:pt idx="0">
                  <c:v>7.1428571428571426E-3</c:v>
                </c:pt>
                <c:pt idx="1">
                  <c:v>2.1428571428571429E-2</c:v>
                </c:pt>
                <c:pt idx="2">
                  <c:v>3.5714285714285712E-2</c:v>
                </c:pt>
                <c:pt idx="3">
                  <c:v>0.05</c:v>
                </c:pt>
                <c:pt idx="4">
                  <c:v>6.4285714285714279E-2</c:v>
                </c:pt>
                <c:pt idx="5">
                  <c:v>7.857142857142857E-2</c:v>
                </c:pt>
                <c:pt idx="6">
                  <c:v>9.285714285714286E-2</c:v>
                </c:pt>
                <c:pt idx="7">
                  <c:v>0.10714285714285714</c:v>
                </c:pt>
                <c:pt idx="8">
                  <c:v>0.12142857142857141</c:v>
                </c:pt>
                <c:pt idx="9">
                  <c:v>0.1357142857142857</c:v>
                </c:pt>
                <c:pt idx="10">
                  <c:v>0.15</c:v>
                </c:pt>
                <c:pt idx="11">
                  <c:v>0.16428571428571428</c:v>
                </c:pt>
                <c:pt idx="12">
                  <c:v>0.17857142857142858</c:v>
                </c:pt>
                <c:pt idx="13">
                  <c:v>0.19285714285714284</c:v>
                </c:pt>
                <c:pt idx="14">
                  <c:v>0.20714285714285713</c:v>
                </c:pt>
                <c:pt idx="15">
                  <c:v>0.22142857142857142</c:v>
                </c:pt>
                <c:pt idx="16">
                  <c:v>0.23571428571428571</c:v>
                </c:pt>
                <c:pt idx="17">
                  <c:v>0.25</c:v>
                </c:pt>
                <c:pt idx="18">
                  <c:v>0.26428571428571423</c:v>
                </c:pt>
                <c:pt idx="19">
                  <c:v>0.27857142857142858</c:v>
                </c:pt>
                <c:pt idx="20">
                  <c:v>0.29285714285714282</c:v>
                </c:pt>
                <c:pt idx="21">
                  <c:v>0.30714285714285716</c:v>
                </c:pt>
                <c:pt idx="22">
                  <c:v>0.3214285714285714</c:v>
                </c:pt>
                <c:pt idx="23">
                  <c:v>0.33571428571428574</c:v>
                </c:pt>
                <c:pt idx="24">
                  <c:v>0.35</c:v>
                </c:pt>
                <c:pt idx="25">
                  <c:v>0.36428571428571432</c:v>
                </c:pt>
                <c:pt idx="26">
                  <c:v>0.37857142857142856</c:v>
                </c:pt>
                <c:pt idx="27">
                  <c:v>0.39285714285714279</c:v>
                </c:pt>
                <c:pt idx="28">
                  <c:v>0.40714285714285714</c:v>
                </c:pt>
                <c:pt idx="29">
                  <c:v>0.42142857142857137</c:v>
                </c:pt>
                <c:pt idx="30">
                  <c:v>0.43571428571428572</c:v>
                </c:pt>
                <c:pt idx="31">
                  <c:v>0.44999999999999996</c:v>
                </c:pt>
                <c:pt idx="32">
                  <c:v>0.4642857142857143</c:v>
                </c:pt>
                <c:pt idx="33">
                  <c:v>0.47857142857142854</c:v>
                </c:pt>
                <c:pt idx="34">
                  <c:v>0.49285714285714288</c:v>
                </c:pt>
                <c:pt idx="35">
                  <c:v>0.50714285714285712</c:v>
                </c:pt>
                <c:pt idx="36">
                  <c:v>0.52142857142857135</c:v>
                </c:pt>
                <c:pt idx="37">
                  <c:v>0.5357142857142857</c:v>
                </c:pt>
                <c:pt idx="38">
                  <c:v>0.55000000000000004</c:v>
                </c:pt>
                <c:pt idx="39">
                  <c:v>0.56428571428571428</c:v>
                </c:pt>
                <c:pt idx="40">
                  <c:v>0.57857142857142851</c:v>
                </c:pt>
                <c:pt idx="41">
                  <c:v>0.59285714285714286</c:v>
                </c:pt>
                <c:pt idx="42">
                  <c:v>0.6071428571428571</c:v>
                </c:pt>
                <c:pt idx="43">
                  <c:v>0.62142857142857144</c:v>
                </c:pt>
                <c:pt idx="44">
                  <c:v>0.63571428571428568</c:v>
                </c:pt>
                <c:pt idx="45">
                  <c:v>0.64999999999999991</c:v>
                </c:pt>
                <c:pt idx="46">
                  <c:v>0.66428571428571426</c:v>
                </c:pt>
                <c:pt idx="47">
                  <c:v>0.6785714285714286</c:v>
                </c:pt>
                <c:pt idx="48">
                  <c:v>0.69285714285714284</c:v>
                </c:pt>
                <c:pt idx="49">
                  <c:v>0.70714285714285707</c:v>
                </c:pt>
                <c:pt idx="50">
                  <c:v>0.72142857142857142</c:v>
                </c:pt>
                <c:pt idx="51">
                  <c:v>0.73571428571428577</c:v>
                </c:pt>
                <c:pt idx="52">
                  <c:v>0.75</c:v>
                </c:pt>
                <c:pt idx="53">
                  <c:v>0.76428571428571423</c:v>
                </c:pt>
                <c:pt idx="54">
                  <c:v>0.77857142857142847</c:v>
                </c:pt>
                <c:pt idx="55">
                  <c:v>0.79285714285714282</c:v>
                </c:pt>
                <c:pt idx="56">
                  <c:v>0.80714285714285716</c:v>
                </c:pt>
                <c:pt idx="57">
                  <c:v>0.8214285714285714</c:v>
                </c:pt>
                <c:pt idx="58">
                  <c:v>0.83571428571428563</c:v>
                </c:pt>
                <c:pt idx="59">
                  <c:v>0.85</c:v>
                </c:pt>
                <c:pt idx="60">
                  <c:v>0.86428571428571432</c:v>
                </c:pt>
                <c:pt idx="61">
                  <c:v>0.87857142857142856</c:v>
                </c:pt>
                <c:pt idx="62">
                  <c:v>0.89285714285714279</c:v>
                </c:pt>
                <c:pt idx="63">
                  <c:v>0.90714285714285714</c:v>
                </c:pt>
                <c:pt idx="64">
                  <c:v>0.92142857142857137</c:v>
                </c:pt>
                <c:pt idx="65">
                  <c:v>0.93571428571428572</c:v>
                </c:pt>
                <c:pt idx="66">
                  <c:v>0.95</c:v>
                </c:pt>
                <c:pt idx="67">
                  <c:v>0.96428571428571419</c:v>
                </c:pt>
                <c:pt idx="68">
                  <c:v>0.97857142857142854</c:v>
                </c:pt>
                <c:pt idx="69">
                  <c:v>0.99285714285714288</c:v>
                </c:pt>
              </c:numCache>
            </c:numRef>
          </c:xVal>
          <c:yVal>
            <c:numRef>
              <c:f>'N70'!$AN$15:$AN$84</c:f>
              <c:numCache>
                <c:formatCode>General</c:formatCode>
                <c:ptCount val="70"/>
                <c:pt idx="0">
                  <c:v>-0.42959490076458701</c:v>
                </c:pt>
                <c:pt idx="1">
                  <c:v>-3.1207096009051277E-2</c:v>
                </c:pt>
                <c:pt idx="2">
                  <c:v>3.7368804125583882E-2</c:v>
                </c:pt>
                <c:pt idx="3">
                  <c:v>8.1562477996772381E-2</c:v>
                </c:pt>
                <c:pt idx="4">
                  <c:v>0.10638780066334633</c:v>
                </c:pt>
                <c:pt idx="5">
                  <c:v>0.1195806579236541</c:v>
                </c:pt>
                <c:pt idx="6">
                  <c:v>0.12464923079329487</c:v>
                </c:pt>
                <c:pt idx="7">
                  <c:v>0.12371724893103696</c:v>
                </c:pt>
                <c:pt idx="8">
                  <c:v>0.11820600850627062</c:v>
                </c:pt>
                <c:pt idx="9">
                  <c:v>0.10915240393507417</c:v>
                </c:pt>
                <c:pt idx="10">
                  <c:v>9.7364402815071777E-2</c:v>
                </c:pt>
                <c:pt idx="11">
                  <c:v>8.3498799011912705E-2</c:v>
                </c:pt>
                <c:pt idx="12">
                  <c:v>6.8128904373800286E-2</c:v>
                </c:pt>
                <c:pt idx="13">
                  <c:v>5.1059087374899947E-2</c:v>
                </c:pt>
                <c:pt idx="14">
                  <c:v>3.4379546186473098E-2</c:v>
                </c:pt>
                <c:pt idx="15">
                  <c:v>2.0904773427951134E-2</c:v>
                </c:pt>
                <c:pt idx="16">
                  <c:v>9.8656303160029879E-3</c:v>
                </c:pt>
                <c:pt idx="17">
                  <c:v>0</c:v>
                </c:pt>
                <c:pt idx="18">
                  <c:v>-9.0661836837093446E-3</c:v>
                </c:pt>
                <c:pt idx="19">
                  <c:v>-1.7546173870415932E-2</c:v>
                </c:pt>
                <c:pt idx="20">
                  <c:v>-2.5572608637115024E-2</c:v>
                </c:pt>
                <c:pt idx="21">
                  <c:v>-3.3233995820647094E-2</c:v>
                </c:pt>
                <c:pt idx="22">
                  <c:v>-4.0591984249737922E-2</c:v>
                </c:pt>
                <c:pt idx="23">
                  <c:v>-4.7690717154262735E-2</c:v>
                </c:pt>
                <c:pt idx="24">
                  <c:v>-5.4562349758879219E-2</c:v>
                </c:pt>
                <c:pt idx="25">
                  <c:v>-6.1230506874668883E-2</c:v>
                </c:pt>
                <c:pt idx="26">
                  <c:v>-6.771255130952758E-2</c:v>
                </c:pt>
                <c:pt idx="27">
                  <c:v>-7.4021126175917523E-2</c:v>
                </c:pt>
                <c:pt idx="28">
                  <c:v>-8.0165233691678772E-2</c:v>
                </c:pt>
                <c:pt idx="29">
                  <c:v>-8.6151007098606402E-2</c:v>
                </c:pt>
                <c:pt idx="30">
                  <c:v>-9.1982273031843809E-2</c:v>
                </c:pt>
                <c:pt idx="31">
                  <c:v>-9.7660966908962935E-2</c:v>
                </c:pt>
                <c:pt idx="32">
                  <c:v>-0.10318744270798608</c:v>
                </c:pt>
                <c:pt idx="33">
                  <c:v>-0.10856070513262461</c:v>
                </c:pt>
                <c:pt idx="34">
                  <c:v>-0.11377858347591366</c:v>
                </c:pt>
                <c:pt idx="35">
                  <c:v>-0.1188378606954715</c:v>
                </c:pt>
                <c:pt idx="36">
                  <c:v>-0.12373436724398384</c:v>
                </c:pt>
                <c:pt idx="37">
                  <c:v>-0.12846304640996631</c:v>
                </c:pt>
                <c:pt idx="38">
                  <c:v>-0.13301799590974075</c:v>
                </c:pt>
                <c:pt idx="39">
                  <c:v>-0.13739248896852976</c:v>
                </c:pt>
                <c:pt idx="40">
                  <c:v>-0.14157897696035937</c:v>
                </c:pt>
                <c:pt idx="41">
                  <c:v>-0.14556907472013525</c:v>
                </c:pt>
                <c:pt idx="42">
                  <c:v>-0.14935352880584254</c:v>
                </c:pt>
                <c:pt idx="43">
                  <c:v>-0.15292216820139506</c:v>
                </c:pt>
                <c:pt idx="44">
                  <c:v>-0.1562638361460553</c:v>
                </c:pt>
                <c:pt idx="45">
                  <c:v>-0.15936630088857714</c:v>
                </c:pt>
                <c:pt idx="46">
                  <c:v>-0.16221614211787269</c:v>
                </c:pt>
                <c:pt idx="47">
                  <c:v>-0.16479860852206407</c:v>
                </c:pt>
                <c:pt idx="48">
                  <c:v>-0.16709744024572426</c:v>
                </c:pt>
                <c:pt idx="49">
                  <c:v>-0.16909464776833727</c:v>
                </c:pt>
                <c:pt idx="50">
                  <c:v>-0.1707702356465832</c:v>
                </c:pt>
                <c:pt idx="51">
                  <c:v>-0.17210185524141558</c:v>
                </c:pt>
                <c:pt idx="52">
                  <c:v>-0.17306436435449912</c:v>
                </c:pt>
                <c:pt idx="53">
                  <c:v>-0.17362926261686937</c:v>
                </c:pt>
                <c:pt idx="54">
                  <c:v>-0.17376395785112334</c:v>
                </c:pt>
                <c:pt idx="55">
                  <c:v>-0.1734307976781097</c:v>
                </c:pt>
                <c:pt idx="56">
                  <c:v>-0.17258576750766555</c:v>
                </c:pt>
                <c:pt idx="57">
                  <c:v>-0.17117670198901047</c:v>
                </c:pt>
                <c:pt idx="58">
                  <c:v>-0.16914076555887983</c:v>
                </c:pt>
                <c:pt idx="59">
                  <c:v>-0.16640079654259579</c:v>
                </c:pt>
                <c:pt idx="60">
                  <c:v>-0.16285981100362348</c:v>
                </c:pt>
                <c:pt idx="61">
                  <c:v>-0.1583923778783537</c:v>
                </c:pt>
                <c:pt idx="62">
                  <c:v>-0.15283034645657317</c:v>
                </c:pt>
                <c:pt idx="63">
                  <c:v>-0.14593760457465502</c:v>
                </c:pt>
                <c:pt idx="64">
                  <c:v>-0.1373610300209438</c:v>
                </c:pt>
                <c:pt idx="65">
                  <c:v>-0.12652829398253446</c:v>
                </c:pt>
                <c:pt idx="66">
                  <c:v>-0.1123010061771596</c:v>
                </c:pt>
                <c:pt idx="67">
                  <c:v>-9.323135350440083E-2</c:v>
                </c:pt>
                <c:pt idx="68">
                  <c:v>-4.17842593408769E-2</c:v>
                </c:pt>
                <c:pt idx="69">
                  <c:v>-2.8867282538068065E-4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0C-4340-9CE0-DE5CBFA81EA9}"/>
            </c:ext>
          </c:extLst>
        </c:ser>
        <c:ser>
          <c:idx val="1"/>
          <c:order val="1"/>
          <c:tx>
            <c:v>Cm0,25 TIMÓN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'N70'!$H$16:$H$85</c:f>
              <c:numCache>
                <c:formatCode>General</c:formatCode>
                <c:ptCount val="70"/>
                <c:pt idx="0">
                  <c:v>7.1428571428571426E-3</c:v>
                </c:pt>
                <c:pt idx="1">
                  <c:v>2.1428571428571429E-2</c:v>
                </c:pt>
                <c:pt idx="2">
                  <c:v>3.5714285714285712E-2</c:v>
                </c:pt>
                <c:pt idx="3">
                  <c:v>0.05</c:v>
                </c:pt>
                <c:pt idx="4">
                  <c:v>6.4285714285714279E-2</c:v>
                </c:pt>
                <c:pt idx="5">
                  <c:v>7.857142857142857E-2</c:v>
                </c:pt>
                <c:pt idx="6">
                  <c:v>9.285714285714286E-2</c:v>
                </c:pt>
                <c:pt idx="7">
                  <c:v>0.10714285714285714</c:v>
                </c:pt>
                <c:pt idx="8">
                  <c:v>0.12142857142857141</c:v>
                </c:pt>
                <c:pt idx="9">
                  <c:v>0.1357142857142857</c:v>
                </c:pt>
                <c:pt idx="10">
                  <c:v>0.15</c:v>
                </c:pt>
                <c:pt idx="11">
                  <c:v>0.16428571428571428</c:v>
                </c:pt>
                <c:pt idx="12">
                  <c:v>0.17857142857142858</c:v>
                </c:pt>
                <c:pt idx="13">
                  <c:v>0.19285714285714284</c:v>
                </c:pt>
                <c:pt idx="14">
                  <c:v>0.20714285714285713</c:v>
                </c:pt>
                <c:pt idx="15">
                  <c:v>0.22142857142857142</c:v>
                </c:pt>
                <c:pt idx="16">
                  <c:v>0.23571428571428571</c:v>
                </c:pt>
                <c:pt idx="17">
                  <c:v>0.25</c:v>
                </c:pt>
                <c:pt idx="18">
                  <c:v>0.26428571428571423</c:v>
                </c:pt>
                <c:pt idx="19">
                  <c:v>0.27857142857142858</c:v>
                </c:pt>
                <c:pt idx="20">
                  <c:v>0.29285714285714282</c:v>
                </c:pt>
                <c:pt idx="21">
                  <c:v>0.30714285714285716</c:v>
                </c:pt>
                <c:pt idx="22">
                  <c:v>0.3214285714285714</c:v>
                </c:pt>
                <c:pt idx="23">
                  <c:v>0.33571428571428574</c:v>
                </c:pt>
                <c:pt idx="24">
                  <c:v>0.35</c:v>
                </c:pt>
                <c:pt idx="25">
                  <c:v>0.36428571428571432</c:v>
                </c:pt>
                <c:pt idx="26">
                  <c:v>0.37857142857142856</c:v>
                </c:pt>
                <c:pt idx="27">
                  <c:v>0.39285714285714279</c:v>
                </c:pt>
                <c:pt idx="28">
                  <c:v>0.40714285714285714</c:v>
                </c:pt>
                <c:pt idx="29">
                  <c:v>0.42142857142857137</c:v>
                </c:pt>
                <c:pt idx="30">
                  <c:v>0.43571428571428572</c:v>
                </c:pt>
                <c:pt idx="31">
                  <c:v>0.44999999999999996</c:v>
                </c:pt>
                <c:pt idx="32">
                  <c:v>0.4642857142857143</c:v>
                </c:pt>
                <c:pt idx="33">
                  <c:v>0.47857142857142854</c:v>
                </c:pt>
                <c:pt idx="34">
                  <c:v>0.49285714285714288</c:v>
                </c:pt>
                <c:pt idx="35">
                  <c:v>0.50714285714285712</c:v>
                </c:pt>
                <c:pt idx="36">
                  <c:v>0.52142857142857135</c:v>
                </c:pt>
                <c:pt idx="37">
                  <c:v>0.5357142857142857</c:v>
                </c:pt>
                <c:pt idx="38">
                  <c:v>0.55000000000000004</c:v>
                </c:pt>
                <c:pt idx="39">
                  <c:v>0.56428571428571428</c:v>
                </c:pt>
                <c:pt idx="40">
                  <c:v>0.57857142857142851</c:v>
                </c:pt>
                <c:pt idx="41">
                  <c:v>0.59285714285714286</c:v>
                </c:pt>
                <c:pt idx="42">
                  <c:v>0.6071428571428571</c:v>
                </c:pt>
                <c:pt idx="43">
                  <c:v>0.62142857142857144</c:v>
                </c:pt>
                <c:pt idx="44">
                  <c:v>0.63571428571428568</c:v>
                </c:pt>
                <c:pt idx="45">
                  <c:v>0.64999999999999991</c:v>
                </c:pt>
                <c:pt idx="46">
                  <c:v>0.66428571428571426</c:v>
                </c:pt>
                <c:pt idx="47">
                  <c:v>0.6785714285714286</c:v>
                </c:pt>
                <c:pt idx="48">
                  <c:v>0.69285714285714284</c:v>
                </c:pt>
                <c:pt idx="49">
                  <c:v>0.70714285714285707</c:v>
                </c:pt>
                <c:pt idx="50">
                  <c:v>0.72142857142857142</c:v>
                </c:pt>
                <c:pt idx="51">
                  <c:v>0.73571428571428577</c:v>
                </c:pt>
                <c:pt idx="52">
                  <c:v>0.75</c:v>
                </c:pt>
                <c:pt idx="53">
                  <c:v>0.76428571428571423</c:v>
                </c:pt>
                <c:pt idx="54">
                  <c:v>0.77857142857142847</c:v>
                </c:pt>
                <c:pt idx="55">
                  <c:v>0.79285714285714282</c:v>
                </c:pt>
                <c:pt idx="56">
                  <c:v>0.80714285714285716</c:v>
                </c:pt>
                <c:pt idx="57">
                  <c:v>0.8214285714285714</c:v>
                </c:pt>
                <c:pt idx="58">
                  <c:v>0.83571428571428563</c:v>
                </c:pt>
                <c:pt idx="59">
                  <c:v>0.85</c:v>
                </c:pt>
                <c:pt idx="60">
                  <c:v>0.86428571428571432</c:v>
                </c:pt>
                <c:pt idx="61">
                  <c:v>0.87857142857142856</c:v>
                </c:pt>
                <c:pt idx="62">
                  <c:v>0.89285714285714279</c:v>
                </c:pt>
                <c:pt idx="63">
                  <c:v>0.90714285714285714</c:v>
                </c:pt>
                <c:pt idx="64">
                  <c:v>0.92142857142857137</c:v>
                </c:pt>
                <c:pt idx="65">
                  <c:v>0.93571428571428572</c:v>
                </c:pt>
                <c:pt idx="66">
                  <c:v>0.95</c:v>
                </c:pt>
                <c:pt idx="67">
                  <c:v>0.96428571428571419</c:v>
                </c:pt>
                <c:pt idx="68">
                  <c:v>0.97857142857142854</c:v>
                </c:pt>
                <c:pt idx="69">
                  <c:v>0.99285714285714288</c:v>
                </c:pt>
              </c:numCache>
            </c:numRef>
          </c:xVal>
          <c:yVal>
            <c:numRef>
              <c:f>'N70'!$AQ$15:$AQ$84</c:f>
              <c:numCache>
                <c:formatCode>General</c:formatCode>
                <c:ptCount val="70"/>
                <c:pt idx="0">
                  <c:v>0.74400805436818152</c:v>
                </c:pt>
                <c:pt idx="1">
                  <c:v>0.38951605280768881</c:v>
                </c:pt>
                <c:pt idx="2">
                  <c:v>0.3662295911215715</c:v>
                </c:pt>
                <c:pt idx="3">
                  <c:v>0.34244819762648543</c:v>
                </c:pt>
                <c:pt idx="4">
                  <c:v>0.32222237487592659</c:v>
                </c:pt>
                <c:pt idx="5">
                  <c:v>0.30161103544550893</c:v>
                </c:pt>
                <c:pt idx="6">
                  <c:v>0.27972608545975575</c:v>
                </c:pt>
                <c:pt idx="7">
                  <c:v>0.25634814977929204</c:v>
                </c:pt>
                <c:pt idx="8">
                  <c:v>0.2315424778531269</c:v>
                </c:pt>
                <c:pt idx="9">
                  <c:v>0.20549600754865852</c:v>
                </c:pt>
                <c:pt idx="10">
                  <c:v>0.17845195311881501</c:v>
                </c:pt>
                <c:pt idx="11">
                  <c:v>0.15067409288574657</c:v>
                </c:pt>
                <c:pt idx="12">
                  <c:v>0.12245172889121542</c:v>
                </c:pt>
                <c:pt idx="13">
                  <c:v>9.3377393021543353E-2</c:v>
                </c:pt>
                <c:pt idx="14">
                  <c:v>6.5378907286666177E-2</c:v>
                </c:pt>
                <c:pt idx="15">
                  <c:v>4.1143255494405839E-2</c:v>
                </c:pt>
                <c:pt idx="16">
                  <c:v>1.9798945936583101E-2</c:v>
                </c:pt>
                <c:pt idx="17">
                  <c:v>0</c:v>
                </c:pt>
                <c:pt idx="18">
                  <c:v>-1.8697721119800781E-2</c:v>
                </c:pt>
                <c:pt idx="19">
                  <c:v>-3.6567157643320636E-2</c:v>
                </c:pt>
                <c:pt idx="20">
                  <c:v>-5.3792774661463039E-2</c:v>
                </c:pt>
                <c:pt idx="21">
                  <c:v>-7.05089684929609E-2</c:v>
                </c:pt>
                <c:pt idx="22">
                  <c:v>-8.6818839488528643E-2</c:v>
                </c:pt>
                <c:pt idx="23">
                  <c:v>-0.10280475422698898</c:v>
                </c:pt>
                <c:pt idx="24">
                  <c:v>-0.11853487000133656</c:v>
                </c:pt>
                <c:pt idx="25">
                  <c:v>-0.1340674650604598</c:v>
                </c:pt>
                <c:pt idx="26">
                  <c:v>-0.14945399851364566</c:v>
                </c:pt>
                <c:pt idx="27">
                  <c:v>-0.16474140761663436</c:v>
                </c:pt>
                <c:pt idx="28">
                  <c:v>-0.17997394594989968</c:v>
                </c:pt>
                <c:pt idx="29">
                  <c:v>-0.19519476043819484</c:v>
                </c:pt>
                <c:pt idx="30">
                  <c:v>-0.21044735050264479</c:v>
                </c:pt>
                <c:pt idx="31">
                  <c:v>-0.22577702752710965</c:v>
                </c:pt>
                <c:pt idx="32">
                  <c:v>-0.24123248800535374</c:v>
                </c:pt>
                <c:pt idx="33">
                  <c:v>-0.25686762656138096</c:v>
                </c:pt>
                <c:pt idx="34">
                  <c:v>-0.27274374770505083</c:v>
                </c:pt>
                <c:pt idx="35">
                  <c:v>-0.28893239521339609</c:v>
                </c:pt>
                <c:pt idx="36">
                  <c:v>-0.30551912091351408</c:v>
                </c:pt>
                <c:pt idx="37">
                  <c:v>-0.32260869014048393</c:v>
                </c:pt>
                <c:pt idx="38">
                  <c:v>-0.34033252688913851</c:v>
                </c:pt>
                <c:pt idx="39">
                  <c:v>-0.35885975346365795</c:v>
                </c:pt>
                <c:pt idx="40">
                  <c:v>-0.37841422210894388</c:v>
                </c:pt>
                <c:pt idx="41">
                  <c:v>-0.3993020210892122</c:v>
                </c:pt>
                <c:pt idx="42">
                  <c:v>-0.42195840995768286</c:v>
                </c:pt>
                <c:pt idx="43">
                  <c:v>-0.44703353776109978</c:v>
                </c:pt>
                <c:pt idx="44">
                  <c:v>-0.47556432694030204</c:v>
                </c:pt>
                <c:pt idx="45">
                  <c:v>-0.50934854460580403</c:v>
                </c:pt>
                <c:pt idx="46">
                  <c:v>-0.55217525719676919</c:v>
                </c:pt>
                <c:pt idx="47">
                  <c:v>-0.61006351599615793</c:v>
                </c:pt>
                <c:pt idx="48">
                  <c:v>-0.77140746031425755</c:v>
                </c:pt>
                <c:pt idx="49">
                  <c:v>-0.78874425477629639</c:v>
                </c:pt>
                <c:pt idx="50">
                  <c:v>-0.6476968797280731</c:v>
                </c:pt>
                <c:pt idx="51">
                  <c:v>-0.60716132040392989</c:v>
                </c:pt>
                <c:pt idx="52">
                  <c:v>-0.57854924364703098</c:v>
                </c:pt>
                <c:pt idx="53">
                  <c:v>-0.55688597317100275</c:v>
                </c:pt>
                <c:pt idx="54">
                  <c:v>-0.53867859100041615</c:v>
                </c:pt>
                <c:pt idx="55">
                  <c:v>-0.52229519370767397</c:v>
                </c:pt>
                <c:pt idx="56">
                  <c:v>-0.50676746736443323</c:v>
                </c:pt>
                <c:pt idx="57">
                  <c:v>-0.49144893363135939</c:v>
                </c:pt>
                <c:pt idx="58">
                  <c:v>-0.47585421404259509</c:v>
                </c:pt>
                <c:pt idx="59">
                  <c:v>-0.45957461733416249</c:v>
                </c:pt>
                <c:pt idx="60">
                  <c:v>-0.44222431503844783</c:v>
                </c:pt>
                <c:pt idx="61">
                  <c:v>-0.42339637828113746</c:v>
                </c:pt>
                <c:pt idx="62">
                  <c:v>-0.40261454505680955</c:v>
                </c:pt>
                <c:pt idx="63">
                  <c:v>-0.37926391530287018</c:v>
                </c:pt>
                <c:pt idx="64">
                  <c:v>-0.35246749040024022</c:v>
                </c:pt>
                <c:pt idx="65">
                  <c:v>-0.32083654109615733</c:v>
                </c:pt>
                <c:pt idx="66">
                  <c:v>-0.28162862565663682</c:v>
                </c:pt>
                <c:pt idx="67">
                  <c:v>-0.23138809828320245</c:v>
                </c:pt>
                <c:pt idx="68">
                  <c:v>-0.10308585285984061</c:v>
                </c:pt>
                <c:pt idx="69">
                  <c:v>-7.041789619206103E-4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0C-4340-9CE0-DE5CBFA81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16288"/>
        <c:axId val="1572292896"/>
      </c:scatterChart>
      <c:valAx>
        <c:axId val="15723162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292896"/>
        <c:crosses val="autoZero"/>
        <c:crossBetween val="midCat"/>
      </c:valAx>
      <c:valAx>
        <c:axId val="157229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Cp</a:t>
            </a:r>
            <a:r>
              <a:rPr lang="es-ES" baseline="0"/>
              <a:t>_sinAlerón vs x/c(PC)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CP_SINTIMÓN_EXT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'N70'!$H$16:$H$85</c:f>
              <c:numCache>
                <c:formatCode>General</c:formatCode>
                <c:ptCount val="70"/>
                <c:pt idx="0">
                  <c:v>7.1428571428571426E-3</c:v>
                </c:pt>
                <c:pt idx="1">
                  <c:v>2.1428571428571429E-2</c:v>
                </c:pt>
                <c:pt idx="2">
                  <c:v>3.5714285714285712E-2</c:v>
                </c:pt>
                <c:pt idx="3">
                  <c:v>0.05</c:v>
                </c:pt>
                <c:pt idx="4">
                  <c:v>6.4285714285714279E-2</c:v>
                </c:pt>
                <c:pt idx="5">
                  <c:v>7.857142857142857E-2</c:v>
                </c:pt>
                <c:pt idx="6">
                  <c:v>9.285714285714286E-2</c:v>
                </c:pt>
                <c:pt idx="7">
                  <c:v>0.10714285714285714</c:v>
                </c:pt>
                <c:pt idx="8">
                  <c:v>0.12142857142857141</c:v>
                </c:pt>
                <c:pt idx="9">
                  <c:v>0.1357142857142857</c:v>
                </c:pt>
                <c:pt idx="10">
                  <c:v>0.15</c:v>
                </c:pt>
                <c:pt idx="11">
                  <c:v>0.16428571428571428</c:v>
                </c:pt>
                <c:pt idx="12">
                  <c:v>0.17857142857142858</c:v>
                </c:pt>
                <c:pt idx="13">
                  <c:v>0.19285714285714284</c:v>
                </c:pt>
                <c:pt idx="14">
                  <c:v>0.20714285714285713</c:v>
                </c:pt>
                <c:pt idx="15">
                  <c:v>0.22142857142857142</c:v>
                </c:pt>
                <c:pt idx="16">
                  <c:v>0.23571428571428571</c:v>
                </c:pt>
                <c:pt idx="17">
                  <c:v>0.25</c:v>
                </c:pt>
                <c:pt idx="18">
                  <c:v>0.26428571428571423</c:v>
                </c:pt>
                <c:pt idx="19">
                  <c:v>0.27857142857142858</c:v>
                </c:pt>
                <c:pt idx="20">
                  <c:v>0.29285714285714282</c:v>
                </c:pt>
                <c:pt idx="21">
                  <c:v>0.30714285714285716</c:v>
                </c:pt>
                <c:pt idx="22">
                  <c:v>0.3214285714285714</c:v>
                </c:pt>
                <c:pt idx="23">
                  <c:v>0.33571428571428574</c:v>
                </c:pt>
                <c:pt idx="24">
                  <c:v>0.35</c:v>
                </c:pt>
                <c:pt idx="25">
                  <c:v>0.36428571428571432</c:v>
                </c:pt>
                <c:pt idx="26">
                  <c:v>0.37857142857142856</c:v>
                </c:pt>
                <c:pt idx="27">
                  <c:v>0.39285714285714279</c:v>
                </c:pt>
                <c:pt idx="28">
                  <c:v>0.40714285714285714</c:v>
                </c:pt>
                <c:pt idx="29">
                  <c:v>0.42142857142857137</c:v>
                </c:pt>
                <c:pt idx="30">
                  <c:v>0.43571428571428572</c:v>
                </c:pt>
                <c:pt idx="31">
                  <c:v>0.44999999999999996</c:v>
                </c:pt>
                <c:pt idx="32">
                  <c:v>0.4642857142857143</c:v>
                </c:pt>
                <c:pt idx="33">
                  <c:v>0.47857142857142854</c:v>
                </c:pt>
                <c:pt idx="34">
                  <c:v>0.49285714285714288</c:v>
                </c:pt>
                <c:pt idx="35">
                  <c:v>0.50714285714285712</c:v>
                </c:pt>
                <c:pt idx="36">
                  <c:v>0.52142857142857135</c:v>
                </c:pt>
                <c:pt idx="37">
                  <c:v>0.5357142857142857</c:v>
                </c:pt>
                <c:pt idx="38">
                  <c:v>0.55000000000000004</c:v>
                </c:pt>
                <c:pt idx="39">
                  <c:v>0.56428571428571428</c:v>
                </c:pt>
                <c:pt idx="40">
                  <c:v>0.57857142857142851</c:v>
                </c:pt>
                <c:pt idx="41">
                  <c:v>0.59285714285714286</c:v>
                </c:pt>
                <c:pt idx="42">
                  <c:v>0.6071428571428571</c:v>
                </c:pt>
                <c:pt idx="43">
                  <c:v>0.62142857142857144</c:v>
                </c:pt>
                <c:pt idx="44">
                  <c:v>0.63571428571428568</c:v>
                </c:pt>
                <c:pt idx="45">
                  <c:v>0.64999999999999991</c:v>
                </c:pt>
                <c:pt idx="46">
                  <c:v>0.66428571428571426</c:v>
                </c:pt>
                <c:pt idx="47">
                  <c:v>0.6785714285714286</c:v>
                </c:pt>
                <c:pt idx="48">
                  <c:v>0.69285714285714284</c:v>
                </c:pt>
                <c:pt idx="49">
                  <c:v>0.70714285714285707</c:v>
                </c:pt>
                <c:pt idx="50">
                  <c:v>0.72142857142857142</c:v>
                </c:pt>
                <c:pt idx="51">
                  <c:v>0.73571428571428577</c:v>
                </c:pt>
                <c:pt idx="52">
                  <c:v>0.75</c:v>
                </c:pt>
                <c:pt idx="53">
                  <c:v>0.76428571428571423</c:v>
                </c:pt>
                <c:pt idx="54">
                  <c:v>0.77857142857142847</c:v>
                </c:pt>
                <c:pt idx="55">
                  <c:v>0.79285714285714282</c:v>
                </c:pt>
                <c:pt idx="56">
                  <c:v>0.80714285714285716</c:v>
                </c:pt>
                <c:pt idx="57">
                  <c:v>0.8214285714285714</c:v>
                </c:pt>
                <c:pt idx="58">
                  <c:v>0.83571428571428563</c:v>
                </c:pt>
                <c:pt idx="59">
                  <c:v>0.85</c:v>
                </c:pt>
                <c:pt idx="60">
                  <c:v>0.86428571428571432</c:v>
                </c:pt>
                <c:pt idx="61">
                  <c:v>0.87857142857142856</c:v>
                </c:pt>
                <c:pt idx="62">
                  <c:v>0.89285714285714279</c:v>
                </c:pt>
                <c:pt idx="63">
                  <c:v>0.90714285714285714</c:v>
                </c:pt>
                <c:pt idx="64">
                  <c:v>0.92142857142857137</c:v>
                </c:pt>
                <c:pt idx="65">
                  <c:v>0.93571428571428572</c:v>
                </c:pt>
                <c:pt idx="66">
                  <c:v>0.95</c:v>
                </c:pt>
                <c:pt idx="67">
                  <c:v>0.96428571428571419</c:v>
                </c:pt>
                <c:pt idx="68">
                  <c:v>0.97857142857142854</c:v>
                </c:pt>
                <c:pt idx="69">
                  <c:v>0.99285714285714288</c:v>
                </c:pt>
              </c:numCache>
            </c:numRef>
          </c:xVal>
          <c:yVal>
            <c:numRef>
              <c:f>'N70'!$AE$15:$AE$84</c:f>
              <c:numCache>
                <c:formatCode>General</c:formatCode>
                <c:ptCount val="70"/>
                <c:pt idx="0">
                  <c:v>0.88446008980944379</c:v>
                </c:pt>
                <c:pt idx="1">
                  <c:v>6.8265522519799671E-2</c:v>
                </c:pt>
                <c:pt idx="2">
                  <c:v>-8.7193876293029063E-2</c:v>
                </c:pt>
                <c:pt idx="3">
                  <c:v>-0.20390619499193097</c:v>
                </c:pt>
                <c:pt idx="4">
                  <c:v>-0.2864286940936247</c:v>
                </c:pt>
                <c:pt idx="5">
                  <c:v>-0.34877691894399115</c:v>
                </c:pt>
                <c:pt idx="6">
                  <c:v>-0.39661118888775643</c:v>
                </c:pt>
                <c:pt idx="7">
                  <c:v>-0.43301037125862935</c:v>
                </c:pt>
                <c:pt idx="8">
                  <c:v>-0.45969003307994127</c:v>
                </c:pt>
                <c:pt idx="9">
                  <c:v>-0.47754176721594943</c:v>
                </c:pt>
                <c:pt idx="10">
                  <c:v>-0.4868220140753588</c:v>
                </c:pt>
                <c:pt idx="11">
                  <c:v>-0.48707632756949076</c:v>
                </c:pt>
                <c:pt idx="12">
                  <c:v>-0.47690233061660203</c:v>
                </c:pt>
                <c:pt idx="13">
                  <c:v>-0.44676701453037437</c:v>
                </c:pt>
                <c:pt idx="14">
                  <c:v>-0.40109470550885273</c:v>
                </c:pt>
                <c:pt idx="15">
                  <c:v>-0.36583353498914484</c:v>
                </c:pt>
                <c:pt idx="16">
                  <c:v>-0.34529706106010438</c:v>
                </c:pt>
                <c:pt idx="17">
                  <c:v>-0.32971921291081141</c:v>
                </c:pt>
                <c:pt idx="18">
                  <c:v>-0.31731642892982775</c:v>
                </c:pt>
                <c:pt idx="19">
                  <c:v>-0.30705804273227882</c:v>
                </c:pt>
                <c:pt idx="20">
                  <c:v>-0.29834710076634219</c:v>
                </c:pt>
                <c:pt idx="21">
                  <c:v>-0.29079746343066204</c:v>
                </c:pt>
                <c:pt idx="22">
                  <c:v>-0.28414388974816557</c:v>
                </c:pt>
                <c:pt idx="23">
                  <c:v>-0.27819585006653252</c:v>
                </c:pt>
                <c:pt idx="24">
                  <c:v>-0.27281174879439613</c:v>
                </c:pt>
                <c:pt idx="25">
                  <c:v>-0.26788346757667625</c:v>
                </c:pt>
                <c:pt idx="26">
                  <c:v>-0.26332658842594059</c:v>
                </c:pt>
                <c:pt idx="27">
                  <c:v>-0.2590739416157114</c:v>
                </c:pt>
                <c:pt idx="28">
                  <c:v>-0.25507119810988704</c:v>
                </c:pt>
                <c:pt idx="29">
                  <c:v>-0.25127377070426876</c:v>
                </c:pt>
                <c:pt idx="30">
                  <c:v>-0.2476445812395795</c:v>
                </c:pt>
                <c:pt idx="31">
                  <c:v>-0.24415241727240736</c:v>
                </c:pt>
                <c:pt idx="32">
                  <c:v>-0.24077069965196751</c:v>
                </c:pt>
                <c:pt idx="33">
                  <c:v>-0.2374765424776164</c:v>
                </c:pt>
                <c:pt idx="34">
                  <c:v>-0.23425002480335161</c:v>
                </c:pt>
                <c:pt idx="35">
                  <c:v>-0.23107361801897242</c:v>
                </c:pt>
                <c:pt idx="36">
                  <c:v>-0.2279317291336545</c:v>
                </c:pt>
                <c:pt idx="37">
                  <c:v>-0.22481033121744104</c:v>
                </c:pt>
                <c:pt idx="38">
                  <c:v>-0.22169665984956788</c:v>
                </c:pt>
                <c:pt idx="39">
                  <c:v>-0.218578959722661</c:v>
                </c:pt>
                <c:pt idx="40">
                  <c:v>-0.21544626928750343</c:v>
                </c:pt>
                <c:pt idx="41">
                  <c:v>-0.21228823396686392</c:v>
                </c:pt>
                <c:pt idx="42">
                  <c:v>-0.2090949403281796</c:v>
                </c:pt>
                <c:pt idx="43">
                  <c:v>-0.20585676488649335</c:v>
                </c:pt>
                <c:pt idx="44">
                  <c:v>-0.20256423204118285</c:v>
                </c:pt>
                <c:pt idx="45">
                  <c:v>-0.19920787611072149</c:v>
                </c:pt>
                <c:pt idx="46">
                  <c:v>-0.19577810255605327</c:v>
                </c:pt>
                <c:pt idx="47">
                  <c:v>-0.19226504327574137</c:v>
                </c:pt>
                <c:pt idx="48">
                  <c:v>-0.18865840027743061</c:v>
                </c:pt>
                <c:pt idx="49">
                  <c:v>-0.1849472709966189</c:v>
                </c:pt>
                <c:pt idx="50">
                  <c:v>-0.18111994689789129</c:v>
                </c:pt>
                <c:pt idx="51">
                  <c:v>-0.1771636745132219</c:v>
                </c:pt>
                <c:pt idx="52">
                  <c:v>-0.17306436435449912</c:v>
                </c:pt>
                <c:pt idx="53">
                  <c:v>-0.16880622754417857</c:v>
                </c:pt>
                <c:pt idx="54">
                  <c:v>-0.16437131148079237</c:v>
                </c:pt>
                <c:pt idx="55">
                  <c:v>-0.15973889259825894</c:v>
                </c:pt>
                <c:pt idx="56">
                  <c:v>-0.154884663147905</c:v>
                </c:pt>
                <c:pt idx="57">
                  <c:v>-0.14977961424038416</c:v>
                </c:pt>
                <c:pt idx="58">
                  <c:v>-0.14438845840392184</c:v>
                </c:pt>
                <c:pt idx="59">
                  <c:v>-0.13866733045216317</c:v>
                </c:pt>
                <c:pt idx="60">
                  <c:v>-0.13256031128201912</c:v>
                </c:pt>
                <c:pt idx="61">
                  <c:v>-0.12599393694869046</c:v>
                </c:pt>
                <c:pt idx="62">
                  <c:v>-0.11886804724400138</c:v>
                </c:pt>
                <c:pt idx="63">
                  <c:v>-0.11103948174158534</c:v>
                </c:pt>
                <c:pt idx="64">
                  <c:v>-0.10229012873900072</c:v>
                </c:pt>
                <c:pt idx="65">
                  <c:v>-9.2260214362264711E-2</c:v>
                </c:pt>
                <c:pt idx="66">
                  <c:v>-8.021500441225686E-2</c:v>
                </c:pt>
                <c:pt idx="67">
                  <c:v>-6.5261947453080588E-2</c:v>
                </c:pt>
                <c:pt idx="68">
                  <c:v>-2.8675472096680227E-2</c:v>
                </c:pt>
                <c:pt idx="69">
                  <c:v>-1.9429901708315042E-4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38-435B-985D-0BDB1062B3B1}"/>
            </c:ext>
          </c:extLst>
        </c:ser>
        <c:ser>
          <c:idx val="1"/>
          <c:order val="1"/>
          <c:tx>
            <c:v>CP_SINTIMÓN_INT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'N70'!$H$16:$H$85</c:f>
              <c:numCache>
                <c:formatCode>General</c:formatCode>
                <c:ptCount val="70"/>
                <c:pt idx="0">
                  <c:v>7.1428571428571426E-3</c:v>
                </c:pt>
                <c:pt idx="1">
                  <c:v>2.1428571428571429E-2</c:v>
                </c:pt>
                <c:pt idx="2">
                  <c:v>3.5714285714285712E-2</c:v>
                </c:pt>
                <c:pt idx="3">
                  <c:v>0.05</c:v>
                </c:pt>
                <c:pt idx="4">
                  <c:v>6.4285714285714279E-2</c:v>
                </c:pt>
                <c:pt idx="5">
                  <c:v>7.857142857142857E-2</c:v>
                </c:pt>
                <c:pt idx="6">
                  <c:v>9.285714285714286E-2</c:v>
                </c:pt>
                <c:pt idx="7">
                  <c:v>0.10714285714285714</c:v>
                </c:pt>
                <c:pt idx="8">
                  <c:v>0.12142857142857141</c:v>
                </c:pt>
                <c:pt idx="9">
                  <c:v>0.1357142857142857</c:v>
                </c:pt>
                <c:pt idx="10">
                  <c:v>0.15</c:v>
                </c:pt>
                <c:pt idx="11">
                  <c:v>0.16428571428571428</c:v>
                </c:pt>
                <c:pt idx="12">
                  <c:v>0.17857142857142858</c:v>
                </c:pt>
                <c:pt idx="13">
                  <c:v>0.19285714285714284</c:v>
                </c:pt>
                <c:pt idx="14">
                  <c:v>0.20714285714285713</c:v>
                </c:pt>
                <c:pt idx="15">
                  <c:v>0.22142857142857142</c:v>
                </c:pt>
                <c:pt idx="16">
                  <c:v>0.23571428571428571</c:v>
                </c:pt>
                <c:pt idx="17">
                  <c:v>0.25</c:v>
                </c:pt>
                <c:pt idx="18">
                  <c:v>0.26428571428571423</c:v>
                </c:pt>
                <c:pt idx="19">
                  <c:v>0.27857142857142858</c:v>
                </c:pt>
                <c:pt idx="20">
                  <c:v>0.29285714285714282</c:v>
                </c:pt>
                <c:pt idx="21">
                  <c:v>0.30714285714285716</c:v>
                </c:pt>
                <c:pt idx="22">
                  <c:v>0.3214285714285714</c:v>
                </c:pt>
                <c:pt idx="23">
                  <c:v>0.33571428571428574</c:v>
                </c:pt>
                <c:pt idx="24">
                  <c:v>0.35</c:v>
                </c:pt>
                <c:pt idx="25">
                  <c:v>0.36428571428571432</c:v>
                </c:pt>
                <c:pt idx="26">
                  <c:v>0.37857142857142856</c:v>
                </c:pt>
                <c:pt idx="27">
                  <c:v>0.39285714285714279</c:v>
                </c:pt>
                <c:pt idx="28">
                  <c:v>0.40714285714285714</c:v>
                </c:pt>
                <c:pt idx="29">
                  <c:v>0.42142857142857137</c:v>
                </c:pt>
                <c:pt idx="30">
                  <c:v>0.43571428571428572</c:v>
                </c:pt>
                <c:pt idx="31">
                  <c:v>0.44999999999999996</c:v>
                </c:pt>
                <c:pt idx="32">
                  <c:v>0.4642857142857143</c:v>
                </c:pt>
                <c:pt idx="33">
                  <c:v>0.47857142857142854</c:v>
                </c:pt>
                <c:pt idx="34">
                  <c:v>0.49285714285714288</c:v>
                </c:pt>
                <c:pt idx="35">
                  <c:v>0.50714285714285712</c:v>
                </c:pt>
                <c:pt idx="36">
                  <c:v>0.52142857142857135</c:v>
                </c:pt>
                <c:pt idx="37">
                  <c:v>0.5357142857142857</c:v>
                </c:pt>
                <c:pt idx="38">
                  <c:v>0.55000000000000004</c:v>
                </c:pt>
                <c:pt idx="39">
                  <c:v>0.56428571428571428</c:v>
                </c:pt>
                <c:pt idx="40">
                  <c:v>0.57857142857142851</c:v>
                </c:pt>
                <c:pt idx="41">
                  <c:v>0.59285714285714286</c:v>
                </c:pt>
                <c:pt idx="42">
                  <c:v>0.6071428571428571</c:v>
                </c:pt>
                <c:pt idx="43">
                  <c:v>0.62142857142857144</c:v>
                </c:pt>
                <c:pt idx="44">
                  <c:v>0.63571428571428568</c:v>
                </c:pt>
                <c:pt idx="45">
                  <c:v>0.64999999999999991</c:v>
                </c:pt>
                <c:pt idx="46">
                  <c:v>0.66428571428571426</c:v>
                </c:pt>
                <c:pt idx="47">
                  <c:v>0.6785714285714286</c:v>
                </c:pt>
                <c:pt idx="48">
                  <c:v>0.69285714285714284</c:v>
                </c:pt>
                <c:pt idx="49">
                  <c:v>0.70714285714285707</c:v>
                </c:pt>
                <c:pt idx="50">
                  <c:v>0.72142857142857142</c:v>
                </c:pt>
                <c:pt idx="51">
                  <c:v>0.73571428571428577</c:v>
                </c:pt>
                <c:pt idx="52">
                  <c:v>0.75</c:v>
                </c:pt>
                <c:pt idx="53">
                  <c:v>0.76428571428571423</c:v>
                </c:pt>
                <c:pt idx="54">
                  <c:v>0.77857142857142847</c:v>
                </c:pt>
                <c:pt idx="55">
                  <c:v>0.79285714285714282</c:v>
                </c:pt>
                <c:pt idx="56">
                  <c:v>0.80714285714285716</c:v>
                </c:pt>
                <c:pt idx="57">
                  <c:v>0.8214285714285714</c:v>
                </c:pt>
                <c:pt idx="58">
                  <c:v>0.83571428571428563</c:v>
                </c:pt>
                <c:pt idx="59">
                  <c:v>0.85</c:v>
                </c:pt>
                <c:pt idx="60">
                  <c:v>0.86428571428571432</c:v>
                </c:pt>
                <c:pt idx="61">
                  <c:v>0.87857142857142856</c:v>
                </c:pt>
                <c:pt idx="62">
                  <c:v>0.89285714285714279</c:v>
                </c:pt>
                <c:pt idx="63">
                  <c:v>0.90714285714285714</c:v>
                </c:pt>
                <c:pt idx="64">
                  <c:v>0.92142857142857137</c:v>
                </c:pt>
                <c:pt idx="65">
                  <c:v>0.93571428571428572</c:v>
                </c:pt>
                <c:pt idx="66">
                  <c:v>0.95</c:v>
                </c:pt>
                <c:pt idx="67">
                  <c:v>0.96428571428571419</c:v>
                </c:pt>
                <c:pt idx="68">
                  <c:v>0.97857142857142854</c:v>
                </c:pt>
                <c:pt idx="69">
                  <c:v>0.99285714285714288</c:v>
                </c:pt>
              </c:numCache>
            </c:numRef>
          </c:xVal>
          <c:yVal>
            <c:numRef>
              <c:f>'N70'!$AA$15:$AA$84</c:f>
              <c:numCache>
                <c:formatCode>General</c:formatCode>
                <c:ptCount val="70"/>
                <c:pt idx="0">
                  <c:v>-0.88446008980944379</c:v>
                </c:pt>
                <c:pt idx="1">
                  <c:v>-6.8265522519799671E-2</c:v>
                </c:pt>
                <c:pt idx="2">
                  <c:v>8.7193876293029063E-2</c:v>
                </c:pt>
                <c:pt idx="3">
                  <c:v>0.20390619499193097</c:v>
                </c:pt>
                <c:pt idx="4">
                  <c:v>0.2864286940936247</c:v>
                </c:pt>
                <c:pt idx="5">
                  <c:v>0.34877691894399115</c:v>
                </c:pt>
                <c:pt idx="6">
                  <c:v>0.39661118888775643</c:v>
                </c:pt>
                <c:pt idx="7">
                  <c:v>0.43301037125862935</c:v>
                </c:pt>
                <c:pt idx="8">
                  <c:v>0.45969003307994127</c:v>
                </c:pt>
                <c:pt idx="9">
                  <c:v>0.47754176721594943</c:v>
                </c:pt>
                <c:pt idx="10">
                  <c:v>0.4868220140753588</c:v>
                </c:pt>
                <c:pt idx="11">
                  <c:v>0.48707632756949076</c:v>
                </c:pt>
                <c:pt idx="12">
                  <c:v>0.47690233061660203</c:v>
                </c:pt>
                <c:pt idx="13">
                  <c:v>0.44676701453037437</c:v>
                </c:pt>
                <c:pt idx="14">
                  <c:v>0.40109470550885273</c:v>
                </c:pt>
                <c:pt idx="15">
                  <c:v>0.36583353498914484</c:v>
                </c:pt>
                <c:pt idx="16">
                  <c:v>0.34529706106010438</c:v>
                </c:pt>
                <c:pt idx="17">
                  <c:v>0.32971921291081141</c:v>
                </c:pt>
                <c:pt idx="18">
                  <c:v>0.31731642892982775</c:v>
                </c:pt>
                <c:pt idx="19">
                  <c:v>0.30705804273227882</c:v>
                </c:pt>
                <c:pt idx="20">
                  <c:v>0.29834710076634219</c:v>
                </c:pt>
                <c:pt idx="21">
                  <c:v>0.29079746343066204</c:v>
                </c:pt>
                <c:pt idx="22">
                  <c:v>0.28414388974816557</c:v>
                </c:pt>
                <c:pt idx="23">
                  <c:v>0.27819585006653252</c:v>
                </c:pt>
                <c:pt idx="24">
                  <c:v>0.27281174879439613</c:v>
                </c:pt>
                <c:pt idx="25">
                  <c:v>0.26788346757667625</c:v>
                </c:pt>
                <c:pt idx="26">
                  <c:v>0.26332658842594059</c:v>
                </c:pt>
                <c:pt idx="27">
                  <c:v>0.2590739416157114</c:v>
                </c:pt>
                <c:pt idx="28">
                  <c:v>0.25507119810988704</c:v>
                </c:pt>
                <c:pt idx="29">
                  <c:v>0.25127377070426876</c:v>
                </c:pt>
                <c:pt idx="30">
                  <c:v>0.2476445812395795</c:v>
                </c:pt>
                <c:pt idx="31">
                  <c:v>0.24415241727240736</c:v>
                </c:pt>
                <c:pt idx="32">
                  <c:v>0.24077069965196751</c:v>
                </c:pt>
                <c:pt idx="33">
                  <c:v>0.2374765424776164</c:v>
                </c:pt>
                <c:pt idx="34">
                  <c:v>0.23425002480335161</c:v>
                </c:pt>
                <c:pt idx="35">
                  <c:v>0.23107361801897242</c:v>
                </c:pt>
                <c:pt idx="36">
                  <c:v>0.2279317291336545</c:v>
                </c:pt>
                <c:pt idx="37">
                  <c:v>0.22481033121744104</c:v>
                </c:pt>
                <c:pt idx="38">
                  <c:v>0.22169665984956788</c:v>
                </c:pt>
                <c:pt idx="39">
                  <c:v>0.218578959722661</c:v>
                </c:pt>
                <c:pt idx="40">
                  <c:v>0.21544626928750343</c:v>
                </c:pt>
                <c:pt idx="41">
                  <c:v>0.21228823396686392</c:v>
                </c:pt>
                <c:pt idx="42">
                  <c:v>0.2090949403281796</c:v>
                </c:pt>
                <c:pt idx="43">
                  <c:v>0.20585676488649335</c:v>
                </c:pt>
                <c:pt idx="44">
                  <c:v>0.20256423204118285</c:v>
                </c:pt>
                <c:pt idx="45">
                  <c:v>0.19920787611072149</c:v>
                </c:pt>
                <c:pt idx="46">
                  <c:v>0.19577810255605327</c:v>
                </c:pt>
                <c:pt idx="47">
                  <c:v>0.19226504327574137</c:v>
                </c:pt>
                <c:pt idx="48">
                  <c:v>0.18865840027743061</c:v>
                </c:pt>
                <c:pt idx="49">
                  <c:v>0.1849472709966189</c:v>
                </c:pt>
                <c:pt idx="50">
                  <c:v>0.18111994689789129</c:v>
                </c:pt>
                <c:pt idx="51">
                  <c:v>0.1771636745132219</c:v>
                </c:pt>
                <c:pt idx="52">
                  <c:v>0.17306436435449912</c:v>
                </c:pt>
                <c:pt idx="53">
                  <c:v>0.16880622754417857</c:v>
                </c:pt>
                <c:pt idx="54">
                  <c:v>0.16437131148079237</c:v>
                </c:pt>
                <c:pt idx="55">
                  <c:v>0.15973889259825894</c:v>
                </c:pt>
                <c:pt idx="56">
                  <c:v>0.154884663147905</c:v>
                </c:pt>
                <c:pt idx="57">
                  <c:v>0.14977961424038416</c:v>
                </c:pt>
                <c:pt idx="58">
                  <c:v>0.14438845840392184</c:v>
                </c:pt>
                <c:pt idx="59">
                  <c:v>0.13866733045216317</c:v>
                </c:pt>
                <c:pt idx="60">
                  <c:v>0.13256031128201912</c:v>
                </c:pt>
                <c:pt idx="61">
                  <c:v>0.12599393694869046</c:v>
                </c:pt>
                <c:pt idx="62">
                  <c:v>0.11886804724400138</c:v>
                </c:pt>
                <c:pt idx="63">
                  <c:v>0.11103948174158534</c:v>
                </c:pt>
                <c:pt idx="64">
                  <c:v>0.10229012873900072</c:v>
                </c:pt>
                <c:pt idx="65">
                  <c:v>9.2260214362264711E-2</c:v>
                </c:pt>
                <c:pt idx="66">
                  <c:v>8.021500441225686E-2</c:v>
                </c:pt>
                <c:pt idx="67">
                  <c:v>6.5261947453080588E-2</c:v>
                </c:pt>
                <c:pt idx="68">
                  <c:v>2.8675472096680227E-2</c:v>
                </c:pt>
                <c:pt idx="69">
                  <c:v>1.9429901708315042E-4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38-435B-985D-0BDB1062B3B1}"/>
            </c:ext>
          </c:extLst>
        </c:ser>
        <c:ser>
          <c:idx val="0"/>
          <c:order val="2"/>
          <c:tx>
            <c:v>CP_CONTIMÓN_EXT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'N70'!$I$16:$I$85</c:f>
              <c:numCache>
                <c:formatCode>General</c:formatCode>
                <c:ptCount val="70"/>
                <c:pt idx="0">
                  <c:v>7.1428571428571426E-3</c:v>
                </c:pt>
                <c:pt idx="1">
                  <c:v>2.1428571428571429E-2</c:v>
                </c:pt>
                <c:pt idx="2">
                  <c:v>3.5714285714285712E-2</c:v>
                </c:pt>
                <c:pt idx="3">
                  <c:v>0.05</c:v>
                </c:pt>
                <c:pt idx="4">
                  <c:v>6.4285714285714279E-2</c:v>
                </c:pt>
                <c:pt idx="5">
                  <c:v>7.857142857142857E-2</c:v>
                </c:pt>
                <c:pt idx="6">
                  <c:v>9.285714285714286E-2</c:v>
                </c:pt>
                <c:pt idx="7">
                  <c:v>0.10714285714285714</c:v>
                </c:pt>
                <c:pt idx="8">
                  <c:v>0.12142857142857141</c:v>
                </c:pt>
                <c:pt idx="9">
                  <c:v>0.1357142857142857</c:v>
                </c:pt>
                <c:pt idx="10">
                  <c:v>0.15</c:v>
                </c:pt>
                <c:pt idx="11">
                  <c:v>0.16428571428571428</c:v>
                </c:pt>
                <c:pt idx="12">
                  <c:v>0.17857142857142858</c:v>
                </c:pt>
                <c:pt idx="13">
                  <c:v>0.19285714285714284</c:v>
                </c:pt>
                <c:pt idx="14">
                  <c:v>0.20714285714285713</c:v>
                </c:pt>
                <c:pt idx="15">
                  <c:v>0.22142857142857142</c:v>
                </c:pt>
                <c:pt idx="16">
                  <c:v>0.23571428571428571</c:v>
                </c:pt>
                <c:pt idx="17">
                  <c:v>0.25</c:v>
                </c:pt>
                <c:pt idx="18">
                  <c:v>0.26428571428571423</c:v>
                </c:pt>
                <c:pt idx="19">
                  <c:v>0.27857142857142858</c:v>
                </c:pt>
                <c:pt idx="20">
                  <c:v>0.29285714285714282</c:v>
                </c:pt>
                <c:pt idx="21">
                  <c:v>0.30714285714285716</c:v>
                </c:pt>
                <c:pt idx="22">
                  <c:v>0.3214285714285714</c:v>
                </c:pt>
                <c:pt idx="23">
                  <c:v>0.33571428571428574</c:v>
                </c:pt>
                <c:pt idx="24">
                  <c:v>0.35</c:v>
                </c:pt>
                <c:pt idx="25">
                  <c:v>0.36428571428571432</c:v>
                </c:pt>
                <c:pt idx="26">
                  <c:v>0.37857142857142856</c:v>
                </c:pt>
                <c:pt idx="27">
                  <c:v>0.39285714285714279</c:v>
                </c:pt>
                <c:pt idx="28">
                  <c:v>0.40714285714285714</c:v>
                </c:pt>
                <c:pt idx="29">
                  <c:v>0.42142857142857137</c:v>
                </c:pt>
                <c:pt idx="30">
                  <c:v>0.43571428571428572</c:v>
                </c:pt>
                <c:pt idx="31">
                  <c:v>0.44999999999999996</c:v>
                </c:pt>
                <c:pt idx="32">
                  <c:v>0.4642857142857143</c:v>
                </c:pt>
                <c:pt idx="33">
                  <c:v>0.47857142857142854</c:v>
                </c:pt>
                <c:pt idx="34">
                  <c:v>0.49285714285714288</c:v>
                </c:pt>
                <c:pt idx="35">
                  <c:v>0.50714285714285712</c:v>
                </c:pt>
                <c:pt idx="36">
                  <c:v>0.52142857142857135</c:v>
                </c:pt>
                <c:pt idx="37">
                  <c:v>0.5357142857142857</c:v>
                </c:pt>
                <c:pt idx="38">
                  <c:v>0.55000000000000004</c:v>
                </c:pt>
                <c:pt idx="39">
                  <c:v>0.56428571428571428</c:v>
                </c:pt>
                <c:pt idx="40">
                  <c:v>0.57857142857142851</c:v>
                </c:pt>
                <c:pt idx="41">
                  <c:v>0.59285714285714286</c:v>
                </c:pt>
                <c:pt idx="42">
                  <c:v>0.6071428571428571</c:v>
                </c:pt>
                <c:pt idx="43">
                  <c:v>0.62142857142857144</c:v>
                </c:pt>
                <c:pt idx="44">
                  <c:v>0.63571428571428568</c:v>
                </c:pt>
                <c:pt idx="45">
                  <c:v>0.64999999999999991</c:v>
                </c:pt>
                <c:pt idx="46">
                  <c:v>0.66428571428571426</c:v>
                </c:pt>
                <c:pt idx="47">
                  <c:v>0.6785714285714286</c:v>
                </c:pt>
                <c:pt idx="48">
                  <c:v>0.69285714285714284</c:v>
                </c:pt>
                <c:pt idx="49">
                  <c:v>0.70714285714285707</c:v>
                </c:pt>
                <c:pt idx="50">
                  <c:v>0.72142857142857142</c:v>
                </c:pt>
                <c:pt idx="51">
                  <c:v>0.73571428571428577</c:v>
                </c:pt>
                <c:pt idx="52">
                  <c:v>0.75</c:v>
                </c:pt>
                <c:pt idx="53">
                  <c:v>0.76428571428571423</c:v>
                </c:pt>
                <c:pt idx="54">
                  <c:v>0.77857142857142847</c:v>
                </c:pt>
                <c:pt idx="55">
                  <c:v>0.79285714285714282</c:v>
                </c:pt>
                <c:pt idx="56">
                  <c:v>0.80714285714285716</c:v>
                </c:pt>
                <c:pt idx="57">
                  <c:v>0.8214285714285714</c:v>
                </c:pt>
                <c:pt idx="58">
                  <c:v>0.83571428571428563</c:v>
                </c:pt>
                <c:pt idx="59">
                  <c:v>0.85</c:v>
                </c:pt>
                <c:pt idx="60">
                  <c:v>0.86428571428571432</c:v>
                </c:pt>
                <c:pt idx="61">
                  <c:v>0.87857142857142856</c:v>
                </c:pt>
                <c:pt idx="62">
                  <c:v>0.89285714285714279</c:v>
                </c:pt>
                <c:pt idx="63">
                  <c:v>0.90714285714285714</c:v>
                </c:pt>
                <c:pt idx="64">
                  <c:v>0.92142857142857137</c:v>
                </c:pt>
                <c:pt idx="65">
                  <c:v>0.93571428571428572</c:v>
                </c:pt>
                <c:pt idx="66">
                  <c:v>0.95</c:v>
                </c:pt>
                <c:pt idx="67">
                  <c:v>0.96428571428571419</c:v>
                </c:pt>
                <c:pt idx="68">
                  <c:v>0.97857142857142854</c:v>
                </c:pt>
                <c:pt idx="69">
                  <c:v>0.99285714285714288</c:v>
                </c:pt>
              </c:numCache>
            </c:numRef>
          </c:xVal>
          <c:yVal>
            <c:numRef>
              <c:f>'N70'!$AG$15:$AG$84</c:f>
              <c:numCache>
                <c:formatCode>General</c:formatCode>
                <c:ptCount val="70"/>
                <c:pt idx="0">
                  <c:v>-1.5317812884050797</c:v>
                </c:pt>
                <c:pt idx="1">
                  <c:v>-0.85206636551681925</c:v>
                </c:pt>
                <c:pt idx="2">
                  <c:v>-0.85453571261700012</c:v>
                </c:pt>
                <c:pt idx="3">
                  <c:v>-0.8561204940662136</c:v>
                </c:pt>
                <c:pt idx="4">
                  <c:v>-0.86752177851210999</c:v>
                </c:pt>
                <c:pt idx="5">
                  <c:v>-0.87969885338273435</c:v>
                </c:pt>
                <c:pt idx="6">
                  <c:v>-0.89003754464467733</c:v>
                </c:pt>
                <c:pt idx="7">
                  <c:v>-0.89721852422752213</c:v>
                </c:pt>
                <c:pt idx="8">
                  <c:v>-0.90044296942882673</c:v>
                </c:pt>
                <c:pt idx="9">
                  <c:v>-0.89904503302538097</c:v>
                </c:pt>
                <c:pt idx="10">
                  <c:v>-0.89225976559407505</c:v>
                </c:pt>
                <c:pt idx="11">
                  <c:v>-0.87893220850018827</c:v>
                </c:pt>
                <c:pt idx="12">
                  <c:v>-0.85716210223850808</c:v>
                </c:pt>
                <c:pt idx="13">
                  <c:v>-0.81705218893850406</c:v>
                </c:pt>
                <c:pt idx="14">
                  <c:v>-0.76275391834443851</c:v>
                </c:pt>
                <c:pt idx="15">
                  <c:v>-0.72000697115210199</c:v>
                </c:pt>
                <c:pt idx="16">
                  <c:v>-0.69296310778040771</c:v>
                </c:pt>
                <c:pt idx="17">
                  <c:v>-0.67172905128602889</c:v>
                </c:pt>
                <c:pt idx="18">
                  <c:v>-0.65442023919302994</c:v>
                </c:pt>
                <c:pt idx="19">
                  <c:v>-0.63992525875811102</c:v>
                </c:pt>
                <c:pt idx="20">
                  <c:v>-0.6275823710504026</c:v>
                </c:pt>
                <c:pt idx="21">
                  <c:v>-0.61695347431340752</c:v>
                </c:pt>
                <c:pt idx="22">
                  <c:v>-0.60773187641970072</c:v>
                </c:pt>
                <c:pt idx="23">
                  <c:v>-0.59969439965743565</c:v>
                </c:pt>
                <c:pt idx="24">
                  <c:v>-0.592674350006683</c:v>
                </c:pt>
                <c:pt idx="25">
                  <c:v>-0.58654515963951137</c:v>
                </c:pt>
                <c:pt idx="26">
                  <c:v>-0.58120999421973318</c:v>
                </c:pt>
                <c:pt idx="27">
                  <c:v>-0.57659492665822043</c:v>
                </c:pt>
                <c:pt idx="28">
                  <c:v>-0.57264437347695352</c:v>
                </c:pt>
                <c:pt idx="29">
                  <c:v>-0.56931805127806845</c:v>
                </c:pt>
                <c:pt idx="30">
                  <c:v>-0.56658902058404359</c:v>
                </c:pt>
                <c:pt idx="31">
                  <c:v>-0.56444256881777422</c:v>
                </c:pt>
                <c:pt idx="32">
                  <c:v>-0.56287580534582526</c:v>
                </c:pt>
                <c:pt idx="33">
                  <c:v>-0.56189793310302094</c:v>
                </c:pt>
                <c:pt idx="34">
                  <c:v>-0.56153124527510467</c:v>
                </c:pt>
                <c:pt idx="35">
                  <c:v>-0.56181299069271473</c:v>
                </c:pt>
                <c:pt idx="36">
                  <c:v>-0.56279838063015775</c:v>
                </c:pt>
                <c:pt idx="37">
                  <c:v>-0.56456520774584684</c:v>
                </c:pt>
                <c:pt idx="38">
                  <c:v>-0.56722087814856414</c:v>
                </c:pt>
                <c:pt idx="39">
                  <c:v>-0.57091324414672862</c:v>
                </c:pt>
                <c:pt idx="40">
                  <c:v>-0.57584772929621908</c:v>
                </c:pt>
                <c:pt idx="41">
                  <c:v>-0.58231544742176777</c:v>
                </c:pt>
                <c:pt idx="42">
                  <c:v>-0.59074177394075611</c:v>
                </c:pt>
                <c:pt idx="43">
                  <c:v>-0.60177591621686499</c:v>
                </c:pt>
                <c:pt idx="44">
                  <c:v>-0.6164722756633545</c:v>
                </c:pt>
                <c:pt idx="45">
                  <c:v>-0.63668568075725518</c:v>
                </c:pt>
                <c:pt idx="46">
                  <c:v>-0.66641841385816969</c:v>
                </c:pt>
                <c:pt idx="47">
                  <c:v>-0.71174076866218416</c:v>
                </c:pt>
                <c:pt idx="48">
                  <c:v>-0.87094390680641975</c:v>
                </c:pt>
                <c:pt idx="49">
                  <c:v>-0.86268902866157415</c:v>
                </c:pt>
                <c:pt idx="50">
                  <c:v>-0.68695123607522901</c:v>
                </c:pt>
                <c:pt idx="51">
                  <c:v>-0.62501900629816298</c:v>
                </c:pt>
                <c:pt idx="52">
                  <c:v>-0.57854924364703109</c:v>
                </c:pt>
                <c:pt idx="53">
                  <c:v>-0.54141691836069716</c:v>
                </c:pt>
                <c:pt idx="54">
                  <c:v>-0.50956082932471813</c:v>
                </c:pt>
                <c:pt idx="55">
                  <c:v>-0.48106136262548921</c:v>
                </c:pt>
                <c:pt idx="56">
                  <c:v>-0.45479131686551705</c:v>
                </c:pt>
                <c:pt idx="57">
                  <c:v>-0.43001781692743946</c:v>
                </c:pt>
                <c:pt idx="58">
                  <c:v>-0.40621701198758126</c:v>
                </c:pt>
                <c:pt idx="59">
                  <c:v>-0.3829788477784688</c:v>
                </c:pt>
                <c:pt idx="60">
                  <c:v>-0.35995002386850405</c:v>
                </c:pt>
                <c:pt idx="61">
                  <c:v>-0.33679257363272297</c:v>
                </c:pt>
                <c:pt idx="62">
                  <c:v>-0.31314464615529636</c:v>
                </c:pt>
                <c:pt idx="63">
                  <c:v>-0.2885703703391404</c:v>
                </c:pt>
                <c:pt idx="64">
                  <c:v>-0.26247579072358318</c:v>
                </c:pt>
                <c:pt idx="65">
                  <c:v>-0.23394331121594808</c:v>
                </c:pt>
                <c:pt idx="66">
                  <c:v>-0.20116330404045488</c:v>
                </c:pt>
                <c:pt idx="67">
                  <c:v>-0.16197166879824174</c:v>
                </c:pt>
                <c:pt idx="68">
                  <c:v>-7.0745193139106294E-2</c:v>
                </c:pt>
                <c:pt idx="69">
                  <c:v>-4.7396660898502618E-4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38-435B-985D-0BDB1062B3B1}"/>
            </c:ext>
          </c:extLst>
        </c:ser>
        <c:ser>
          <c:idx val="3"/>
          <c:order val="3"/>
          <c:tx>
            <c:v>CP_CONTIMÓN_INT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'N70'!$I$16:$I$85</c:f>
              <c:numCache>
                <c:formatCode>General</c:formatCode>
                <c:ptCount val="70"/>
                <c:pt idx="0">
                  <c:v>7.1428571428571426E-3</c:v>
                </c:pt>
                <c:pt idx="1">
                  <c:v>2.1428571428571429E-2</c:v>
                </c:pt>
                <c:pt idx="2">
                  <c:v>3.5714285714285712E-2</c:v>
                </c:pt>
                <c:pt idx="3">
                  <c:v>0.05</c:v>
                </c:pt>
                <c:pt idx="4">
                  <c:v>6.4285714285714279E-2</c:v>
                </c:pt>
                <c:pt idx="5">
                  <c:v>7.857142857142857E-2</c:v>
                </c:pt>
                <c:pt idx="6">
                  <c:v>9.285714285714286E-2</c:v>
                </c:pt>
                <c:pt idx="7">
                  <c:v>0.10714285714285714</c:v>
                </c:pt>
                <c:pt idx="8">
                  <c:v>0.12142857142857141</c:v>
                </c:pt>
                <c:pt idx="9">
                  <c:v>0.1357142857142857</c:v>
                </c:pt>
                <c:pt idx="10">
                  <c:v>0.15</c:v>
                </c:pt>
                <c:pt idx="11">
                  <c:v>0.16428571428571428</c:v>
                </c:pt>
                <c:pt idx="12">
                  <c:v>0.17857142857142858</c:v>
                </c:pt>
                <c:pt idx="13">
                  <c:v>0.19285714285714284</c:v>
                </c:pt>
                <c:pt idx="14">
                  <c:v>0.20714285714285713</c:v>
                </c:pt>
                <c:pt idx="15">
                  <c:v>0.22142857142857142</c:v>
                </c:pt>
                <c:pt idx="16">
                  <c:v>0.23571428571428571</c:v>
                </c:pt>
                <c:pt idx="17">
                  <c:v>0.25</c:v>
                </c:pt>
                <c:pt idx="18">
                  <c:v>0.26428571428571423</c:v>
                </c:pt>
                <c:pt idx="19">
                  <c:v>0.27857142857142858</c:v>
                </c:pt>
                <c:pt idx="20">
                  <c:v>0.29285714285714282</c:v>
                </c:pt>
                <c:pt idx="21">
                  <c:v>0.30714285714285716</c:v>
                </c:pt>
                <c:pt idx="22">
                  <c:v>0.3214285714285714</c:v>
                </c:pt>
                <c:pt idx="23">
                  <c:v>0.33571428571428574</c:v>
                </c:pt>
                <c:pt idx="24">
                  <c:v>0.35</c:v>
                </c:pt>
                <c:pt idx="25">
                  <c:v>0.36428571428571432</c:v>
                </c:pt>
                <c:pt idx="26">
                  <c:v>0.37857142857142856</c:v>
                </c:pt>
                <c:pt idx="27">
                  <c:v>0.39285714285714279</c:v>
                </c:pt>
                <c:pt idx="28">
                  <c:v>0.40714285714285714</c:v>
                </c:pt>
                <c:pt idx="29">
                  <c:v>0.42142857142857137</c:v>
                </c:pt>
                <c:pt idx="30">
                  <c:v>0.43571428571428572</c:v>
                </c:pt>
                <c:pt idx="31">
                  <c:v>0.44999999999999996</c:v>
                </c:pt>
                <c:pt idx="32">
                  <c:v>0.4642857142857143</c:v>
                </c:pt>
                <c:pt idx="33">
                  <c:v>0.47857142857142854</c:v>
                </c:pt>
                <c:pt idx="34">
                  <c:v>0.49285714285714288</c:v>
                </c:pt>
                <c:pt idx="35">
                  <c:v>0.50714285714285712</c:v>
                </c:pt>
                <c:pt idx="36">
                  <c:v>0.52142857142857135</c:v>
                </c:pt>
                <c:pt idx="37">
                  <c:v>0.5357142857142857</c:v>
                </c:pt>
                <c:pt idx="38">
                  <c:v>0.55000000000000004</c:v>
                </c:pt>
                <c:pt idx="39">
                  <c:v>0.56428571428571428</c:v>
                </c:pt>
                <c:pt idx="40">
                  <c:v>0.57857142857142851</c:v>
                </c:pt>
                <c:pt idx="41">
                  <c:v>0.59285714285714286</c:v>
                </c:pt>
                <c:pt idx="42">
                  <c:v>0.6071428571428571</c:v>
                </c:pt>
                <c:pt idx="43">
                  <c:v>0.62142857142857144</c:v>
                </c:pt>
                <c:pt idx="44">
                  <c:v>0.63571428571428568</c:v>
                </c:pt>
                <c:pt idx="45">
                  <c:v>0.64999999999999991</c:v>
                </c:pt>
                <c:pt idx="46">
                  <c:v>0.66428571428571426</c:v>
                </c:pt>
                <c:pt idx="47">
                  <c:v>0.6785714285714286</c:v>
                </c:pt>
                <c:pt idx="48">
                  <c:v>0.69285714285714284</c:v>
                </c:pt>
                <c:pt idx="49">
                  <c:v>0.70714285714285707</c:v>
                </c:pt>
                <c:pt idx="50">
                  <c:v>0.72142857142857142</c:v>
                </c:pt>
                <c:pt idx="51">
                  <c:v>0.73571428571428577</c:v>
                </c:pt>
                <c:pt idx="52">
                  <c:v>0.75</c:v>
                </c:pt>
                <c:pt idx="53">
                  <c:v>0.76428571428571423</c:v>
                </c:pt>
                <c:pt idx="54">
                  <c:v>0.77857142857142847</c:v>
                </c:pt>
                <c:pt idx="55">
                  <c:v>0.79285714285714282</c:v>
                </c:pt>
                <c:pt idx="56">
                  <c:v>0.80714285714285716</c:v>
                </c:pt>
                <c:pt idx="57">
                  <c:v>0.8214285714285714</c:v>
                </c:pt>
                <c:pt idx="58">
                  <c:v>0.83571428571428563</c:v>
                </c:pt>
                <c:pt idx="59">
                  <c:v>0.85</c:v>
                </c:pt>
                <c:pt idx="60">
                  <c:v>0.86428571428571432</c:v>
                </c:pt>
                <c:pt idx="61">
                  <c:v>0.87857142857142856</c:v>
                </c:pt>
                <c:pt idx="62">
                  <c:v>0.89285714285714279</c:v>
                </c:pt>
                <c:pt idx="63">
                  <c:v>0.90714285714285714</c:v>
                </c:pt>
                <c:pt idx="64">
                  <c:v>0.92142857142857137</c:v>
                </c:pt>
                <c:pt idx="65">
                  <c:v>0.93571428571428572</c:v>
                </c:pt>
                <c:pt idx="66">
                  <c:v>0.95</c:v>
                </c:pt>
                <c:pt idx="67">
                  <c:v>0.96428571428571419</c:v>
                </c:pt>
                <c:pt idx="68">
                  <c:v>0.97857142857142854</c:v>
                </c:pt>
                <c:pt idx="69">
                  <c:v>0.99285714285714288</c:v>
                </c:pt>
              </c:numCache>
            </c:numRef>
          </c:xVal>
          <c:yVal>
            <c:numRef>
              <c:f>'N70'!$AC$15:$AC$84</c:f>
              <c:numCache>
                <c:formatCode>General</c:formatCode>
                <c:ptCount val="70"/>
                <c:pt idx="0">
                  <c:v>1.5317812884050797</c:v>
                </c:pt>
                <c:pt idx="1">
                  <c:v>0.85206636551681925</c:v>
                </c:pt>
                <c:pt idx="2">
                  <c:v>0.85453571261700012</c:v>
                </c:pt>
                <c:pt idx="3">
                  <c:v>0.8561204940662136</c:v>
                </c:pt>
                <c:pt idx="4">
                  <c:v>0.86752177851210999</c:v>
                </c:pt>
                <c:pt idx="5">
                  <c:v>0.87969885338273435</c:v>
                </c:pt>
                <c:pt idx="6">
                  <c:v>0.89003754464467733</c:v>
                </c:pt>
                <c:pt idx="7">
                  <c:v>0.89721852422752213</c:v>
                </c:pt>
                <c:pt idx="8">
                  <c:v>0.90044296942882673</c:v>
                </c:pt>
                <c:pt idx="9">
                  <c:v>0.89904503302538097</c:v>
                </c:pt>
                <c:pt idx="10">
                  <c:v>0.89225976559407505</c:v>
                </c:pt>
                <c:pt idx="11">
                  <c:v>0.87893220850018827</c:v>
                </c:pt>
                <c:pt idx="12">
                  <c:v>0.85716210223850808</c:v>
                </c:pt>
                <c:pt idx="13">
                  <c:v>0.81705218893850406</c:v>
                </c:pt>
                <c:pt idx="14">
                  <c:v>0.76275391834443851</c:v>
                </c:pt>
                <c:pt idx="15">
                  <c:v>0.72000697115210199</c:v>
                </c:pt>
                <c:pt idx="16">
                  <c:v>0.69296310778040771</c:v>
                </c:pt>
                <c:pt idx="17">
                  <c:v>0.67172905128602889</c:v>
                </c:pt>
                <c:pt idx="18">
                  <c:v>0.65442023919302994</c:v>
                </c:pt>
                <c:pt idx="19">
                  <c:v>0.63992525875811102</c:v>
                </c:pt>
                <c:pt idx="20">
                  <c:v>0.6275823710504026</c:v>
                </c:pt>
                <c:pt idx="21">
                  <c:v>0.61695347431340752</c:v>
                </c:pt>
                <c:pt idx="22">
                  <c:v>0.60773187641970072</c:v>
                </c:pt>
                <c:pt idx="23">
                  <c:v>0.59969439965743565</c:v>
                </c:pt>
                <c:pt idx="24">
                  <c:v>0.592674350006683</c:v>
                </c:pt>
                <c:pt idx="25">
                  <c:v>0.58654515963951137</c:v>
                </c:pt>
                <c:pt idx="26">
                  <c:v>0.58120999421973318</c:v>
                </c:pt>
                <c:pt idx="27">
                  <c:v>0.57659492665822043</c:v>
                </c:pt>
                <c:pt idx="28">
                  <c:v>0.57264437347695352</c:v>
                </c:pt>
                <c:pt idx="29">
                  <c:v>0.56931805127806845</c:v>
                </c:pt>
                <c:pt idx="30">
                  <c:v>0.56658902058404359</c:v>
                </c:pt>
                <c:pt idx="31">
                  <c:v>0.56444256881777422</c:v>
                </c:pt>
                <c:pt idx="32">
                  <c:v>0.56287580534582526</c:v>
                </c:pt>
                <c:pt idx="33">
                  <c:v>0.56189793310302094</c:v>
                </c:pt>
                <c:pt idx="34">
                  <c:v>0.56153124527510467</c:v>
                </c:pt>
                <c:pt idx="35">
                  <c:v>0.56181299069271473</c:v>
                </c:pt>
                <c:pt idx="36">
                  <c:v>0.56279838063015775</c:v>
                </c:pt>
                <c:pt idx="37">
                  <c:v>0.56456520774584684</c:v>
                </c:pt>
                <c:pt idx="38">
                  <c:v>0.56722087814856414</c:v>
                </c:pt>
                <c:pt idx="39">
                  <c:v>0.57091324414672862</c:v>
                </c:pt>
                <c:pt idx="40">
                  <c:v>0.57584772929621908</c:v>
                </c:pt>
                <c:pt idx="41">
                  <c:v>0.58231544742176777</c:v>
                </c:pt>
                <c:pt idx="42">
                  <c:v>0.59074177394075611</c:v>
                </c:pt>
                <c:pt idx="43">
                  <c:v>0.60177591621686499</c:v>
                </c:pt>
                <c:pt idx="44">
                  <c:v>0.6164722756633545</c:v>
                </c:pt>
                <c:pt idx="45">
                  <c:v>0.63668568075725518</c:v>
                </c:pt>
                <c:pt idx="46">
                  <c:v>0.66641841385816969</c:v>
                </c:pt>
                <c:pt idx="47">
                  <c:v>0.71174076866218416</c:v>
                </c:pt>
                <c:pt idx="48">
                  <c:v>0.87094390680641975</c:v>
                </c:pt>
                <c:pt idx="49">
                  <c:v>0.86268902866157415</c:v>
                </c:pt>
                <c:pt idx="50">
                  <c:v>0.68695123607522901</c:v>
                </c:pt>
                <c:pt idx="51">
                  <c:v>0.62501900629816298</c:v>
                </c:pt>
                <c:pt idx="52">
                  <c:v>0.57854924364703109</c:v>
                </c:pt>
                <c:pt idx="53">
                  <c:v>0.54141691836069716</c:v>
                </c:pt>
                <c:pt idx="54">
                  <c:v>0.50956082932471813</c:v>
                </c:pt>
                <c:pt idx="55">
                  <c:v>0.48106136262548921</c:v>
                </c:pt>
                <c:pt idx="56">
                  <c:v>0.45479131686551705</c:v>
                </c:pt>
                <c:pt idx="57">
                  <c:v>0.43001781692743946</c:v>
                </c:pt>
                <c:pt idx="58">
                  <c:v>0.40621701198758126</c:v>
                </c:pt>
                <c:pt idx="59">
                  <c:v>0.3829788477784688</c:v>
                </c:pt>
                <c:pt idx="60">
                  <c:v>0.35995002386850405</c:v>
                </c:pt>
                <c:pt idx="61">
                  <c:v>0.33679257363272297</c:v>
                </c:pt>
                <c:pt idx="62">
                  <c:v>0.31314464615529636</c:v>
                </c:pt>
                <c:pt idx="63">
                  <c:v>0.2885703703391404</c:v>
                </c:pt>
                <c:pt idx="64">
                  <c:v>0.26247579072358318</c:v>
                </c:pt>
                <c:pt idx="65">
                  <c:v>0.23394331121594808</c:v>
                </c:pt>
                <c:pt idx="66">
                  <c:v>0.20116330404045488</c:v>
                </c:pt>
                <c:pt idx="67">
                  <c:v>0.16197166879824174</c:v>
                </c:pt>
                <c:pt idx="68">
                  <c:v>7.0745193139106294E-2</c:v>
                </c:pt>
                <c:pt idx="69">
                  <c:v>4.7396660898502618E-4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38-435B-985D-0BDB1062B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10304"/>
        <c:axId val="1572294528"/>
      </c:scatterChart>
      <c:valAx>
        <c:axId val="157231030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294528"/>
        <c:crosses val="autoZero"/>
        <c:crossBetween val="midCat"/>
      </c:valAx>
      <c:valAx>
        <c:axId val="157229452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31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2926773</xdr:colOff>
      <xdr:row>140</xdr:row>
      <xdr:rowOff>183139</xdr:rowOff>
    </xdr:from>
    <xdr:to>
      <xdr:col>21</xdr:col>
      <xdr:colOff>1139289</xdr:colOff>
      <xdr:row>155</xdr:row>
      <xdr:rowOff>68839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2944092</xdr:colOff>
      <xdr:row>156</xdr:row>
      <xdr:rowOff>24368</xdr:rowOff>
    </xdr:from>
    <xdr:to>
      <xdr:col>21</xdr:col>
      <xdr:colOff>1128156</xdr:colOff>
      <xdr:row>170</xdr:row>
      <xdr:rowOff>100568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2874818</xdr:colOff>
      <xdr:row>172</xdr:row>
      <xdr:rowOff>103909</xdr:rowOff>
    </xdr:from>
    <xdr:to>
      <xdr:col>21</xdr:col>
      <xdr:colOff>1087333</xdr:colOff>
      <xdr:row>186</xdr:row>
      <xdr:rowOff>180109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2214564</xdr:colOff>
      <xdr:row>56</xdr:row>
      <xdr:rowOff>135081</xdr:rowOff>
    </xdr:from>
    <xdr:to>
      <xdr:col>4</xdr:col>
      <xdr:colOff>119064</xdr:colOff>
      <xdr:row>71</xdr:row>
      <xdr:rowOff>20781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1977837</xdr:colOff>
      <xdr:row>108</xdr:row>
      <xdr:rowOff>17929</xdr:rowOff>
    </xdr:from>
    <xdr:to>
      <xdr:col>3</xdr:col>
      <xdr:colOff>1501587</xdr:colOff>
      <xdr:row>122</xdr:row>
      <xdr:rowOff>94129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2241176</xdr:colOff>
      <xdr:row>73</xdr:row>
      <xdr:rowOff>107576</xdr:rowOff>
    </xdr:from>
    <xdr:to>
      <xdr:col>4</xdr:col>
      <xdr:colOff>145676</xdr:colOff>
      <xdr:row>87</xdr:row>
      <xdr:rowOff>183776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1903319</xdr:colOff>
      <xdr:row>92</xdr:row>
      <xdr:rowOff>1680</xdr:rowOff>
    </xdr:from>
    <xdr:to>
      <xdr:col>3</xdr:col>
      <xdr:colOff>1331819</xdr:colOff>
      <xdr:row>106</xdr:row>
      <xdr:rowOff>77880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51460</xdr:colOff>
      <xdr:row>90</xdr:row>
      <xdr:rowOff>141823</xdr:rowOff>
    </xdr:from>
    <xdr:to>
      <xdr:col>19</xdr:col>
      <xdr:colOff>331766</xdr:colOff>
      <xdr:row>105</xdr:row>
      <xdr:rowOff>27523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34638</xdr:colOff>
      <xdr:row>105</xdr:row>
      <xdr:rowOff>24368</xdr:rowOff>
    </xdr:from>
    <xdr:to>
      <xdr:col>19</xdr:col>
      <xdr:colOff>296883</xdr:colOff>
      <xdr:row>119</xdr:row>
      <xdr:rowOff>100568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383801</xdr:colOff>
      <xdr:row>89</xdr:row>
      <xdr:rowOff>110976</xdr:rowOff>
    </xdr:from>
    <xdr:to>
      <xdr:col>62</xdr:col>
      <xdr:colOff>265340</xdr:colOff>
      <xdr:row>124</xdr:row>
      <xdr:rowOff>119062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62</xdr:col>
      <xdr:colOff>471165</xdr:colOff>
      <xdr:row>89</xdr:row>
      <xdr:rowOff>85045</xdr:rowOff>
    </xdr:from>
    <xdr:to>
      <xdr:col>75</xdr:col>
      <xdr:colOff>119061</xdr:colOff>
      <xdr:row>124</xdr:row>
      <xdr:rowOff>190139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312964</xdr:colOff>
      <xdr:row>89</xdr:row>
      <xdr:rowOff>91167</xdr:rowOff>
    </xdr:from>
    <xdr:to>
      <xdr:col>46</xdr:col>
      <xdr:colOff>258536</xdr:colOff>
      <xdr:row>125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547687</xdr:colOff>
      <xdr:row>89</xdr:row>
      <xdr:rowOff>121782</xdr:rowOff>
    </xdr:from>
    <xdr:to>
      <xdr:col>29</xdr:col>
      <xdr:colOff>132670</xdr:colOff>
      <xdr:row>123</xdr:row>
      <xdr:rowOff>57829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13"/>
  <sheetViews>
    <sheetView zoomScale="55" zoomScaleNormal="55" workbookViewId="0">
      <selection activeCell="BG204" sqref="BG204"/>
    </sheetView>
  </sheetViews>
  <sheetFormatPr baseColWidth="10" defaultRowHeight="15" x14ac:dyDescent="0.25"/>
  <cols>
    <col min="1" max="1" width="45.140625" bestFit="1" customWidth="1"/>
    <col min="2" max="2" width="17.28515625" bestFit="1" customWidth="1"/>
    <col min="3" max="3" width="13.7109375" customWidth="1"/>
    <col min="4" max="4" width="23.28515625" bestFit="1" customWidth="1"/>
    <col min="5" max="7" width="13.7109375" customWidth="1"/>
    <col min="8" max="8" width="16.7109375" bestFit="1" customWidth="1"/>
    <col min="11" max="11" width="18.5703125" bestFit="1" customWidth="1"/>
    <col min="12" max="12" width="17" bestFit="1" customWidth="1"/>
    <col min="13" max="13" width="17" customWidth="1"/>
    <col min="14" max="14" width="16.5703125" bestFit="1" customWidth="1"/>
    <col min="15" max="15" width="16.42578125" bestFit="1" customWidth="1"/>
    <col min="16" max="16" width="17" bestFit="1" customWidth="1"/>
    <col min="17" max="17" width="13" bestFit="1" customWidth="1"/>
    <col min="18" max="18" width="13.5703125" bestFit="1" customWidth="1"/>
    <col min="19" max="19" width="12.85546875" bestFit="1" customWidth="1"/>
    <col min="20" max="20" width="13.42578125" bestFit="1" customWidth="1"/>
    <col min="21" max="21" width="17.7109375" bestFit="1" customWidth="1"/>
    <col min="22" max="22" width="18.28515625" bestFit="1" customWidth="1"/>
    <col min="23" max="23" width="21.85546875" bestFit="1" customWidth="1"/>
    <col min="25" max="25" width="17.5703125" customWidth="1"/>
    <col min="26" max="26" width="12.85546875" bestFit="1" customWidth="1"/>
    <col min="27" max="27" width="17.42578125" bestFit="1" customWidth="1"/>
    <col min="28" max="28" width="20" bestFit="1" customWidth="1"/>
    <col min="29" max="29" width="20" customWidth="1"/>
  </cols>
  <sheetData>
    <row r="1" spans="1:122" x14ac:dyDescent="0.25">
      <c r="A1" s="8" t="s">
        <v>14</v>
      </c>
      <c r="B1" s="4"/>
      <c r="C1" s="4"/>
    </row>
    <row r="2" spans="1:122" x14ac:dyDescent="0.25">
      <c r="A2" s="4" t="s">
        <v>28</v>
      </c>
      <c r="B2" s="4">
        <v>-0.66655152737900403</v>
      </c>
      <c r="C2" s="4" t="s">
        <v>16</v>
      </c>
    </row>
    <row r="3" spans="1:122" x14ac:dyDescent="0.25">
      <c r="A3" t="s">
        <v>29</v>
      </c>
      <c r="B3">
        <f>(B2*PI())/180</f>
        <v>-1.1633518786960751E-2</v>
      </c>
      <c r="E3" s="9" t="s">
        <v>33</v>
      </c>
    </row>
    <row r="4" spans="1:122" x14ac:dyDescent="0.25">
      <c r="A4" s="4" t="s">
        <v>13</v>
      </c>
      <c r="B4" s="4">
        <v>1</v>
      </c>
      <c r="C4" s="4" t="s">
        <v>16</v>
      </c>
      <c r="E4" s="9" t="s">
        <v>34</v>
      </c>
    </row>
    <row r="5" spans="1:122" x14ac:dyDescent="0.25">
      <c r="A5" s="4" t="s">
        <v>25</v>
      </c>
      <c r="B5" s="4">
        <v>32</v>
      </c>
      <c r="C5" s="4" t="s">
        <v>16</v>
      </c>
      <c r="E5" s="9" t="s">
        <v>35</v>
      </c>
    </row>
    <row r="6" spans="1:122" x14ac:dyDescent="0.25">
      <c r="A6" t="s">
        <v>30</v>
      </c>
      <c r="B6">
        <f>B4/B5</f>
        <v>3.125E-2</v>
      </c>
    </row>
    <row r="7" spans="1:122" x14ac:dyDescent="0.25">
      <c r="A7" s="4" t="s">
        <v>3</v>
      </c>
      <c r="B7" s="4">
        <v>0.3</v>
      </c>
      <c r="C7" s="4" t="s">
        <v>16</v>
      </c>
    </row>
    <row r="8" spans="1:122" x14ac:dyDescent="0.25">
      <c r="A8" s="4" t="s">
        <v>2</v>
      </c>
      <c r="B8" s="4">
        <v>0.2</v>
      </c>
      <c r="C8" s="4" t="s">
        <v>16</v>
      </c>
    </row>
    <row r="9" spans="1:122" x14ac:dyDescent="0.25">
      <c r="A9" s="4" t="s">
        <v>26</v>
      </c>
      <c r="B9" s="4">
        <v>0</v>
      </c>
      <c r="C9" s="4" t="s">
        <v>16</v>
      </c>
    </row>
    <row r="10" spans="1:122" x14ac:dyDescent="0.25">
      <c r="A10" t="s">
        <v>27</v>
      </c>
      <c r="B10">
        <f>(B9*PI())/180</f>
        <v>0</v>
      </c>
    </row>
    <row r="11" spans="1:122" x14ac:dyDescent="0.25">
      <c r="A11" s="4" t="s">
        <v>0</v>
      </c>
      <c r="B11" s="4">
        <v>0.04</v>
      </c>
      <c r="C11" s="4" t="s">
        <v>16</v>
      </c>
    </row>
    <row r="12" spans="1:122" x14ac:dyDescent="0.25">
      <c r="A12" s="7" t="s">
        <v>31</v>
      </c>
      <c r="BC12" t="s">
        <v>57</v>
      </c>
      <c r="BF12" t="s">
        <v>37</v>
      </c>
    </row>
    <row r="13" spans="1:122" x14ac:dyDescent="0.25">
      <c r="CM13" s="4" t="s">
        <v>38</v>
      </c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</row>
    <row r="14" spans="1:122" x14ac:dyDescent="0.25">
      <c r="A14" s="7" t="s">
        <v>32</v>
      </c>
      <c r="W14">
        <v>1</v>
      </c>
      <c r="X14">
        <v>2</v>
      </c>
      <c r="Y14">
        <v>3</v>
      </c>
      <c r="Z14">
        <v>4</v>
      </c>
      <c r="AA14">
        <v>5</v>
      </c>
      <c r="AB14">
        <v>6</v>
      </c>
      <c r="AC14">
        <v>7</v>
      </c>
      <c r="AD14">
        <v>8</v>
      </c>
      <c r="AE14">
        <v>9</v>
      </c>
      <c r="AF14">
        <v>10</v>
      </c>
      <c r="AG14">
        <v>11</v>
      </c>
      <c r="AH14">
        <v>12</v>
      </c>
      <c r="AI14">
        <v>13</v>
      </c>
      <c r="AJ14">
        <v>14</v>
      </c>
      <c r="AK14">
        <v>15</v>
      </c>
      <c r="AL14">
        <v>16</v>
      </c>
      <c r="AM14">
        <v>17</v>
      </c>
      <c r="AN14">
        <v>18</v>
      </c>
      <c r="AO14">
        <v>19</v>
      </c>
      <c r="AP14">
        <v>20</v>
      </c>
      <c r="AQ14">
        <v>21</v>
      </c>
      <c r="AR14">
        <v>22</v>
      </c>
      <c r="AS14">
        <v>23</v>
      </c>
      <c r="AT14">
        <v>24</v>
      </c>
      <c r="AU14">
        <v>25</v>
      </c>
      <c r="AV14">
        <v>26</v>
      </c>
      <c r="AW14">
        <v>27</v>
      </c>
      <c r="AX14">
        <v>28</v>
      </c>
      <c r="AY14">
        <v>29</v>
      </c>
      <c r="AZ14">
        <v>30</v>
      </c>
      <c r="BA14">
        <v>31</v>
      </c>
      <c r="BB14">
        <v>32</v>
      </c>
      <c r="BC14" t="s">
        <v>55</v>
      </c>
      <c r="BF14">
        <v>1</v>
      </c>
      <c r="BG14">
        <v>2</v>
      </c>
      <c r="BH14">
        <v>3</v>
      </c>
      <c r="BI14">
        <v>4</v>
      </c>
      <c r="BJ14">
        <v>5</v>
      </c>
      <c r="BK14">
        <v>6</v>
      </c>
      <c r="BL14">
        <v>7</v>
      </c>
      <c r="BM14">
        <v>8</v>
      </c>
      <c r="BN14">
        <v>9</v>
      </c>
      <c r="BO14">
        <v>10</v>
      </c>
      <c r="BP14">
        <v>11</v>
      </c>
      <c r="BQ14">
        <v>12</v>
      </c>
      <c r="BR14">
        <v>13</v>
      </c>
      <c r="BS14">
        <v>14</v>
      </c>
      <c r="BT14">
        <v>15</v>
      </c>
      <c r="BU14">
        <v>16</v>
      </c>
      <c r="BV14">
        <v>17</v>
      </c>
      <c r="BW14">
        <v>18</v>
      </c>
      <c r="BX14">
        <v>19</v>
      </c>
      <c r="BY14">
        <v>20</v>
      </c>
      <c r="BZ14">
        <v>21</v>
      </c>
      <c r="CA14">
        <v>22</v>
      </c>
      <c r="CB14">
        <v>23</v>
      </c>
      <c r="CC14">
        <v>24</v>
      </c>
      <c r="CD14">
        <v>25</v>
      </c>
      <c r="CE14">
        <v>26</v>
      </c>
      <c r="CF14">
        <v>27</v>
      </c>
      <c r="CG14">
        <v>28</v>
      </c>
      <c r="CH14">
        <v>29</v>
      </c>
      <c r="CI14">
        <v>30</v>
      </c>
      <c r="CJ14">
        <v>31</v>
      </c>
      <c r="CK14">
        <v>32</v>
      </c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</row>
    <row r="15" spans="1:122" x14ac:dyDescent="0.25">
      <c r="B15" s="10"/>
      <c r="C15" s="10"/>
      <c r="D15" s="10"/>
      <c r="E15" s="10"/>
      <c r="F15" s="10"/>
      <c r="G15" s="10"/>
      <c r="H15" s="10"/>
      <c r="I15" s="10"/>
      <c r="J15" s="10"/>
      <c r="U15" s="10"/>
      <c r="V15" s="5" t="s">
        <v>19</v>
      </c>
      <c r="W15" s="5" t="s">
        <v>20</v>
      </c>
      <c r="X15" s="5" t="s">
        <v>20</v>
      </c>
      <c r="Y15" s="5" t="s">
        <v>20</v>
      </c>
      <c r="Z15" s="5" t="s">
        <v>20</v>
      </c>
      <c r="AA15" s="5" t="s">
        <v>20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 t="s">
        <v>20</v>
      </c>
      <c r="AJ15" s="5" t="s">
        <v>20</v>
      </c>
      <c r="AK15" s="5" t="s">
        <v>20</v>
      </c>
      <c r="AL15" s="5" t="s">
        <v>20</v>
      </c>
      <c r="AM15" s="5" t="s">
        <v>20</v>
      </c>
      <c r="AN15" s="5" t="s">
        <v>20</v>
      </c>
      <c r="AO15" s="5" t="s">
        <v>20</v>
      </c>
      <c r="AP15" s="5" t="s">
        <v>20</v>
      </c>
      <c r="AQ15" s="5" t="s">
        <v>20</v>
      </c>
      <c r="AR15" s="5" t="s">
        <v>20</v>
      </c>
      <c r="AS15" s="5" t="s">
        <v>20</v>
      </c>
      <c r="AT15" s="5" t="s">
        <v>20</v>
      </c>
      <c r="AU15" s="5" t="s">
        <v>20</v>
      </c>
      <c r="AV15" s="5" t="s">
        <v>20</v>
      </c>
      <c r="AW15" s="5" t="s">
        <v>20</v>
      </c>
      <c r="AX15" s="5" t="s">
        <v>20</v>
      </c>
      <c r="AY15" s="5" t="s">
        <v>20</v>
      </c>
      <c r="AZ15" s="5" t="s">
        <v>20</v>
      </c>
      <c r="BA15" s="5" t="s">
        <v>20</v>
      </c>
      <c r="BB15" s="5" t="s">
        <v>20</v>
      </c>
      <c r="BC15" s="5"/>
      <c r="BD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M15" s="4">
        <v>1</v>
      </c>
      <c r="CN15" s="4">
        <v>2</v>
      </c>
      <c r="CO15" s="4">
        <v>3</v>
      </c>
      <c r="CP15" s="4">
        <v>4</v>
      </c>
      <c r="CQ15" s="4">
        <v>5</v>
      </c>
      <c r="CR15" s="4">
        <v>6</v>
      </c>
      <c r="CS15" s="4">
        <v>7</v>
      </c>
      <c r="CT15" s="4">
        <v>8</v>
      </c>
      <c r="CU15" s="4">
        <v>9</v>
      </c>
      <c r="CV15" s="4">
        <v>10</v>
      </c>
      <c r="CW15" s="4">
        <v>11</v>
      </c>
      <c r="CX15" s="4">
        <v>12</v>
      </c>
      <c r="CY15" s="4">
        <v>13</v>
      </c>
      <c r="CZ15" s="4">
        <v>14</v>
      </c>
      <c r="DA15" s="4">
        <v>15</v>
      </c>
      <c r="DB15" s="4">
        <v>16</v>
      </c>
      <c r="DC15" s="4">
        <v>17</v>
      </c>
      <c r="DD15" s="4">
        <v>18</v>
      </c>
      <c r="DE15" s="4">
        <v>19</v>
      </c>
      <c r="DF15" s="4">
        <v>20</v>
      </c>
      <c r="DG15" s="4">
        <v>21</v>
      </c>
      <c r="DH15" s="4">
        <v>22</v>
      </c>
      <c r="DI15" s="4">
        <v>23</v>
      </c>
      <c r="DJ15" s="4">
        <v>24</v>
      </c>
      <c r="DK15" s="4">
        <v>25</v>
      </c>
      <c r="DL15" s="4">
        <v>26</v>
      </c>
      <c r="DM15" s="4">
        <v>27</v>
      </c>
      <c r="DN15" s="4">
        <v>28</v>
      </c>
      <c r="DO15" s="4">
        <v>29</v>
      </c>
      <c r="DP15" s="4">
        <v>30</v>
      </c>
      <c r="DQ15" s="4">
        <v>31</v>
      </c>
      <c r="DR15" s="4">
        <v>32</v>
      </c>
    </row>
    <row r="16" spans="1:122" x14ac:dyDescent="0.25">
      <c r="B16" s="1" t="s">
        <v>1</v>
      </c>
      <c r="C16" s="10"/>
      <c r="D16" s="10"/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15</v>
      </c>
      <c r="M16" s="2" t="s">
        <v>11</v>
      </c>
      <c r="P16" s="4" t="s">
        <v>17</v>
      </c>
      <c r="Q16" s="4" t="s">
        <v>18</v>
      </c>
      <c r="U16" s="10"/>
      <c r="V16" s="5">
        <f t="shared" ref="V16:V47" si="0">E18-E17</f>
        <v>3.125E-2</v>
      </c>
      <c r="W16" s="5">
        <f>H17-E17</f>
        <v>1.5625E-2</v>
      </c>
      <c r="X16" s="5">
        <f>H17-E18</f>
        <v>-1.5625E-2</v>
      </c>
      <c r="Y16" s="5">
        <f>H17-E19</f>
        <v>-4.6875E-2</v>
      </c>
      <c r="Z16" s="5">
        <f>H17-E20</f>
        <v>-7.8125E-2</v>
      </c>
      <c r="AA16" s="5">
        <f>H17-E21</f>
        <v>-0.109375</v>
      </c>
      <c r="AB16" s="5">
        <f>H17-E22</f>
        <v>-0.140625</v>
      </c>
      <c r="AC16" s="5">
        <f>H17-E23</f>
        <v>-0.171875</v>
      </c>
      <c r="AD16" s="5">
        <f>H17-E24</f>
        <v>-0.203125</v>
      </c>
      <c r="AE16" s="5">
        <f>H17-E25</f>
        <v>-0.234375</v>
      </c>
      <c r="AF16" s="5">
        <f>H17-E26</f>
        <v>-0.265625</v>
      </c>
      <c r="AG16" s="5">
        <f>H17-E27</f>
        <v>-0.296875</v>
      </c>
      <c r="AH16" s="5">
        <f>H17-E28</f>
        <v>-0.328125</v>
      </c>
      <c r="AI16" s="5">
        <f>H17-E29</f>
        <v>-0.359375</v>
      </c>
      <c r="AJ16" s="5">
        <f>H17-E30</f>
        <v>-0.390625</v>
      </c>
      <c r="AK16" s="5">
        <f>H17-E31</f>
        <v>-0.421875</v>
      </c>
      <c r="AL16" s="5">
        <f>H17-E32</f>
        <v>-0.453125</v>
      </c>
      <c r="AM16" s="5">
        <f>H17-E33</f>
        <v>-0.484375</v>
      </c>
      <c r="AN16" s="5">
        <f>H17-E34</f>
        <v>-0.515625</v>
      </c>
      <c r="AO16" s="5">
        <f>H17-E35</f>
        <v>-0.546875</v>
      </c>
      <c r="AP16" s="5">
        <f>H17-E36</f>
        <v>-0.578125</v>
      </c>
      <c r="AQ16" s="5">
        <f>H17-E37</f>
        <v>-0.609375</v>
      </c>
      <c r="AR16" s="5">
        <f>H17-E38</f>
        <v>-0.640625</v>
      </c>
      <c r="AS16" s="5">
        <f>H17-E39</f>
        <v>-0.671875</v>
      </c>
      <c r="AT16" s="5">
        <f>H17-E40</f>
        <v>-0.703125</v>
      </c>
      <c r="AU16" s="5">
        <f>H17-E41</f>
        <v>-0.734375</v>
      </c>
      <c r="AV16" s="5">
        <f>H17-E42</f>
        <v>-0.765625</v>
      </c>
      <c r="AW16" s="5">
        <f>H17-E43</f>
        <v>-0.796875</v>
      </c>
      <c r="AX16" s="5">
        <f>H17-E44</f>
        <v>-0.828125</v>
      </c>
      <c r="AY16" s="5">
        <f>H17-E45</f>
        <v>-0.859375</v>
      </c>
      <c r="AZ16" s="5">
        <f>H17-E46</f>
        <v>-0.890625</v>
      </c>
      <c r="BA16" s="5">
        <f>H17-E47</f>
        <v>-0.921875</v>
      </c>
      <c r="BB16" s="5">
        <f>H17-E48</f>
        <v>-0.953125</v>
      </c>
      <c r="BC16" s="5">
        <f t="shared" ref="BC16:BC47" si="1">H17-$E$49</f>
        <v>-0.984375</v>
      </c>
      <c r="BD16" s="5"/>
      <c r="BE16">
        <v>1</v>
      </c>
      <c r="BF16" s="5">
        <f t="shared" ref="BF16:BF47" si="2">BZ82+AO82</f>
        <v>-1</v>
      </c>
      <c r="BG16" s="5">
        <f t="shared" ref="BG16:BG47" si="3">CA82+AP82</f>
        <v>1.6479184330021646</v>
      </c>
      <c r="BH16" s="5">
        <f t="shared" ref="BH16:BH47" si="4">CB82+AQ82</f>
        <v>0.7277579150809218</v>
      </c>
      <c r="BI16" s="5">
        <f t="shared" ref="BI16:BI47" si="5">CC82+AR82</f>
        <v>0.41141439252525902</v>
      </c>
      <c r="BJ16" s="5">
        <f t="shared" ref="BJ16:BJ47" si="6">CD82+AS82</f>
        <v>0.28973433571104545</v>
      </c>
      <c r="BK16" s="5">
        <f t="shared" ref="BK16:BK47" si="7">CE82+AT82</f>
        <v>0.22408832605866014</v>
      </c>
      <c r="BL16" s="5">
        <f t="shared" ref="BL16:BL47" si="8">CF82+AU82</f>
        <v>0.18283342073089992</v>
      </c>
      <c r="BM16" s="5">
        <f t="shared" ref="BM16:BM47" si="9">CG82+AV82</f>
        <v>0.154458861657635</v>
      </c>
      <c r="BN16" s="5">
        <f t="shared" ref="BN16:BN47" si="10">CH82+AW82</f>
        <v>0.13373123144467491</v>
      </c>
      <c r="BO16" s="5">
        <f t="shared" ref="BO16:BO47" si="11">CI82+AX82</f>
        <v>0.11791996139208694</v>
      </c>
      <c r="BP16" s="5">
        <f t="shared" ref="BP16:BP47" si="12">CJ82+AY82</f>
        <v>0.10545841641141018</v>
      </c>
      <c r="BQ16" s="5">
        <f t="shared" ref="BQ16:BQ47" si="13">CK82+AZ82</f>
        <v>9.5382593074523014E-2</v>
      </c>
      <c r="BR16" s="5">
        <f t="shared" ref="BR16:BR47" si="14">CL82+BA82</f>
        <v>8.7066440578006166E-2</v>
      </c>
      <c r="BS16" s="5">
        <f t="shared" ref="BS16:BS47" si="15">CM82+BB82</f>
        <v>8.0085552538646798E-2</v>
      </c>
      <c r="BT16" s="5">
        <f t="shared" ref="BT16:BT47" si="16">CN82+BC82</f>
        <v>7.4141963539498312E-2</v>
      </c>
      <c r="BU16" s="5">
        <f t="shared" ref="BU16:BU47" si="17">CO82+BD82</f>
        <v>6.9020290970460141E-2</v>
      </c>
      <c r="BV16" s="5">
        <f t="shared" ref="BV16:BV47" si="18">CP82+BE82</f>
        <v>6.4560959961263764E-2</v>
      </c>
      <c r="BW16" s="5">
        <f t="shared" ref="BW16:BW47" si="19">CQ82+BF82</f>
        <v>6.0643217190658572E-2</v>
      </c>
      <c r="BX16" s="5">
        <f t="shared" ref="BX16:BX47" si="20">CR82+BG82</f>
        <v>5.717399598559858E-2</v>
      </c>
      <c r="BY16" s="5">
        <f t="shared" ref="BY16:BY47" si="21">CS82+BH82</f>
        <v>5.4080407756537996E-2</v>
      </c>
      <c r="BZ16" s="5">
        <f t="shared" ref="BZ16:BZ47" si="22">CT82+BI82</f>
        <v>5.1304552300254214E-2</v>
      </c>
      <c r="CA16" s="5">
        <f t="shared" ref="CA16:CA47" si="23">CU82+BJ82</f>
        <v>4.8799852063077576E-2</v>
      </c>
      <c r="CB16" s="5">
        <f t="shared" ref="CB16:CB47" si="24">CV82+BK82</f>
        <v>4.652841244732131E-2</v>
      </c>
      <c r="CC16" s="5">
        <f t="shared" ref="CC16:CC47" si="25">CW82+BL82</f>
        <v>4.4459087933579555E-2</v>
      </c>
      <c r="CD16" s="5">
        <f t="shared" ref="CD16:CD47" si="26">CX82+BM82</f>
        <v>4.2566043169792844E-2</v>
      </c>
      <c r="CE16" s="5">
        <f t="shared" ref="CE16:CE47" si="27">CY82+BN82</f>
        <v>4.082766723597997E-2</v>
      </c>
      <c r="CF16" s="5">
        <f t="shared" ref="CF16:CF47" si="28">CZ82+BO82</f>
        <v>3.9225743900967114E-2</v>
      </c>
      <c r="CG16" s="5">
        <f t="shared" ref="CG16:CG47" si="29">DA82+BP82</f>
        <v>3.7744810100797999E-2</v>
      </c>
      <c r="CH16" s="5">
        <f t="shared" ref="CH16:CH47" si="30">DB82+BQ82</f>
        <v>3.6371654630008021E-2</v>
      </c>
      <c r="CI16" s="5">
        <f t="shared" ref="CI16:CI47" si="31">DC82+BR82</f>
        <v>3.5094922542318052E-2</v>
      </c>
      <c r="CJ16" s="5">
        <f t="shared" ref="CJ16:CJ47" si="32">DD82+BS82</f>
        <v>3.3904800133219282E-2</v>
      </c>
      <c r="CK16" s="5">
        <f t="shared" ref="CK16:CK47" si="33">DE82+BT82</f>
        <v>3.2792761980020901E-2</v>
      </c>
      <c r="CL16">
        <v>1</v>
      </c>
      <c r="CM16" s="4">
        <f t="array" ref="CM16:DR47">MINVERSE(BF16:CK47)</f>
        <v>-0.63290620238740525</v>
      </c>
      <c r="CN16" s="4">
        <v>-0.27477580184261485</v>
      </c>
      <c r="CO16" s="4">
        <v>-0.22347995404958465</v>
      </c>
      <c r="CP16" s="4">
        <v>-0.19052901493341023</v>
      </c>
      <c r="CQ16" s="4">
        <v>-0.17044940691125191</v>
      </c>
      <c r="CR16" s="4">
        <v>-0.1566480691135472</v>
      </c>
      <c r="CS16" s="4">
        <v>-0.14661879591301175</v>
      </c>
      <c r="CT16" s="4">
        <v>-0.13905955158147573</v>
      </c>
      <c r="CU16" s="4">
        <v>-0.13323431052086554</v>
      </c>
      <c r="CV16" s="4">
        <v>-0.12869393362461273</v>
      </c>
      <c r="CW16" s="4">
        <v>-0.1251496552768174</v>
      </c>
      <c r="CX16" s="4">
        <v>-0.12240906203971814</v>
      </c>
      <c r="CY16" s="4">
        <v>-0.12034133261202958</v>
      </c>
      <c r="CZ16" s="4">
        <v>-0.11885734468860081</v>
      </c>
      <c r="DA16" s="4">
        <v>-0.11789791433884761</v>
      </c>
      <c r="DB16" s="4">
        <v>-0.11742681054296275</v>
      </c>
      <c r="DC16" s="4">
        <v>-0.11742681054296381</v>
      </c>
      <c r="DD16" s="4">
        <v>-0.11789791433884689</v>
      </c>
      <c r="DE16" s="4">
        <v>-0.11885734468860103</v>
      </c>
      <c r="DF16" s="4">
        <v>-0.12034133261202894</v>
      </c>
      <c r="DG16" s="4">
        <v>-0.12240906203971799</v>
      </c>
      <c r="DH16" s="4">
        <v>-0.12514965527681707</v>
      </c>
      <c r="DI16" s="4">
        <v>-0.12869393362461279</v>
      </c>
      <c r="DJ16" s="4">
        <v>-0.13323431052086618</v>
      </c>
      <c r="DK16" s="4">
        <v>-0.1390595515814752</v>
      </c>
      <c r="DL16" s="4">
        <v>-0.14661879591301166</v>
      </c>
      <c r="DM16" s="4">
        <v>-0.15664806911354778</v>
      </c>
      <c r="DN16" s="4">
        <v>-0.17044940691125179</v>
      </c>
      <c r="DO16" s="4">
        <v>-0.19052901493341043</v>
      </c>
      <c r="DP16" s="4">
        <v>-0.22347995404958532</v>
      </c>
      <c r="DQ16" s="4">
        <v>-0.27477580184261385</v>
      </c>
      <c r="DR16" s="4">
        <v>-0.63290620238740591</v>
      </c>
    </row>
    <row r="17" spans="2:122" x14ac:dyDescent="0.25">
      <c r="B17" s="1">
        <v>1</v>
      </c>
      <c r="C17" s="10"/>
      <c r="D17" s="10"/>
      <c r="E17" s="2">
        <v>0</v>
      </c>
      <c r="F17" s="2">
        <f>($B$11/$B$8^2)*(2*E17*$B$8-E17^2)</f>
        <v>0</v>
      </c>
      <c r="G17" s="2">
        <f>($B$11/$B$8^2)*(2*E17*$B$8-E17^2)</f>
        <v>0</v>
      </c>
      <c r="H17" s="2">
        <f>(E18+E17)/2</f>
        <v>1.5625E-2</v>
      </c>
      <c r="I17" s="2">
        <f>(E18+E17)/2</f>
        <v>1.5625E-2</v>
      </c>
      <c r="J17" s="2">
        <f>(F18+F17)/2</f>
        <v>5.7617187499999995E-3</v>
      </c>
      <c r="K17" s="2">
        <f>(G18+G17)/2</f>
        <v>5.7617187499999995E-3</v>
      </c>
      <c r="L17" s="2">
        <f>((2*$B$11)/$B$8)-(2*$B$11*H17)/$B$8^2</f>
        <v>0.36874999999999997</v>
      </c>
      <c r="M17" s="14">
        <f>((2*$B$11)/$B$8)-(2*$B$11*H17)/$B$8^2</f>
        <v>0.36874999999999997</v>
      </c>
      <c r="O17">
        <v>1</v>
      </c>
      <c r="P17" s="4">
        <f>-2*PI()*($B$3-L17)</f>
        <v>2.3900201363355014</v>
      </c>
      <c r="Q17" s="4">
        <f>-2*PI()*($B$3-M17)</f>
        <v>2.3900201363355014</v>
      </c>
      <c r="U17" s="10"/>
      <c r="V17" s="5">
        <f t="shared" si="0"/>
        <v>3.125E-2</v>
      </c>
      <c r="W17" s="5">
        <f>H18-E17</f>
        <v>4.6875E-2</v>
      </c>
      <c r="X17" s="5">
        <f>H18-E18</f>
        <v>1.5625E-2</v>
      </c>
      <c r="Y17" s="5">
        <f>H18-E19</f>
        <v>-1.5625E-2</v>
      </c>
      <c r="Z17" s="5">
        <f>H18-E20</f>
        <v>-4.6875E-2</v>
      </c>
      <c r="AA17" s="5">
        <f>H18-E21</f>
        <v>-7.8125E-2</v>
      </c>
      <c r="AB17" s="5">
        <f>H18-E22</f>
        <v>-0.109375</v>
      </c>
      <c r="AC17" s="5">
        <f>H18-E23</f>
        <v>-0.140625</v>
      </c>
      <c r="AD17" s="5">
        <f>H18-E24</f>
        <v>-0.171875</v>
      </c>
      <c r="AE17" s="5">
        <f>H18-E25</f>
        <v>-0.203125</v>
      </c>
      <c r="AF17" s="5">
        <f>H18-E26</f>
        <v>-0.234375</v>
      </c>
      <c r="AG17" s="5">
        <f>H18-E27</f>
        <v>-0.265625</v>
      </c>
      <c r="AH17" s="5">
        <f>H18-E28</f>
        <v>-0.296875</v>
      </c>
      <c r="AI17" s="5">
        <f>H18-E29</f>
        <v>-0.328125</v>
      </c>
      <c r="AJ17" s="5">
        <f>H18-E30</f>
        <v>-0.359375</v>
      </c>
      <c r="AK17" s="5">
        <f>H18-E31</f>
        <v>-0.390625</v>
      </c>
      <c r="AL17" s="5">
        <f>H18-E32</f>
        <v>-0.421875</v>
      </c>
      <c r="AM17" s="5">
        <f>H18-E33</f>
        <v>-0.453125</v>
      </c>
      <c r="AN17" s="5">
        <f>H18-E34</f>
        <v>-0.484375</v>
      </c>
      <c r="AO17" s="5">
        <f>H18-E35</f>
        <v>-0.515625</v>
      </c>
      <c r="AP17" s="5">
        <f>H18-E36</f>
        <v>-0.546875</v>
      </c>
      <c r="AQ17" s="5">
        <f>H18-E37</f>
        <v>-0.578125</v>
      </c>
      <c r="AR17" s="5">
        <f>H18-E38</f>
        <v>-0.609375</v>
      </c>
      <c r="AS17" s="5">
        <f>H18-E39</f>
        <v>-0.640625</v>
      </c>
      <c r="AT17" s="5">
        <f>H18-E40</f>
        <v>-0.671875</v>
      </c>
      <c r="AU17" s="5">
        <f>H18-E41</f>
        <v>-0.703125</v>
      </c>
      <c r="AV17" s="5">
        <f>H18-E42</f>
        <v>-0.734375</v>
      </c>
      <c r="AW17" s="5">
        <f>H18-E43</f>
        <v>-0.765625</v>
      </c>
      <c r="AX17" s="5">
        <f>H18-E44</f>
        <v>-0.796875</v>
      </c>
      <c r="AY17" s="5">
        <f>H18-E45</f>
        <v>-0.828125</v>
      </c>
      <c r="AZ17" s="5">
        <f>H18-E46</f>
        <v>-0.859375</v>
      </c>
      <c r="BA17" s="5">
        <f>H18-E47</f>
        <v>-0.890625</v>
      </c>
      <c r="BB17" s="5">
        <f>H18-E48</f>
        <v>-0.921875</v>
      </c>
      <c r="BC17" s="5">
        <f t="shared" si="1"/>
        <v>-0.953125</v>
      </c>
      <c r="BD17" s="5"/>
      <c r="BE17">
        <v>2</v>
      </c>
      <c r="BF17" s="5">
        <f t="shared" si="2"/>
        <v>-0.45069385566594511</v>
      </c>
      <c r="BG17" s="5">
        <f t="shared" si="3"/>
        <v>-1.6479184330021646</v>
      </c>
      <c r="BH17" s="5">
        <f t="shared" si="4"/>
        <v>1.6479184330021646</v>
      </c>
      <c r="BI17" s="5">
        <f t="shared" si="5"/>
        <v>0.7277579150809218</v>
      </c>
      <c r="BJ17" s="5">
        <f t="shared" si="6"/>
        <v>0.41141439252525902</v>
      </c>
      <c r="BK17" s="5">
        <f t="shared" si="7"/>
        <v>0.28973433571104545</v>
      </c>
      <c r="BL17" s="5">
        <f t="shared" si="8"/>
        <v>0.22408832605866014</v>
      </c>
      <c r="BM17" s="5">
        <f t="shared" si="9"/>
        <v>0.18283342073089992</v>
      </c>
      <c r="BN17" s="5">
        <f t="shared" si="10"/>
        <v>0.154458861657635</v>
      </c>
      <c r="BO17" s="5">
        <f t="shared" si="11"/>
        <v>0.13373123144467491</v>
      </c>
      <c r="BP17" s="5">
        <f t="shared" si="12"/>
        <v>0.11791996139208694</v>
      </c>
      <c r="BQ17" s="5">
        <f t="shared" si="13"/>
        <v>0.10545841641141018</v>
      </c>
      <c r="BR17" s="5">
        <f t="shared" si="14"/>
        <v>9.5382593074523014E-2</v>
      </c>
      <c r="BS17" s="5">
        <f t="shared" si="15"/>
        <v>8.7066440578006166E-2</v>
      </c>
      <c r="BT17" s="5">
        <f t="shared" si="16"/>
        <v>8.0085552538646798E-2</v>
      </c>
      <c r="BU17" s="5">
        <f t="shared" si="17"/>
        <v>7.4141963539498312E-2</v>
      </c>
      <c r="BV17" s="5">
        <f t="shared" si="18"/>
        <v>6.9020290970460141E-2</v>
      </c>
      <c r="BW17" s="5">
        <f t="shared" si="19"/>
        <v>6.4560959961263764E-2</v>
      </c>
      <c r="BX17" s="5">
        <f t="shared" si="20"/>
        <v>6.0643217190658572E-2</v>
      </c>
      <c r="BY17" s="5">
        <f t="shared" si="21"/>
        <v>5.717399598559858E-2</v>
      </c>
      <c r="BZ17" s="5">
        <f t="shared" si="22"/>
        <v>5.4080407756537996E-2</v>
      </c>
      <c r="CA17" s="5">
        <f t="shared" si="23"/>
        <v>5.1304552300254214E-2</v>
      </c>
      <c r="CB17" s="5">
        <f t="shared" si="24"/>
        <v>4.8799852063077576E-2</v>
      </c>
      <c r="CC17" s="5">
        <f t="shared" si="25"/>
        <v>4.652841244732131E-2</v>
      </c>
      <c r="CD17" s="5">
        <f t="shared" si="26"/>
        <v>4.4459087933579555E-2</v>
      </c>
      <c r="CE17" s="5">
        <f t="shared" si="27"/>
        <v>4.2566043169792844E-2</v>
      </c>
      <c r="CF17" s="5">
        <f t="shared" si="28"/>
        <v>4.082766723597997E-2</v>
      </c>
      <c r="CG17" s="5">
        <f t="shared" si="29"/>
        <v>3.9225743900967114E-2</v>
      </c>
      <c r="CH17" s="5">
        <f t="shared" si="30"/>
        <v>3.7744810100797999E-2</v>
      </c>
      <c r="CI17" s="5">
        <f t="shared" si="31"/>
        <v>3.6371654630008021E-2</v>
      </c>
      <c r="CJ17" s="5">
        <f t="shared" si="32"/>
        <v>3.5094922542318052E-2</v>
      </c>
      <c r="CK17" s="5">
        <f t="shared" si="33"/>
        <v>3.3904800133219282E-2</v>
      </c>
      <c r="CL17">
        <v>2</v>
      </c>
      <c r="CM17" s="4">
        <v>0.20578151236321349</v>
      </c>
      <c r="CN17" s="4">
        <v>-0.28288230245466783</v>
      </c>
      <c r="CO17" s="4">
        <v>-8.9040705095965955E-2</v>
      </c>
      <c r="CP17" s="4">
        <v>-6.9638042128990441E-2</v>
      </c>
      <c r="CQ17" s="4">
        <v>-5.6835007903013358E-2</v>
      </c>
      <c r="CR17" s="4">
        <v>-4.9559022338206721E-2</v>
      </c>
      <c r="CS17" s="4">
        <v>-4.4749668072045279E-2</v>
      </c>
      <c r="CT17" s="4">
        <v>-4.1357677481305061E-2</v>
      </c>
      <c r="CU17" s="4">
        <v>-3.885768549676704E-2</v>
      </c>
      <c r="CV17" s="4">
        <v>-3.6963866169557852E-2</v>
      </c>
      <c r="CW17" s="4">
        <v>-3.5507019695808779E-2</v>
      </c>
      <c r="CX17" s="4">
        <v>-3.4381063407175255E-2</v>
      </c>
      <c r="CY17" s="4">
        <v>-3.351675652946963E-2</v>
      </c>
      <c r="CZ17" s="4">
        <v>-3.2867809820804339E-2</v>
      </c>
      <c r="DA17" s="4">
        <v>-3.2403116238537637E-2</v>
      </c>
      <c r="DB17" s="4">
        <v>-3.2102247774644287E-2</v>
      </c>
      <c r="DC17" s="4">
        <v>-3.1952827594762048E-2</v>
      </c>
      <c r="DD17" s="4">
        <v>-3.1949074285063307E-2</v>
      </c>
      <c r="DE17" s="4">
        <v>-3.2091169495663541E-2</v>
      </c>
      <c r="DF17" s="4">
        <v>-3.2385309763039494E-2</v>
      </c>
      <c r="DG17" s="4">
        <v>-3.2844460244202033E-2</v>
      </c>
      <c r="DH17" s="4">
        <v>-3.3489993894859772E-2</v>
      </c>
      <c r="DI17" s="4">
        <v>-3.4354642051389418E-2</v>
      </c>
      <c r="DJ17" s="4">
        <v>-3.5487619577431746E-2</v>
      </c>
      <c r="DK17" s="4">
        <v>-3.696368143927696E-2</v>
      </c>
      <c r="DL17" s="4">
        <v>-3.8899884012069001E-2</v>
      </c>
      <c r="DM17" s="4">
        <v>-4.1488775700750671E-2</v>
      </c>
      <c r="DN17" s="4">
        <v>-4.5071690480920586E-2</v>
      </c>
      <c r="DO17" s="4">
        <v>-5.0306375238530411E-2</v>
      </c>
      <c r="DP17" s="4">
        <v>-5.8924457620674713E-2</v>
      </c>
      <c r="DQ17" s="4">
        <v>-7.2362503654765237E-2</v>
      </c>
      <c r="DR17" s="4">
        <v>-0.16644069520013716</v>
      </c>
    </row>
    <row r="18" spans="2:122" x14ac:dyDescent="0.25">
      <c r="B18" s="1">
        <v>2</v>
      </c>
      <c r="C18" s="10"/>
      <c r="D18" s="10"/>
      <c r="E18" s="2">
        <f>$B$6*B17</f>
        <v>3.125E-2</v>
      </c>
      <c r="F18" s="2">
        <f t="shared" ref="F18:F23" si="34">($B$11/$B$8^2)*(2*E18*$B$8-E18^2)</f>
        <v>1.1523437499999999E-2</v>
      </c>
      <c r="G18" s="2">
        <f t="shared" ref="G18:G23" si="35">($B$11/$B$8^2)*(2*E18*$B$8-E18^2)</f>
        <v>1.1523437499999999E-2</v>
      </c>
      <c r="H18" s="2">
        <f t="shared" ref="H18:H48" si="36">(E19+E18)/2</f>
        <v>4.6875E-2</v>
      </c>
      <c r="I18" s="2">
        <f t="shared" ref="I18:I48" si="37">(E19+E18)/2</f>
        <v>4.6875E-2</v>
      </c>
      <c r="J18" s="2">
        <f t="shared" ref="J18:J48" si="38">(F19+F18)/2</f>
        <v>1.6308593749999999E-2</v>
      </c>
      <c r="K18" s="2">
        <f t="shared" ref="K18:K48" si="39">(G19+G18)/2</f>
        <v>1.6308593749999999E-2</v>
      </c>
      <c r="L18" s="2">
        <f t="shared" ref="L18:L23" si="40">((2*$B$11)/$B$8)-(2*$B$11*H18)/$B$8^2</f>
        <v>0.30625000000000002</v>
      </c>
      <c r="M18" s="14">
        <f t="shared" ref="M18:M23" si="41">((2*$B$11)/$B$8)-(2*$B$11*H18)/$B$8^2</f>
        <v>0.30625000000000002</v>
      </c>
      <c r="O18">
        <v>2</v>
      </c>
      <c r="P18" s="4">
        <f t="shared" ref="P18:P48" si="42">-2*PI()*($B$3-L18)</f>
        <v>1.9973210546367777</v>
      </c>
      <c r="Q18" s="4">
        <f t="shared" ref="Q18:Q48" si="43">-2*PI()*($B$3-M18)</f>
        <v>1.9973210546367777</v>
      </c>
      <c r="U18" s="10"/>
      <c r="V18" s="5">
        <f t="shared" si="0"/>
        <v>3.125E-2</v>
      </c>
      <c r="W18" s="5">
        <f>H19-E17</f>
        <v>7.8125E-2</v>
      </c>
      <c r="X18" s="5">
        <f>H19-E18</f>
        <v>4.6875E-2</v>
      </c>
      <c r="Y18" s="5">
        <f>H19-E19</f>
        <v>1.5625E-2</v>
      </c>
      <c r="Z18" s="5">
        <f>H19-E20</f>
        <v>-1.5625E-2</v>
      </c>
      <c r="AA18" s="5">
        <f>H19-E21</f>
        <v>-4.6875E-2</v>
      </c>
      <c r="AB18" s="5">
        <f>H19-E22</f>
        <v>-7.8125E-2</v>
      </c>
      <c r="AC18" s="5">
        <f>H19-E23</f>
        <v>-0.109375</v>
      </c>
      <c r="AD18" s="5">
        <f>H19-E24</f>
        <v>-0.140625</v>
      </c>
      <c r="AE18" s="5">
        <f>H19-E25</f>
        <v>-0.171875</v>
      </c>
      <c r="AF18" s="5">
        <f>H19-E26</f>
        <v>-0.203125</v>
      </c>
      <c r="AG18" s="5">
        <f>H19-E27</f>
        <v>-0.234375</v>
      </c>
      <c r="AH18" s="5">
        <f>H19-E28</f>
        <v>-0.265625</v>
      </c>
      <c r="AI18" s="5">
        <f>H19-E29</f>
        <v>-0.296875</v>
      </c>
      <c r="AJ18" s="5">
        <f>H19-E30</f>
        <v>-0.328125</v>
      </c>
      <c r="AK18" s="5">
        <f>H19-E31</f>
        <v>-0.359375</v>
      </c>
      <c r="AL18" s="5">
        <f>H19-E32</f>
        <v>-0.390625</v>
      </c>
      <c r="AM18" s="5">
        <f>H19-E33</f>
        <v>-0.421875</v>
      </c>
      <c r="AN18" s="5">
        <f>H19-E34</f>
        <v>-0.453125</v>
      </c>
      <c r="AO18" s="5">
        <f>H19-E35</f>
        <v>-0.484375</v>
      </c>
      <c r="AP18" s="5">
        <f>H19-E36</f>
        <v>-0.515625</v>
      </c>
      <c r="AQ18" s="5">
        <f>H19-E37</f>
        <v>-0.546875</v>
      </c>
      <c r="AR18" s="5">
        <f>H19-E38</f>
        <v>-0.578125</v>
      </c>
      <c r="AS18" s="5">
        <f>H19-E39</f>
        <v>-0.609375</v>
      </c>
      <c r="AT18" s="5">
        <f>H19-E40</f>
        <v>-0.640625</v>
      </c>
      <c r="AU18" s="5">
        <f>H19-E41</f>
        <v>-0.671875</v>
      </c>
      <c r="AV18" s="5">
        <f>H19-E42</f>
        <v>-0.703125</v>
      </c>
      <c r="AW18" s="5">
        <f>H19-E43</f>
        <v>-0.734375</v>
      </c>
      <c r="AX18" s="5">
        <f>H19-E44</f>
        <v>-0.765625</v>
      </c>
      <c r="AY18" s="5">
        <f>H19-E45</f>
        <v>-0.796875</v>
      </c>
      <c r="AZ18" s="5">
        <f>H19-E46</f>
        <v>-0.828125</v>
      </c>
      <c r="BA18" s="5">
        <f>H19-E47</f>
        <v>-0.859375</v>
      </c>
      <c r="BB18" s="5">
        <f>H19-E48</f>
        <v>-0.890625</v>
      </c>
      <c r="BC18" s="5">
        <f t="shared" si="1"/>
        <v>-0.921875</v>
      </c>
      <c r="BD18" s="5"/>
      <c r="BE18">
        <v>3</v>
      </c>
      <c r="BF18" s="5">
        <f t="shared" si="2"/>
        <v>-0.23376156435101392</v>
      </c>
      <c r="BG18" s="5">
        <f t="shared" si="3"/>
        <v>-0.7277579150809218</v>
      </c>
      <c r="BH18" s="5">
        <f t="shared" si="4"/>
        <v>-1.6479184330021646</v>
      </c>
      <c r="BI18" s="5">
        <f t="shared" si="5"/>
        <v>1.6479184330021646</v>
      </c>
      <c r="BJ18" s="5">
        <f t="shared" si="6"/>
        <v>0.7277579150809218</v>
      </c>
      <c r="BK18" s="5">
        <f t="shared" si="7"/>
        <v>0.41141439252525902</v>
      </c>
      <c r="BL18" s="5">
        <f t="shared" si="8"/>
        <v>0.28973433571104545</v>
      </c>
      <c r="BM18" s="5">
        <f t="shared" si="9"/>
        <v>0.22408832605866014</v>
      </c>
      <c r="BN18" s="5">
        <f t="shared" si="10"/>
        <v>0.18283342073089992</v>
      </c>
      <c r="BO18" s="5">
        <f t="shared" si="11"/>
        <v>0.154458861657635</v>
      </c>
      <c r="BP18" s="5">
        <f t="shared" si="12"/>
        <v>0.13373123144467491</v>
      </c>
      <c r="BQ18" s="5">
        <f t="shared" si="13"/>
        <v>0.11791996139208694</v>
      </c>
      <c r="BR18" s="5">
        <f t="shared" si="14"/>
        <v>0.10545841641141018</v>
      </c>
      <c r="BS18" s="5">
        <f t="shared" si="15"/>
        <v>9.5382593074523014E-2</v>
      </c>
      <c r="BT18" s="5">
        <f t="shared" si="16"/>
        <v>8.7066440578006166E-2</v>
      </c>
      <c r="BU18" s="5">
        <f t="shared" si="17"/>
        <v>8.0085552538646798E-2</v>
      </c>
      <c r="BV18" s="5">
        <f t="shared" si="18"/>
        <v>7.4141963539498312E-2</v>
      </c>
      <c r="BW18" s="5">
        <f t="shared" si="19"/>
        <v>6.9020290970460141E-2</v>
      </c>
      <c r="BX18" s="5">
        <f t="shared" si="20"/>
        <v>6.4560959961263764E-2</v>
      </c>
      <c r="BY18" s="5">
        <f t="shared" si="21"/>
        <v>6.0643217190658572E-2</v>
      </c>
      <c r="BZ18" s="5">
        <f t="shared" si="22"/>
        <v>5.717399598559858E-2</v>
      </c>
      <c r="CA18" s="5">
        <f t="shared" si="23"/>
        <v>5.4080407756537996E-2</v>
      </c>
      <c r="CB18" s="5">
        <f t="shared" si="24"/>
        <v>5.1304552300254214E-2</v>
      </c>
      <c r="CC18" s="5">
        <f t="shared" si="25"/>
        <v>4.8799852063077576E-2</v>
      </c>
      <c r="CD18" s="5">
        <f t="shared" si="26"/>
        <v>4.652841244732131E-2</v>
      </c>
      <c r="CE18" s="5">
        <f t="shared" si="27"/>
        <v>4.4459087933579555E-2</v>
      </c>
      <c r="CF18" s="5">
        <f t="shared" si="28"/>
        <v>4.2566043169792844E-2</v>
      </c>
      <c r="CG18" s="5">
        <f t="shared" si="29"/>
        <v>4.082766723597997E-2</v>
      </c>
      <c r="CH18" s="5">
        <f t="shared" si="30"/>
        <v>3.9225743900967114E-2</v>
      </c>
      <c r="CI18" s="5">
        <f t="shared" si="31"/>
        <v>3.7744810100797999E-2</v>
      </c>
      <c r="CJ18" s="5">
        <f t="shared" si="32"/>
        <v>3.6371654630008021E-2</v>
      </c>
      <c r="CK18" s="5">
        <f t="shared" si="33"/>
        <v>3.5094922542318052E-2</v>
      </c>
      <c r="CL18">
        <v>3</v>
      </c>
      <c r="CM18" s="4">
        <v>2.1090020035995201E-2</v>
      </c>
      <c r="CN18" s="4">
        <v>0.21977840464810813</v>
      </c>
      <c r="CO18" s="4">
        <v>-0.27337826672099919</v>
      </c>
      <c r="CP18" s="4">
        <v>-8.1049431413912507E-2</v>
      </c>
      <c r="CQ18" s="4">
        <v>-6.258842816913146E-2</v>
      </c>
      <c r="CR18" s="4">
        <v>-5.0418757039825721E-2</v>
      </c>
      <c r="CS18" s="4">
        <v>-4.3602734323407936E-2</v>
      </c>
      <c r="CT18" s="4">
        <v>-3.9143075970696814E-2</v>
      </c>
      <c r="CU18" s="4">
        <v>-3.6025464973669881E-2</v>
      </c>
      <c r="CV18" s="4">
        <v>-3.3745570763140068E-2</v>
      </c>
      <c r="CW18" s="4">
        <v>-3.2031084074426404E-2</v>
      </c>
      <c r="CX18" s="4">
        <v>-3.0721939481817409E-2</v>
      </c>
      <c r="CY18" s="4">
        <v>-2.9718486863064709E-2</v>
      </c>
      <c r="CZ18" s="4">
        <v>-2.8956181618044693E-2</v>
      </c>
      <c r="DA18" s="4">
        <v>-2.8392284508603871E-2</v>
      </c>
      <c r="DB18" s="4">
        <v>-2.799847678730346E-2</v>
      </c>
      <c r="DC18" s="4">
        <v>-2.7756627801208029E-2</v>
      </c>
      <c r="DD18" s="4">
        <v>-2.7656379933315642E-2</v>
      </c>
      <c r="DE18" s="4">
        <v>-2.7693887861285196E-2</v>
      </c>
      <c r="DF18" s="4">
        <v>-2.787140124056808E-2</v>
      </c>
      <c r="DG18" s="4">
        <v>-2.8197599584968008E-2</v>
      </c>
      <c r="DH18" s="4">
        <v>-2.8688773573614081E-2</v>
      </c>
      <c r="DI18" s="4">
        <v>-2.937117641072198E-2</v>
      </c>
      <c r="DJ18" s="4">
        <v>-3.0285251887186251E-2</v>
      </c>
      <c r="DK18" s="4">
        <v>-3.1493208339494476E-2</v>
      </c>
      <c r="DL18" s="4">
        <v>-3.3093114776097478E-2</v>
      </c>
      <c r="DM18" s="4">
        <v>-3.524687826185316E-2</v>
      </c>
      <c r="DN18" s="4">
        <v>-3.8242084180634323E-2</v>
      </c>
      <c r="DO18" s="4">
        <v>-4.2633477976826761E-2</v>
      </c>
      <c r="DP18" s="4">
        <v>-4.9882480782280227E-2</v>
      </c>
      <c r="DQ18" s="4">
        <v>-6.1200818542481078E-2</v>
      </c>
      <c r="DR18" s="4">
        <v>-0.14061238872745307</v>
      </c>
    </row>
    <row r="19" spans="2:122" x14ac:dyDescent="0.25">
      <c r="B19" s="1">
        <v>3</v>
      </c>
      <c r="C19" s="10"/>
      <c r="D19" s="10"/>
      <c r="E19" s="2">
        <f t="shared" ref="E19:E49" si="44">$B$6*B18</f>
        <v>6.25E-2</v>
      </c>
      <c r="F19" s="2">
        <f t="shared" si="34"/>
        <v>2.1093749999999998E-2</v>
      </c>
      <c r="G19" s="2">
        <f t="shared" si="35"/>
        <v>2.1093749999999998E-2</v>
      </c>
      <c r="H19" s="2">
        <f t="shared" si="36"/>
        <v>7.8125E-2</v>
      </c>
      <c r="I19" s="2">
        <f>(E20+E19)/2</f>
        <v>7.8125E-2</v>
      </c>
      <c r="J19" s="2">
        <f t="shared" si="38"/>
        <v>2.490234375E-2</v>
      </c>
      <c r="K19" s="2">
        <f t="shared" si="39"/>
        <v>2.490234375E-2</v>
      </c>
      <c r="L19" s="2">
        <f t="shared" si="40"/>
        <v>0.24374999999999999</v>
      </c>
      <c r="M19" s="14">
        <f t="shared" si="41"/>
        <v>0.24374999999999999</v>
      </c>
      <c r="O19">
        <v>3</v>
      </c>
      <c r="P19" s="4">
        <f t="shared" si="42"/>
        <v>1.6046219729380535</v>
      </c>
      <c r="Q19" s="4">
        <f t="shared" si="43"/>
        <v>1.6046219729380535</v>
      </c>
      <c r="U19" s="10"/>
      <c r="V19" s="5">
        <f t="shared" si="0"/>
        <v>3.125E-2</v>
      </c>
      <c r="W19" s="5">
        <f>H20-E17</f>
        <v>0.109375</v>
      </c>
      <c r="X19" s="5">
        <f>H20-E18</f>
        <v>7.8125E-2</v>
      </c>
      <c r="Y19" s="5">
        <f>H20-E19</f>
        <v>4.6875E-2</v>
      </c>
      <c r="Z19" s="5">
        <f>H20-E20</f>
        <v>1.5625E-2</v>
      </c>
      <c r="AA19" s="5">
        <f>H20-E21</f>
        <v>-1.5625E-2</v>
      </c>
      <c r="AB19" s="5">
        <f>H20-E22</f>
        <v>-4.6875E-2</v>
      </c>
      <c r="AC19" s="5">
        <f>H20-E23</f>
        <v>-7.8125E-2</v>
      </c>
      <c r="AD19" s="5">
        <f>H20-E24</f>
        <v>-0.109375</v>
      </c>
      <c r="AE19" s="5">
        <f>H20-E25</f>
        <v>-0.140625</v>
      </c>
      <c r="AF19" s="5">
        <f>H20-E26</f>
        <v>-0.171875</v>
      </c>
      <c r="AG19" s="5">
        <f>H20-E27</f>
        <v>-0.203125</v>
      </c>
      <c r="AH19" s="5">
        <f>H20-E28</f>
        <v>-0.234375</v>
      </c>
      <c r="AI19" s="5">
        <f>H20-E29</f>
        <v>-0.265625</v>
      </c>
      <c r="AJ19" s="5">
        <f>H20-E30</f>
        <v>-0.296875</v>
      </c>
      <c r="AK19" s="5">
        <f>H20-E31</f>
        <v>-0.328125</v>
      </c>
      <c r="AL19" s="5">
        <f>H20-E32</f>
        <v>-0.359375</v>
      </c>
      <c r="AM19" s="5">
        <f>H20-E33</f>
        <v>-0.390625</v>
      </c>
      <c r="AN19" s="5">
        <f>H20-E34</f>
        <v>-0.421875</v>
      </c>
      <c r="AO19" s="5">
        <f>H20-E35</f>
        <v>-0.453125</v>
      </c>
      <c r="AP19" s="5">
        <f>H20-E36</f>
        <v>-0.484375</v>
      </c>
      <c r="AQ19" s="5">
        <f>H20-E37</f>
        <v>-0.515625</v>
      </c>
      <c r="AR19" s="5">
        <f>H20-E38</f>
        <v>-0.546875</v>
      </c>
      <c r="AS19" s="5">
        <f>H20-E39</f>
        <v>-0.578125</v>
      </c>
      <c r="AT19" s="5">
        <f>H20-E40</f>
        <v>-0.609375</v>
      </c>
      <c r="AU19" s="5">
        <f>H20-E41</f>
        <v>-0.640625</v>
      </c>
      <c r="AV19" s="5">
        <f>H20-E42</f>
        <v>-0.671875</v>
      </c>
      <c r="AW19" s="5">
        <f>H20-E43</f>
        <v>-0.703125</v>
      </c>
      <c r="AX19" s="5">
        <f>H20-E44</f>
        <v>-0.734375</v>
      </c>
      <c r="AY19" s="5">
        <f>H20-E45</f>
        <v>-0.765625</v>
      </c>
      <c r="AZ19" s="5">
        <f>H20-E46</f>
        <v>-0.796875</v>
      </c>
      <c r="BA19" s="5">
        <f>H20-E47</f>
        <v>-0.828125</v>
      </c>
      <c r="BB19" s="5">
        <f>H20-E48</f>
        <v>-0.859375</v>
      </c>
      <c r="BC19" s="5">
        <f t="shared" si="1"/>
        <v>-0.890625</v>
      </c>
      <c r="BD19" s="5"/>
      <c r="BE19">
        <v>4</v>
      </c>
      <c r="BF19" s="5">
        <f t="shared" si="2"/>
        <v>-0.15881940844696774</v>
      </c>
      <c r="BG19" s="5">
        <f t="shared" si="3"/>
        <v>-0.41141439252525902</v>
      </c>
      <c r="BH19" s="5">
        <f t="shared" si="4"/>
        <v>-0.7277579150809218</v>
      </c>
      <c r="BI19" s="5">
        <f t="shared" si="5"/>
        <v>-1.6479184330021646</v>
      </c>
      <c r="BJ19" s="5">
        <f t="shared" si="6"/>
        <v>1.6479184330021646</v>
      </c>
      <c r="BK19" s="5">
        <f t="shared" si="7"/>
        <v>0.7277579150809218</v>
      </c>
      <c r="BL19" s="5">
        <f t="shared" si="8"/>
        <v>0.41141439252525902</v>
      </c>
      <c r="BM19" s="5">
        <f t="shared" si="9"/>
        <v>0.28973433571104545</v>
      </c>
      <c r="BN19" s="5">
        <f t="shared" si="10"/>
        <v>0.22408832605866014</v>
      </c>
      <c r="BO19" s="5">
        <f t="shared" si="11"/>
        <v>0.18283342073089992</v>
      </c>
      <c r="BP19" s="5">
        <f t="shared" si="12"/>
        <v>0.154458861657635</v>
      </c>
      <c r="BQ19" s="5">
        <f t="shared" si="13"/>
        <v>0.13373123144467491</v>
      </c>
      <c r="BR19" s="5">
        <f t="shared" si="14"/>
        <v>0.11791996139208694</v>
      </c>
      <c r="BS19" s="5">
        <f t="shared" si="15"/>
        <v>0.10545841641141018</v>
      </c>
      <c r="BT19" s="5">
        <f t="shared" si="16"/>
        <v>9.5382593074523014E-2</v>
      </c>
      <c r="BU19" s="5">
        <f t="shared" si="17"/>
        <v>8.7066440578006166E-2</v>
      </c>
      <c r="BV19" s="5">
        <f t="shared" si="18"/>
        <v>8.0085552538646798E-2</v>
      </c>
      <c r="BW19" s="5">
        <f t="shared" si="19"/>
        <v>7.4141963539498312E-2</v>
      </c>
      <c r="BX19" s="5">
        <f t="shared" si="20"/>
        <v>6.9020290970460141E-2</v>
      </c>
      <c r="BY19" s="5">
        <f t="shared" si="21"/>
        <v>6.4560959961263764E-2</v>
      </c>
      <c r="BZ19" s="5">
        <f t="shared" si="22"/>
        <v>6.0643217190658572E-2</v>
      </c>
      <c r="CA19" s="5">
        <f t="shared" si="23"/>
        <v>5.717399598559858E-2</v>
      </c>
      <c r="CB19" s="5">
        <f t="shared" si="24"/>
        <v>5.4080407756537996E-2</v>
      </c>
      <c r="CC19" s="5">
        <f t="shared" si="25"/>
        <v>5.1304552300254214E-2</v>
      </c>
      <c r="CD19" s="5">
        <f t="shared" si="26"/>
        <v>4.8799852063077576E-2</v>
      </c>
      <c r="CE19" s="5">
        <f t="shared" si="27"/>
        <v>4.652841244732131E-2</v>
      </c>
      <c r="CF19" s="5">
        <f t="shared" si="28"/>
        <v>4.4459087933579555E-2</v>
      </c>
      <c r="CG19" s="5">
        <f t="shared" si="29"/>
        <v>4.2566043169792844E-2</v>
      </c>
      <c r="CH19" s="5">
        <f t="shared" si="30"/>
        <v>4.082766723597997E-2</v>
      </c>
      <c r="CI19" s="5">
        <f t="shared" si="31"/>
        <v>3.9225743900967114E-2</v>
      </c>
      <c r="CJ19" s="5">
        <f t="shared" si="32"/>
        <v>3.7744810100797999E-2</v>
      </c>
      <c r="CK19" s="5">
        <f t="shared" si="33"/>
        <v>3.6371654630008021E-2</v>
      </c>
      <c r="CL19">
        <v>4</v>
      </c>
      <c r="CM19" s="4">
        <v>1.4534184857359704E-2</v>
      </c>
      <c r="CN19" s="4">
        <v>3.6580298653820689E-2</v>
      </c>
      <c r="CO19" s="4">
        <v>0.2288598987523188</v>
      </c>
      <c r="CP19" s="4">
        <v>-0.26581574829559423</v>
      </c>
      <c r="CQ19" s="4">
        <v>-7.4442680152949761E-2</v>
      </c>
      <c r="CR19" s="4">
        <v>-5.6606046214531344E-2</v>
      </c>
      <c r="CS19" s="4">
        <v>-4.4883310250779115E-2</v>
      </c>
      <c r="CT19" s="4">
        <v>-3.8403511200202904E-2</v>
      </c>
      <c r="CU19" s="4">
        <v>-3.4205532222182734E-2</v>
      </c>
      <c r="CV19" s="4">
        <v>-3.1296403240789382E-2</v>
      </c>
      <c r="CW19" s="4">
        <v>-2.9185313114279451E-2</v>
      </c>
      <c r="CX19" s="4">
        <v>-2.7608977860774726E-2</v>
      </c>
      <c r="CY19" s="4">
        <v>-2.6413616509364149E-2</v>
      </c>
      <c r="CZ19" s="4">
        <v>-2.5504113447874122E-2</v>
      </c>
      <c r="DA19" s="4">
        <v>-2.4819304805757687E-2</v>
      </c>
      <c r="DB19" s="4">
        <v>-2.4319059510601166E-2</v>
      </c>
      <c r="DC19" s="4">
        <v>-2.3977156186855905E-2</v>
      </c>
      <c r="DD19" s="4">
        <v>-2.3777249127032347E-2</v>
      </c>
      <c r="DE19" s="4">
        <v>-2.3710626631556896E-2</v>
      </c>
      <c r="DF19" s="4">
        <v>-2.3775132550712751E-2</v>
      </c>
      <c r="DG19" s="4">
        <v>-2.3974980713293795E-2</v>
      </c>
      <c r="DH19" s="4">
        <v>-2.4321433783289839E-2</v>
      </c>
      <c r="DI19" s="4">
        <v>-2.4834554586438448E-2</v>
      </c>
      <c r="DJ19" s="4">
        <v>-2.5546581345751392E-2</v>
      </c>
      <c r="DK19" s="4">
        <v>-2.6508126423817144E-2</v>
      </c>
      <c r="DL19" s="4">
        <v>-2.7799825962264418E-2</v>
      </c>
      <c r="DM19" s="4">
        <v>-2.9555551317118137E-2</v>
      </c>
      <c r="DN19" s="4">
        <v>-3.2013794503376512E-2</v>
      </c>
      <c r="DO19" s="4">
        <v>-3.5635295164155409E-2</v>
      </c>
      <c r="DP19" s="4">
        <v>-4.163495782467172E-2</v>
      </c>
      <c r="DQ19" s="4">
        <v>-5.1019386073340743E-2</v>
      </c>
      <c r="DR19" s="4">
        <v>-0.11705197643079714</v>
      </c>
    </row>
    <row r="20" spans="2:122" x14ac:dyDescent="0.25">
      <c r="B20" s="1">
        <v>4</v>
      </c>
      <c r="C20" s="10"/>
      <c r="D20" s="10"/>
      <c r="E20" s="2">
        <f t="shared" si="44"/>
        <v>9.375E-2</v>
      </c>
      <c r="F20" s="2">
        <f t="shared" si="34"/>
        <v>2.8710937499999999E-2</v>
      </c>
      <c r="G20" s="2">
        <f t="shared" si="35"/>
        <v>2.8710937499999999E-2</v>
      </c>
      <c r="H20" s="2">
        <f t="shared" si="36"/>
        <v>0.109375</v>
      </c>
      <c r="I20" s="2">
        <f>(E21+E20)/2</f>
        <v>0.109375</v>
      </c>
      <c r="J20" s="2">
        <f t="shared" si="38"/>
        <v>3.1542968749999997E-2</v>
      </c>
      <c r="K20" s="2">
        <f t="shared" si="39"/>
        <v>3.1542968749999997E-2</v>
      </c>
      <c r="L20" s="2">
        <f t="shared" si="40"/>
        <v>0.18124999999999999</v>
      </c>
      <c r="M20" s="14">
        <f t="shared" si="41"/>
        <v>0.18124999999999999</v>
      </c>
      <c r="O20">
        <v>4</v>
      </c>
      <c r="P20" s="4">
        <f t="shared" si="42"/>
        <v>1.2119228912393294</v>
      </c>
      <c r="Q20" s="4">
        <f t="shared" si="43"/>
        <v>1.2119228912393294</v>
      </c>
      <c r="U20" s="10"/>
      <c r="V20" s="5">
        <f t="shared" si="0"/>
        <v>3.125E-2</v>
      </c>
      <c r="W20" s="5">
        <f>H21-E17</f>
        <v>0.140625</v>
      </c>
      <c r="X20" s="5">
        <f>H21-E18</f>
        <v>0.109375</v>
      </c>
      <c r="Y20" s="5">
        <f>H21-E19</f>
        <v>7.8125E-2</v>
      </c>
      <c r="Z20" s="5">
        <f>H21-E20</f>
        <v>4.6875E-2</v>
      </c>
      <c r="AA20" s="5">
        <f>H21-E21</f>
        <v>1.5625E-2</v>
      </c>
      <c r="AB20" s="5">
        <f>H21-E22</f>
        <v>-1.5625E-2</v>
      </c>
      <c r="AC20" s="5">
        <f>H21-E23</f>
        <v>-4.6875E-2</v>
      </c>
      <c r="AD20" s="5">
        <f>H21-E24</f>
        <v>-7.8125E-2</v>
      </c>
      <c r="AE20" s="5">
        <f>H21-E25</f>
        <v>-0.109375</v>
      </c>
      <c r="AF20" s="5">
        <f>H21-E26</f>
        <v>-0.140625</v>
      </c>
      <c r="AG20" s="5">
        <f>H21-E27</f>
        <v>-0.171875</v>
      </c>
      <c r="AH20" s="5">
        <f>H21-E28</f>
        <v>-0.203125</v>
      </c>
      <c r="AI20" s="5">
        <f>H21-E29</f>
        <v>-0.234375</v>
      </c>
      <c r="AJ20" s="5">
        <f>H21-E30</f>
        <v>-0.265625</v>
      </c>
      <c r="AK20" s="5">
        <f>H21-E31</f>
        <v>-0.296875</v>
      </c>
      <c r="AL20" s="5">
        <f>H21-E32</f>
        <v>-0.328125</v>
      </c>
      <c r="AM20" s="5">
        <f>H21-E33</f>
        <v>-0.359375</v>
      </c>
      <c r="AN20" s="5">
        <f>H21-E34</f>
        <v>-0.390625</v>
      </c>
      <c r="AO20" s="5">
        <f>H21-E35</f>
        <v>-0.421875</v>
      </c>
      <c r="AP20" s="5">
        <f>H21-E36</f>
        <v>-0.453125</v>
      </c>
      <c r="AQ20" s="5">
        <f>H21-E37</f>
        <v>-0.484375</v>
      </c>
      <c r="AR20" s="5">
        <f>H21-E38</f>
        <v>-0.515625</v>
      </c>
      <c r="AS20" s="5">
        <f>H21-E39</f>
        <v>-0.546875</v>
      </c>
      <c r="AT20" s="5">
        <f>H21-E40</f>
        <v>-0.578125</v>
      </c>
      <c r="AU20" s="5">
        <f>H21-E41</f>
        <v>-0.609375</v>
      </c>
      <c r="AV20" s="5">
        <f>H21-E42</f>
        <v>-0.640625</v>
      </c>
      <c r="AW20" s="5">
        <f>H21-E43</f>
        <v>-0.671875</v>
      </c>
      <c r="AX20" s="5">
        <f>H21-E44</f>
        <v>-0.703125</v>
      </c>
      <c r="AY20" s="5">
        <f>H21-E45</f>
        <v>-0.734375</v>
      </c>
      <c r="AZ20" s="5">
        <f>H21-E46</f>
        <v>-0.765625</v>
      </c>
      <c r="BA20" s="5">
        <f>H21-E47</f>
        <v>-0.796875</v>
      </c>
      <c r="BB20" s="5">
        <f>H21-E48</f>
        <v>-0.828125</v>
      </c>
      <c r="BC20" s="5">
        <f t="shared" si="1"/>
        <v>-0.859375</v>
      </c>
      <c r="BD20" s="5"/>
      <c r="BE20">
        <v>5</v>
      </c>
      <c r="BF20" s="5">
        <f t="shared" si="2"/>
        <v>-0.12039950101682884</v>
      </c>
      <c r="BG20" s="5">
        <f t="shared" si="3"/>
        <v>-0.28973433571104501</v>
      </c>
      <c r="BH20" s="5">
        <f t="shared" si="4"/>
        <v>-0.41141439252525902</v>
      </c>
      <c r="BI20" s="5">
        <f t="shared" si="5"/>
        <v>-0.7277579150809218</v>
      </c>
      <c r="BJ20" s="5">
        <f t="shared" si="6"/>
        <v>-1.6479184330021646</v>
      </c>
      <c r="BK20" s="5">
        <f t="shared" si="7"/>
        <v>1.6479184330021646</v>
      </c>
      <c r="BL20" s="5">
        <f t="shared" si="8"/>
        <v>0.7277579150809218</v>
      </c>
      <c r="BM20" s="5">
        <f t="shared" si="9"/>
        <v>0.41141439252525902</v>
      </c>
      <c r="BN20" s="5">
        <f t="shared" si="10"/>
        <v>0.28973433571104545</v>
      </c>
      <c r="BO20" s="5">
        <f t="shared" si="11"/>
        <v>0.22408832605866014</v>
      </c>
      <c r="BP20" s="5">
        <f t="shared" si="12"/>
        <v>0.18283342073089992</v>
      </c>
      <c r="BQ20" s="5">
        <f t="shared" si="13"/>
        <v>0.154458861657635</v>
      </c>
      <c r="BR20" s="5">
        <f t="shared" si="14"/>
        <v>0.13373123144467491</v>
      </c>
      <c r="BS20" s="5">
        <f t="shared" si="15"/>
        <v>0.11791996139208694</v>
      </c>
      <c r="BT20" s="5">
        <f t="shared" si="16"/>
        <v>0.10545841641141018</v>
      </c>
      <c r="BU20" s="5">
        <f t="shared" si="17"/>
        <v>9.5382593074523014E-2</v>
      </c>
      <c r="BV20" s="5">
        <f t="shared" si="18"/>
        <v>8.7066440578006166E-2</v>
      </c>
      <c r="BW20" s="5">
        <f t="shared" si="19"/>
        <v>8.0085552538646798E-2</v>
      </c>
      <c r="BX20" s="5">
        <f t="shared" si="20"/>
        <v>7.4141963539498312E-2</v>
      </c>
      <c r="BY20" s="5">
        <f t="shared" si="21"/>
        <v>6.9020290970460141E-2</v>
      </c>
      <c r="BZ20" s="5">
        <f t="shared" si="22"/>
        <v>6.4560959961263764E-2</v>
      </c>
      <c r="CA20" s="5">
        <f t="shared" si="23"/>
        <v>6.0643217190658572E-2</v>
      </c>
      <c r="CB20" s="5">
        <f t="shared" si="24"/>
        <v>5.717399598559858E-2</v>
      </c>
      <c r="CC20" s="5">
        <f t="shared" si="25"/>
        <v>5.4080407756537996E-2</v>
      </c>
      <c r="CD20" s="5">
        <f t="shared" si="26"/>
        <v>5.1304552300254214E-2</v>
      </c>
      <c r="CE20" s="5">
        <f t="shared" si="27"/>
        <v>4.8799852063077576E-2</v>
      </c>
      <c r="CF20" s="5">
        <f t="shared" si="28"/>
        <v>4.652841244732131E-2</v>
      </c>
      <c r="CG20" s="5">
        <f t="shared" si="29"/>
        <v>4.4459087933579555E-2</v>
      </c>
      <c r="CH20" s="5">
        <f t="shared" si="30"/>
        <v>4.2566043169792844E-2</v>
      </c>
      <c r="CI20" s="5">
        <f t="shared" si="31"/>
        <v>4.082766723597997E-2</v>
      </c>
      <c r="CJ20" s="5">
        <f t="shared" si="32"/>
        <v>3.9225743900967114E-2</v>
      </c>
      <c r="CK20" s="5">
        <f t="shared" si="33"/>
        <v>3.7744810100797999E-2</v>
      </c>
      <c r="CL20">
        <v>5</v>
      </c>
      <c r="CM20" s="4">
        <v>8.6146724679533725E-3</v>
      </c>
      <c r="CN20" s="4">
        <v>2.3273070422868931E-2</v>
      </c>
      <c r="CO20" s="4">
        <v>4.1761566623539532E-2</v>
      </c>
      <c r="CP20" s="4">
        <v>0.23317196533353537</v>
      </c>
      <c r="CQ20" s="4">
        <v>-0.2620514853924375</v>
      </c>
      <c r="CR20" s="4">
        <v>-7.1038657879535172E-2</v>
      </c>
      <c r="CS20" s="4">
        <v>-5.3461551541890674E-2</v>
      </c>
      <c r="CT20" s="4">
        <v>-4.1935547841653001E-2</v>
      </c>
      <c r="CU20" s="4">
        <v>-3.561031086557636E-2</v>
      </c>
      <c r="CV20" s="4">
        <v>-3.1536954618386431E-2</v>
      </c>
      <c r="CW20" s="4">
        <v>-2.8730305254555475E-2</v>
      </c>
      <c r="CX20" s="4">
        <v>-2.6704807842386824E-2</v>
      </c>
      <c r="CY20" s="4">
        <v>-2.5200895926826242E-2</v>
      </c>
      <c r="CZ20" s="4">
        <v>-2.4067538152148182E-2</v>
      </c>
      <c r="DA20" s="4">
        <v>-2.3211749813978725E-2</v>
      </c>
      <c r="DB20" s="4">
        <v>-2.2574110021432267E-2</v>
      </c>
      <c r="DC20" s="4">
        <v>-2.2116011178036958E-2</v>
      </c>
      <c r="DD20" s="4">
        <v>-2.18126767207239E-2</v>
      </c>
      <c r="DE20" s="4">
        <v>-2.164926694504082E-2</v>
      </c>
      <c r="DF20" s="4">
        <v>-2.1618803405548399E-2</v>
      </c>
      <c r="DG20" s="4">
        <v>-2.1721319548902072E-2</v>
      </c>
      <c r="DH20" s="4">
        <v>-2.196402770802269E-2</v>
      </c>
      <c r="DI20" s="4">
        <v>-2.2362585318515944E-2</v>
      </c>
      <c r="DJ20" s="4">
        <v>-2.2943890404485183E-2</v>
      </c>
      <c r="DK20" s="4">
        <v>-2.3751433223543453E-2</v>
      </c>
      <c r="DL20" s="4">
        <v>-2.4855507074146199E-2</v>
      </c>
      <c r="DM20" s="4">
        <v>-2.6373670187979422E-2</v>
      </c>
      <c r="DN20" s="4">
        <v>-2.8516144615834581E-2</v>
      </c>
      <c r="DO20" s="4">
        <v>-3.1689817933866452E-2</v>
      </c>
      <c r="DP20" s="4">
        <v>-3.6968790259098036E-2</v>
      </c>
      <c r="DQ20" s="4">
        <v>-4.5242327757666768E-2</v>
      </c>
      <c r="DR20" s="4">
        <v>-0.10363982192974339</v>
      </c>
    </row>
    <row r="21" spans="2:122" x14ac:dyDescent="0.25">
      <c r="B21" s="1">
        <v>5</v>
      </c>
      <c r="C21" s="10"/>
      <c r="D21" s="10"/>
      <c r="E21" s="2">
        <f>$B$6*B20</f>
        <v>0.125</v>
      </c>
      <c r="F21" s="2">
        <f>($B$11/$B$8^2)*(2*E21*$B$8-E21^2)</f>
        <v>3.4374999999999996E-2</v>
      </c>
      <c r="G21" s="2">
        <f t="shared" si="35"/>
        <v>3.4374999999999996E-2</v>
      </c>
      <c r="H21" s="2">
        <f t="shared" si="36"/>
        <v>0.140625</v>
      </c>
      <c r="I21" s="2">
        <f t="shared" si="37"/>
        <v>0.140625</v>
      </c>
      <c r="J21" s="2">
        <f t="shared" si="38"/>
        <v>3.6230468749999994E-2</v>
      </c>
      <c r="K21" s="2">
        <f t="shared" si="39"/>
        <v>3.6230468749999994E-2</v>
      </c>
      <c r="L21" s="2">
        <f t="shared" si="40"/>
        <v>0.11875000000000002</v>
      </c>
      <c r="M21" s="14">
        <f t="shared" si="41"/>
        <v>0.11875000000000002</v>
      </c>
      <c r="O21">
        <v>5</v>
      </c>
      <c r="P21" s="4">
        <f t="shared" si="42"/>
        <v>0.81922380954060547</v>
      </c>
      <c r="Q21" s="4">
        <f t="shared" si="43"/>
        <v>0.81922380954060547</v>
      </c>
      <c r="U21" s="10"/>
      <c r="V21" s="5">
        <f t="shared" si="0"/>
        <v>3.125E-2</v>
      </c>
      <c r="W21" s="5">
        <f>H22-E17</f>
        <v>0.171875</v>
      </c>
      <c r="X21" s="5">
        <f>H22-E18</f>
        <v>0.140625</v>
      </c>
      <c r="Y21" s="5">
        <f>H22-E19</f>
        <v>0.109375</v>
      </c>
      <c r="Z21" s="5">
        <f>H22-E20</f>
        <v>7.8125E-2</v>
      </c>
      <c r="AA21" s="5">
        <f>H22-E21</f>
        <v>4.6875E-2</v>
      </c>
      <c r="AB21" s="5">
        <f>H22-E22</f>
        <v>1.5625E-2</v>
      </c>
      <c r="AC21" s="5">
        <f>H22-E23</f>
        <v>-1.5625E-2</v>
      </c>
      <c r="AD21" s="5">
        <f>H22-E24</f>
        <v>-4.6875E-2</v>
      </c>
      <c r="AE21" s="5">
        <f>H22-E25</f>
        <v>-7.8125E-2</v>
      </c>
      <c r="AF21" s="5">
        <f>H22-E26</f>
        <v>-0.109375</v>
      </c>
      <c r="AG21" s="5">
        <f>H22-E27</f>
        <v>-0.140625</v>
      </c>
      <c r="AH21" s="5">
        <f>H22-E28</f>
        <v>-0.171875</v>
      </c>
      <c r="AI21" s="5">
        <f>H22-E29</f>
        <v>-0.203125</v>
      </c>
      <c r="AJ21" s="5">
        <f>H22-E30</f>
        <v>-0.234375</v>
      </c>
      <c r="AK21" s="5">
        <f>H22-E31</f>
        <v>-0.265625</v>
      </c>
      <c r="AL21" s="5">
        <f>H22-E32</f>
        <v>-0.296875</v>
      </c>
      <c r="AM21" s="5">
        <f>H22-E33</f>
        <v>-0.328125</v>
      </c>
      <c r="AN21" s="5">
        <f>H22-E34</f>
        <v>-0.359375</v>
      </c>
      <c r="AO21" s="5">
        <f>H22-E35</f>
        <v>-0.390625</v>
      </c>
      <c r="AP21" s="5">
        <f>H22-E36</f>
        <v>-0.421875</v>
      </c>
      <c r="AQ21" s="5">
        <f>H22-E37</f>
        <v>-0.453125</v>
      </c>
      <c r="AR21" s="5">
        <f>H22-E38</f>
        <v>-0.484375</v>
      </c>
      <c r="AS21" s="5">
        <f>H22-E39</f>
        <v>-0.515625</v>
      </c>
      <c r="AT21" s="5">
        <f>H22-E40</f>
        <v>-0.546875</v>
      </c>
      <c r="AU21" s="5">
        <f>H22-E41</f>
        <v>-0.578125</v>
      </c>
      <c r="AV21" s="5">
        <f>H22-E42</f>
        <v>-0.609375</v>
      </c>
      <c r="AW21" s="5">
        <f>H22-E43</f>
        <v>-0.640625</v>
      </c>
      <c r="AX21" s="5">
        <f>H22-E44</f>
        <v>-0.671875</v>
      </c>
      <c r="AY21" s="5">
        <f>H22-E45</f>
        <v>-0.703125</v>
      </c>
      <c r="AZ21" s="5">
        <f>H22-E46</f>
        <v>-0.734375</v>
      </c>
      <c r="BA21" s="5">
        <f>H22-E47</f>
        <v>-0.765625</v>
      </c>
      <c r="BB21" s="5">
        <f>H22-E48</f>
        <v>-0.796875</v>
      </c>
      <c r="BC21" s="5">
        <f t="shared" si="1"/>
        <v>-0.828125</v>
      </c>
      <c r="BD21" s="5"/>
      <c r="BE21">
        <v>6</v>
      </c>
      <c r="BF21" s="5">
        <f t="shared" si="2"/>
        <v>-9.6981870420320027E-2</v>
      </c>
      <c r="BG21" s="5">
        <f t="shared" si="3"/>
        <v>-0.22408832605865991</v>
      </c>
      <c r="BH21" s="5">
        <f t="shared" si="4"/>
        <v>-0.28973433571104501</v>
      </c>
      <c r="BI21" s="5">
        <f t="shared" si="5"/>
        <v>-0.41141439252525902</v>
      </c>
      <c r="BJ21" s="5">
        <f t="shared" si="6"/>
        <v>-0.7277579150809218</v>
      </c>
      <c r="BK21" s="5">
        <f t="shared" si="7"/>
        <v>-1.6479184330021646</v>
      </c>
      <c r="BL21" s="5">
        <f t="shared" si="8"/>
        <v>1.6479184330021646</v>
      </c>
      <c r="BM21" s="5">
        <f t="shared" si="9"/>
        <v>0.7277579150809218</v>
      </c>
      <c r="BN21" s="5">
        <f t="shared" si="10"/>
        <v>0.41141439252525902</v>
      </c>
      <c r="BO21" s="5">
        <f t="shared" si="11"/>
        <v>0.28973433571104545</v>
      </c>
      <c r="BP21" s="5">
        <f t="shared" si="12"/>
        <v>0.22408832605866014</v>
      </c>
      <c r="BQ21" s="5">
        <f t="shared" si="13"/>
        <v>0.18283342073089992</v>
      </c>
      <c r="BR21" s="5">
        <f t="shared" si="14"/>
        <v>0.154458861657635</v>
      </c>
      <c r="BS21" s="5">
        <f t="shared" si="15"/>
        <v>0.13373123144467491</v>
      </c>
      <c r="BT21" s="5">
        <f t="shared" si="16"/>
        <v>0.11791996139208694</v>
      </c>
      <c r="BU21" s="5">
        <f t="shared" si="17"/>
        <v>0.10545841641141018</v>
      </c>
      <c r="BV21" s="5">
        <f t="shared" si="18"/>
        <v>9.5382593074523014E-2</v>
      </c>
      <c r="BW21" s="5">
        <f t="shared" si="19"/>
        <v>8.7066440578006166E-2</v>
      </c>
      <c r="BX21" s="5">
        <f t="shared" si="20"/>
        <v>8.0085552538646798E-2</v>
      </c>
      <c r="BY21" s="5">
        <f t="shared" si="21"/>
        <v>7.4141963539498312E-2</v>
      </c>
      <c r="BZ21" s="5">
        <f t="shared" si="22"/>
        <v>6.9020290970460141E-2</v>
      </c>
      <c r="CA21" s="5">
        <f t="shared" si="23"/>
        <v>6.4560959961263764E-2</v>
      </c>
      <c r="CB21" s="5">
        <f t="shared" si="24"/>
        <v>6.0643217190658572E-2</v>
      </c>
      <c r="CC21" s="5">
        <f t="shared" si="25"/>
        <v>5.717399598559858E-2</v>
      </c>
      <c r="CD21" s="5">
        <f t="shared" si="26"/>
        <v>5.4080407756537996E-2</v>
      </c>
      <c r="CE21" s="5">
        <f t="shared" si="27"/>
        <v>5.1304552300254214E-2</v>
      </c>
      <c r="CF21" s="5">
        <f t="shared" si="28"/>
        <v>4.8799852063077576E-2</v>
      </c>
      <c r="CG21" s="5">
        <f t="shared" si="29"/>
        <v>4.652841244732131E-2</v>
      </c>
      <c r="CH21" s="5">
        <f t="shared" si="30"/>
        <v>4.4459087933579555E-2</v>
      </c>
      <c r="CI21" s="5">
        <f t="shared" si="31"/>
        <v>4.2566043169792844E-2</v>
      </c>
      <c r="CJ21" s="5">
        <f t="shared" si="32"/>
        <v>4.082766723597997E-2</v>
      </c>
      <c r="CK21" s="5">
        <f t="shared" si="33"/>
        <v>3.9225743900967114E-2</v>
      </c>
      <c r="CL21">
        <v>6</v>
      </c>
      <c r="CM21" s="4">
        <v>5.9087199861388292E-3</v>
      </c>
      <c r="CN21" s="4">
        <v>1.4575753040578543E-2</v>
      </c>
      <c r="CO21" s="4">
        <v>2.6806162635079636E-2</v>
      </c>
      <c r="CP21" s="4">
        <v>4.4697897607084425E-2</v>
      </c>
      <c r="CQ21" s="4">
        <v>0.23573130034727044</v>
      </c>
      <c r="CR21" s="4">
        <v>-0.25974107314453632</v>
      </c>
      <c r="CS21" s="4">
        <v>-6.8908461286561445E-2</v>
      </c>
      <c r="CT21" s="4">
        <v>-5.1468824486646372E-2</v>
      </c>
      <c r="CU21" s="4">
        <v>-4.0051690687080692E-2</v>
      </c>
      <c r="CV21" s="4">
        <v>-3.3815138297308756E-2</v>
      </c>
      <c r="CW21" s="4">
        <v>-2.9815671826700075E-2</v>
      </c>
      <c r="CX21" s="4">
        <v>-2.7071782036440416E-2</v>
      </c>
      <c r="CY21" s="4">
        <v>-2.5100540896929424E-2</v>
      </c>
      <c r="CZ21" s="4">
        <v>-2.364436614745E-2</v>
      </c>
      <c r="DA21" s="4">
        <v>-2.2553813083023101E-2</v>
      </c>
      <c r="DB21" s="4">
        <v>-2.1737252720879952E-2</v>
      </c>
      <c r="DC21" s="4">
        <v>-2.1136516552261311E-2</v>
      </c>
      <c r="DD21" s="4">
        <v>-2.071426024057365E-2</v>
      </c>
      <c r="DE21" s="4">
        <v>-2.0447103439282154E-2</v>
      </c>
      <c r="DF21" s="4">
        <v>-2.032188924930765E-2</v>
      </c>
      <c r="DG21" s="4">
        <v>-2.033382780962581E-2</v>
      </c>
      <c r="DH21" s="4">
        <v>-2.0485988892387057E-2</v>
      </c>
      <c r="DI21" s="4">
        <v>-2.0790039645347206E-2</v>
      </c>
      <c r="DJ21" s="4">
        <v>-2.1268521438449324E-2</v>
      </c>
      <c r="DK21" s="4">
        <v>-2.1959546046268832E-2</v>
      </c>
      <c r="DL21" s="4">
        <v>-2.2925977520033756E-2</v>
      </c>
      <c r="DM21" s="4">
        <v>-2.427399481683621E-2</v>
      </c>
      <c r="DN21" s="4">
        <v>-2.6194410939018101E-2</v>
      </c>
      <c r="DO21" s="4">
        <v>-2.905743053328759E-2</v>
      </c>
      <c r="DP21" s="4">
        <v>-3.3841652586481794E-2</v>
      </c>
      <c r="DQ21" s="4">
        <v>-4.1356618573552842E-2</v>
      </c>
      <c r="DR21" s="4">
        <v>-9.4582456989465089E-2</v>
      </c>
    </row>
    <row r="22" spans="2:122" x14ac:dyDescent="0.25">
      <c r="B22" s="1">
        <v>6</v>
      </c>
      <c r="C22" s="10"/>
      <c r="D22" s="10"/>
      <c r="E22" s="2">
        <f t="shared" si="44"/>
        <v>0.15625</v>
      </c>
      <c r="F22" s="2">
        <f t="shared" si="34"/>
        <v>3.8085937499999993E-2</v>
      </c>
      <c r="G22" s="2">
        <f t="shared" si="35"/>
        <v>3.8085937499999993E-2</v>
      </c>
      <c r="H22" s="2">
        <f t="shared" si="36"/>
        <v>0.171875</v>
      </c>
      <c r="I22" s="2">
        <f t="shared" si="37"/>
        <v>0.171875</v>
      </c>
      <c r="J22" s="2">
        <f t="shared" si="38"/>
        <v>3.8964843749999999E-2</v>
      </c>
      <c r="K22" s="2">
        <f t="shared" si="39"/>
        <v>3.8964843749999999E-2</v>
      </c>
      <c r="L22" s="2">
        <f t="shared" si="40"/>
        <v>5.6250000000000022E-2</v>
      </c>
      <c r="M22" s="14">
        <f t="shared" si="41"/>
        <v>5.6250000000000022E-2</v>
      </c>
      <c r="O22">
        <v>6</v>
      </c>
      <c r="P22" s="4">
        <f t="shared" si="42"/>
        <v>0.42652472784188139</v>
      </c>
      <c r="Q22" s="4">
        <f t="shared" si="43"/>
        <v>0.42652472784188139</v>
      </c>
      <c r="U22" s="10"/>
      <c r="V22" s="5">
        <f t="shared" si="0"/>
        <v>3.125E-2</v>
      </c>
      <c r="W22" s="5">
        <f>H23-E17</f>
        <v>0.203125</v>
      </c>
      <c r="X22" s="5">
        <f>H23-E18</f>
        <v>0.171875</v>
      </c>
      <c r="Y22" s="5">
        <f>H23-E19</f>
        <v>0.140625</v>
      </c>
      <c r="Z22" s="5">
        <f>H23-E20</f>
        <v>0.109375</v>
      </c>
      <c r="AA22" s="5">
        <f>H23-E21</f>
        <v>7.8125E-2</v>
      </c>
      <c r="AB22" s="5">
        <f>H23-E22</f>
        <v>4.6875E-2</v>
      </c>
      <c r="AC22" s="5">
        <f>H23-E23</f>
        <v>1.5625E-2</v>
      </c>
      <c r="AD22" s="5">
        <f>H23-E24</f>
        <v>-1.5625E-2</v>
      </c>
      <c r="AE22" s="5">
        <f>H23-E25</f>
        <v>-4.6875E-2</v>
      </c>
      <c r="AF22" s="5">
        <f>H23-E26</f>
        <v>-7.8125E-2</v>
      </c>
      <c r="AG22" s="5">
        <f>H23-E27</f>
        <v>-0.109375</v>
      </c>
      <c r="AH22" s="5">
        <f>H23-E28</f>
        <v>-0.140625</v>
      </c>
      <c r="AI22" s="5">
        <f>H23-E29</f>
        <v>-0.171875</v>
      </c>
      <c r="AJ22" s="5">
        <f>H23-E30</f>
        <v>-0.203125</v>
      </c>
      <c r="AK22" s="5">
        <f>H23-E31</f>
        <v>-0.234375</v>
      </c>
      <c r="AL22" s="5">
        <f>H23-E32</f>
        <v>-0.265625</v>
      </c>
      <c r="AM22" s="5">
        <f>H23-E33</f>
        <v>-0.296875</v>
      </c>
      <c r="AN22" s="5">
        <f>H23-E34</f>
        <v>-0.328125</v>
      </c>
      <c r="AO22" s="5">
        <f>H23-E35</f>
        <v>-0.359375</v>
      </c>
      <c r="AP22" s="5">
        <f>H23-E36</f>
        <v>-0.390625</v>
      </c>
      <c r="AQ22" s="5">
        <f>H23-E37</f>
        <v>-0.421875</v>
      </c>
      <c r="AR22" s="5">
        <f>H23-E38</f>
        <v>-0.453125</v>
      </c>
      <c r="AS22" s="5">
        <f>H23-E39</f>
        <v>-0.484375</v>
      </c>
      <c r="AT22" s="5">
        <f>H23-E40</f>
        <v>-0.515625</v>
      </c>
      <c r="AU22" s="5">
        <f>H23-E41</f>
        <v>-0.546875</v>
      </c>
      <c r="AV22" s="5">
        <f>H23-E42</f>
        <v>-0.578125</v>
      </c>
      <c r="AW22" s="5">
        <f>H23-E43</f>
        <v>-0.609375</v>
      </c>
      <c r="AX22" s="5">
        <f>H23-E44</f>
        <v>-0.640625</v>
      </c>
      <c r="AY22" s="5">
        <f>H23-E45</f>
        <v>-0.671875</v>
      </c>
      <c r="AZ22" s="5">
        <f>H23-E46</f>
        <v>-0.703125</v>
      </c>
      <c r="BA22" s="5">
        <f>H23-E47</f>
        <v>-0.734375</v>
      </c>
      <c r="BB22" s="5">
        <f>H23-E48</f>
        <v>-0.765625</v>
      </c>
      <c r="BC22" s="5">
        <f t="shared" si="1"/>
        <v>-0.796875</v>
      </c>
      <c r="BD22" s="5"/>
      <c r="BE22">
        <v>7</v>
      </c>
      <c r="BF22" s="5">
        <f t="shared" si="2"/>
        <v>-8.1202534352585842E-2</v>
      </c>
      <c r="BG22" s="5">
        <f t="shared" si="3"/>
        <v>-0.18283342073090036</v>
      </c>
      <c r="BH22" s="5">
        <f t="shared" si="4"/>
        <v>-0.22408832605865991</v>
      </c>
      <c r="BI22" s="5">
        <f t="shared" si="5"/>
        <v>-0.28973433571104501</v>
      </c>
      <c r="BJ22" s="5">
        <f t="shared" si="6"/>
        <v>-0.41141439252525902</v>
      </c>
      <c r="BK22" s="5">
        <f t="shared" si="7"/>
        <v>-0.7277579150809218</v>
      </c>
      <c r="BL22" s="5">
        <f t="shared" si="8"/>
        <v>-1.6479184330021646</v>
      </c>
      <c r="BM22" s="5">
        <f t="shared" si="9"/>
        <v>1.6479184330021646</v>
      </c>
      <c r="BN22" s="5">
        <f t="shared" si="10"/>
        <v>0.7277579150809218</v>
      </c>
      <c r="BO22" s="5">
        <f t="shared" si="11"/>
        <v>0.41141439252525902</v>
      </c>
      <c r="BP22" s="5">
        <f t="shared" si="12"/>
        <v>0.28973433571104545</v>
      </c>
      <c r="BQ22" s="5">
        <f t="shared" si="13"/>
        <v>0.22408832605866014</v>
      </c>
      <c r="BR22" s="5">
        <f t="shared" si="14"/>
        <v>0.18283342073089992</v>
      </c>
      <c r="BS22" s="5">
        <f t="shared" si="15"/>
        <v>0.154458861657635</v>
      </c>
      <c r="BT22" s="5">
        <f t="shared" si="16"/>
        <v>0.13373123144467491</v>
      </c>
      <c r="BU22" s="5">
        <f t="shared" si="17"/>
        <v>0.11791996139208694</v>
      </c>
      <c r="BV22" s="5">
        <f t="shared" si="18"/>
        <v>0.10545841641141018</v>
      </c>
      <c r="BW22" s="5">
        <f t="shared" si="19"/>
        <v>9.5382593074523014E-2</v>
      </c>
      <c r="BX22" s="5">
        <f t="shared" si="20"/>
        <v>8.7066440578006166E-2</v>
      </c>
      <c r="BY22" s="5">
        <f t="shared" si="21"/>
        <v>8.0085552538646798E-2</v>
      </c>
      <c r="BZ22" s="5">
        <f t="shared" si="22"/>
        <v>7.4141963539498312E-2</v>
      </c>
      <c r="CA22" s="5">
        <f t="shared" si="23"/>
        <v>6.9020290970460141E-2</v>
      </c>
      <c r="CB22" s="5">
        <f t="shared" si="24"/>
        <v>6.4560959961263764E-2</v>
      </c>
      <c r="CC22" s="5">
        <f t="shared" si="25"/>
        <v>6.0643217190658572E-2</v>
      </c>
      <c r="CD22" s="5">
        <f t="shared" si="26"/>
        <v>5.717399598559858E-2</v>
      </c>
      <c r="CE22" s="5">
        <f t="shared" si="27"/>
        <v>5.4080407756537996E-2</v>
      </c>
      <c r="CF22" s="5">
        <f t="shared" si="28"/>
        <v>5.1304552300254214E-2</v>
      </c>
      <c r="CG22" s="5">
        <f t="shared" si="29"/>
        <v>4.8799852063077576E-2</v>
      </c>
      <c r="CH22" s="5">
        <f t="shared" si="30"/>
        <v>4.652841244732131E-2</v>
      </c>
      <c r="CI22" s="5">
        <f t="shared" si="31"/>
        <v>4.4459087933579555E-2</v>
      </c>
      <c r="CJ22" s="5">
        <f t="shared" si="32"/>
        <v>4.2566043169792844E-2</v>
      </c>
      <c r="CK22" s="5">
        <f t="shared" si="33"/>
        <v>4.082766723597997E-2</v>
      </c>
      <c r="CL22">
        <v>7</v>
      </c>
      <c r="CM22" s="4">
        <v>4.3256021544126064E-3</v>
      </c>
      <c r="CN22" s="4">
        <v>1.0241912424097452E-2</v>
      </c>
      <c r="CO22" s="4">
        <v>1.714372554629166E-2</v>
      </c>
      <c r="CP22" s="4">
        <v>2.8937154188702179E-2</v>
      </c>
      <c r="CQ22" s="4">
        <v>4.655212005078075E-2</v>
      </c>
      <c r="CR22" s="4">
        <v>0.23740196194474064</v>
      </c>
      <c r="CS22" s="4">
        <v>-0.25820401512223323</v>
      </c>
      <c r="CT22" s="4">
        <v>-6.7474000152580843E-2</v>
      </c>
      <c r="CU22" s="4">
        <v>-5.0116300583285686E-2</v>
      </c>
      <c r="CV22" s="4">
        <v>-3.8766619365069969E-2</v>
      </c>
      <c r="CW22" s="4">
        <v>-3.2587012570761215E-2</v>
      </c>
      <c r="CX22" s="4">
        <v>-2.8636713059192589E-2</v>
      </c>
      <c r="CY22" s="4">
        <v>-2.5936195096012044E-2</v>
      </c>
      <c r="CZ22" s="4">
        <v>-2.4004061046397553E-2</v>
      </c>
      <c r="DA22" s="4">
        <v>-2.258398979932226E-2</v>
      </c>
      <c r="DB22" s="4">
        <v>-2.1527657116990413E-2</v>
      </c>
      <c r="DC22" s="4">
        <v>-2.0744516828417364E-2</v>
      </c>
      <c r="DD22" s="4">
        <v>-2.0177543285271417E-2</v>
      </c>
      <c r="DE22" s="4">
        <v>-1.9790705376380512E-2</v>
      </c>
      <c r="DF22" s="4">
        <v>-1.9562250654619813E-2</v>
      </c>
      <c r="DG22" s="4">
        <v>-1.9481174999475548E-2</v>
      </c>
      <c r="DH22" s="4">
        <v>-1.9545696822016369E-2</v>
      </c>
      <c r="DI22" s="4">
        <v>-1.9763302068358277E-2</v>
      </c>
      <c r="DJ22" s="4">
        <v>-2.0152457851604241E-2</v>
      </c>
      <c r="DK22" s="4">
        <v>-2.0746717687306133E-2</v>
      </c>
      <c r="DL22" s="4">
        <v>-2.1603086069048143E-2</v>
      </c>
      <c r="DM22" s="4">
        <v>-2.2819164061533632E-2</v>
      </c>
      <c r="DN22" s="4">
        <v>-2.4571500599363444E-2</v>
      </c>
      <c r="DO22" s="4">
        <v>-2.7203681157527328E-2</v>
      </c>
      <c r="DP22" s="4">
        <v>-3.1625473555829141E-2</v>
      </c>
      <c r="DQ22" s="4">
        <v>-3.8588827049517466E-2</v>
      </c>
      <c r="DR22" s="4">
        <v>-8.8095328183735042E-2</v>
      </c>
    </row>
    <row r="23" spans="2:122" x14ac:dyDescent="0.25">
      <c r="B23" s="1">
        <v>7</v>
      </c>
      <c r="C23" s="10"/>
      <c r="D23" s="10"/>
      <c r="E23" s="2">
        <f t="shared" si="44"/>
        <v>0.1875</v>
      </c>
      <c r="F23" s="2">
        <f t="shared" si="34"/>
        <v>3.9843750000000004E-2</v>
      </c>
      <c r="G23" s="2">
        <f t="shared" si="35"/>
        <v>3.9843750000000004E-2</v>
      </c>
      <c r="H23" s="2">
        <f t="shared" si="36"/>
        <v>0.203125</v>
      </c>
      <c r="I23" s="2">
        <f t="shared" si="37"/>
        <v>0.203125</v>
      </c>
      <c r="J23" s="2">
        <f t="shared" si="38"/>
        <v>3.9910888671874999E-2</v>
      </c>
      <c r="K23" s="2">
        <f t="shared" si="39"/>
        <v>3.9910888671874999E-2</v>
      </c>
      <c r="L23" s="2">
        <f t="shared" si="40"/>
        <v>-6.2499999999999778E-3</v>
      </c>
      <c r="M23" s="14">
        <f t="shared" si="41"/>
        <v>-6.2499999999999778E-3</v>
      </c>
      <c r="O23">
        <v>7</v>
      </c>
      <c r="P23" s="4">
        <f t="shared" si="42"/>
        <v>3.3825646143157195E-2</v>
      </c>
      <c r="Q23" s="4">
        <f t="shared" si="43"/>
        <v>3.3825646143157195E-2</v>
      </c>
      <c r="U23" s="10"/>
      <c r="V23" s="5">
        <f t="shared" si="0"/>
        <v>3.125E-2</v>
      </c>
      <c r="W23" s="5">
        <f>H24-E17</f>
        <v>0.234375</v>
      </c>
      <c r="X23" s="5">
        <f>H24-E18</f>
        <v>0.203125</v>
      </c>
      <c r="Y23" s="5">
        <f>H24-E19</f>
        <v>0.171875</v>
      </c>
      <c r="Z23" s="5">
        <f>H24-E20</f>
        <v>0.140625</v>
      </c>
      <c r="AA23" s="5">
        <f>H24-E21</f>
        <v>0.109375</v>
      </c>
      <c r="AB23" s="5">
        <f>H24-E22</f>
        <v>7.8125E-2</v>
      </c>
      <c r="AC23" s="5">
        <f>H24-E23</f>
        <v>4.6875E-2</v>
      </c>
      <c r="AD23" s="5">
        <f>H24-E24</f>
        <v>1.5625E-2</v>
      </c>
      <c r="AE23" s="5">
        <f>H24-E25</f>
        <v>-1.5625E-2</v>
      </c>
      <c r="AF23" s="5">
        <f>H24-E26</f>
        <v>-4.6875E-2</v>
      </c>
      <c r="AG23" s="5">
        <f>H24-E27</f>
        <v>-7.8125E-2</v>
      </c>
      <c r="AH23" s="5">
        <f>H24-E28</f>
        <v>-0.109375</v>
      </c>
      <c r="AI23" s="5">
        <f>H24-E29</f>
        <v>-0.140625</v>
      </c>
      <c r="AJ23" s="5">
        <f>H24-E30</f>
        <v>-0.171875</v>
      </c>
      <c r="AK23" s="5">
        <f>H24-E31</f>
        <v>-0.203125</v>
      </c>
      <c r="AL23" s="5">
        <f>H24-E32</f>
        <v>-0.234375</v>
      </c>
      <c r="AM23" s="5">
        <f>H24-E33</f>
        <v>-0.265625</v>
      </c>
      <c r="AN23" s="5">
        <f>H24-E34</f>
        <v>-0.296875</v>
      </c>
      <c r="AO23" s="5">
        <f>H24-E35</f>
        <v>-0.328125</v>
      </c>
      <c r="AP23" s="5">
        <f>H24-E36</f>
        <v>-0.359375</v>
      </c>
      <c r="AQ23" s="5">
        <f>H24-E37</f>
        <v>-0.390625</v>
      </c>
      <c r="AR23" s="5">
        <f>H24-E38</f>
        <v>-0.421875</v>
      </c>
      <c r="AS23" s="5">
        <f>H24-E39</f>
        <v>-0.453125</v>
      </c>
      <c r="AT23" s="5">
        <f>H24-E40</f>
        <v>-0.484375</v>
      </c>
      <c r="AU23" s="5">
        <f>H24-E41</f>
        <v>-0.515625</v>
      </c>
      <c r="AV23" s="5">
        <f>H24-E42</f>
        <v>-0.546875</v>
      </c>
      <c r="AW23" s="5">
        <f>H24-E43</f>
        <v>-0.578125</v>
      </c>
      <c r="AX23" s="5">
        <f>H24-E44</f>
        <v>-0.609375</v>
      </c>
      <c r="AY23" s="5">
        <f>H24-E45</f>
        <v>-0.640625</v>
      </c>
      <c r="AZ23" s="5">
        <f>H24-E46</f>
        <v>-0.671875</v>
      </c>
      <c r="BA23" s="5">
        <f>H24-E47</f>
        <v>-0.703125</v>
      </c>
      <c r="BB23" s="5">
        <f>H24-E48</f>
        <v>-0.734375</v>
      </c>
      <c r="BC23" s="5">
        <f t="shared" si="1"/>
        <v>-0.765625</v>
      </c>
      <c r="BD23" s="5"/>
      <c r="BE23">
        <v>8</v>
      </c>
      <c r="BF23" s="5">
        <f t="shared" si="2"/>
        <v>-6.9844516335623608E-2</v>
      </c>
      <c r="BG23" s="5">
        <f t="shared" si="3"/>
        <v>-0.15445886165763556</v>
      </c>
      <c r="BH23" s="5">
        <f t="shared" si="4"/>
        <v>-0.18283342073090036</v>
      </c>
      <c r="BI23" s="5">
        <f t="shared" si="5"/>
        <v>-0.22408832605865991</v>
      </c>
      <c r="BJ23" s="5">
        <f t="shared" si="6"/>
        <v>-0.28973433571104501</v>
      </c>
      <c r="BK23" s="5">
        <f t="shared" si="7"/>
        <v>-0.41141439252525902</v>
      </c>
      <c r="BL23" s="5">
        <f t="shared" si="8"/>
        <v>-0.7277579150809218</v>
      </c>
      <c r="BM23" s="5">
        <f t="shared" si="9"/>
        <v>-1.6479184330021646</v>
      </c>
      <c r="BN23" s="5">
        <f t="shared" si="10"/>
        <v>1.6479184330021646</v>
      </c>
      <c r="BO23" s="5">
        <f t="shared" si="11"/>
        <v>0.7277579150809218</v>
      </c>
      <c r="BP23" s="5">
        <f t="shared" si="12"/>
        <v>0.41141439252525902</v>
      </c>
      <c r="BQ23" s="5">
        <f t="shared" si="13"/>
        <v>0.28973433571104545</v>
      </c>
      <c r="BR23" s="5">
        <f t="shared" si="14"/>
        <v>0.22408832605866014</v>
      </c>
      <c r="BS23" s="5">
        <f t="shared" si="15"/>
        <v>0.18283342073089992</v>
      </c>
      <c r="BT23" s="5">
        <f t="shared" si="16"/>
        <v>0.154458861657635</v>
      </c>
      <c r="BU23" s="5">
        <f t="shared" si="17"/>
        <v>0.13373123144467491</v>
      </c>
      <c r="BV23" s="5">
        <f t="shared" si="18"/>
        <v>0.11791996139208694</v>
      </c>
      <c r="BW23" s="5">
        <f t="shared" si="19"/>
        <v>0.10545841641141018</v>
      </c>
      <c r="BX23" s="5">
        <f t="shared" si="20"/>
        <v>9.5382593074523014E-2</v>
      </c>
      <c r="BY23" s="5">
        <f t="shared" si="21"/>
        <v>8.7066440578006166E-2</v>
      </c>
      <c r="BZ23" s="5">
        <f t="shared" si="22"/>
        <v>8.0085552538646798E-2</v>
      </c>
      <c r="CA23" s="5">
        <f t="shared" si="23"/>
        <v>7.4141963539498312E-2</v>
      </c>
      <c r="CB23" s="5">
        <f t="shared" si="24"/>
        <v>6.9020290970460141E-2</v>
      </c>
      <c r="CC23" s="5">
        <f t="shared" si="25"/>
        <v>6.4560959961263764E-2</v>
      </c>
      <c r="CD23" s="5">
        <f t="shared" si="26"/>
        <v>6.0643217190658572E-2</v>
      </c>
      <c r="CE23" s="5">
        <f t="shared" si="27"/>
        <v>5.717399598559858E-2</v>
      </c>
      <c r="CF23" s="5">
        <f t="shared" si="28"/>
        <v>5.4080407756537996E-2</v>
      </c>
      <c r="CG23" s="5">
        <f t="shared" si="29"/>
        <v>5.1304552300254214E-2</v>
      </c>
      <c r="CH23" s="5">
        <f t="shared" si="30"/>
        <v>4.8799852063077576E-2</v>
      </c>
      <c r="CI23" s="5">
        <f t="shared" si="31"/>
        <v>4.652841244732131E-2</v>
      </c>
      <c r="CJ23" s="5">
        <f t="shared" si="32"/>
        <v>4.4459087933579555E-2</v>
      </c>
      <c r="CK23" s="5">
        <f t="shared" si="33"/>
        <v>4.2566043169792844E-2</v>
      </c>
      <c r="CL23">
        <v>8</v>
      </c>
      <c r="CM23" s="4">
        <v>3.3184834911887066E-3</v>
      </c>
      <c r="CN23" s="4">
        <v>7.632801038094667E-3</v>
      </c>
      <c r="CO23" s="4">
        <v>1.2200285567848477E-2</v>
      </c>
      <c r="CP23" s="4">
        <v>1.8766087208059189E-2</v>
      </c>
      <c r="CQ23" s="4">
        <v>3.0346100465768938E-2</v>
      </c>
      <c r="CR23" s="4">
        <v>4.7818871902446949E-2</v>
      </c>
      <c r="CS23" s="4">
        <v>0.23856464542852754</v>
      </c>
      <c r="CT23" s="4">
        <v>-0.25712180019152514</v>
      </c>
      <c r="CU23" s="4">
        <v>-6.6456601568143564E-2</v>
      </c>
      <c r="CV23" s="4">
        <v>-4.9152825757832933E-2</v>
      </c>
      <c r="CW23" s="4">
        <v>-3.7849259308844405E-2</v>
      </c>
      <c r="CX23" s="4">
        <v>-3.171009307789209E-2</v>
      </c>
      <c r="CY23" s="4">
        <v>-2.7796134308399379E-2</v>
      </c>
      <c r="CZ23" s="4">
        <v>-2.5129097656254755E-2</v>
      </c>
      <c r="DA23" s="4">
        <v>-2.3228636842747816E-2</v>
      </c>
      <c r="DB23" s="4">
        <v>-2.1839397332056514E-2</v>
      </c>
      <c r="DC23" s="4">
        <v>-2.0814023797500102E-2</v>
      </c>
      <c r="DD23" s="4">
        <v>-2.0063028014089514E-2</v>
      </c>
      <c r="DE23" s="4">
        <v>-1.9530633350319904E-2</v>
      </c>
      <c r="DF23" s="4">
        <v>-1.9182385912309946E-2</v>
      </c>
      <c r="DG23" s="4">
        <v>-1.8998641185998453E-2</v>
      </c>
      <c r="DH23" s="4">
        <v>-1.8971353895515509E-2</v>
      </c>
      <c r="DI23" s="4">
        <v>-1.9103087580216067E-2</v>
      </c>
      <c r="DJ23" s="4">
        <v>-1.9408003976720621E-2</v>
      </c>
      <c r="DK23" s="4">
        <v>-1.9915341645233575E-2</v>
      </c>
      <c r="DL23" s="4">
        <v>-2.0677052294381607E-2</v>
      </c>
      <c r="DM23" s="4">
        <v>-2.1783808817170017E-2</v>
      </c>
      <c r="DN23" s="4">
        <v>-2.3401080885591997E-2</v>
      </c>
      <c r="DO23" s="4">
        <v>-2.5852187958940613E-2</v>
      </c>
      <c r="DP23" s="4">
        <v>-2.9995048793068069E-2</v>
      </c>
      <c r="DQ23" s="4">
        <v>-3.6538102948185998E-2</v>
      </c>
      <c r="DR23" s="4">
        <v>-8.3252662786982734E-2</v>
      </c>
    </row>
    <row r="24" spans="2:122" x14ac:dyDescent="0.25">
      <c r="B24" s="1">
        <v>8</v>
      </c>
      <c r="C24" s="10"/>
      <c r="D24" s="10"/>
      <c r="E24" s="2">
        <f t="shared" si="44"/>
        <v>0.21875</v>
      </c>
      <c r="F24" s="2">
        <f>($B$11/(1-$B$8)^2)*(1-2*$B$8+2*$B$8*E24-E24^2)</f>
        <v>3.9978027343749993E-2</v>
      </c>
      <c r="G24" s="2">
        <f>($B$11/(1-$B$8)^2)*(1-2*$B$8+2*$B$8*E24-E24^2)</f>
        <v>3.9978027343749993E-2</v>
      </c>
      <c r="H24" s="2">
        <f>(E25+E24)/2</f>
        <v>0.234375</v>
      </c>
      <c r="I24" s="2">
        <f t="shared" si="37"/>
        <v>0.234375</v>
      </c>
      <c r="J24" s="2">
        <f t="shared" si="38"/>
        <v>3.9910888671874992E-2</v>
      </c>
      <c r="K24" s="2">
        <f t="shared" si="39"/>
        <v>3.9910888671874992E-2</v>
      </c>
      <c r="L24" s="2">
        <f>(2*$B$8*$B$11-2*$B$11*H24)/(1-$B$8)^2</f>
        <v>-4.2968749999999977E-3</v>
      </c>
      <c r="M24" s="2">
        <f>(2*$B$8*$B$11-2*$B$11*H24)/(1-$B$8)^2</f>
        <v>-4.2968749999999977E-3</v>
      </c>
      <c r="O24">
        <v>8</v>
      </c>
      <c r="P24" s="4">
        <f t="shared" si="42"/>
        <v>4.60974924462422E-2</v>
      </c>
      <c r="Q24" s="4">
        <f t="shared" si="43"/>
        <v>4.60974924462422E-2</v>
      </c>
      <c r="U24" s="10"/>
      <c r="V24" s="5">
        <f t="shared" si="0"/>
        <v>3.125E-2</v>
      </c>
      <c r="W24" s="5">
        <f>H25-E17</f>
        <v>0.265625</v>
      </c>
      <c r="X24" s="5">
        <f>H25-E18</f>
        <v>0.234375</v>
      </c>
      <c r="Y24" s="5">
        <f>H25-E19</f>
        <v>0.203125</v>
      </c>
      <c r="Z24" s="5">
        <f>H25-E20</f>
        <v>0.171875</v>
      </c>
      <c r="AA24" s="5">
        <f>H25-E21</f>
        <v>0.140625</v>
      </c>
      <c r="AB24" s="5">
        <f>H25-E22</f>
        <v>0.109375</v>
      </c>
      <c r="AC24" s="5">
        <f>H25-E23</f>
        <v>7.8125E-2</v>
      </c>
      <c r="AD24" s="5">
        <f>H25-E24</f>
        <v>4.6875E-2</v>
      </c>
      <c r="AE24" s="5">
        <f>H25-E25</f>
        <v>1.5625E-2</v>
      </c>
      <c r="AF24" s="5">
        <f>H25-E26</f>
        <v>-1.5625E-2</v>
      </c>
      <c r="AG24" s="5">
        <f>H25-E27</f>
        <v>-4.6875E-2</v>
      </c>
      <c r="AH24" s="5">
        <f>H25-E28</f>
        <v>-7.8125E-2</v>
      </c>
      <c r="AI24" s="5">
        <f>H25-E29</f>
        <v>-0.109375</v>
      </c>
      <c r="AJ24" s="5">
        <f>H25-E30</f>
        <v>-0.140625</v>
      </c>
      <c r="AK24" s="5">
        <f>H25-E31</f>
        <v>-0.171875</v>
      </c>
      <c r="AL24" s="5">
        <f>H25-E32</f>
        <v>-0.203125</v>
      </c>
      <c r="AM24" s="5">
        <f>H25-E33</f>
        <v>-0.234375</v>
      </c>
      <c r="AN24" s="5">
        <f>H25-E34</f>
        <v>-0.265625</v>
      </c>
      <c r="AO24" s="5">
        <f>H25-E35</f>
        <v>-0.296875</v>
      </c>
      <c r="AP24" s="5">
        <f>H25-E36</f>
        <v>-0.328125</v>
      </c>
      <c r="AQ24" s="5">
        <f>H25-E37</f>
        <v>-0.359375</v>
      </c>
      <c r="AR24" s="5">
        <f>H25-E38</f>
        <v>-0.390625</v>
      </c>
      <c r="AS24" s="5">
        <f>H25-E39</f>
        <v>-0.421875</v>
      </c>
      <c r="AT24" s="5">
        <f>H25-E40</f>
        <v>-0.453125</v>
      </c>
      <c r="AU24" s="5">
        <f>H25-E41</f>
        <v>-0.484375</v>
      </c>
      <c r="AV24" s="5">
        <f>H25-E42</f>
        <v>-0.515625</v>
      </c>
      <c r="AW24" s="5">
        <f>H25-E43</f>
        <v>-0.546875</v>
      </c>
      <c r="AX24" s="5">
        <f>H25-E44</f>
        <v>-0.578125</v>
      </c>
      <c r="AY24" s="5">
        <f>H25-E45</f>
        <v>-0.609375</v>
      </c>
      <c r="AZ24" s="5">
        <f>H25-E46</f>
        <v>-0.640625</v>
      </c>
      <c r="BA24" s="5">
        <f>H25-E47</f>
        <v>-0.671875</v>
      </c>
      <c r="BB24" s="5">
        <f>H25-E48</f>
        <v>-0.703125</v>
      </c>
      <c r="BC24" s="5">
        <f t="shared" si="1"/>
        <v>-0.734375</v>
      </c>
      <c r="BD24" s="5"/>
      <c r="BE24">
        <v>9</v>
      </c>
      <c r="BF24" s="5">
        <f t="shared" si="2"/>
        <v>-6.1276427844954684E-2</v>
      </c>
      <c r="BG24" s="5">
        <f t="shared" si="3"/>
        <v>-0.13373123144467502</v>
      </c>
      <c r="BH24" s="5">
        <f t="shared" si="4"/>
        <v>-0.15445886165763556</v>
      </c>
      <c r="BI24" s="5">
        <f t="shared" si="5"/>
        <v>-0.18283342073090036</v>
      </c>
      <c r="BJ24" s="5">
        <f t="shared" si="6"/>
        <v>-0.22408832605865991</v>
      </c>
      <c r="BK24" s="5">
        <f t="shared" si="7"/>
        <v>-0.28973433571104501</v>
      </c>
      <c r="BL24" s="5">
        <f t="shared" si="8"/>
        <v>-0.41141439252525902</v>
      </c>
      <c r="BM24" s="5">
        <f t="shared" si="9"/>
        <v>-0.7277579150809218</v>
      </c>
      <c r="BN24" s="5">
        <f t="shared" si="10"/>
        <v>-1.6479184330021646</v>
      </c>
      <c r="BO24" s="5">
        <f t="shared" si="11"/>
        <v>1.6479184330021646</v>
      </c>
      <c r="BP24" s="5">
        <f t="shared" si="12"/>
        <v>0.7277579150809218</v>
      </c>
      <c r="BQ24" s="5">
        <f t="shared" si="13"/>
        <v>0.41141439252525902</v>
      </c>
      <c r="BR24" s="5">
        <f t="shared" si="14"/>
        <v>0.28973433571104545</v>
      </c>
      <c r="BS24" s="5">
        <f t="shared" si="15"/>
        <v>0.22408832605866014</v>
      </c>
      <c r="BT24" s="5">
        <f t="shared" si="16"/>
        <v>0.18283342073089992</v>
      </c>
      <c r="BU24" s="5">
        <f t="shared" si="17"/>
        <v>0.154458861657635</v>
      </c>
      <c r="BV24" s="5">
        <f t="shared" si="18"/>
        <v>0.13373123144467491</v>
      </c>
      <c r="BW24" s="5">
        <f t="shared" si="19"/>
        <v>0.11791996139208694</v>
      </c>
      <c r="BX24" s="5">
        <f t="shared" si="20"/>
        <v>0.10545841641141018</v>
      </c>
      <c r="BY24" s="5">
        <f t="shared" si="21"/>
        <v>9.5382593074523014E-2</v>
      </c>
      <c r="BZ24" s="5">
        <f t="shared" si="22"/>
        <v>8.7066440578006166E-2</v>
      </c>
      <c r="CA24" s="5">
        <f t="shared" si="23"/>
        <v>8.0085552538646798E-2</v>
      </c>
      <c r="CB24" s="5">
        <f t="shared" si="24"/>
        <v>7.4141963539498312E-2</v>
      </c>
      <c r="CC24" s="5">
        <f t="shared" si="25"/>
        <v>6.9020290970460141E-2</v>
      </c>
      <c r="CD24" s="5">
        <f t="shared" si="26"/>
        <v>6.4560959961263764E-2</v>
      </c>
      <c r="CE24" s="5">
        <f t="shared" si="27"/>
        <v>6.0643217190658572E-2</v>
      </c>
      <c r="CF24" s="5">
        <f t="shared" si="28"/>
        <v>5.717399598559858E-2</v>
      </c>
      <c r="CG24" s="5">
        <f t="shared" si="29"/>
        <v>5.4080407756537996E-2</v>
      </c>
      <c r="CH24" s="5">
        <f t="shared" si="30"/>
        <v>5.1304552300254214E-2</v>
      </c>
      <c r="CI24" s="5">
        <f t="shared" si="31"/>
        <v>4.8799852063077576E-2</v>
      </c>
      <c r="CJ24" s="5">
        <f t="shared" si="32"/>
        <v>4.652841244732131E-2</v>
      </c>
      <c r="CK24" s="5">
        <f t="shared" si="33"/>
        <v>4.4459087933579555E-2</v>
      </c>
      <c r="CL24">
        <v>9</v>
      </c>
      <c r="CM24" s="4">
        <v>2.6322924759395079E-3</v>
      </c>
      <c r="CN24" s="4">
        <v>5.9308194743816715E-3</v>
      </c>
      <c r="CO24" s="4">
        <v>9.1777650760771299E-3</v>
      </c>
      <c r="CP24" s="4">
        <v>1.3477752529760374E-2</v>
      </c>
      <c r="CQ24" s="4">
        <v>1.9873140458819116E-2</v>
      </c>
      <c r="CR24" s="4">
        <v>3.1339063592104227E-2</v>
      </c>
      <c r="CS24" s="4">
        <v>4.8727852246958574E-2</v>
      </c>
      <c r="CT24" s="4">
        <v>0.2394082235169773</v>
      </c>
      <c r="CU24" s="4">
        <v>-0.25633136400323381</v>
      </c>
      <c r="CV24" s="4">
        <v>-6.5710845893274764E-2</v>
      </c>
      <c r="CW24" s="4">
        <v>-4.8445765402992003E-2</v>
      </c>
      <c r="CX24" s="4">
        <v>-3.7176639996893288E-2</v>
      </c>
      <c r="CY24" s="4">
        <v>-3.1068955850241043E-2</v>
      </c>
      <c r="CZ24" s="4">
        <v>-2.7184561953038391E-2</v>
      </c>
      <c r="DA24" s="4">
        <v>-2.4546079598572777E-2</v>
      </c>
      <c r="DB24" s="4">
        <v>-2.2674021641343356E-2</v>
      </c>
      <c r="DC24" s="4">
        <v>-2.1313921270346529E-2</v>
      </c>
      <c r="DD24" s="4">
        <v>-2.031941837690646E-2</v>
      </c>
      <c r="DE24" s="4">
        <v>-1.9602223374119397E-2</v>
      </c>
      <c r="DF24" s="4">
        <v>-1.9108093201425917E-2</v>
      </c>
      <c r="DG24" s="4">
        <v>-1.8804638601734237E-2</v>
      </c>
      <c r="DH24" s="4">
        <v>-1.8675122010550039E-2</v>
      </c>
      <c r="DI24" s="4">
        <v>-1.8715768074826479E-2</v>
      </c>
      <c r="DJ24" s="4">
        <v>-1.8935690697450831E-2</v>
      </c>
      <c r="DK24" s="4">
        <v>-1.9359594157717354E-2</v>
      </c>
      <c r="DL24" s="4">
        <v>-2.0034669394933629E-2</v>
      </c>
      <c r="DM24" s="4">
        <v>-2.1045613102615494E-2</v>
      </c>
      <c r="DN24" s="4">
        <v>-2.2548877070273907E-2</v>
      </c>
      <c r="DO24" s="4">
        <v>-2.4851792795515585E-2</v>
      </c>
      <c r="DP24" s="4">
        <v>-2.877205213965588E-2</v>
      </c>
      <c r="DQ24" s="4">
        <v>-3.4984212922724703E-2</v>
      </c>
      <c r="DR24" s="4">
        <v>-7.9544857760204007E-2</v>
      </c>
    </row>
    <row r="25" spans="2:122" x14ac:dyDescent="0.25">
      <c r="B25" s="1">
        <v>9</v>
      </c>
      <c r="C25" s="10"/>
      <c r="D25" s="10"/>
      <c r="E25" s="2">
        <f t="shared" si="44"/>
        <v>0.25</v>
      </c>
      <c r="F25" s="2">
        <f t="shared" ref="F25:F49" si="45">($B$11/(1-$B$8)^2)*(1-2*$B$8+2*$B$8*E25-E25^2)</f>
        <v>3.984374999999999E-2</v>
      </c>
      <c r="G25" s="2">
        <f t="shared" ref="G25:G39" si="46">($B$11/(1-$B$8)^2)*(1-2*$B$8+2*$B$8*E25-E25^2)</f>
        <v>3.984374999999999E-2</v>
      </c>
      <c r="H25" s="2">
        <f t="shared" si="36"/>
        <v>0.265625</v>
      </c>
      <c r="I25" s="2">
        <f t="shared" si="37"/>
        <v>0.265625</v>
      </c>
      <c r="J25" s="2">
        <f t="shared" si="38"/>
        <v>3.9715576171874989E-2</v>
      </c>
      <c r="K25" s="2">
        <f t="shared" si="39"/>
        <v>3.9715576171874989E-2</v>
      </c>
      <c r="L25" s="2">
        <f t="shared" ref="L25:L48" si="47">(2*$B$8*$B$11-2*$B$11*H25)/(1-$B$8)^2</f>
        <v>-8.2031250000000003E-3</v>
      </c>
      <c r="M25" s="2">
        <f t="shared" ref="M25:M40" si="48">(2*$B$8*$B$11-2*$B$11*H25)/(1-$B$8)^2</f>
        <v>-8.2031250000000003E-3</v>
      </c>
      <c r="O25">
        <v>9</v>
      </c>
      <c r="P25" s="4">
        <f t="shared" si="42"/>
        <v>2.1553799840071927E-2</v>
      </c>
      <c r="Q25" s="4">
        <f t="shared" si="43"/>
        <v>2.1553799840071927E-2</v>
      </c>
      <c r="U25" s="10"/>
      <c r="V25" s="5">
        <f t="shared" si="0"/>
        <v>3.125E-2</v>
      </c>
      <c r="W25" s="5">
        <f>H26-E17</f>
        <v>0.296875</v>
      </c>
      <c r="X25" s="5">
        <f>H26-E18</f>
        <v>0.265625</v>
      </c>
      <c r="Y25" s="5">
        <f>H26-E19</f>
        <v>0.234375</v>
      </c>
      <c r="Z25" s="5">
        <f>H26-E20</f>
        <v>0.203125</v>
      </c>
      <c r="AA25" s="5">
        <f>H26-E21</f>
        <v>0.171875</v>
      </c>
      <c r="AB25" s="5">
        <f>H26-E22</f>
        <v>0.140625</v>
      </c>
      <c r="AC25" s="5">
        <f>H26-E23</f>
        <v>0.109375</v>
      </c>
      <c r="AD25" s="5">
        <f>H26-E24</f>
        <v>7.8125E-2</v>
      </c>
      <c r="AE25" s="5">
        <f>H26-E25</f>
        <v>4.6875E-2</v>
      </c>
      <c r="AF25" s="5">
        <f>H26-E26</f>
        <v>1.5625E-2</v>
      </c>
      <c r="AG25" s="5">
        <f>H26-E27</f>
        <v>-1.5625E-2</v>
      </c>
      <c r="AH25" s="5">
        <f>H26-E28</f>
        <v>-4.6875E-2</v>
      </c>
      <c r="AI25" s="5">
        <f>H26-E29</f>
        <v>-7.8125E-2</v>
      </c>
      <c r="AJ25" s="5">
        <f>H26-E30</f>
        <v>-0.109375</v>
      </c>
      <c r="AK25" s="5">
        <f>H26-E31</f>
        <v>-0.140625</v>
      </c>
      <c r="AL25" s="5">
        <f>H26-E32</f>
        <v>-0.171875</v>
      </c>
      <c r="AM25" s="5">
        <f>H26-E33</f>
        <v>-0.203125</v>
      </c>
      <c r="AN25" s="5">
        <f>H26-E34</f>
        <v>-0.234375</v>
      </c>
      <c r="AO25" s="5">
        <f>H26-E35</f>
        <v>-0.265625</v>
      </c>
      <c r="AP25" s="5">
        <f>H26-E36</f>
        <v>-0.296875</v>
      </c>
      <c r="AQ25" s="5">
        <f>H26-E37</f>
        <v>-0.328125</v>
      </c>
      <c r="AR25" s="5">
        <f>H26-E38</f>
        <v>-0.359375</v>
      </c>
      <c r="AS25" s="5">
        <f>H26-E39</f>
        <v>-0.390625</v>
      </c>
      <c r="AT25" s="5">
        <f>H26-E40</f>
        <v>-0.421875</v>
      </c>
      <c r="AU25" s="5">
        <f>H26-E41</f>
        <v>-0.453125</v>
      </c>
      <c r="AV25" s="5">
        <f>H26-E42</f>
        <v>-0.484375</v>
      </c>
      <c r="AW25" s="5">
        <f>H26-E43</f>
        <v>-0.515625</v>
      </c>
      <c r="AX25" s="5">
        <f>H26-E44</f>
        <v>-0.546875</v>
      </c>
      <c r="AY25" s="5">
        <f>H26-E45</f>
        <v>-0.578125</v>
      </c>
      <c r="AZ25" s="5">
        <f>H26-E46</f>
        <v>-0.609375</v>
      </c>
      <c r="BA25" s="5">
        <f>H26-E47</f>
        <v>-0.640625</v>
      </c>
      <c r="BB25" s="5">
        <f>H26-E48</f>
        <v>-0.671875</v>
      </c>
      <c r="BC25" s="5">
        <f t="shared" si="1"/>
        <v>-0.703125</v>
      </c>
      <c r="BD25" s="5"/>
      <c r="BE25">
        <v>10</v>
      </c>
      <c r="BF25" s="5">
        <f t="shared" si="2"/>
        <v>-5.4582101563092844E-2</v>
      </c>
      <c r="BG25" s="5">
        <f t="shared" si="3"/>
        <v>-0.11791996139208627</v>
      </c>
      <c r="BH25" s="5">
        <f t="shared" si="4"/>
        <v>-0.13373123144467502</v>
      </c>
      <c r="BI25" s="5">
        <f t="shared" si="5"/>
        <v>-0.15445886165763556</v>
      </c>
      <c r="BJ25" s="5">
        <f t="shared" si="6"/>
        <v>-0.18283342073090036</v>
      </c>
      <c r="BK25" s="5">
        <f t="shared" si="7"/>
        <v>-0.22408832605865991</v>
      </c>
      <c r="BL25" s="5">
        <f t="shared" si="8"/>
        <v>-0.28973433571104501</v>
      </c>
      <c r="BM25" s="5">
        <f t="shared" si="9"/>
        <v>-0.41141439252525902</v>
      </c>
      <c r="BN25" s="5">
        <f t="shared" si="10"/>
        <v>-0.7277579150809218</v>
      </c>
      <c r="BO25" s="5">
        <f t="shared" si="11"/>
        <v>-1.6479184330021646</v>
      </c>
      <c r="BP25" s="5">
        <f t="shared" si="12"/>
        <v>1.6479184330021646</v>
      </c>
      <c r="BQ25" s="5">
        <f t="shared" si="13"/>
        <v>0.7277579150809218</v>
      </c>
      <c r="BR25" s="5">
        <f t="shared" si="14"/>
        <v>0.41141439252525902</v>
      </c>
      <c r="BS25" s="5">
        <f t="shared" si="15"/>
        <v>0.28973433571104545</v>
      </c>
      <c r="BT25" s="5">
        <f t="shared" si="16"/>
        <v>0.22408832605866014</v>
      </c>
      <c r="BU25" s="5">
        <f t="shared" si="17"/>
        <v>0.18283342073089992</v>
      </c>
      <c r="BV25" s="5">
        <f t="shared" si="18"/>
        <v>0.154458861657635</v>
      </c>
      <c r="BW25" s="5">
        <f t="shared" si="19"/>
        <v>0.13373123144467491</v>
      </c>
      <c r="BX25" s="5">
        <f t="shared" si="20"/>
        <v>0.11791996139208694</v>
      </c>
      <c r="BY25" s="5">
        <f t="shared" si="21"/>
        <v>0.10545841641141018</v>
      </c>
      <c r="BZ25" s="5">
        <f t="shared" si="22"/>
        <v>9.5382593074523014E-2</v>
      </c>
      <c r="CA25" s="5">
        <f t="shared" si="23"/>
        <v>8.7066440578006166E-2</v>
      </c>
      <c r="CB25" s="5">
        <f t="shared" si="24"/>
        <v>8.0085552538646798E-2</v>
      </c>
      <c r="CC25" s="5">
        <f t="shared" si="25"/>
        <v>7.4141963539498312E-2</v>
      </c>
      <c r="CD25" s="5">
        <f t="shared" si="26"/>
        <v>6.9020290970460141E-2</v>
      </c>
      <c r="CE25" s="5">
        <f t="shared" si="27"/>
        <v>6.4560959961263764E-2</v>
      </c>
      <c r="CF25" s="5">
        <f t="shared" si="28"/>
        <v>6.0643217190658572E-2</v>
      </c>
      <c r="CG25" s="5">
        <f t="shared" si="29"/>
        <v>5.717399598559858E-2</v>
      </c>
      <c r="CH25" s="5">
        <f t="shared" si="30"/>
        <v>5.4080407756537996E-2</v>
      </c>
      <c r="CI25" s="5">
        <f t="shared" si="31"/>
        <v>5.1304552300254214E-2</v>
      </c>
      <c r="CJ25" s="5">
        <f t="shared" si="32"/>
        <v>4.8799852063077576E-2</v>
      </c>
      <c r="CK25" s="5">
        <f t="shared" si="33"/>
        <v>4.652841244732131E-2</v>
      </c>
      <c r="CL25">
        <v>10</v>
      </c>
      <c r="CM25" s="4">
        <v>2.1408818492185382E-3</v>
      </c>
      <c r="CN25" s="4">
        <v>4.7493947904912884E-3</v>
      </c>
      <c r="CO25" s="4">
        <v>7.18082667396399E-3</v>
      </c>
      <c r="CP25" s="4">
        <v>1.0209181407871725E-2</v>
      </c>
      <c r="CQ25" s="4">
        <v>1.4369456967893312E-2</v>
      </c>
      <c r="CR25" s="4">
        <v>2.0670835530012432E-2</v>
      </c>
      <c r="CS25" s="4">
        <v>3.2067138245084198E-2</v>
      </c>
      <c r="CT25" s="4">
        <v>4.9401308043146214E-2</v>
      </c>
      <c r="CU25" s="4">
        <v>0.2400369031128643</v>
      </c>
      <c r="CV25" s="4">
        <v>-0.25574073107651768</v>
      </c>
      <c r="CW25" s="4">
        <v>-6.5153572316040798E-2</v>
      </c>
      <c r="CX25" s="4">
        <v>-4.7918605863811838E-2</v>
      </c>
      <c r="CY25" s="4">
        <v>-3.667744447606975E-2</v>
      </c>
      <c r="CZ25" s="4">
        <v>-3.0596473223273829E-2</v>
      </c>
      <c r="DA25" s="4">
        <v>-2.6738343086803569E-2</v>
      </c>
      <c r="DB25" s="4">
        <v>-2.412645608183122E-2</v>
      </c>
      <c r="DC25" s="4">
        <v>-2.2282152616062329E-2</v>
      </c>
      <c r="DD25" s="4">
        <v>-2.0951913410918163E-2</v>
      </c>
      <c r="DE25" s="4">
        <v>-1.9990537156282458E-2</v>
      </c>
      <c r="DF25" s="4">
        <v>-1.9311231408871067E-2</v>
      </c>
      <c r="DG25" s="4">
        <v>-1.886177951081279E-2</v>
      </c>
      <c r="DH25" s="4">
        <v>-1.8612651655437545E-2</v>
      </c>
      <c r="DI25" s="4">
        <v>-1.8551311140459371E-2</v>
      </c>
      <c r="DJ25" s="4">
        <v>-1.8680419995341493E-2</v>
      </c>
      <c r="DK25" s="4">
        <v>-1.9019433917188414E-2</v>
      </c>
      <c r="DL25" s="4">
        <v>-1.9610628537066545E-2</v>
      </c>
      <c r="DM25" s="4">
        <v>-2.0533167681657291E-2</v>
      </c>
      <c r="DN25" s="4">
        <v>-2.1935811773659532E-2</v>
      </c>
      <c r="DO25" s="4">
        <v>-2.4112894332744307E-2</v>
      </c>
      <c r="DP25" s="4">
        <v>-2.7850252751821337E-2</v>
      </c>
      <c r="DQ25" s="4">
        <v>-3.3795490439466815E-2</v>
      </c>
      <c r="DR25" s="4">
        <v>-7.6666202467589609E-2</v>
      </c>
    </row>
    <row r="26" spans="2:122" x14ac:dyDescent="0.25">
      <c r="B26" s="1">
        <v>10</v>
      </c>
      <c r="C26" s="10"/>
      <c r="D26" s="10"/>
      <c r="E26" s="2">
        <f t="shared" si="44"/>
        <v>0.28125</v>
      </c>
      <c r="F26" s="2">
        <f t="shared" si="45"/>
        <v>3.9587402343749994E-2</v>
      </c>
      <c r="G26" s="2">
        <f t="shared" si="46"/>
        <v>3.9587402343749994E-2</v>
      </c>
      <c r="H26" s="2">
        <f t="shared" si="36"/>
        <v>0.296875</v>
      </c>
      <c r="I26" s="2">
        <f t="shared" si="37"/>
        <v>0.296875</v>
      </c>
      <c r="J26" s="2">
        <f t="shared" si="38"/>
        <v>3.9398193359374993E-2</v>
      </c>
      <c r="K26" s="2">
        <f t="shared" si="39"/>
        <v>3.9398193359374993E-2</v>
      </c>
      <c r="L26" s="2">
        <f t="shared" si="47"/>
        <v>-1.2109374999999997E-2</v>
      </c>
      <c r="M26" s="2">
        <f t="shared" si="48"/>
        <v>-1.2109374999999997E-2</v>
      </c>
      <c r="O26">
        <v>10</v>
      </c>
      <c r="P26" s="4">
        <f t="shared" si="42"/>
        <v>-2.9898927660983107E-3</v>
      </c>
      <c r="Q26" s="4">
        <f t="shared" si="43"/>
        <v>-2.9898927660983107E-3</v>
      </c>
      <c r="U26" s="10"/>
      <c r="V26" s="5">
        <f t="shared" si="0"/>
        <v>3.125E-2</v>
      </c>
      <c r="W26" s="5">
        <f>H27-E17</f>
        <v>0.328125</v>
      </c>
      <c r="X26" s="5">
        <f>H27-E18</f>
        <v>0.296875</v>
      </c>
      <c r="Y26" s="5">
        <f>H27-E19</f>
        <v>0.265625</v>
      </c>
      <c r="Z26" s="5">
        <f>H27-E20</f>
        <v>0.234375</v>
      </c>
      <c r="AA26" s="5">
        <f>H27-E21</f>
        <v>0.203125</v>
      </c>
      <c r="AB26" s="5">
        <f>H27-E22</f>
        <v>0.171875</v>
      </c>
      <c r="AC26" s="5">
        <f>H27-E23</f>
        <v>0.140625</v>
      </c>
      <c r="AD26" s="5">
        <f>H27-E24</f>
        <v>0.109375</v>
      </c>
      <c r="AE26" s="5">
        <f>H27-E25</f>
        <v>7.8125E-2</v>
      </c>
      <c r="AF26" s="5">
        <f>H27-E26</f>
        <v>4.6875E-2</v>
      </c>
      <c r="AG26" s="5">
        <f>H27-E27</f>
        <v>1.5625E-2</v>
      </c>
      <c r="AH26" s="5">
        <f>H27-E28</f>
        <v>-1.5625E-2</v>
      </c>
      <c r="AI26" s="5">
        <f>H27-E29</f>
        <v>-4.6875E-2</v>
      </c>
      <c r="AJ26" s="5">
        <f>H27-E30</f>
        <v>-7.8125E-2</v>
      </c>
      <c r="AK26" s="5">
        <f>H27-E31</f>
        <v>-0.109375</v>
      </c>
      <c r="AL26" s="5">
        <f>H27-E32</f>
        <v>-0.140625</v>
      </c>
      <c r="AM26" s="5">
        <f>H27-E33</f>
        <v>-0.171875</v>
      </c>
      <c r="AN26" s="5">
        <f>H27-E34</f>
        <v>-0.203125</v>
      </c>
      <c r="AO26" s="5">
        <f>H27-E35</f>
        <v>-0.234375</v>
      </c>
      <c r="AP26" s="5">
        <f>H27-E36</f>
        <v>-0.265625</v>
      </c>
      <c r="AQ26" s="5">
        <f>H27-E37</f>
        <v>-0.296875</v>
      </c>
      <c r="AR26" s="5">
        <f>H27-E38</f>
        <v>-0.328125</v>
      </c>
      <c r="AS26" s="5">
        <f>H27-E39</f>
        <v>-0.359375</v>
      </c>
      <c r="AT26" s="5">
        <f>H27-E40</f>
        <v>-0.390625</v>
      </c>
      <c r="AU26" s="5">
        <f>H27-E41</f>
        <v>-0.421875</v>
      </c>
      <c r="AV26" s="5">
        <f>H27-E42</f>
        <v>-0.453125</v>
      </c>
      <c r="AW26" s="5">
        <f>H27-E43</f>
        <v>-0.484375</v>
      </c>
      <c r="AX26" s="5">
        <f>H27-E44</f>
        <v>-0.515625</v>
      </c>
      <c r="AY26" s="5">
        <f>H27-E45</f>
        <v>-0.546875</v>
      </c>
      <c r="AZ26" s="5">
        <f>H27-E46</f>
        <v>-0.578125</v>
      </c>
      <c r="BA26" s="5">
        <f>H27-E47</f>
        <v>-0.609375</v>
      </c>
      <c r="BB26" s="5">
        <f>H27-E48</f>
        <v>-0.640625</v>
      </c>
      <c r="BC26" s="5">
        <f t="shared" si="1"/>
        <v>-0.671875</v>
      </c>
      <c r="BD26" s="5"/>
      <c r="BE26">
        <v>11</v>
      </c>
      <c r="BF26" s="5">
        <f t="shared" si="2"/>
        <v>-4.9207143708665968E-2</v>
      </c>
      <c r="BG26" s="5">
        <f t="shared" si="3"/>
        <v>-0.10545841641140929</v>
      </c>
      <c r="BH26" s="5">
        <f t="shared" si="4"/>
        <v>-0.11791996139208627</v>
      </c>
      <c r="BI26" s="5">
        <f t="shared" si="5"/>
        <v>-0.13373123144467502</v>
      </c>
      <c r="BJ26" s="5">
        <f t="shared" si="6"/>
        <v>-0.15445886165763556</v>
      </c>
      <c r="BK26" s="5">
        <f t="shared" si="7"/>
        <v>-0.18283342073090036</v>
      </c>
      <c r="BL26" s="5">
        <f t="shared" si="8"/>
        <v>-0.22408832605865991</v>
      </c>
      <c r="BM26" s="5">
        <f t="shared" si="9"/>
        <v>-0.28973433571104501</v>
      </c>
      <c r="BN26" s="5">
        <f t="shared" si="10"/>
        <v>-0.41141439252525902</v>
      </c>
      <c r="BO26" s="5">
        <f t="shared" si="11"/>
        <v>-0.7277579150809218</v>
      </c>
      <c r="BP26" s="5">
        <f t="shared" si="12"/>
        <v>-1.6479184330021646</v>
      </c>
      <c r="BQ26" s="5">
        <f t="shared" si="13"/>
        <v>1.6479184330021646</v>
      </c>
      <c r="BR26" s="5">
        <f t="shared" si="14"/>
        <v>0.7277579150809218</v>
      </c>
      <c r="BS26" s="5">
        <f t="shared" si="15"/>
        <v>0.41141439252525902</v>
      </c>
      <c r="BT26" s="5">
        <f t="shared" si="16"/>
        <v>0.28973433571104545</v>
      </c>
      <c r="BU26" s="5">
        <f t="shared" si="17"/>
        <v>0.22408832605866014</v>
      </c>
      <c r="BV26" s="5">
        <f t="shared" si="18"/>
        <v>0.18283342073089992</v>
      </c>
      <c r="BW26" s="5">
        <f t="shared" si="19"/>
        <v>0.154458861657635</v>
      </c>
      <c r="BX26" s="5">
        <f t="shared" si="20"/>
        <v>0.13373123144467491</v>
      </c>
      <c r="BY26" s="5">
        <f t="shared" si="21"/>
        <v>0.11791996139208694</v>
      </c>
      <c r="BZ26" s="5">
        <f t="shared" si="22"/>
        <v>0.10545841641141018</v>
      </c>
      <c r="CA26" s="5">
        <f t="shared" si="23"/>
        <v>9.5382593074523014E-2</v>
      </c>
      <c r="CB26" s="5">
        <f t="shared" si="24"/>
        <v>8.7066440578006166E-2</v>
      </c>
      <c r="CC26" s="5">
        <f t="shared" si="25"/>
        <v>8.0085552538646798E-2</v>
      </c>
      <c r="CD26" s="5">
        <f t="shared" si="26"/>
        <v>7.4141963539498312E-2</v>
      </c>
      <c r="CE26" s="5">
        <f t="shared" si="27"/>
        <v>6.9020290970460141E-2</v>
      </c>
      <c r="CF26" s="5">
        <f t="shared" si="28"/>
        <v>6.4560959961263764E-2</v>
      </c>
      <c r="CG26" s="5">
        <f t="shared" si="29"/>
        <v>6.0643217190658572E-2</v>
      </c>
      <c r="CH26" s="5">
        <f t="shared" si="30"/>
        <v>5.717399598559858E-2</v>
      </c>
      <c r="CI26" s="5">
        <f t="shared" si="31"/>
        <v>5.4080407756537996E-2</v>
      </c>
      <c r="CJ26" s="5">
        <f t="shared" si="32"/>
        <v>5.1304552300254214E-2</v>
      </c>
      <c r="CK26" s="5">
        <f t="shared" si="33"/>
        <v>4.8799852063077576E-2</v>
      </c>
      <c r="CL26">
        <v>11</v>
      </c>
      <c r="CM26" s="4">
        <v>1.7751451479988028E-3</v>
      </c>
      <c r="CN26" s="4">
        <v>3.8908124214136136E-3</v>
      </c>
      <c r="CO26" s="4">
        <v>5.7805231797556315E-3</v>
      </c>
      <c r="CP26" s="4">
        <v>8.0296654944130037E-3</v>
      </c>
      <c r="CQ26" s="4">
        <v>1.0941100323603539E-2</v>
      </c>
      <c r="CR26" s="4">
        <v>1.5022281888004337E-2</v>
      </c>
      <c r="CS26" s="4">
        <v>2.1264713660936439E-2</v>
      </c>
      <c r="CT26" s="4">
        <v>3.2614416541706374E-2</v>
      </c>
      <c r="CU26" s="4">
        <v>4.9910036283288467E-2</v>
      </c>
      <c r="CV26" s="4">
        <v>0.24051252708134646</v>
      </c>
      <c r="CW26" s="4">
        <v>-0.25529448546990657</v>
      </c>
      <c r="CX26" s="4">
        <v>-6.4734206407543848E-2</v>
      </c>
      <c r="CY26" s="4">
        <v>-4.7524567389829166E-2</v>
      </c>
      <c r="CZ26" s="4">
        <v>-3.6307973500076356E-2</v>
      </c>
      <c r="DA26" s="4">
        <v>-3.0251533446713851E-2</v>
      </c>
      <c r="DB26" s="4">
        <v>-2.6418619865211396E-2</v>
      </c>
      <c r="DC26" s="4">
        <v>-2.3833416542944241E-2</v>
      </c>
      <c r="DD26" s="4">
        <v>-2.2018174560575171E-2</v>
      </c>
      <c r="DE26" s="4">
        <v>-2.0720501915557698E-2</v>
      </c>
      <c r="DF26" s="4">
        <v>-1.9796664751160768E-2</v>
      </c>
      <c r="DG26" s="4">
        <v>-1.9161864961337653E-2</v>
      </c>
      <c r="DH26" s="4">
        <v>-1.876670482340833E-2</v>
      </c>
      <c r="DI26" s="4">
        <v>-1.858579639750715E-2</v>
      </c>
      <c r="DJ26" s="4">
        <v>-1.8612944707307462E-2</v>
      </c>
      <c r="DK26" s="4">
        <v>-1.8860985777796848E-2</v>
      </c>
      <c r="DL26" s="4">
        <v>-1.9366632240309198E-2</v>
      </c>
      <c r="DM26" s="4">
        <v>-2.0203502678915197E-2</v>
      </c>
      <c r="DN26" s="4">
        <v>-2.1513439065858134E-2</v>
      </c>
      <c r="DO26" s="4">
        <v>-2.3579889600683475E-2</v>
      </c>
      <c r="DP26" s="4">
        <v>-2.7163101944096869E-2</v>
      </c>
      <c r="DQ26" s="4">
        <v>-3.2888902574294929E-2</v>
      </c>
      <c r="DR26" s="4">
        <v>-7.4422715050640867E-2</v>
      </c>
    </row>
    <row r="27" spans="2:122" x14ac:dyDescent="0.25">
      <c r="B27" s="1">
        <v>11</v>
      </c>
      <c r="C27" s="10"/>
      <c r="D27" s="10"/>
      <c r="E27" s="2">
        <f t="shared" si="44"/>
        <v>0.3125</v>
      </c>
      <c r="F27" s="2">
        <f t="shared" si="45"/>
        <v>3.9208984374999992E-2</v>
      </c>
      <c r="G27" s="2">
        <f t="shared" si="46"/>
        <v>3.9208984374999992E-2</v>
      </c>
      <c r="H27" s="2">
        <f t="shared" si="36"/>
        <v>0.328125</v>
      </c>
      <c r="I27" s="2">
        <f t="shared" si="37"/>
        <v>0.328125</v>
      </c>
      <c r="J27" s="2">
        <f t="shared" si="38"/>
        <v>3.8958740234374997E-2</v>
      </c>
      <c r="K27" s="2">
        <f t="shared" si="39"/>
        <v>3.8958740234374997E-2</v>
      </c>
      <c r="L27" s="2">
        <f t="shared" si="47"/>
        <v>-1.6015624999999995E-2</v>
      </c>
      <c r="M27" s="2">
        <f t="shared" si="48"/>
        <v>-1.6015624999999995E-2</v>
      </c>
      <c r="O27">
        <v>11</v>
      </c>
      <c r="P27" s="4">
        <f t="shared" si="42"/>
        <v>-2.7533585372268559E-2</v>
      </c>
      <c r="Q27" s="4">
        <f t="shared" si="43"/>
        <v>-2.7533585372268559E-2</v>
      </c>
      <c r="U27" s="10"/>
      <c r="V27" s="5">
        <f t="shared" si="0"/>
        <v>3.125E-2</v>
      </c>
      <c r="W27" s="5">
        <f>H28-E17</f>
        <v>0.359375</v>
      </c>
      <c r="X27" s="5">
        <f>H28-E18</f>
        <v>0.328125</v>
      </c>
      <c r="Y27" s="5">
        <f>H28-E19</f>
        <v>0.296875</v>
      </c>
      <c r="Z27" s="5">
        <f>H28-E20</f>
        <v>0.265625</v>
      </c>
      <c r="AA27" s="5">
        <f>H28-E21</f>
        <v>0.234375</v>
      </c>
      <c r="AB27" s="5">
        <f>H28-E22</f>
        <v>0.203125</v>
      </c>
      <c r="AC27" s="5">
        <f>H28-E23</f>
        <v>0.171875</v>
      </c>
      <c r="AD27" s="5">
        <f>H28-E24</f>
        <v>0.140625</v>
      </c>
      <c r="AE27" s="5">
        <f>H28-E25</f>
        <v>0.109375</v>
      </c>
      <c r="AF27" s="5">
        <f>H28-E26</f>
        <v>7.8125E-2</v>
      </c>
      <c r="AG27" s="5">
        <f>H28-E27</f>
        <v>4.6875E-2</v>
      </c>
      <c r="AH27" s="5">
        <f>H28-E28</f>
        <v>1.5625E-2</v>
      </c>
      <c r="AI27" s="5">
        <f>H28-E29</f>
        <v>-1.5625E-2</v>
      </c>
      <c r="AJ27" s="5">
        <f>H28-E30</f>
        <v>-4.6875E-2</v>
      </c>
      <c r="AK27" s="5">
        <f>H28-E31</f>
        <v>-7.8125E-2</v>
      </c>
      <c r="AL27" s="5">
        <f>H28-E32</f>
        <v>-0.109375</v>
      </c>
      <c r="AM27" s="5">
        <f>H28-E33</f>
        <v>-0.140625</v>
      </c>
      <c r="AN27" s="5">
        <f>H28-E34</f>
        <v>-0.171875</v>
      </c>
      <c r="AO27" s="5">
        <f>H28-E35</f>
        <v>-0.203125</v>
      </c>
      <c r="AP27" s="5">
        <f>H28-E36</f>
        <v>-0.234375</v>
      </c>
      <c r="AQ27" s="5">
        <f>H28-E37</f>
        <v>-0.265625</v>
      </c>
      <c r="AR27" s="5">
        <f>H28-E38</f>
        <v>-0.296875</v>
      </c>
      <c r="AS27" s="5">
        <f>H28-E39</f>
        <v>-0.328125</v>
      </c>
      <c r="AT27" s="5">
        <f>H28-E40</f>
        <v>-0.359375</v>
      </c>
      <c r="AU27" s="5">
        <f>H28-E41</f>
        <v>-0.390625</v>
      </c>
      <c r="AV27" s="5">
        <f>H28-E42</f>
        <v>-0.421875</v>
      </c>
      <c r="AW27" s="5">
        <f>H28-E43</f>
        <v>-0.453125</v>
      </c>
      <c r="AX27" s="5">
        <f>H28-E44</f>
        <v>-0.484375</v>
      </c>
      <c r="AY27" s="5">
        <f>H28-E45</f>
        <v>-0.515625</v>
      </c>
      <c r="AZ27" s="5">
        <f>H28-E46</f>
        <v>-0.546875</v>
      </c>
      <c r="BA27" s="5">
        <f>H28-E47</f>
        <v>-0.578125</v>
      </c>
      <c r="BB27" s="5">
        <f>H28-E48</f>
        <v>-0.609375</v>
      </c>
      <c r="BC27" s="5">
        <f t="shared" si="1"/>
        <v>-0.640625</v>
      </c>
      <c r="BD27" s="5"/>
      <c r="BE27">
        <v>12</v>
      </c>
      <c r="BF27" s="5">
        <f t="shared" si="2"/>
        <v>-4.479632883986906E-2</v>
      </c>
      <c r="BG27" s="5">
        <f t="shared" si="3"/>
        <v>-9.5382593074523681E-2</v>
      </c>
      <c r="BH27" s="5">
        <f t="shared" si="4"/>
        <v>-0.10545841641140929</v>
      </c>
      <c r="BI27" s="5">
        <f t="shared" si="5"/>
        <v>-0.11791996139208627</v>
      </c>
      <c r="BJ27" s="5">
        <f t="shared" si="6"/>
        <v>-0.13373123144467502</v>
      </c>
      <c r="BK27" s="5">
        <f t="shared" si="7"/>
        <v>-0.15445886165763556</v>
      </c>
      <c r="BL27" s="5">
        <f t="shared" si="8"/>
        <v>-0.18283342073090036</v>
      </c>
      <c r="BM27" s="5">
        <f t="shared" si="9"/>
        <v>-0.22408832605865991</v>
      </c>
      <c r="BN27" s="5">
        <f t="shared" si="10"/>
        <v>-0.28973433571104501</v>
      </c>
      <c r="BO27" s="5">
        <f t="shared" si="11"/>
        <v>-0.41141439252525902</v>
      </c>
      <c r="BP27" s="5">
        <f t="shared" si="12"/>
        <v>-0.7277579150809218</v>
      </c>
      <c r="BQ27" s="5">
        <f t="shared" si="13"/>
        <v>-1.6479184330021646</v>
      </c>
      <c r="BR27" s="5">
        <f t="shared" si="14"/>
        <v>1.6479184330021646</v>
      </c>
      <c r="BS27" s="5">
        <f t="shared" si="15"/>
        <v>0.7277579150809218</v>
      </c>
      <c r="BT27" s="5">
        <f t="shared" si="16"/>
        <v>0.41141439252525902</v>
      </c>
      <c r="BU27" s="5">
        <f t="shared" si="17"/>
        <v>0.28973433571104545</v>
      </c>
      <c r="BV27" s="5">
        <f t="shared" si="18"/>
        <v>0.22408832605866014</v>
      </c>
      <c r="BW27" s="5">
        <f t="shared" si="19"/>
        <v>0.18283342073089992</v>
      </c>
      <c r="BX27" s="5">
        <f t="shared" si="20"/>
        <v>0.154458861657635</v>
      </c>
      <c r="BY27" s="5">
        <f t="shared" si="21"/>
        <v>0.13373123144467491</v>
      </c>
      <c r="BZ27" s="5">
        <f t="shared" si="22"/>
        <v>0.11791996139208694</v>
      </c>
      <c r="CA27" s="5">
        <f t="shared" si="23"/>
        <v>0.10545841641141018</v>
      </c>
      <c r="CB27" s="5">
        <f t="shared" si="24"/>
        <v>9.5382593074523014E-2</v>
      </c>
      <c r="CC27" s="5">
        <f t="shared" si="25"/>
        <v>8.7066440578006166E-2</v>
      </c>
      <c r="CD27" s="5">
        <f t="shared" si="26"/>
        <v>8.0085552538646798E-2</v>
      </c>
      <c r="CE27" s="5">
        <f t="shared" si="27"/>
        <v>7.4141963539498312E-2</v>
      </c>
      <c r="CF27" s="5">
        <f t="shared" si="28"/>
        <v>6.9020290970460141E-2</v>
      </c>
      <c r="CG27" s="5">
        <f t="shared" si="29"/>
        <v>6.4560959961263764E-2</v>
      </c>
      <c r="CH27" s="5">
        <f t="shared" si="30"/>
        <v>6.0643217190658572E-2</v>
      </c>
      <c r="CI27" s="5">
        <f t="shared" si="31"/>
        <v>5.717399598559858E-2</v>
      </c>
      <c r="CJ27" s="5">
        <f t="shared" si="32"/>
        <v>5.4080407756537996E-2</v>
      </c>
      <c r="CK27" s="5">
        <f t="shared" si="33"/>
        <v>5.1304552300254214E-2</v>
      </c>
      <c r="CL27">
        <v>12</v>
      </c>
      <c r="CM27" s="4">
        <v>1.4944777291700884E-3</v>
      </c>
      <c r="CN27" s="4">
        <v>3.2441832202965088E-3</v>
      </c>
      <c r="CO27" s="4">
        <v>4.7543626621116249E-3</v>
      </c>
      <c r="CP27" s="4">
        <v>6.4895754583332915E-3</v>
      </c>
      <c r="CQ27" s="4">
        <v>8.639247374393224E-3</v>
      </c>
      <c r="CR27" s="4">
        <v>1.1483010852466039E-2</v>
      </c>
      <c r="CS27" s="4">
        <v>1.5513421906360771E-2</v>
      </c>
      <c r="CT27" s="4">
        <v>2.1715398387142221E-2</v>
      </c>
      <c r="CU27" s="4">
        <v>3.3031323608777259E-2</v>
      </c>
      <c r="CV27" s="4">
        <v>5.0297629117738989E-2</v>
      </c>
      <c r="CW27" s="4">
        <v>0.24087379607501694</v>
      </c>
      <c r="CX27" s="4">
        <v>-0.25495761264957784</v>
      </c>
      <c r="CY27" s="4">
        <v>-6.4420634368492019E-2</v>
      </c>
      <c r="CZ27" s="4">
        <v>-4.7233911309039547E-2</v>
      </c>
      <c r="DA27" s="4">
        <v>-3.6040511991615953E-2</v>
      </c>
      <c r="DB27" s="4">
        <v>-3.0008221285574569E-2</v>
      </c>
      <c r="DC27" s="4">
        <v>-2.6201158200551824E-2</v>
      </c>
      <c r="DD27" s="4">
        <v>-2.3644388522645495E-2</v>
      </c>
      <c r="DE27" s="4">
        <v>-2.1861265870172689E-2</v>
      </c>
      <c r="DF27" s="4">
        <v>-2.0600842142046709E-2</v>
      </c>
      <c r="DG27" s="4">
        <v>-1.9721352128512597E-2</v>
      </c>
      <c r="DH27" s="4">
        <v>-1.9140784012289105E-2</v>
      </c>
      <c r="DI27" s="4">
        <v>-1.8813834375219576E-2</v>
      </c>
      <c r="DJ27" s="4">
        <v>-1.8721380113657354E-2</v>
      </c>
      <c r="DK27" s="4">
        <v>-1.8867265953247989E-2</v>
      </c>
      <c r="DL27" s="4">
        <v>-1.9281334330300787E-2</v>
      </c>
      <c r="DM27" s="4">
        <v>-2.003114090002156E-2</v>
      </c>
      <c r="DN27" s="4">
        <v>-2.1251886627288216E-2</v>
      </c>
      <c r="DO27" s="4">
        <v>-2.321758142122006E-2</v>
      </c>
      <c r="DP27" s="4">
        <v>-2.6667693631563679E-2</v>
      </c>
      <c r="DQ27" s="4">
        <v>-3.2210247075548745E-2</v>
      </c>
      <c r="DR27" s="4">
        <v>-7.2686356668520496E-2</v>
      </c>
    </row>
    <row r="28" spans="2:122" x14ac:dyDescent="0.25">
      <c r="B28" s="1">
        <v>12</v>
      </c>
      <c r="C28" s="10"/>
      <c r="D28" s="10"/>
      <c r="E28" s="2">
        <f t="shared" si="44"/>
        <v>0.34375</v>
      </c>
      <c r="F28" s="2">
        <f t="shared" si="45"/>
        <v>3.8708496093749996E-2</v>
      </c>
      <c r="G28" s="2">
        <f t="shared" si="46"/>
        <v>3.8708496093749996E-2</v>
      </c>
      <c r="H28" s="2">
        <f t="shared" si="36"/>
        <v>0.359375</v>
      </c>
      <c r="I28" s="2">
        <f t="shared" si="37"/>
        <v>0.359375</v>
      </c>
      <c r="J28" s="2">
        <f t="shared" si="38"/>
        <v>3.8397216796874994E-2</v>
      </c>
      <c r="K28" s="2">
        <f t="shared" si="39"/>
        <v>3.8397216796874994E-2</v>
      </c>
      <c r="L28" s="2">
        <f t="shared" si="47"/>
        <v>-1.9921874999999999E-2</v>
      </c>
      <c r="M28" s="2">
        <f t="shared" si="48"/>
        <v>-1.9921874999999999E-2</v>
      </c>
      <c r="O28">
        <v>12</v>
      </c>
      <c r="P28" s="4">
        <f t="shared" si="42"/>
        <v>-5.2077277978438842E-2</v>
      </c>
      <c r="Q28" s="4">
        <f t="shared" si="43"/>
        <v>-5.2077277978438842E-2</v>
      </c>
      <c r="U28" s="10"/>
      <c r="V28" s="5">
        <f t="shared" si="0"/>
        <v>3.125E-2</v>
      </c>
      <c r="W28" s="5">
        <f>H29-E17</f>
        <v>0.390625</v>
      </c>
      <c r="X28" s="5">
        <f>H29-E18</f>
        <v>0.359375</v>
      </c>
      <c r="Y28" s="5">
        <f>H29-E19</f>
        <v>0.328125</v>
      </c>
      <c r="Z28" s="5">
        <f>H29-E20</f>
        <v>0.296875</v>
      </c>
      <c r="AA28" s="5">
        <f>H29-E21</f>
        <v>0.265625</v>
      </c>
      <c r="AB28" s="5">
        <f>H29-E22</f>
        <v>0.234375</v>
      </c>
      <c r="AC28" s="5">
        <f>H29-E23</f>
        <v>0.203125</v>
      </c>
      <c r="AD28" s="5">
        <f>H29-E24</f>
        <v>0.171875</v>
      </c>
      <c r="AE28" s="5">
        <f>H29-E25</f>
        <v>0.140625</v>
      </c>
      <c r="AF28" s="5">
        <f>H29-E26</f>
        <v>0.109375</v>
      </c>
      <c r="AG28" s="5">
        <f>H29-E27</f>
        <v>7.8125E-2</v>
      </c>
      <c r="AH28" s="5">
        <f>H29-E28</f>
        <v>4.6875E-2</v>
      </c>
      <c r="AI28" s="5">
        <f>H29-E29</f>
        <v>1.5625E-2</v>
      </c>
      <c r="AJ28" s="5">
        <f>H29-E30</f>
        <v>-1.5625E-2</v>
      </c>
      <c r="AK28" s="5">
        <f>H29-E31</f>
        <v>-4.6875E-2</v>
      </c>
      <c r="AL28" s="5">
        <f>H29-E32</f>
        <v>-7.8125E-2</v>
      </c>
      <c r="AM28" s="5">
        <f>H29-E33</f>
        <v>-0.109375</v>
      </c>
      <c r="AN28" s="5">
        <f>H29-E34</f>
        <v>-0.140625</v>
      </c>
      <c r="AO28" s="5">
        <f>H29-E35</f>
        <v>-0.171875</v>
      </c>
      <c r="AP28" s="5">
        <f>H29-E36</f>
        <v>-0.203125</v>
      </c>
      <c r="AQ28" s="5">
        <f>H29-E37</f>
        <v>-0.234375</v>
      </c>
      <c r="AR28" s="5">
        <f>H29-E38</f>
        <v>-0.265625</v>
      </c>
      <c r="AS28" s="5">
        <f>H29-E39</f>
        <v>-0.296875</v>
      </c>
      <c r="AT28" s="5">
        <f>H29-E40</f>
        <v>-0.328125</v>
      </c>
      <c r="AU28" s="5">
        <f>H29-E41</f>
        <v>-0.359375</v>
      </c>
      <c r="AV28" s="5">
        <f>H29-E42</f>
        <v>-0.390625</v>
      </c>
      <c r="AW28" s="5">
        <f>H29-E43</f>
        <v>-0.421875</v>
      </c>
      <c r="AX28" s="5">
        <f>H29-E44</f>
        <v>-0.453125</v>
      </c>
      <c r="AY28" s="5">
        <f>H29-E45</f>
        <v>-0.484375</v>
      </c>
      <c r="AZ28" s="5">
        <f>H29-E46</f>
        <v>-0.515625</v>
      </c>
      <c r="BA28" s="5">
        <f>H29-E47</f>
        <v>-0.546875</v>
      </c>
      <c r="BB28" s="5">
        <f>H29-E48</f>
        <v>-0.578125</v>
      </c>
      <c r="BC28" s="5">
        <f t="shared" si="1"/>
        <v>-0.609375</v>
      </c>
      <c r="BD28" s="5"/>
      <c r="BE28">
        <v>13</v>
      </c>
      <c r="BF28" s="5">
        <f t="shared" si="2"/>
        <v>-4.1111497200913338E-2</v>
      </c>
      <c r="BG28" s="5">
        <f t="shared" si="3"/>
        <v>-8.7066440578006721E-2</v>
      </c>
      <c r="BH28" s="5">
        <f t="shared" si="4"/>
        <v>-9.5382593074523681E-2</v>
      </c>
      <c r="BI28" s="5">
        <f t="shared" si="5"/>
        <v>-0.10545841641140929</v>
      </c>
      <c r="BJ28" s="5">
        <f t="shared" si="6"/>
        <v>-0.11791996139208627</v>
      </c>
      <c r="BK28" s="5">
        <f t="shared" si="7"/>
        <v>-0.13373123144467502</v>
      </c>
      <c r="BL28" s="5">
        <f t="shared" si="8"/>
        <v>-0.15445886165763556</v>
      </c>
      <c r="BM28" s="5">
        <f t="shared" si="9"/>
        <v>-0.18283342073090036</v>
      </c>
      <c r="BN28" s="5">
        <f t="shared" si="10"/>
        <v>-0.22408832605865991</v>
      </c>
      <c r="BO28" s="5">
        <f t="shared" si="11"/>
        <v>-0.28973433571104501</v>
      </c>
      <c r="BP28" s="5">
        <f t="shared" si="12"/>
        <v>-0.41141439252525902</v>
      </c>
      <c r="BQ28" s="5">
        <f t="shared" si="13"/>
        <v>-0.7277579150809218</v>
      </c>
      <c r="BR28" s="5">
        <f t="shared" si="14"/>
        <v>-1.6479184330021646</v>
      </c>
      <c r="BS28" s="5">
        <f t="shared" si="15"/>
        <v>1.6479184330021646</v>
      </c>
      <c r="BT28" s="5">
        <f t="shared" si="16"/>
        <v>0.7277579150809218</v>
      </c>
      <c r="BU28" s="5">
        <f t="shared" si="17"/>
        <v>0.41141439252525902</v>
      </c>
      <c r="BV28" s="5">
        <f t="shared" si="18"/>
        <v>0.28973433571104545</v>
      </c>
      <c r="BW28" s="5">
        <f t="shared" si="19"/>
        <v>0.22408832605866014</v>
      </c>
      <c r="BX28" s="5">
        <f t="shared" si="20"/>
        <v>0.18283342073089992</v>
      </c>
      <c r="BY28" s="5">
        <f t="shared" si="21"/>
        <v>0.154458861657635</v>
      </c>
      <c r="BZ28" s="5">
        <f t="shared" si="22"/>
        <v>0.13373123144467491</v>
      </c>
      <c r="CA28" s="5">
        <f t="shared" si="23"/>
        <v>0.11791996139208694</v>
      </c>
      <c r="CB28" s="5">
        <f t="shared" si="24"/>
        <v>0.10545841641141018</v>
      </c>
      <c r="CC28" s="5">
        <f t="shared" si="25"/>
        <v>9.5382593074523014E-2</v>
      </c>
      <c r="CD28" s="5">
        <f t="shared" si="26"/>
        <v>8.7066440578006166E-2</v>
      </c>
      <c r="CE28" s="5">
        <f t="shared" si="27"/>
        <v>8.0085552538646798E-2</v>
      </c>
      <c r="CF28" s="5">
        <f t="shared" si="28"/>
        <v>7.4141963539498312E-2</v>
      </c>
      <c r="CG28" s="5">
        <f t="shared" si="29"/>
        <v>6.9020290970460141E-2</v>
      </c>
      <c r="CH28" s="5">
        <f t="shared" si="30"/>
        <v>6.4560959961263764E-2</v>
      </c>
      <c r="CI28" s="5">
        <f t="shared" si="31"/>
        <v>6.0643217190658572E-2</v>
      </c>
      <c r="CJ28" s="5">
        <f t="shared" si="32"/>
        <v>5.717399598559858E-2</v>
      </c>
      <c r="CK28" s="5">
        <f t="shared" si="33"/>
        <v>5.4080407756537996E-2</v>
      </c>
      <c r="CL28">
        <v>13</v>
      </c>
      <c r="CM28" s="4">
        <v>1.2736438077991523E-3</v>
      </c>
      <c r="CN28" s="4">
        <v>2.7430690083134414E-3</v>
      </c>
      <c r="CO28" s="4">
        <v>3.9761172860544617E-3</v>
      </c>
      <c r="CP28" s="4">
        <v>5.3536160210891134E-3</v>
      </c>
      <c r="CQ28" s="4">
        <v>7.0030550175737734E-3</v>
      </c>
      <c r="CR28" s="4">
        <v>9.0940217311344679E-3</v>
      </c>
      <c r="CS28" s="4">
        <v>1.1893432093454561E-2</v>
      </c>
      <c r="CT28" s="4">
        <v>1.5888209851747093E-2</v>
      </c>
      <c r="CU28" s="4">
        <v>2.2060153007448673E-2</v>
      </c>
      <c r="CV28" s="4">
        <v>3.3349736625746806E-2</v>
      </c>
      <c r="CW28" s="4">
        <v>5.0592112955870086E-2</v>
      </c>
      <c r="CX28" s="4">
        <v>0.24114582953540029</v>
      </c>
      <c r="CY28" s="4">
        <v>-0.2547072935227534</v>
      </c>
      <c r="CZ28" s="4">
        <v>-6.4191940015174656E-2</v>
      </c>
      <c r="DA28" s="4">
        <v>-4.7027368475524814E-2</v>
      </c>
      <c r="DB28" s="4">
        <v>-3.5857288040624484E-2</v>
      </c>
      <c r="DC28" s="4">
        <v>-2.9850202387727266E-2</v>
      </c>
      <c r="DD28" s="4">
        <v>-2.6071090309614971E-2</v>
      </c>
      <c r="DE28" s="4">
        <v>-2.3546101104891227E-2</v>
      </c>
      <c r="DF28" s="4">
        <v>-2.1800014343398684E-2</v>
      </c>
      <c r="DG28" s="4">
        <v>-2.0583831153673359E-2</v>
      </c>
      <c r="DH28" s="4">
        <v>-1.9758548056576859E-2</v>
      </c>
      <c r="DI28" s="4">
        <v>-1.9246211774004655E-2</v>
      </c>
      <c r="DJ28" s="4">
        <v>-1.9007725757145925E-2</v>
      </c>
      <c r="DK28" s="4">
        <v>-1.9033904985377704E-2</v>
      </c>
      <c r="DL28" s="4">
        <v>-1.9345410311030303E-2</v>
      </c>
      <c r="DM28" s="4">
        <v>-2.0002546188450706E-2</v>
      </c>
      <c r="DN28" s="4">
        <v>-2.1133613050777836E-2</v>
      </c>
      <c r="DO28" s="4">
        <v>-2.3004049712460509E-2</v>
      </c>
      <c r="DP28" s="4">
        <v>-2.6336281756989342E-2</v>
      </c>
      <c r="DQ28" s="4">
        <v>-3.1723624553655433E-2</v>
      </c>
      <c r="DR28" s="4">
        <v>-7.1370587426918305E-2</v>
      </c>
    </row>
    <row r="29" spans="2:122" x14ac:dyDescent="0.25">
      <c r="B29" s="1">
        <v>13</v>
      </c>
      <c r="C29" s="10"/>
      <c r="D29" s="10"/>
      <c r="E29" s="2">
        <f t="shared" si="44"/>
        <v>0.375</v>
      </c>
      <c r="F29" s="2">
        <f t="shared" si="45"/>
        <v>3.8085937499999993E-2</v>
      </c>
      <c r="G29" s="2">
        <f t="shared" si="46"/>
        <v>3.8085937499999993E-2</v>
      </c>
      <c r="H29" s="2">
        <f t="shared" si="36"/>
        <v>0.390625</v>
      </c>
      <c r="I29" s="2">
        <f t="shared" si="37"/>
        <v>0.390625</v>
      </c>
      <c r="J29" s="2">
        <f t="shared" si="38"/>
        <v>3.7713623046874992E-2</v>
      </c>
      <c r="K29" s="2">
        <f t="shared" si="39"/>
        <v>3.7713623046874992E-2</v>
      </c>
      <c r="L29" s="2">
        <f t="shared" si="47"/>
        <v>-2.3828124999999995E-2</v>
      </c>
      <c r="M29" s="2">
        <f>(2*$B$8*$B$11-2*$B$11*H29)/(1-$B$8)^2</f>
        <v>-2.3828124999999995E-2</v>
      </c>
      <c r="O29">
        <v>13</v>
      </c>
      <c r="P29" s="4">
        <f t="shared" si="42"/>
        <v>-7.662097058460908E-2</v>
      </c>
      <c r="Q29" s="4">
        <f t="shared" si="43"/>
        <v>-7.662097058460908E-2</v>
      </c>
      <c r="U29" s="10"/>
      <c r="V29" s="5">
        <f t="shared" si="0"/>
        <v>3.125E-2</v>
      </c>
      <c r="W29" s="5">
        <f>H30-E17</f>
        <v>0.421875</v>
      </c>
      <c r="X29" s="5">
        <f>H30-E18</f>
        <v>0.390625</v>
      </c>
      <c r="Y29" s="5">
        <f>H30-E19</f>
        <v>0.359375</v>
      </c>
      <c r="Z29" s="5">
        <f>H30-E20</f>
        <v>0.328125</v>
      </c>
      <c r="AA29" s="5">
        <f>H30-E21</f>
        <v>0.296875</v>
      </c>
      <c r="AB29" s="5">
        <f>H30-E22</f>
        <v>0.265625</v>
      </c>
      <c r="AC29" s="5">
        <f>H30-E23</f>
        <v>0.234375</v>
      </c>
      <c r="AD29" s="5">
        <f>H30-E24</f>
        <v>0.203125</v>
      </c>
      <c r="AE29" s="5">
        <f>H30-E25</f>
        <v>0.171875</v>
      </c>
      <c r="AF29" s="5">
        <f>H30-E26</f>
        <v>0.140625</v>
      </c>
      <c r="AG29" s="5">
        <f>H30-E27</f>
        <v>0.109375</v>
      </c>
      <c r="AH29" s="5">
        <f>H30-E28</f>
        <v>7.8125E-2</v>
      </c>
      <c r="AI29" s="5">
        <f>H30-E29</f>
        <v>4.6875E-2</v>
      </c>
      <c r="AJ29" s="5">
        <f>H30-E30</f>
        <v>1.5625E-2</v>
      </c>
      <c r="AK29" s="5">
        <f>H30-E31</f>
        <v>-1.5625E-2</v>
      </c>
      <c r="AL29" s="5">
        <f>H30-E32</f>
        <v>-4.6875E-2</v>
      </c>
      <c r="AM29" s="5">
        <f>H30-E33</f>
        <v>-7.8125E-2</v>
      </c>
      <c r="AN29" s="5">
        <f>H30-E34</f>
        <v>-0.109375</v>
      </c>
      <c r="AO29" s="5">
        <f>H30-E35</f>
        <v>-0.140625</v>
      </c>
      <c r="AP29" s="5">
        <f>H30-E36</f>
        <v>-0.171875</v>
      </c>
      <c r="AQ29" s="5">
        <f>H30-E37</f>
        <v>-0.203125</v>
      </c>
      <c r="AR29" s="5">
        <f>H30-E38</f>
        <v>-0.234375</v>
      </c>
      <c r="AS29" s="5">
        <f>H30-E39</f>
        <v>-0.265625</v>
      </c>
      <c r="AT29" s="5">
        <f>H30-E40</f>
        <v>-0.296875</v>
      </c>
      <c r="AU29" s="5">
        <f>H30-E41</f>
        <v>-0.328125</v>
      </c>
      <c r="AV29" s="5">
        <f>H30-E42</f>
        <v>-0.359375</v>
      </c>
      <c r="AW29" s="5">
        <f>H30-E43</f>
        <v>-0.390625</v>
      </c>
      <c r="AX29" s="5">
        <f>H30-E44</f>
        <v>-0.421875</v>
      </c>
      <c r="AY29" s="5">
        <f>H30-E45</f>
        <v>-0.453125</v>
      </c>
      <c r="AZ29" s="5">
        <f>H30-E46</f>
        <v>-0.484375</v>
      </c>
      <c r="BA29" s="5">
        <f>H30-E47</f>
        <v>-0.515625</v>
      </c>
      <c r="BB29" s="5">
        <f>H30-E48</f>
        <v>-0.546875</v>
      </c>
      <c r="BC29" s="5">
        <f t="shared" si="1"/>
        <v>-0.578125</v>
      </c>
      <c r="BD29" s="5"/>
      <c r="BE29">
        <v>14</v>
      </c>
      <c r="BF29" s="5">
        <f t="shared" si="2"/>
        <v>-3.7986985798395989E-2</v>
      </c>
      <c r="BG29" s="5">
        <f t="shared" si="3"/>
        <v>-8.0085552538645799E-2</v>
      </c>
      <c r="BH29" s="5">
        <f t="shared" si="4"/>
        <v>-8.7066440578006721E-2</v>
      </c>
      <c r="BI29" s="5">
        <f t="shared" si="5"/>
        <v>-9.5382593074523681E-2</v>
      </c>
      <c r="BJ29" s="5">
        <f t="shared" si="6"/>
        <v>-0.10545841641140929</v>
      </c>
      <c r="BK29" s="5">
        <f t="shared" si="7"/>
        <v>-0.11791996139208627</v>
      </c>
      <c r="BL29" s="5">
        <f t="shared" si="8"/>
        <v>-0.13373123144467502</v>
      </c>
      <c r="BM29" s="5">
        <f t="shared" si="9"/>
        <v>-0.15445886165763556</v>
      </c>
      <c r="BN29" s="5">
        <f t="shared" si="10"/>
        <v>-0.18283342073090036</v>
      </c>
      <c r="BO29" s="5">
        <f t="shared" si="11"/>
        <v>-0.22408832605865991</v>
      </c>
      <c r="BP29" s="5">
        <f t="shared" si="12"/>
        <v>-0.28973433571104501</v>
      </c>
      <c r="BQ29" s="5">
        <f t="shared" si="13"/>
        <v>-0.41141439252525902</v>
      </c>
      <c r="BR29" s="5">
        <f t="shared" si="14"/>
        <v>-0.7277579150809218</v>
      </c>
      <c r="BS29" s="5">
        <f t="shared" si="15"/>
        <v>-1.6479184330021646</v>
      </c>
      <c r="BT29" s="5">
        <f t="shared" si="16"/>
        <v>1.6479184330021646</v>
      </c>
      <c r="BU29" s="5">
        <f t="shared" si="17"/>
        <v>0.7277579150809218</v>
      </c>
      <c r="BV29" s="5">
        <f t="shared" si="18"/>
        <v>0.41141439252525902</v>
      </c>
      <c r="BW29" s="5">
        <f t="shared" si="19"/>
        <v>0.28973433571104545</v>
      </c>
      <c r="BX29" s="5">
        <f t="shared" si="20"/>
        <v>0.22408832605866014</v>
      </c>
      <c r="BY29" s="5">
        <f t="shared" si="21"/>
        <v>0.18283342073089992</v>
      </c>
      <c r="BZ29" s="5">
        <f t="shared" si="22"/>
        <v>0.154458861657635</v>
      </c>
      <c r="CA29" s="5">
        <f t="shared" si="23"/>
        <v>0.13373123144467491</v>
      </c>
      <c r="CB29" s="5">
        <f t="shared" si="24"/>
        <v>0.11791996139208694</v>
      </c>
      <c r="CC29" s="5">
        <f t="shared" si="25"/>
        <v>0.10545841641141018</v>
      </c>
      <c r="CD29" s="5">
        <f t="shared" si="26"/>
        <v>9.5382593074523014E-2</v>
      </c>
      <c r="CE29" s="5">
        <f t="shared" si="27"/>
        <v>8.7066440578006166E-2</v>
      </c>
      <c r="CF29" s="5">
        <f t="shared" si="28"/>
        <v>8.0085552538646798E-2</v>
      </c>
      <c r="CG29" s="5">
        <f t="shared" si="29"/>
        <v>7.4141963539498312E-2</v>
      </c>
      <c r="CH29" s="5">
        <f t="shared" si="30"/>
        <v>6.9020290970460141E-2</v>
      </c>
      <c r="CI29" s="5">
        <f t="shared" si="31"/>
        <v>6.4560959961263764E-2</v>
      </c>
      <c r="CJ29" s="5">
        <f t="shared" si="32"/>
        <v>6.0643217190658572E-2</v>
      </c>
      <c r="CK29" s="5">
        <f t="shared" si="33"/>
        <v>5.717399598559858E-2</v>
      </c>
      <c r="CL29">
        <v>14</v>
      </c>
      <c r="CM29" s="4">
        <v>1.0962323047051079E-3</v>
      </c>
      <c r="CN29" s="4">
        <v>2.3455073359749759E-3</v>
      </c>
      <c r="CO29" s="4">
        <v>3.3694066467019573E-3</v>
      </c>
      <c r="CP29" s="4">
        <v>4.4872604157547118E-3</v>
      </c>
      <c r="CQ29" s="4">
        <v>5.7899593770135887E-3</v>
      </c>
      <c r="CR29" s="4">
        <v>7.3878747866702506E-3</v>
      </c>
      <c r="CS29" s="4">
        <v>9.4396259510360556E-3</v>
      </c>
      <c r="CT29" s="4">
        <v>1.2207260675391652E-2</v>
      </c>
      <c r="CU29" s="4">
        <v>1.6174997796976218E-2</v>
      </c>
      <c r="CV29" s="4">
        <v>2.2322972218530579E-2</v>
      </c>
      <c r="CW29" s="4">
        <v>3.35905348625824E-2</v>
      </c>
      <c r="CX29" s="4">
        <v>5.081200765016132E-2</v>
      </c>
      <c r="CY29" s="4">
        <v>0.24134526687179378</v>
      </c>
      <c r="CZ29" s="4">
        <v>-0.2545284627907739</v>
      </c>
      <c r="DA29" s="4">
        <v>-6.4034444066508198E-2</v>
      </c>
      <c r="DB29" s="4">
        <v>-4.6892548135123807E-2</v>
      </c>
      <c r="DC29" s="4">
        <v>-3.5747181521997184E-2</v>
      </c>
      <c r="DD29" s="4">
        <v>-2.9767690770682868E-2</v>
      </c>
      <c r="DE29" s="4">
        <v>-2.602012412611639E-2</v>
      </c>
      <c r="DF29" s="4">
        <v>-2.353204406913199E-2</v>
      </c>
      <c r="DG29" s="4">
        <v>-2.183016608600296E-2</v>
      </c>
      <c r="DH29" s="4">
        <v>-2.0668236562087581E-2</v>
      </c>
      <c r="DI29" s="4">
        <v>-1.9911286609751219E-2</v>
      </c>
      <c r="DJ29" s="4">
        <v>-1.9487530549234813E-2</v>
      </c>
      <c r="DK29" s="4">
        <v>-1.9367739909007361E-2</v>
      </c>
      <c r="DL29" s="4">
        <v>-1.9559412498751576E-2</v>
      </c>
      <c r="DM29" s="4">
        <v>-2.0113400339144508E-2</v>
      </c>
      <c r="DN29" s="4">
        <v>-2.1150149564994152E-2</v>
      </c>
      <c r="DO29" s="4">
        <v>-2.2926796755168496E-2</v>
      </c>
      <c r="DP29" s="4">
        <v>-2.6151594060186831E-2</v>
      </c>
      <c r="DQ29" s="4">
        <v>-3.1405547369927379E-2</v>
      </c>
      <c r="DR29" s="4">
        <v>-7.0416552163582502E-2</v>
      </c>
    </row>
    <row r="30" spans="2:122" x14ac:dyDescent="0.25">
      <c r="B30" s="1">
        <v>14</v>
      </c>
      <c r="C30" s="10"/>
      <c r="D30" s="10"/>
      <c r="E30" s="2">
        <f t="shared" si="44"/>
        <v>0.40625</v>
      </c>
      <c r="F30" s="2">
        <f t="shared" si="45"/>
        <v>3.734130859374999E-2</v>
      </c>
      <c r="G30" s="2">
        <f t="shared" si="46"/>
        <v>3.734130859374999E-2</v>
      </c>
      <c r="H30" s="2">
        <f t="shared" si="36"/>
        <v>0.421875</v>
      </c>
      <c r="I30" s="2">
        <f t="shared" si="37"/>
        <v>0.421875</v>
      </c>
      <c r="J30" s="2">
        <f t="shared" si="38"/>
        <v>3.6907958984374989E-2</v>
      </c>
      <c r="K30" s="2">
        <f t="shared" si="39"/>
        <v>3.6907958984374989E-2</v>
      </c>
      <c r="L30" s="2">
        <f t="shared" si="47"/>
        <v>-2.7734374999999999E-2</v>
      </c>
      <c r="M30" s="2">
        <f t="shared" si="48"/>
        <v>-2.7734374999999999E-2</v>
      </c>
      <c r="O30">
        <v>14</v>
      </c>
      <c r="P30" s="4">
        <f t="shared" si="42"/>
        <v>-0.10116466319077937</v>
      </c>
      <c r="Q30" s="4">
        <f t="shared" si="43"/>
        <v>-0.10116466319077937</v>
      </c>
      <c r="U30" s="10"/>
      <c r="V30" s="5">
        <f t="shared" si="0"/>
        <v>3.125E-2</v>
      </c>
      <c r="W30" s="5">
        <f>H31-E17</f>
        <v>0.453125</v>
      </c>
      <c r="X30" s="5">
        <f>H31-E18</f>
        <v>0.421875</v>
      </c>
      <c r="Y30" s="5">
        <f>H31-E19</f>
        <v>0.390625</v>
      </c>
      <c r="Z30" s="5">
        <f>H31-E20</f>
        <v>0.359375</v>
      </c>
      <c r="AA30" s="5">
        <f>H31-E21</f>
        <v>0.328125</v>
      </c>
      <c r="AB30" s="5">
        <f>H31-E22</f>
        <v>0.296875</v>
      </c>
      <c r="AC30" s="5">
        <f>H31-E23</f>
        <v>0.265625</v>
      </c>
      <c r="AD30" s="5">
        <f>H31-E24</f>
        <v>0.234375</v>
      </c>
      <c r="AE30" s="5">
        <f>H31-E25</f>
        <v>0.203125</v>
      </c>
      <c r="AF30" s="5">
        <f>H31-E26</f>
        <v>0.171875</v>
      </c>
      <c r="AG30" s="5">
        <f>H31-E27</f>
        <v>0.140625</v>
      </c>
      <c r="AH30" s="5">
        <f>H31-E28</f>
        <v>0.109375</v>
      </c>
      <c r="AI30" s="5">
        <f>H31-E29</f>
        <v>7.8125E-2</v>
      </c>
      <c r="AJ30" s="5">
        <f>H31-E30</f>
        <v>4.6875E-2</v>
      </c>
      <c r="AK30" s="5">
        <f>H31-E31</f>
        <v>1.5625E-2</v>
      </c>
      <c r="AL30" s="5">
        <f>H31-E32</f>
        <v>-1.5625E-2</v>
      </c>
      <c r="AM30" s="5">
        <f>H31-E33</f>
        <v>-4.6875E-2</v>
      </c>
      <c r="AN30" s="5">
        <f>H31-E34</f>
        <v>-7.8125E-2</v>
      </c>
      <c r="AO30" s="5">
        <f>H31-E35</f>
        <v>-0.109375</v>
      </c>
      <c r="AP30" s="5">
        <f>H31-E36</f>
        <v>-0.140625</v>
      </c>
      <c r="AQ30" s="5">
        <f>H31-E37</f>
        <v>-0.171875</v>
      </c>
      <c r="AR30" s="5">
        <f>H31-E38</f>
        <v>-0.203125</v>
      </c>
      <c r="AS30" s="5">
        <f>H31-E39</f>
        <v>-0.234375</v>
      </c>
      <c r="AT30" s="5">
        <f>H31-E40</f>
        <v>-0.265625</v>
      </c>
      <c r="AU30" s="5">
        <f>H31-E41</f>
        <v>-0.296875</v>
      </c>
      <c r="AV30" s="5">
        <f>H31-E42</f>
        <v>-0.328125</v>
      </c>
      <c r="AW30" s="5">
        <f>H31-E43</f>
        <v>-0.359375</v>
      </c>
      <c r="AX30" s="5">
        <f>H31-E44</f>
        <v>-0.390625</v>
      </c>
      <c r="AY30" s="5">
        <f>H31-E45</f>
        <v>-0.421875</v>
      </c>
      <c r="AZ30" s="5">
        <f>H31-E46</f>
        <v>-0.453125</v>
      </c>
      <c r="BA30" s="5">
        <f>H31-E47</f>
        <v>-0.484375</v>
      </c>
      <c r="BB30" s="5">
        <f>H31-E48</f>
        <v>-0.515625</v>
      </c>
      <c r="BC30" s="5">
        <f t="shared" si="1"/>
        <v>-0.546875</v>
      </c>
      <c r="BD30" s="5"/>
      <c r="BE30">
        <v>15</v>
      </c>
      <c r="BF30" s="5">
        <f t="shared" si="2"/>
        <v>-3.5303986241042806E-2</v>
      </c>
      <c r="BG30" s="5">
        <f t="shared" si="3"/>
        <v>-7.414196353949809E-2</v>
      </c>
      <c r="BH30" s="5">
        <f t="shared" si="4"/>
        <v>-8.0085552538645799E-2</v>
      </c>
      <c r="BI30" s="5">
        <f t="shared" si="5"/>
        <v>-8.7066440578006721E-2</v>
      </c>
      <c r="BJ30" s="5">
        <f t="shared" si="6"/>
        <v>-9.5382593074523681E-2</v>
      </c>
      <c r="BK30" s="5">
        <f t="shared" si="7"/>
        <v>-0.10545841641140929</v>
      </c>
      <c r="BL30" s="5">
        <f t="shared" si="8"/>
        <v>-0.11791996139208627</v>
      </c>
      <c r="BM30" s="5">
        <f t="shared" si="9"/>
        <v>-0.13373123144467502</v>
      </c>
      <c r="BN30" s="5">
        <f t="shared" si="10"/>
        <v>-0.15445886165763556</v>
      </c>
      <c r="BO30" s="5">
        <f t="shared" si="11"/>
        <v>-0.18283342073090036</v>
      </c>
      <c r="BP30" s="5">
        <f t="shared" si="12"/>
        <v>-0.22408832605865991</v>
      </c>
      <c r="BQ30" s="5">
        <f t="shared" si="13"/>
        <v>-0.28973433571104501</v>
      </c>
      <c r="BR30" s="5">
        <f t="shared" si="14"/>
        <v>-0.41141439252525902</v>
      </c>
      <c r="BS30" s="5">
        <f t="shared" si="15"/>
        <v>-0.7277579150809218</v>
      </c>
      <c r="BT30" s="5">
        <f t="shared" si="16"/>
        <v>-1.6479184330021646</v>
      </c>
      <c r="BU30" s="5">
        <f t="shared" si="17"/>
        <v>1.6479184330021646</v>
      </c>
      <c r="BV30" s="5">
        <f t="shared" si="18"/>
        <v>0.7277579150809218</v>
      </c>
      <c r="BW30" s="5">
        <f t="shared" si="19"/>
        <v>0.41141439252525902</v>
      </c>
      <c r="BX30" s="5">
        <f t="shared" si="20"/>
        <v>0.28973433571104545</v>
      </c>
      <c r="BY30" s="5">
        <f t="shared" si="21"/>
        <v>0.22408832605866014</v>
      </c>
      <c r="BZ30" s="5">
        <f t="shared" si="22"/>
        <v>0.18283342073089992</v>
      </c>
      <c r="CA30" s="5">
        <f t="shared" si="23"/>
        <v>0.154458861657635</v>
      </c>
      <c r="CB30" s="5">
        <f t="shared" si="24"/>
        <v>0.13373123144467491</v>
      </c>
      <c r="CC30" s="5">
        <f t="shared" si="25"/>
        <v>0.11791996139208694</v>
      </c>
      <c r="CD30" s="5">
        <f t="shared" si="26"/>
        <v>0.10545841641141018</v>
      </c>
      <c r="CE30" s="5">
        <f t="shared" si="27"/>
        <v>9.5382593074523014E-2</v>
      </c>
      <c r="CF30" s="5">
        <f t="shared" si="28"/>
        <v>8.7066440578006166E-2</v>
      </c>
      <c r="CG30" s="5">
        <f t="shared" si="29"/>
        <v>8.0085552538646798E-2</v>
      </c>
      <c r="CH30" s="5">
        <f t="shared" si="30"/>
        <v>7.4141963539498312E-2</v>
      </c>
      <c r="CI30" s="5">
        <f t="shared" si="31"/>
        <v>6.9020290970460141E-2</v>
      </c>
      <c r="CJ30" s="5">
        <f t="shared" si="32"/>
        <v>6.4560959961263764E-2</v>
      </c>
      <c r="CK30" s="5">
        <f t="shared" si="33"/>
        <v>6.0643217190658572E-2</v>
      </c>
      <c r="CL30">
        <v>15</v>
      </c>
      <c r="CM30" s="4">
        <v>9.5116354651447743E-4</v>
      </c>
      <c r="CN30" s="4">
        <v>2.0238359747605313E-3</v>
      </c>
      <c r="CO30" s="4">
        <v>2.8855741464216106E-3</v>
      </c>
      <c r="CP30" s="4">
        <v>3.8085402274455884E-3</v>
      </c>
      <c r="CQ30" s="4">
        <v>4.8605391839997118E-3</v>
      </c>
      <c r="CR30" s="4">
        <v>6.1175640445866354E-3</v>
      </c>
      <c r="CS30" s="4">
        <v>7.6804442221158307E-3</v>
      </c>
      <c r="CT30" s="4">
        <v>9.703554307129169E-3</v>
      </c>
      <c r="CU30" s="4">
        <v>1.2446575625029127E-2</v>
      </c>
      <c r="CV30" s="4">
        <v>1.6392263752069713E-2</v>
      </c>
      <c r="CW30" s="4">
        <v>2.2519755794894594E-2</v>
      </c>
      <c r="CX30" s="4">
        <v>3.3767656311088329E-2</v>
      </c>
      <c r="CY30" s="4">
        <v>5.0969673919278043E-2</v>
      </c>
      <c r="CZ30" s="4">
        <v>0.24148313062679455</v>
      </c>
      <c r="DA30" s="4">
        <v>-0.25441129796607376</v>
      </c>
      <c r="DB30" s="4">
        <v>-6.39394652355742E-2</v>
      </c>
      <c r="DC30" s="4">
        <v>-4.682192333822463E-2</v>
      </c>
      <c r="DD30" s="4">
        <v>-3.5703909260119709E-2</v>
      </c>
      <c r="DE30" s="4">
        <v>-2.9755829388807609E-2</v>
      </c>
      <c r="DF30" s="4">
        <v>-2.604513726727356E-2</v>
      </c>
      <c r="DG30" s="4">
        <v>-2.3601323953659405E-2</v>
      </c>
      <c r="DH30" s="4">
        <v>-2.1953841775427235E-2</v>
      </c>
      <c r="DI30" s="4">
        <v>-2.0860459558684832E-2</v>
      </c>
      <c r="DJ30" s="4">
        <v>-2.0192355233109437E-2</v>
      </c>
      <c r="DK30" s="4">
        <v>-1.9887572004285699E-2</v>
      </c>
      <c r="DL30" s="4">
        <v>-1.9933485591754042E-2</v>
      </c>
      <c r="DM30" s="4">
        <v>-2.0367618119379038E-2</v>
      </c>
      <c r="DN30" s="4">
        <v>-2.130057825694761E-2</v>
      </c>
      <c r="DO30" s="4">
        <v>-2.2980732552687289E-2</v>
      </c>
      <c r="DP30" s="4">
        <v>-2.6104233500909471E-2</v>
      </c>
      <c r="DQ30" s="4">
        <v>-3.124156529952336E-2</v>
      </c>
      <c r="DR30" s="4">
        <v>-6.9784980596632129E-2</v>
      </c>
    </row>
    <row r="31" spans="2:122" x14ac:dyDescent="0.25">
      <c r="B31" s="1">
        <v>15</v>
      </c>
      <c r="C31" s="10"/>
      <c r="D31" s="10"/>
      <c r="E31" s="2">
        <f t="shared" si="44"/>
        <v>0.4375</v>
      </c>
      <c r="F31" s="2">
        <f t="shared" si="45"/>
        <v>3.6474609374999994E-2</v>
      </c>
      <c r="G31" s="2">
        <f t="shared" si="46"/>
        <v>3.6474609374999994E-2</v>
      </c>
      <c r="H31" s="2">
        <f t="shared" si="36"/>
        <v>0.453125</v>
      </c>
      <c r="I31" s="2">
        <f t="shared" si="37"/>
        <v>0.453125</v>
      </c>
      <c r="J31" s="2">
        <f t="shared" si="38"/>
        <v>3.5980224609374993E-2</v>
      </c>
      <c r="K31" s="2">
        <f t="shared" si="39"/>
        <v>3.5980224609374993E-2</v>
      </c>
      <c r="L31" s="2">
        <f t="shared" si="47"/>
        <v>-3.1640624999999992E-2</v>
      </c>
      <c r="M31" s="2">
        <f t="shared" si="48"/>
        <v>-3.1640624999999992E-2</v>
      </c>
      <c r="O31">
        <v>15</v>
      </c>
      <c r="P31" s="4">
        <f t="shared" si="42"/>
        <v>-0.12570835579694958</v>
      </c>
      <c r="Q31" s="4">
        <f t="shared" si="43"/>
        <v>-0.12570835579694958</v>
      </c>
      <c r="U31" s="10"/>
      <c r="V31" s="5">
        <f t="shared" si="0"/>
        <v>3.125E-2</v>
      </c>
      <c r="W31" s="5">
        <f>H32-E17</f>
        <v>0.484375</v>
      </c>
      <c r="X31" s="5">
        <f>H32-E18</f>
        <v>0.453125</v>
      </c>
      <c r="Y31" s="5">
        <f>H32-E19</f>
        <v>0.421875</v>
      </c>
      <c r="Z31" s="5">
        <f>H32-E20</f>
        <v>0.390625</v>
      </c>
      <c r="AA31" s="5">
        <f>H32-E21</f>
        <v>0.359375</v>
      </c>
      <c r="AB31" s="5">
        <f>H32-E22</f>
        <v>0.328125</v>
      </c>
      <c r="AC31" s="5">
        <f>H32-E23</f>
        <v>0.296875</v>
      </c>
      <c r="AD31" s="5">
        <f>H32-E24</f>
        <v>0.265625</v>
      </c>
      <c r="AE31" s="5">
        <f>H32-E25</f>
        <v>0.234375</v>
      </c>
      <c r="AF31" s="5">
        <f>H32-E26</f>
        <v>0.203125</v>
      </c>
      <c r="AG31" s="5">
        <f>H32-E27</f>
        <v>0.171875</v>
      </c>
      <c r="AH31" s="5">
        <f>H32-E28</f>
        <v>0.140625</v>
      </c>
      <c r="AI31" s="5">
        <f>H32-E29</f>
        <v>0.109375</v>
      </c>
      <c r="AJ31" s="5">
        <f>H32-E30</f>
        <v>7.8125E-2</v>
      </c>
      <c r="AK31" s="5">
        <f>H32-E31</f>
        <v>4.6875E-2</v>
      </c>
      <c r="AL31" s="5">
        <f>H32-E32</f>
        <v>1.5625E-2</v>
      </c>
      <c r="AM31" s="5">
        <f>H32-E33</f>
        <v>-1.5625E-2</v>
      </c>
      <c r="AN31" s="5">
        <f>H32-E34</f>
        <v>-4.6875E-2</v>
      </c>
      <c r="AO31" s="5">
        <f>H32-E35</f>
        <v>-7.8125E-2</v>
      </c>
      <c r="AP31" s="5">
        <f>H32-E36</f>
        <v>-0.109375</v>
      </c>
      <c r="AQ31" s="5">
        <f>H32-E37</f>
        <v>-0.140625</v>
      </c>
      <c r="AR31" s="5">
        <f>H32-E38</f>
        <v>-0.171875</v>
      </c>
      <c r="AS31" s="5">
        <f>H32-E39</f>
        <v>-0.203125</v>
      </c>
      <c r="AT31" s="5">
        <f>H32-E40</f>
        <v>-0.234375</v>
      </c>
      <c r="AU31" s="5">
        <f>H32-E41</f>
        <v>-0.265625</v>
      </c>
      <c r="AV31" s="5">
        <f>H32-E42</f>
        <v>-0.296875</v>
      </c>
      <c r="AW31" s="5">
        <f>H32-E43</f>
        <v>-0.328125</v>
      </c>
      <c r="AX31" s="5">
        <f>H32-E44</f>
        <v>-0.359375</v>
      </c>
      <c r="AY31" s="5">
        <f>H32-E45</f>
        <v>-0.390625</v>
      </c>
      <c r="AZ31" s="5">
        <f>H32-E46</f>
        <v>-0.421875</v>
      </c>
      <c r="BA31" s="5">
        <f>H32-E47</f>
        <v>-0.453125</v>
      </c>
      <c r="BB31" s="5">
        <f>H32-E48</f>
        <v>-0.484375</v>
      </c>
      <c r="BC31" s="5">
        <f t="shared" si="1"/>
        <v>-0.515625</v>
      </c>
      <c r="BD31" s="5"/>
      <c r="BE31">
        <v>16</v>
      </c>
      <c r="BF31" s="5">
        <f t="shared" si="2"/>
        <v>-3.2975069769251908E-2</v>
      </c>
      <c r="BG31" s="5">
        <f t="shared" si="3"/>
        <v>-6.9020290970463249E-2</v>
      </c>
      <c r="BH31" s="5">
        <f t="shared" si="4"/>
        <v>-7.414196353949809E-2</v>
      </c>
      <c r="BI31" s="5">
        <f t="shared" si="5"/>
        <v>-8.0085552538645799E-2</v>
      </c>
      <c r="BJ31" s="5">
        <f t="shared" si="6"/>
        <v>-8.7066440578006721E-2</v>
      </c>
      <c r="BK31" s="5">
        <f t="shared" si="7"/>
        <v>-9.5382593074523681E-2</v>
      </c>
      <c r="BL31" s="5">
        <f t="shared" si="8"/>
        <v>-0.10545841641140929</v>
      </c>
      <c r="BM31" s="5">
        <f t="shared" si="9"/>
        <v>-0.11791996139208627</v>
      </c>
      <c r="BN31" s="5">
        <f t="shared" si="10"/>
        <v>-0.13373123144467502</v>
      </c>
      <c r="BO31" s="5">
        <f t="shared" si="11"/>
        <v>-0.15445886165763556</v>
      </c>
      <c r="BP31" s="5">
        <f t="shared" si="12"/>
        <v>-0.18283342073090036</v>
      </c>
      <c r="BQ31" s="5">
        <f t="shared" si="13"/>
        <v>-0.22408832605865991</v>
      </c>
      <c r="BR31" s="5">
        <f t="shared" si="14"/>
        <v>-0.28973433571104501</v>
      </c>
      <c r="BS31" s="5">
        <f t="shared" si="15"/>
        <v>-0.41141439252525902</v>
      </c>
      <c r="BT31" s="5">
        <f t="shared" si="16"/>
        <v>-0.7277579150809218</v>
      </c>
      <c r="BU31" s="5">
        <f t="shared" si="17"/>
        <v>-1.6479184330021646</v>
      </c>
      <c r="BV31" s="5">
        <f t="shared" si="18"/>
        <v>1.6479184330021646</v>
      </c>
      <c r="BW31" s="5">
        <f t="shared" si="19"/>
        <v>0.7277579150809218</v>
      </c>
      <c r="BX31" s="5">
        <f t="shared" si="20"/>
        <v>0.41141439252525902</v>
      </c>
      <c r="BY31" s="5">
        <f t="shared" si="21"/>
        <v>0.28973433571104545</v>
      </c>
      <c r="BZ31" s="5">
        <f t="shared" si="22"/>
        <v>0.22408832605866014</v>
      </c>
      <c r="CA31" s="5">
        <f t="shared" si="23"/>
        <v>0.18283342073089992</v>
      </c>
      <c r="CB31" s="5">
        <f t="shared" si="24"/>
        <v>0.154458861657635</v>
      </c>
      <c r="CC31" s="5">
        <f t="shared" si="25"/>
        <v>0.13373123144467491</v>
      </c>
      <c r="CD31" s="5">
        <f t="shared" si="26"/>
        <v>0.11791996139208694</v>
      </c>
      <c r="CE31" s="5">
        <f t="shared" si="27"/>
        <v>0.10545841641141018</v>
      </c>
      <c r="CF31" s="5">
        <f t="shared" si="28"/>
        <v>9.5382593074523014E-2</v>
      </c>
      <c r="CG31" s="5">
        <f t="shared" si="29"/>
        <v>8.7066440578006166E-2</v>
      </c>
      <c r="CH31" s="5">
        <f t="shared" si="30"/>
        <v>8.0085552538646798E-2</v>
      </c>
      <c r="CI31" s="5">
        <f t="shared" si="31"/>
        <v>7.4141963539498312E-2</v>
      </c>
      <c r="CJ31" s="5">
        <f t="shared" si="32"/>
        <v>6.9020290970460141E-2</v>
      </c>
      <c r="CK31" s="5">
        <f t="shared" si="33"/>
        <v>6.4560959961263764E-2</v>
      </c>
      <c r="CL31">
        <v>16</v>
      </c>
      <c r="CM31" s="4">
        <v>8.3071762066744997E-4</v>
      </c>
      <c r="CN31" s="4">
        <v>1.7591603858051015E-3</v>
      </c>
      <c r="CO31" s="4">
        <v>2.4923034946067665E-3</v>
      </c>
      <c r="CP31" s="4">
        <v>3.264913287680824E-3</v>
      </c>
      <c r="CQ31" s="4">
        <v>4.1294221694469033E-3</v>
      </c>
      <c r="CR31" s="4">
        <v>5.140578611196274E-3</v>
      </c>
      <c r="CS31" s="4">
        <v>6.3660153192907822E-3</v>
      </c>
      <c r="CT31" s="4">
        <v>7.9028333519131563E-3</v>
      </c>
      <c r="CU31" s="4">
        <v>9.903321000342984E-3</v>
      </c>
      <c r="CV31" s="4">
        <v>1.2625861617698962E-2</v>
      </c>
      <c r="CW31" s="4">
        <v>1.655231731114688E-2</v>
      </c>
      <c r="CX31" s="4">
        <v>2.2661147947780746E-2</v>
      </c>
      <c r="CY31" s="4">
        <v>3.389039224442867E-2</v>
      </c>
      <c r="CZ31" s="4">
        <v>5.1073237945448262E-2</v>
      </c>
      <c r="DA31" s="4">
        <v>0.24156648184802523</v>
      </c>
      <c r="DB31" s="4">
        <v>-0.2543497739653327</v>
      </c>
      <c r="DC31" s="4">
        <v>-6.3902051666409179E-2</v>
      </c>
      <c r="DD31" s="4">
        <v>-4.6811725450117414E-2</v>
      </c>
      <c r="DE31" s="4">
        <v>-3.5725086660025239E-2</v>
      </c>
      <c r="DF31" s="4">
        <v>-2.9813943812207439E-2</v>
      </c>
      <c r="DG31" s="4">
        <v>-2.6147677620027624E-2</v>
      </c>
      <c r="DH31" s="4">
        <v>-2.3758515676343187E-2</v>
      </c>
      <c r="DI31" s="4">
        <v>-2.2179932482802204E-2</v>
      </c>
      <c r="DJ31" s="4">
        <v>-2.1175841403576468E-2</v>
      </c>
      <c r="DK31" s="4">
        <v>-2.0627240566493746E-2</v>
      </c>
      <c r="DL31" s="4">
        <v>-2.048875217997171E-2</v>
      </c>
      <c r="DM31" s="4">
        <v>-2.0777709881168067E-2</v>
      </c>
      <c r="DN31" s="4">
        <v>-2.1591215522305574E-2</v>
      </c>
      <c r="DO31" s="4">
        <v>-2.3167342077922575E-2</v>
      </c>
      <c r="DP31" s="4">
        <v>-2.6191353049287446E-2</v>
      </c>
      <c r="DQ31" s="4">
        <v>-3.1224378266664837E-2</v>
      </c>
      <c r="DR31" s="4">
        <v>-6.9451384569004793E-2</v>
      </c>
    </row>
    <row r="32" spans="2:122" x14ac:dyDescent="0.25">
      <c r="B32" s="1">
        <v>16</v>
      </c>
      <c r="C32" s="10"/>
      <c r="D32" s="10"/>
      <c r="E32" s="2">
        <f t="shared" si="44"/>
        <v>0.46875</v>
      </c>
      <c r="F32" s="2">
        <f t="shared" si="45"/>
        <v>3.5485839843749992E-2</v>
      </c>
      <c r="G32" s="2">
        <f t="shared" si="46"/>
        <v>3.5485839843749992E-2</v>
      </c>
      <c r="H32" s="2">
        <f t="shared" si="36"/>
        <v>0.484375</v>
      </c>
      <c r="I32" s="2">
        <f t="shared" si="37"/>
        <v>0.484375</v>
      </c>
      <c r="J32" s="2">
        <f t="shared" si="38"/>
        <v>3.4930419921874997E-2</v>
      </c>
      <c r="K32" s="2">
        <f t="shared" si="39"/>
        <v>3.4930419921874997E-2</v>
      </c>
      <c r="L32" s="2">
        <f t="shared" si="47"/>
        <v>-3.5546874999999992E-2</v>
      </c>
      <c r="M32" s="2">
        <f t="shared" si="48"/>
        <v>-3.5546874999999992E-2</v>
      </c>
      <c r="O32">
        <v>16</v>
      </c>
      <c r="P32" s="4">
        <f t="shared" si="42"/>
        <v>-0.15025204840311984</v>
      </c>
      <c r="Q32" s="4">
        <f t="shared" si="43"/>
        <v>-0.15025204840311984</v>
      </c>
      <c r="U32" s="10"/>
      <c r="V32" s="5">
        <f t="shared" si="0"/>
        <v>3.125E-2</v>
      </c>
      <c r="W32" s="5">
        <f>H33-E17</f>
        <v>0.515625</v>
      </c>
      <c r="X32" s="5">
        <f>H33-E18</f>
        <v>0.484375</v>
      </c>
      <c r="Y32" s="5">
        <f>H33-E19</f>
        <v>0.453125</v>
      </c>
      <c r="Z32" s="5">
        <f>H33-E20</f>
        <v>0.421875</v>
      </c>
      <c r="AA32" s="5">
        <f>H33-E21</f>
        <v>0.390625</v>
      </c>
      <c r="AB32" s="5">
        <f>H33-E22</f>
        <v>0.359375</v>
      </c>
      <c r="AC32" s="5">
        <f>H33-E23</f>
        <v>0.328125</v>
      </c>
      <c r="AD32" s="5">
        <f>H33-E24</f>
        <v>0.296875</v>
      </c>
      <c r="AE32" s="5">
        <f>H33-E25</f>
        <v>0.265625</v>
      </c>
      <c r="AF32" s="5">
        <f>H33-E26</f>
        <v>0.234375</v>
      </c>
      <c r="AG32" s="5">
        <f>H33-E27</f>
        <v>0.203125</v>
      </c>
      <c r="AH32" s="5">
        <f>H33-E28</f>
        <v>0.171875</v>
      </c>
      <c r="AI32" s="5">
        <f>H33-E29</f>
        <v>0.140625</v>
      </c>
      <c r="AJ32" s="5">
        <f>H33-E30</f>
        <v>0.109375</v>
      </c>
      <c r="AK32" s="5">
        <f>H33-E31</f>
        <v>7.8125E-2</v>
      </c>
      <c r="AL32" s="5">
        <f>H33-E32</f>
        <v>4.6875E-2</v>
      </c>
      <c r="AM32" s="5">
        <f>H33-E33</f>
        <v>1.5625E-2</v>
      </c>
      <c r="AN32" s="5">
        <f>H33-E34</f>
        <v>-1.5625E-2</v>
      </c>
      <c r="AO32" s="5">
        <f>H33-E35</f>
        <v>-4.6875E-2</v>
      </c>
      <c r="AP32" s="5">
        <f>H33-E36</f>
        <v>-7.8125E-2</v>
      </c>
      <c r="AQ32" s="5">
        <f>H33-E37</f>
        <v>-0.109375</v>
      </c>
      <c r="AR32" s="5">
        <f>H33-E38</f>
        <v>-0.140625</v>
      </c>
      <c r="AS32" s="5">
        <f>H33-E39</f>
        <v>-0.171875</v>
      </c>
      <c r="AT32" s="5">
        <f>H33-E40</f>
        <v>-0.203125</v>
      </c>
      <c r="AU32" s="5">
        <f>H33-E41</f>
        <v>-0.234375</v>
      </c>
      <c r="AV32" s="5">
        <f>H33-E42</f>
        <v>-0.265625</v>
      </c>
      <c r="AW32" s="5">
        <f>H33-E43</f>
        <v>-0.296875</v>
      </c>
      <c r="AX32" s="5">
        <f>H33-E44</f>
        <v>-0.328125</v>
      </c>
      <c r="AY32" s="5">
        <f>H33-E45</f>
        <v>-0.359375</v>
      </c>
      <c r="AZ32" s="5">
        <f>H33-E46</f>
        <v>-0.390625</v>
      </c>
      <c r="BA32" s="5">
        <f>H33-E47</f>
        <v>-0.421875</v>
      </c>
      <c r="BB32" s="5">
        <f>H33-E48</f>
        <v>-0.453125</v>
      </c>
      <c r="BC32" s="5">
        <f t="shared" si="1"/>
        <v>-0.484375</v>
      </c>
      <c r="BD32" s="5"/>
      <c r="BE32">
        <v>17</v>
      </c>
      <c r="BF32" s="5">
        <f t="shared" si="2"/>
        <v>-3.09344667893241E-2</v>
      </c>
      <c r="BG32" s="5">
        <f t="shared" si="3"/>
        <v>-6.4560959961261766E-2</v>
      </c>
      <c r="BH32" s="5">
        <f t="shared" si="4"/>
        <v>-6.9020290970463249E-2</v>
      </c>
      <c r="BI32" s="5">
        <f t="shared" si="5"/>
        <v>-7.414196353949809E-2</v>
      </c>
      <c r="BJ32" s="5">
        <f t="shared" si="6"/>
        <v>-8.0085552538645799E-2</v>
      </c>
      <c r="BK32" s="5">
        <f t="shared" si="7"/>
        <v>-8.7066440578006721E-2</v>
      </c>
      <c r="BL32" s="5">
        <f t="shared" si="8"/>
        <v>-9.5382593074523681E-2</v>
      </c>
      <c r="BM32" s="5">
        <f t="shared" si="9"/>
        <v>-0.10545841641140929</v>
      </c>
      <c r="BN32" s="5">
        <f t="shared" si="10"/>
        <v>-0.11791996139208627</v>
      </c>
      <c r="BO32" s="5">
        <f t="shared" si="11"/>
        <v>-0.13373123144467502</v>
      </c>
      <c r="BP32" s="5">
        <f t="shared" si="12"/>
        <v>-0.15445886165763556</v>
      </c>
      <c r="BQ32" s="5">
        <f t="shared" si="13"/>
        <v>-0.18283342073090036</v>
      </c>
      <c r="BR32" s="5">
        <f t="shared" si="14"/>
        <v>-0.22408832605865991</v>
      </c>
      <c r="BS32" s="5">
        <f t="shared" si="15"/>
        <v>-0.28973433571104501</v>
      </c>
      <c r="BT32" s="5">
        <f t="shared" si="16"/>
        <v>-0.41141439252525902</v>
      </c>
      <c r="BU32" s="5">
        <f t="shared" si="17"/>
        <v>-0.7277579150809218</v>
      </c>
      <c r="BV32" s="5">
        <f t="shared" si="18"/>
        <v>-1.6479184330021646</v>
      </c>
      <c r="BW32" s="5">
        <f t="shared" si="19"/>
        <v>1.6479184330021646</v>
      </c>
      <c r="BX32" s="5">
        <f t="shared" si="20"/>
        <v>0.7277579150809218</v>
      </c>
      <c r="BY32" s="5">
        <f t="shared" si="21"/>
        <v>0.41141439252525902</v>
      </c>
      <c r="BZ32" s="5">
        <f t="shared" si="22"/>
        <v>0.28973433571104545</v>
      </c>
      <c r="CA32" s="5">
        <f t="shared" si="23"/>
        <v>0.22408832605866014</v>
      </c>
      <c r="CB32" s="5">
        <f t="shared" si="24"/>
        <v>0.18283342073089992</v>
      </c>
      <c r="CC32" s="5">
        <f t="shared" si="25"/>
        <v>0.154458861657635</v>
      </c>
      <c r="CD32" s="5">
        <f t="shared" si="26"/>
        <v>0.13373123144467491</v>
      </c>
      <c r="CE32" s="5">
        <f t="shared" si="27"/>
        <v>0.11791996139208694</v>
      </c>
      <c r="CF32" s="5">
        <f t="shared" si="28"/>
        <v>0.10545841641141018</v>
      </c>
      <c r="CG32" s="5">
        <f t="shared" si="29"/>
        <v>9.5382593074523014E-2</v>
      </c>
      <c r="CH32" s="5">
        <f t="shared" si="30"/>
        <v>8.7066440578006166E-2</v>
      </c>
      <c r="CI32" s="5">
        <f t="shared" si="31"/>
        <v>8.0085552538646798E-2</v>
      </c>
      <c r="CJ32" s="5">
        <f t="shared" si="32"/>
        <v>7.4141963539498312E-2</v>
      </c>
      <c r="CK32" s="5">
        <f t="shared" si="33"/>
        <v>6.9020290970460141E-2</v>
      </c>
      <c r="CL32">
        <v>17</v>
      </c>
      <c r="CM32" s="4">
        <v>7.293684095218821E-4</v>
      </c>
      <c r="CN32" s="4">
        <v>1.5381813784356372E-3</v>
      </c>
      <c r="CO32" s="4">
        <v>2.1673740887084344E-3</v>
      </c>
      <c r="CP32" s="4">
        <v>2.8212856475786827E-3</v>
      </c>
      <c r="CQ32" s="4">
        <v>3.5416321026040861E-3</v>
      </c>
      <c r="CR32" s="4">
        <v>4.3693361747920208E-3</v>
      </c>
      <c r="CS32" s="4">
        <v>5.3517778859889439E-3</v>
      </c>
      <c r="CT32" s="4">
        <v>6.5532949367500988E-3</v>
      </c>
      <c r="CU32" s="4">
        <v>8.0691370473098493E-3</v>
      </c>
      <c r="CV32" s="4">
        <v>1.0050432954040633E-2</v>
      </c>
      <c r="CW32" s="4">
        <v>1.27547596870334E-2</v>
      </c>
      <c r="CX32" s="4">
        <v>1.6663359600190487E-2</v>
      </c>
      <c r="CY32" s="4">
        <v>2.2754165886865688E-2</v>
      </c>
      <c r="CZ32" s="4">
        <v>3.3964723590693399E-2</v>
      </c>
      <c r="DA32" s="4">
        <v>5.1127714220319517E-2</v>
      </c>
      <c r="DB32" s="4">
        <v>0.24159937407787757</v>
      </c>
      <c r="DC32" s="4">
        <v>-0.25434085507574528</v>
      </c>
      <c r="DD32" s="4">
        <v>-6.392031267624905E-2</v>
      </c>
      <c r="DE32" s="4">
        <v>-4.6861425730557134E-2</v>
      </c>
      <c r="DF32" s="4">
        <v>-3.5811889209541058E-2</v>
      </c>
      <c r="DG32" s="4">
        <v>-2.9945443399743407E-2</v>
      </c>
      <c r="DH32" s="4">
        <v>-2.6334213537700969E-2</v>
      </c>
      <c r="DI32" s="4">
        <v>-2.4014461289962267E-2</v>
      </c>
      <c r="DJ32" s="4">
        <v>-2.2525822261837559E-2</v>
      </c>
      <c r="DK32" s="4">
        <v>-2.1642052145216487E-2</v>
      </c>
      <c r="DL32" s="4">
        <v>-2.1260756367290256E-2</v>
      </c>
      <c r="DM32" s="4">
        <v>-2.1366548197617678E-2</v>
      </c>
      <c r="DN32" s="4">
        <v>-2.2036368263925066E-2</v>
      </c>
      <c r="DO32" s="4">
        <v>-2.3494774198374906E-2</v>
      </c>
      <c r="DP32" s="4">
        <v>-2.6416228117535898E-2</v>
      </c>
      <c r="DQ32" s="4">
        <v>-3.1352928467820569E-2</v>
      </c>
      <c r="DR32" s="4">
        <v>-6.9403313600268413E-2</v>
      </c>
    </row>
    <row r="33" spans="2:122" x14ac:dyDescent="0.25">
      <c r="B33" s="1">
        <v>17</v>
      </c>
      <c r="C33" s="10"/>
      <c r="D33" s="10"/>
      <c r="E33" s="2">
        <f t="shared" si="44"/>
        <v>0.5</v>
      </c>
      <c r="F33" s="2">
        <f t="shared" si="45"/>
        <v>3.4374999999999996E-2</v>
      </c>
      <c r="G33" s="2">
        <f t="shared" si="46"/>
        <v>3.4374999999999996E-2</v>
      </c>
      <c r="H33" s="2">
        <f t="shared" si="36"/>
        <v>0.515625</v>
      </c>
      <c r="I33" s="2">
        <f t="shared" si="37"/>
        <v>0.515625</v>
      </c>
      <c r="J33" s="2">
        <f t="shared" si="38"/>
        <v>3.3758544921874994E-2</v>
      </c>
      <c r="K33" s="2">
        <f t="shared" si="39"/>
        <v>3.3758544921874994E-2</v>
      </c>
      <c r="L33" s="2">
        <f t="shared" si="47"/>
        <v>-3.9453124999999992E-2</v>
      </c>
      <c r="M33" s="2">
        <f t="shared" si="48"/>
        <v>-3.9453124999999992E-2</v>
      </c>
      <c r="O33">
        <v>17</v>
      </c>
      <c r="P33" s="4">
        <f t="shared" si="42"/>
        <v>-0.1747957410092901</v>
      </c>
      <c r="Q33" s="4">
        <f t="shared" si="43"/>
        <v>-0.1747957410092901</v>
      </c>
      <c r="U33" s="10"/>
      <c r="V33" s="5">
        <f t="shared" si="0"/>
        <v>3.125E-2</v>
      </c>
      <c r="W33" s="5">
        <f>H34-E17</f>
        <v>0.546875</v>
      </c>
      <c r="X33" s="5">
        <f>H34-E18</f>
        <v>0.515625</v>
      </c>
      <c r="Y33" s="5">
        <f>H34-E19</f>
        <v>0.484375</v>
      </c>
      <c r="Z33" s="5">
        <f>H34-E20</f>
        <v>0.453125</v>
      </c>
      <c r="AA33" s="5">
        <f>H34-E21</f>
        <v>0.421875</v>
      </c>
      <c r="AB33" s="5">
        <f>H34-E22</f>
        <v>0.390625</v>
      </c>
      <c r="AC33" s="5">
        <f>H34-E23</f>
        <v>0.359375</v>
      </c>
      <c r="AD33" s="5">
        <f>H34-E24</f>
        <v>0.328125</v>
      </c>
      <c r="AE33" s="5">
        <f>H34-E25</f>
        <v>0.296875</v>
      </c>
      <c r="AF33" s="5">
        <f>H34-E26</f>
        <v>0.265625</v>
      </c>
      <c r="AG33" s="5">
        <f>H34-E27</f>
        <v>0.234375</v>
      </c>
      <c r="AH33" s="5">
        <f>H34-E28</f>
        <v>0.203125</v>
      </c>
      <c r="AI33" s="5">
        <f>H34-E29</f>
        <v>0.171875</v>
      </c>
      <c r="AJ33" s="5">
        <f>H34-E30</f>
        <v>0.140625</v>
      </c>
      <c r="AK33" s="5">
        <f>H34-E31</f>
        <v>0.109375</v>
      </c>
      <c r="AL33" s="5">
        <f>H34-E32</f>
        <v>7.8125E-2</v>
      </c>
      <c r="AM33" s="5">
        <f>H34-E33</f>
        <v>4.6875E-2</v>
      </c>
      <c r="AN33" s="5">
        <f>H34-E34</f>
        <v>1.5625E-2</v>
      </c>
      <c r="AO33" s="5">
        <f>H34-E35</f>
        <v>-1.5625E-2</v>
      </c>
      <c r="AP33" s="5">
        <f>H34-E36</f>
        <v>-4.6875E-2</v>
      </c>
      <c r="AQ33" s="5">
        <f>H34-E37</f>
        <v>-7.8125E-2</v>
      </c>
      <c r="AR33" s="5">
        <f>H34-E38</f>
        <v>-0.109375</v>
      </c>
      <c r="AS33" s="5">
        <f>H34-E39</f>
        <v>-0.140625</v>
      </c>
      <c r="AT33" s="5">
        <f>H34-E40</f>
        <v>-0.171875</v>
      </c>
      <c r="AU33" s="5">
        <f>H34-E41</f>
        <v>-0.203125</v>
      </c>
      <c r="AV33" s="5">
        <f>H34-E42</f>
        <v>-0.234375</v>
      </c>
      <c r="AW33" s="5">
        <f>H34-E43</f>
        <v>-0.265625</v>
      </c>
      <c r="AX33" s="5">
        <f>H34-E44</f>
        <v>-0.296875</v>
      </c>
      <c r="AY33" s="5">
        <f>H34-E45</f>
        <v>-0.328125</v>
      </c>
      <c r="AZ33" s="5">
        <f>H34-E46</f>
        <v>-0.359375</v>
      </c>
      <c r="BA33" s="5">
        <f>H34-E47</f>
        <v>-0.390625</v>
      </c>
      <c r="BB33" s="5">
        <f>H34-E48</f>
        <v>-0.421875</v>
      </c>
      <c r="BC33" s="5">
        <f t="shared" si="1"/>
        <v>-0.453125</v>
      </c>
      <c r="BD33" s="5"/>
      <c r="BE33">
        <v>18</v>
      </c>
      <c r="BF33" s="5">
        <f t="shared" si="2"/>
        <v>-2.9131749621597813E-2</v>
      </c>
      <c r="BG33" s="5">
        <f t="shared" si="3"/>
        <v>-6.0643217190659682E-2</v>
      </c>
      <c r="BH33" s="5">
        <f t="shared" si="4"/>
        <v>-6.4560959961261766E-2</v>
      </c>
      <c r="BI33" s="5">
        <f t="shared" si="5"/>
        <v>-6.9020290970463249E-2</v>
      </c>
      <c r="BJ33" s="5">
        <f t="shared" si="6"/>
        <v>-7.414196353949809E-2</v>
      </c>
      <c r="BK33" s="5">
        <f t="shared" si="7"/>
        <v>-8.0085552538645799E-2</v>
      </c>
      <c r="BL33" s="5">
        <f t="shared" si="8"/>
        <v>-8.7066440578006721E-2</v>
      </c>
      <c r="BM33" s="5">
        <f t="shared" si="9"/>
        <v>-9.5382593074523681E-2</v>
      </c>
      <c r="BN33" s="5">
        <f t="shared" si="10"/>
        <v>-0.10545841641140929</v>
      </c>
      <c r="BO33" s="5">
        <f t="shared" si="11"/>
        <v>-0.11791996139208627</v>
      </c>
      <c r="BP33" s="5">
        <f t="shared" si="12"/>
        <v>-0.13373123144467502</v>
      </c>
      <c r="BQ33" s="5">
        <f t="shared" si="13"/>
        <v>-0.15445886165763556</v>
      </c>
      <c r="BR33" s="5">
        <f t="shared" si="14"/>
        <v>-0.18283342073090036</v>
      </c>
      <c r="BS33" s="5">
        <f t="shared" si="15"/>
        <v>-0.22408832605865991</v>
      </c>
      <c r="BT33" s="5">
        <f t="shared" si="16"/>
        <v>-0.28973433571104501</v>
      </c>
      <c r="BU33" s="5">
        <f t="shared" si="17"/>
        <v>-0.41141439252525902</v>
      </c>
      <c r="BV33" s="5">
        <f t="shared" si="18"/>
        <v>-0.7277579150809218</v>
      </c>
      <c r="BW33" s="5">
        <f t="shared" si="19"/>
        <v>-1.6479184330021646</v>
      </c>
      <c r="BX33" s="5">
        <f t="shared" si="20"/>
        <v>1.6479184330021646</v>
      </c>
      <c r="BY33" s="5">
        <f t="shared" si="21"/>
        <v>0.7277579150809218</v>
      </c>
      <c r="BZ33" s="5">
        <f t="shared" si="22"/>
        <v>0.41141439252525902</v>
      </c>
      <c r="CA33" s="5">
        <f t="shared" si="23"/>
        <v>0.28973433571104545</v>
      </c>
      <c r="CB33" s="5">
        <f t="shared" si="24"/>
        <v>0.22408832605866014</v>
      </c>
      <c r="CC33" s="5">
        <f t="shared" si="25"/>
        <v>0.18283342073089992</v>
      </c>
      <c r="CD33" s="5">
        <f t="shared" si="26"/>
        <v>0.154458861657635</v>
      </c>
      <c r="CE33" s="5">
        <f t="shared" si="27"/>
        <v>0.13373123144467491</v>
      </c>
      <c r="CF33" s="5">
        <f t="shared" si="28"/>
        <v>0.11791996139208694</v>
      </c>
      <c r="CG33" s="5">
        <f t="shared" si="29"/>
        <v>0.10545841641141018</v>
      </c>
      <c r="CH33" s="5">
        <f t="shared" si="30"/>
        <v>9.5382593074523014E-2</v>
      </c>
      <c r="CI33" s="5">
        <f t="shared" si="31"/>
        <v>8.7066440578006166E-2</v>
      </c>
      <c r="CJ33" s="5">
        <f t="shared" si="32"/>
        <v>8.0085552538646798E-2</v>
      </c>
      <c r="CK33" s="5">
        <f t="shared" si="33"/>
        <v>7.4141963539498312E-2</v>
      </c>
      <c r="CL33">
        <v>18</v>
      </c>
      <c r="CM33" s="4">
        <v>6.430661939844294E-4</v>
      </c>
      <c r="CN33" s="4">
        <v>1.3512931497569626E-3</v>
      </c>
      <c r="CO33" s="4">
        <v>1.8950516847663541E-3</v>
      </c>
      <c r="CP33" s="4">
        <v>2.4534020505307241E-3</v>
      </c>
      <c r="CQ33" s="4">
        <v>3.0602910135207268E-3</v>
      </c>
      <c r="CR33" s="4">
        <v>3.7472396918437284E-3</v>
      </c>
      <c r="CS33" s="4">
        <v>4.548644860926385E-3</v>
      </c>
      <c r="CT33" s="4">
        <v>5.5089594338200848E-3</v>
      </c>
      <c r="CU33" s="4">
        <v>6.6908690297642235E-3</v>
      </c>
      <c r="CV33" s="4">
        <v>8.1885809612449161E-3</v>
      </c>
      <c r="CW33" s="4">
        <v>1.0152491130639258E-2</v>
      </c>
      <c r="CX33" s="4">
        <v>1.2839604984548957E-2</v>
      </c>
      <c r="CY33" s="4">
        <v>1.6730670656078396E-2</v>
      </c>
      <c r="CZ33" s="4">
        <v>2.2803149754220223E-2</v>
      </c>
      <c r="DA33" s="4">
        <v>3.3994095926220512E-2</v>
      </c>
      <c r="DB33" s="4">
        <v>5.1135639621267527E-2</v>
      </c>
      <c r="DC33" s="4">
        <v>0.241583361920191</v>
      </c>
      <c r="DD33" s="4">
        <v>-0.25438411137192196</v>
      </c>
      <c r="DE33" s="4">
        <v>-6.3995174851253361E-2</v>
      </c>
      <c r="DF33" s="4">
        <v>-4.6973665400557779E-2</v>
      </c>
      <c r="DG33" s="4">
        <v>-3.5969220583259326E-2</v>
      </c>
      <c r="DH33" s="4">
        <v>-3.0158341856850703E-2</v>
      </c>
      <c r="DI33" s="4">
        <v>-2.6617213139256274E-2</v>
      </c>
      <c r="DJ33" s="4">
        <v>-2.4388293374155354E-2</v>
      </c>
      <c r="DK33" s="4">
        <v>-2.3021114484586935E-2</v>
      </c>
      <c r="DL33" s="4">
        <v>-2.2306122638335923E-2</v>
      </c>
      <c r="DM33" s="4">
        <v>-2.2171048800520413E-2</v>
      </c>
      <c r="DN33" s="4">
        <v>-2.2660346678231968E-2</v>
      </c>
      <c r="DO33" s="4">
        <v>-2.3978853315072827E-2</v>
      </c>
      <c r="DP33" s="4">
        <v>-2.6788604859127228E-2</v>
      </c>
      <c r="DQ33" s="4">
        <v>-3.1632245502713256E-2</v>
      </c>
      <c r="DR33" s="4">
        <v>-6.9639035995687951E-2</v>
      </c>
    </row>
    <row r="34" spans="2:122" x14ac:dyDescent="0.25">
      <c r="B34" s="1">
        <v>18</v>
      </c>
      <c r="C34" s="10"/>
      <c r="D34" s="10"/>
      <c r="E34" s="2">
        <f t="shared" si="44"/>
        <v>0.53125</v>
      </c>
      <c r="F34" s="2">
        <f t="shared" si="45"/>
        <v>3.3142089843749993E-2</v>
      </c>
      <c r="G34" s="2">
        <f t="shared" si="46"/>
        <v>3.3142089843749993E-2</v>
      </c>
      <c r="H34" s="2">
        <f t="shared" si="36"/>
        <v>0.546875</v>
      </c>
      <c r="I34" s="2">
        <f t="shared" si="37"/>
        <v>0.546875</v>
      </c>
      <c r="J34" s="2">
        <f t="shared" si="38"/>
        <v>3.2464599609374992E-2</v>
      </c>
      <c r="K34" s="2">
        <f t="shared" si="39"/>
        <v>3.2464599609374992E-2</v>
      </c>
      <c r="L34" s="2">
        <f t="shared" si="47"/>
        <v>-4.3359374999999999E-2</v>
      </c>
      <c r="M34" s="2">
        <f t="shared" si="48"/>
        <v>-4.3359374999999999E-2</v>
      </c>
      <c r="O34">
        <v>18</v>
      </c>
      <c r="P34" s="4">
        <f t="shared" si="42"/>
        <v>-0.19933943361546042</v>
      </c>
      <c r="Q34" s="4">
        <f t="shared" si="43"/>
        <v>-0.19933943361546042</v>
      </c>
      <c r="U34" s="10"/>
      <c r="V34" s="5">
        <f t="shared" si="0"/>
        <v>3.125E-2</v>
      </c>
      <c r="W34" s="5">
        <f>H35-E17</f>
        <v>0.578125</v>
      </c>
      <c r="X34" s="5">
        <f>H35-E18</f>
        <v>0.546875</v>
      </c>
      <c r="Y34" s="5">
        <f>H35-E19</f>
        <v>0.515625</v>
      </c>
      <c r="Z34" s="5">
        <f>H35-E20</f>
        <v>0.484375</v>
      </c>
      <c r="AA34" s="5">
        <f>H35-E21</f>
        <v>0.453125</v>
      </c>
      <c r="AB34" s="5">
        <f>H35-E22</f>
        <v>0.421875</v>
      </c>
      <c r="AC34" s="5">
        <f>H35-E23</f>
        <v>0.390625</v>
      </c>
      <c r="AD34" s="5">
        <f>H35-E24</f>
        <v>0.359375</v>
      </c>
      <c r="AE34" s="5">
        <f>H35-E25</f>
        <v>0.328125</v>
      </c>
      <c r="AF34" s="5">
        <f>H35-E26</f>
        <v>0.296875</v>
      </c>
      <c r="AG34" s="5">
        <f>H35-E27</f>
        <v>0.265625</v>
      </c>
      <c r="AH34" s="5">
        <f>H35-E28</f>
        <v>0.234375</v>
      </c>
      <c r="AI34" s="5">
        <f>H35-E29</f>
        <v>0.203125</v>
      </c>
      <c r="AJ34" s="5">
        <f>H35-E30</f>
        <v>0.171875</v>
      </c>
      <c r="AK34" s="5">
        <f>H35-E31</f>
        <v>0.140625</v>
      </c>
      <c r="AL34" s="5">
        <f>H35-E32</f>
        <v>0.109375</v>
      </c>
      <c r="AM34" s="5">
        <f>H35-E33</f>
        <v>7.8125E-2</v>
      </c>
      <c r="AN34" s="5">
        <f>H35-E34</f>
        <v>4.6875E-2</v>
      </c>
      <c r="AO34" s="5">
        <f>H35-E35</f>
        <v>1.5625E-2</v>
      </c>
      <c r="AP34" s="5">
        <f>H35-E36</f>
        <v>-1.5625E-2</v>
      </c>
      <c r="AQ34" s="5">
        <f>H35-E37</f>
        <v>-4.6875E-2</v>
      </c>
      <c r="AR34" s="5">
        <f>H35-E38</f>
        <v>-7.8125E-2</v>
      </c>
      <c r="AS34" s="5">
        <f>H35-E39</f>
        <v>-0.109375</v>
      </c>
      <c r="AT34" s="5">
        <f>H35-E40</f>
        <v>-0.140625</v>
      </c>
      <c r="AU34" s="5">
        <f>H35-E41</f>
        <v>-0.171875</v>
      </c>
      <c r="AV34" s="5">
        <f>H35-E42</f>
        <v>-0.203125</v>
      </c>
      <c r="AW34" s="5">
        <f>H35-E43</f>
        <v>-0.234375</v>
      </c>
      <c r="AX34" s="5">
        <f>H35-E44</f>
        <v>-0.265625</v>
      </c>
      <c r="AY34" s="5">
        <f>H35-E45</f>
        <v>-0.296875</v>
      </c>
      <c r="AZ34" s="5">
        <f>H35-E46</f>
        <v>-0.328125</v>
      </c>
      <c r="BA34" s="5">
        <f>H35-E47</f>
        <v>-0.359375</v>
      </c>
      <c r="BB34" s="5">
        <f>H35-E48</f>
        <v>-0.390625</v>
      </c>
      <c r="BC34" s="5">
        <f t="shared" si="1"/>
        <v>-0.421875</v>
      </c>
      <c r="BD34" s="5"/>
      <c r="BE34">
        <v>19</v>
      </c>
      <c r="BF34" s="5">
        <f t="shared" si="2"/>
        <v>-2.7527604790811622E-2</v>
      </c>
      <c r="BG34" s="5">
        <f t="shared" si="3"/>
        <v>-5.7173995985596915E-2</v>
      </c>
      <c r="BH34" s="5">
        <f t="shared" si="4"/>
        <v>-6.0643217190659682E-2</v>
      </c>
      <c r="BI34" s="5">
        <f t="shared" si="5"/>
        <v>-6.4560959961261766E-2</v>
      </c>
      <c r="BJ34" s="5">
        <f t="shared" si="6"/>
        <v>-6.9020290970463249E-2</v>
      </c>
      <c r="BK34" s="5">
        <f t="shared" si="7"/>
        <v>-7.414196353949809E-2</v>
      </c>
      <c r="BL34" s="5">
        <f t="shared" si="8"/>
        <v>-8.0085552538645799E-2</v>
      </c>
      <c r="BM34" s="5">
        <f t="shared" si="9"/>
        <v>-8.7066440578006721E-2</v>
      </c>
      <c r="BN34" s="5">
        <f t="shared" si="10"/>
        <v>-9.5382593074523681E-2</v>
      </c>
      <c r="BO34" s="5">
        <f t="shared" si="11"/>
        <v>-0.10545841641140929</v>
      </c>
      <c r="BP34" s="5">
        <f t="shared" si="12"/>
        <v>-0.11791996139208627</v>
      </c>
      <c r="BQ34" s="5">
        <f t="shared" si="13"/>
        <v>-0.13373123144467502</v>
      </c>
      <c r="BR34" s="5">
        <f t="shared" si="14"/>
        <v>-0.15445886165763556</v>
      </c>
      <c r="BS34" s="5">
        <f t="shared" si="15"/>
        <v>-0.18283342073090036</v>
      </c>
      <c r="BT34" s="5">
        <f t="shared" si="16"/>
        <v>-0.22408832605865991</v>
      </c>
      <c r="BU34" s="5">
        <f t="shared" si="17"/>
        <v>-0.28973433571104501</v>
      </c>
      <c r="BV34" s="5">
        <f t="shared" si="18"/>
        <v>-0.41141439252525902</v>
      </c>
      <c r="BW34" s="5">
        <f t="shared" si="19"/>
        <v>-0.7277579150809218</v>
      </c>
      <c r="BX34" s="5">
        <f t="shared" si="20"/>
        <v>-1.6479184330021646</v>
      </c>
      <c r="BY34" s="5">
        <f t="shared" si="21"/>
        <v>1.6479184330021646</v>
      </c>
      <c r="BZ34" s="5">
        <f t="shared" si="22"/>
        <v>0.7277579150809218</v>
      </c>
      <c r="CA34" s="5">
        <f t="shared" si="23"/>
        <v>0.41141439252525902</v>
      </c>
      <c r="CB34" s="5">
        <f t="shared" si="24"/>
        <v>0.28973433571104545</v>
      </c>
      <c r="CC34" s="5">
        <f t="shared" si="25"/>
        <v>0.22408832605866014</v>
      </c>
      <c r="CD34" s="5">
        <f t="shared" si="26"/>
        <v>0.18283342073089992</v>
      </c>
      <c r="CE34" s="5">
        <f t="shared" si="27"/>
        <v>0.154458861657635</v>
      </c>
      <c r="CF34" s="5">
        <f t="shared" si="28"/>
        <v>0.13373123144467491</v>
      </c>
      <c r="CG34" s="5">
        <f t="shared" si="29"/>
        <v>0.11791996139208694</v>
      </c>
      <c r="CH34" s="5">
        <f t="shared" si="30"/>
        <v>0.10545841641141018</v>
      </c>
      <c r="CI34" s="5">
        <f t="shared" si="31"/>
        <v>9.5382593074523014E-2</v>
      </c>
      <c r="CJ34" s="5">
        <f t="shared" si="32"/>
        <v>8.7066440578006166E-2</v>
      </c>
      <c r="CK34" s="5">
        <f t="shared" si="33"/>
        <v>8.0085552538646798E-2</v>
      </c>
      <c r="CL34">
        <v>19</v>
      </c>
      <c r="CM34" s="4">
        <v>5.687808799909452E-4</v>
      </c>
      <c r="CN34" s="4">
        <v>1.1913987726400142E-3</v>
      </c>
      <c r="CO34" s="4">
        <v>1.6639087358610873E-3</v>
      </c>
      <c r="CP34" s="4">
        <v>2.1440046146445147E-3</v>
      </c>
      <c r="CQ34" s="4">
        <v>2.6598062976127732E-3</v>
      </c>
      <c r="CR34" s="4">
        <v>3.2361948593607366E-3</v>
      </c>
      <c r="CS34" s="4">
        <v>3.8988886454017057E-3</v>
      </c>
      <c r="CT34" s="4">
        <v>4.6796728583101185E-3</v>
      </c>
      <c r="CU34" s="4">
        <v>5.6215189680599133E-3</v>
      </c>
      <c r="CV34" s="4">
        <v>6.7861702272162937E-3</v>
      </c>
      <c r="CW34" s="4">
        <v>8.267163557654441E-3</v>
      </c>
      <c r="CX34" s="4">
        <v>1.0214363842812289E-2</v>
      </c>
      <c r="CY34" s="4">
        <v>1.2884309200143215E-2</v>
      </c>
      <c r="CZ34" s="4">
        <v>1.6757293939600331E-2</v>
      </c>
      <c r="DA34" s="4">
        <v>2.2810299505197387E-2</v>
      </c>
      <c r="DB34" s="4">
        <v>3.3979834668575432E-2</v>
      </c>
      <c r="DC34" s="4">
        <v>5.1097376565925133E-2</v>
      </c>
      <c r="DD34" s="4">
        <v>0.24151768821115124</v>
      </c>
      <c r="DE34" s="4">
        <v>-0.25448166607600192</v>
      </c>
      <c r="DF34" s="4">
        <v>-6.4130501986408295E-2</v>
      </c>
      <c r="DG34" s="4">
        <v>-4.7154616421935393E-2</v>
      </c>
      <c r="DH34" s="4">
        <v>-3.6206434012667349E-2</v>
      </c>
      <c r="DI34" s="4">
        <v>-3.0466553083538232E-2</v>
      </c>
      <c r="DJ34" s="4">
        <v>-2.7017411890078794E-2</v>
      </c>
      <c r="DK34" s="4">
        <v>-2.4911453453104724E-2</v>
      </c>
      <c r="DL34" s="4">
        <v>-2.3715041168468075E-2</v>
      </c>
      <c r="DM34" s="4">
        <v>-2.3248987304604993E-2</v>
      </c>
      <c r="DN34" s="4">
        <v>-2.3501311143334494E-2</v>
      </c>
      <c r="DO34" s="4">
        <v>-2.4645268165487972E-2</v>
      </c>
      <c r="DP34" s="4">
        <v>-2.7325898911470446E-2</v>
      </c>
      <c r="DQ34" s="4">
        <v>-3.2074002501643516E-2</v>
      </c>
      <c r="DR34" s="4">
        <v>-7.0167363263155924E-2</v>
      </c>
    </row>
    <row r="35" spans="2:122" x14ac:dyDescent="0.25">
      <c r="B35" s="1">
        <v>19</v>
      </c>
      <c r="C35" s="10"/>
      <c r="D35" s="10"/>
      <c r="E35" s="2">
        <f t="shared" si="44"/>
        <v>0.5625</v>
      </c>
      <c r="F35" s="2">
        <f t="shared" si="45"/>
        <v>3.178710937499999E-2</v>
      </c>
      <c r="G35" s="2">
        <f t="shared" si="46"/>
        <v>3.178710937499999E-2</v>
      </c>
      <c r="H35" s="2">
        <f t="shared" si="36"/>
        <v>0.578125</v>
      </c>
      <c r="I35" s="2">
        <f t="shared" si="37"/>
        <v>0.578125</v>
      </c>
      <c r="J35" s="2">
        <f t="shared" si="38"/>
        <v>3.1048583984374992E-2</v>
      </c>
      <c r="K35" s="2">
        <f t="shared" si="39"/>
        <v>3.1048583984374992E-2</v>
      </c>
      <c r="L35" s="2">
        <f t="shared" si="47"/>
        <v>-4.7265624999999992E-2</v>
      </c>
      <c r="M35" s="2">
        <f t="shared" si="48"/>
        <v>-4.7265624999999992E-2</v>
      </c>
      <c r="O35">
        <v>19</v>
      </c>
      <c r="P35" s="4">
        <f t="shared" si="42"/>
        <v>-0.22388312622163062</v>
      </c>
      <c r="Q35" s="4">
        <f t="shared" si="43"/>
        <v>-0.22388312622163062</v>
      </c>
      <c r="U35" s="10"/>
      <c r="V35" s="5">
        <f t="shared" si="0"/>
        <v>3.125E-2</v>
      </c>
      <c r="W35" s="5">
        <f>H36-E17</f>
        <v>0.609375</v>
      </c>
      <c r="X35" s="5">
        <f>H36-E18</f>
        <v>0.578125</v>
      </c>
      <c r="Y35" s="5">
        <f>H36-E19</f>
        <v>0.546875</v>
      </c>
      <c r="Z35" s="5">
        <f>H36-E20</f>
        <v>0.515625</v>
      </c>
      <c r="AA35" s="5">
        <f>H36-E21</f>
        <v>0.484375</v>
      </c>
      <c r="AB35" s="5">
        <f>H36-E22</f>
        <v>0.453125</v>
      </c>
      <c r="AC35" s="5">
        <f>H36-E23</f>
        <v>0.421875</v>
      </c>
      <c r="AD35" s="5">
        <f>H36-E24</f>
        <v>0.390625</v>
      </c>
      <c r="AE35" s="5">
        <f>H36-E25</f>
        <v>0.359375</v>
      </c>
      <c r="AF35" s="5">
        <f>H36-E26</f>
        <v>0.328125</v>
      </c>
      <c r="AG35" s="5">
        <f>H36-E27</f>
        <v>0.296875</v>
      </c>
      <c r="AH35" s="5">
        <f>H36-E28</f>
        <v>0.265625</v>
      </c>
      <c r="AI35" s="5">
        <f>H36-E29</f>
        <v>0.234375</v>
      </c>
      <c r="AJ35" s="5">
        <f>H36-E30</f>
        <v>0.203125</v>
      </c>
      <c r="AK35" s="5">
        <f>H36-E31</f>
        <v>0.171875</v>
      </c>
      <c r="AL35" s="5">
        <f>H36-E32</f>
        <v>0.140625</v>
      </c>
      <c r="AM35" s="5">
        <f>H36-E33</f>
        <v>0.109375</v>
      </c>
      <c r="AN35" s="5">
        <f>H36-E34</f>
        <v>7.8125E-2</v>
      </c>
      <c r="AO35" s="5">
        <f>H36-E35</f>
        <v>4.6875E-2</v>
      </c>
      <c r="AP35" s="5">
        <f>H36-E36</f>
        <v>1.5625E-2</v>
      </c>
      <c r="AQ35" s="5">
        <f>H36-E37</f>
        <v>-1.5625E-2</v>
      </c>
      <c r="AR35" s="5">
        <f>H36-E38</f>
        <v>-4.6875E-2</v>
      </c>
      <c r="AS35" s="5">
        <f>H36-E39</f>
        <v>-7.8125E-2</v>
      </c>
      <c r="AT35" s="5">
        <f>H36-E40</f>
        <v>-0.109375</v>
      </c>
      <c r="AU35" s="5">
        <f>H36-E41</f>
        <v>-0.140625</v>
      </c>
      <c r="AV35" s="5">
        <f>H36-E42</f>
        <v>-0.171875</v>
      </c>
      <c r="AW35" s="5">
        <f>H36-E43</f>
        <v>-0.203125</v>
      </c>
      <c r="AX35" s="5">
        <f>H36-E44</f>
        <v>-0.234375</v>
      </c>
      <c r="AY35" s="5">
        <f>H36-E45</f>
        <v>-0.265625</v>
      </c>
      <c r="AZ35" s="5">
        <f>H36-E46</f>
        <v>-0.296875</v>
      </c>
      <c r="BA35" s="5">
        <f>H36-E47</f>
        <v>-0.328125</v>
      </c>
      <c r="BB35" s="5">
        <f>H36-E48</f>
        <v>-0.359375</v>
      </c>
      <c r="BC35" s="5">
        <f t="shared" si="1"/>
        <v>-0.390625</v>
      </c>
      <c r="BD35" s="5"/>
      <c r="BE35">
        <v>20</v>
      </c>
      <c r="BF35" s="5">
        <f t="shared" si="2"/>
        <v>-2.6090930519692468E-2</v>
      </c>
      <c r="BG35" s="5">
        <f t="shared" si="3"/>
        <v>-5.4080407756541216E-2</v>
      </c>
      <c r="BH35" s="5">
        <f t="shared" si="4"/>
        <v>-5.7173995985596915E-2</v>
      </c>
      <c r="BI35" s="5">
        <f t="shared" si="5"/>
        <v>-6.0643217190659682E-2</v>
      </c>
      <c r="BJ35" s="5">
        <f t="shared" si="6"/>
        <v>-6.4560959961261766E-2</v>
      </c>
      <c r="BK35" s="5">
        <f t="shared" si="7"/>
        <v>-6.9020290970463249E-2</v>
      </c>
      <c r="BL35" s="5">
        <f t="shared" si="8"/>
        <v>-7.414196353949809E-2</v>
      </c>
      <c r="BM35" s="5">
        <f t="shared" si="9"/>
        <v>-8.0085552538645799E-2</v>
      </c>
      <c r="BN35" s="5">
        <f t="shared" si="10"/>
        <v>-8.7066440578006721E-2</v>
      </c>
      <c r="BO35" s="5">
        <f t="shared" si="11"/>
        <v>-9.5382593074523681E-2</v>
      </c>
      <c r="BP35" s="5">
        <f t="shared" si="12"/>
        <v>-0.10545841641140929</v>
      </c>
      <c r="BQ35" s="5">
        <f t="shared" si="13"/>
        <v>-0.11791996139208627</v>
      </c>
      <c r="BR35" s="5">
        <f t="shared" si="14"/>
        <v>-0.13373123144467502</v>
      </c>
      <c r="BS35" s="5">
        <f t="shared" si="15"/>
        <v>-0.15445886165763556</v>
      </c>
      <c r="BT35" s="5">
        <f t="shared" si="16"/>
        <v>-0.18283342073090036</v>
      </c>
      <c r="BU35" s="5">
        <f t="shared" si="17"/>
        <v>-0.22408832605865991</v>
      </c>
      <c r="BV35" s="5">
        <f t="shared" si="18"/>
        <v>-0.28973433571104501</v>
      </c>
      <c r="BW35" s="5">
        <f t="shared" si="19"/>
        <v>-0.41141439252525902</v>
      </c>
      <c r="BX35" s="5">
        <f t="shared" si="20"/>
        <v>-0.7277579150809218</v>
      </c>
      <c r="BY35" s="5">
        <f t="shared" si="21"/>
        <v>-1.6479184330021646</v>
      </c>
      <c r="BZ35" s="5">
        <f t="shared" si="22"/>
        <v>1.6479184330021646</v>
      </c>
      <c r="CA35" s="5">
        <f t="shared" si="23"/>
        <v>0.7277579150809218</v>
      </c>
      <c r="CB35" s="5">
        <f t="shared" si="24"/>
        <v>0.41141439252525902</v>
      </c>
      <c r="CC35" s="5">
        <f t="shared" si="25"/>
        <v>0.28973433571104545</v>
      </c>
      <c r="CD35" s="5">
        <f t="shared" si="26"/>
        <v>0.22408832605866014</v>
      </c>
      <c r="CE35" s="5">
        <f t="shared" si="27"/>
        <v>0.18283342073089992</v>
      </c>
      <c r="CF35" s="5">
        <f t="shared" si="28"/>
        <v>0.154458861657635</v>
      </c>
      <c r="CG35" s="5">
        <f t="shared" si="29"/>
        <v>0.13373123144467491</v>
      </c>
      <c r="CH35" s="5">
        <f t="shared" si="30"/>
        <v>0.11791996139208694</v>
      </c>
      <c r="CI35" s="5">
        <f t="shared" si="31"/>
        <v>0.10545841641141018</v>
      </c>
      <c r="CJ35" s="5">
        <f t="shared" si="32"/>
        <v>9.5382593074523014E-2</v>
      </c>
      <c r="CK35" s="5">
        <f t="shared" si="33"/>
        <v>8.7066440578006166E-2</v>
      </c>
      <c r="CL35">
        <v>20</v>
      </c>
      <c r="CM35" s="4">
        <v>5.04202275963913E-4</v>
      </c>
      <c r="CN35" s="4">
        <v>1.0531477147998709E-3</v>
      </c>
      <c r="CO35" s="4">
        <v>1.4654578184377155E-3</v>
      </c>
      <c r="CP35" s="4">
        <v>1.8805009446335821E-3</v>
      </c>
      <c r="CQ35" s="4">
        <v>2.3218958219180055E-3</v>
      </c>
      <c r="CR35" s="4">
        <v>2.8096757496633568E-3</v>
      </c>
      <c r="CS35" s="4">
        <v>3.3635456841974226E-3</v>
      </c>
      <c r="CT35" s="4">
        <v>4.0068855064009559E-3</v>
      </c>
      <c r="CU35" s="4">
        <v>4.7701463633411482E-3</v>
      </c>
      <c r="CV35" s="4">
        <v>5.6954434373525575E-3</v>
      </c>
      <c r="CW35" s="4">
        <v>6.8439029483177835E-3</v>
      </c>
      <c r="CX35" s="4">
        <v>8.3085650297099085E-3</v>
      </c>
      <c r="CY35" s="4">
        <v>1.0238849406513316E-2</v>
      </c>
      <c r="CZ35" s="4">
        <v>1.2890854358751423E-2</v>
      </c>
      <c r="DA35" s="4">
        <v>1.6744402000267847E-2</v>
      </c>
      <c r="DB35" s="4">
        <v>2.2775932016305688E-2</v>
      </c>
      <c r="DC35" s="4">
        <v>3.3921298629432335E-2</v>
      </c>
      <c r="DD35" s="4">
        <v>5.1011155296093146E-2</v>
      </c>
      <c r="DE35" s="4">
        <v>0.24139919302340898</v>
      </c>
      <c r="DF35" s="4">
        <v>-0.25463846153441233</v>
      </c>
      <c r="DG35" s="4">
        <v>-6.433360870645434E-2</v>
      </c>
      <c r="DH35" s="4">
        <v>-4.7414868476352297E-2</v>
      </c>
      <c r="DI35" s="4">
        <v>-3.6538815390929298E-2</v>
      </c>
      <c r="DJ35" s="4">
        <v>-3.0892381982869734E-2</v>
      </c>
      <c r="DK35" s="4">
        <v>-2.7568115077998029E-2</v>
      </c>
      <c r="DL35" s="4">
        <v>-2.5635492765590417E-2</v>
      </c>
      <c r="DM35" s="4">
        <v>-2.4691599376151507E-2</v>
      </c>
      <c r="DN35" s="4">
        <v>-2.4618213120089202E-2</v>
      </c>
      <c r="DO35" s="4">
        <v>-2.5533556226289882E-2</v>
      </c>
      <c r="DP35" s="4">
        <v>-2.8055542888450961E-2</v>
      </c>
      <c r="DQ35" s="4">
        <v>-3.2697906991102949E-2</v>
      </c>
      <c r="DR35" s="4">
        <v>-7.1008582192323325E-2</v>
      </c>
    </row>
    <row r="36" spans="2:122" x14ac:dyDescent="0.25">
      <c r="B36" s="1">
        <v>20</v>
      </c>
      <c r="C36" s="10"/>
      <c r="D36" s="10"/>
      <c r="E36" s="2">
        <f t="shared" si="44"/>
        <v>0.59375</v>
      </c>
      <c r="F36" s="2">
        <f t="shared" si="45"/>
        <v>3.0310058593749994E-2</v>
      </c>
      <c r="G36" s="2">
        <f t="shared" si="46"/>
        <v>3.0310058593749994E-2</v>
      </c>
      <c r="H36" s="2">
        <f t="shared" si="36"/>
        <v>0.609375</v>
      </c>
      <c r="I36" s="2">
        <f t="shared" si="37"/>
        <v>0.609375</v>
      </c>
      <c r="J36" s="2">
        <f t="shared" si="38"/>
        <v>2.9510498046874993E-2</v>
      </c>
      <c r="K36" s="2">
        <f t="shared" si="39"/>
        <v>2.9510498046874993E-2</v>
      </c>
      <c r="L36" s="2">
        <f t="shared" si="47"/>
        <v>-5.1171874999999992E-2</v>
      </c>
      <c r="M36" s="2">
        <f t="shared" si="48"/>
        <v>-5.1171874999999992E-2</v>
      </c>
      <c r="O36">
        <v>20</v>
      </c>
      <c r="P36" s="4">
        <f t="shared" si="42"/>
        <v>-0.24842681882780088</v>
      </c>
      <c r="Q36" s="4">
        <f t="shared" si="43"/>
        <v>-0.24842681882780088</v>
      </c>
      <c r="U36" s="10"/>
      <c r="V36" s="5">
        <f t="shared" si="0"/>
        <v>3.125E-2</v>
      </c>
      <c r="W36" s="5">
        <f>H37-E17</f>
        <v>0.640625</v>
      </c>
      <c r="X36" s="5">
        <f>H37-E18</f>
        <v>0.609375</v>
      </c>
      <c r="Y36" s="5">
        <f>H37-E19</f>
        <v>0.578125</v>
      </c>
      <c r="Z36" s="5">
        <f>H37-E20</f>
        <v>0.546875</v>
      </c>
      <c r="AA36" s="5">
        <f>H37-E21</f>
        <v>0.515625</v>
      </c>
      <c r="AB36" s="5">
        <f>H37-E22</f>
        <v>0.484375</v>
      </c>
      <c r="AC36" s="5">
        <f>H37-E23</f>
        <v>0.453125</v>
      </c>
      <c r="AD36" s="5">
        <f>H37-E24</f>
        <v>0.421875</v>
      </c>
      <c r="AE36" s="5">
        <f>H37-E25</f>
        <v>0.390625</v>
      </c>
      <c r="AF36" s="5">
        <f>H37-E26</f>
        <v>0.359375</v>
      </c>
      <c r="AG36" s="5">
        <f>H37-E27</f>
        <v>0.328125</v>
      </c>
      <c r="AH36" s="5">
        <f>H37-E28</f>
        <v>0.296875</v>
      </c>
      <c r="AI36" s="5">
        <f>H37-E29</f>
        <v>0.265625</v>
      </c>
      <c r="AJ36" s="5">
        <f>H37-E30</f>
        <v>0.234375</v>
      </c>
      <c r="AK36" s="5">
        <f>H37-E31</f>
        <v>0.203125</v>
      </c>
      <c r="AL36" s="5">
        <f>H37-E32</f>
        <v>0.171875</v>
      </c>
      <c r="AM36" s="5">
        <f>H37-E33</f>
        <v>0.140625</v>
      </c>
      <c r="AN36" s="5">
        <f>H37-E34</f>
        <v>0.109375</v>
      </c>
      <c r="AO36" s="5">
        <f>H37-E35</f>
        <v>7.8125E-2</v>
      </c>
      <c r="AP36" s="5">
        <f>H37-E36</f>
        <v>4.6875E-2</v>
      </c>
      <c r="AQ36" s="5">
        <f>H37-E37</f>
        <v>1.5625E-2</v>
      </c>
      <c r="AR36" s="5">
        <f>H37-E38</f>
        <v>-1.5625E-2</v>
      </c>
      <c r="AS36" s="5">
        <f>H37-E39</f>
        <v>-4.6875E-2</v>
      </c>
      <c r="AT36" s="5">
        <f>H37-E40</f>
        <v>-7.8125E-2</v>
      </c>
      <c r="AU36" s="5">
        <f>H37-E41</f>
        <v>-0.109375</v>
      </c>
      <c r="AV36" s="5">
        <f>H37-E42</f>
        <v>-0.140625</v>
      </c>
      <c r="AW36" s="5">
        <f>H37-E43</f>
        <v>-0.171875</v>
      </c>
      <c r="AX36" s="5">
        <f>H37-E44</f>
        <v>-0.203125</v>
      </c>
      <c r="AY36" s="5">
        <f>H37-E45</f>
        <v>-0.234375</v>
      </c>
      <c r="AZ36" s="5">
        <f>H37-E46</f>
        <v>-0.265625</v>
      </c>
      <c r="BA36" s="5">
        <f>H37-E47</f>
        <v>-0.296875</v>
      </c>
      <c r="BB36" s="5">
        <f>H37-E48</f>
        <v>-0.328125</v>
      </c>
      <c r="BC36" s="5">
        <f t="shared" si="1"/>
        <v>-0.359375</v>
      </c>
      <c r="BD36" s="5"/>
      <c r="BE36">
        <v>21</v>
      </c>
      <c r="BF36" s="5">
        <f t="shared" si="2"/>
        <v>-2.4796798794102237E-2</v>
      </c>
      <c r="BG36" s="5">
        <f t="shared" si="3"/>
        <v>-5.130455230025166E-2</v>
      </c>
      <c r="BH36" s="5">
        <f t="shared" si="4"/>
        <v>-5.4080407756541216E-2</v>
      </c>
      <c r="BI36" s="5">
        <f t="shared" si="5"/>
        <v>-5.7173995985596915E-2</v>
      </c>
      <c r="BJ36" s="5">
        <f t="shared" si="6"/>
        <v>-6.0643217190659682E-2</v>
      </c>
      <c r="BK36" s="5">
        <f t="shared" si="7"/>
        <v>-6.4560959961261766E-2</v>
      </c>
      <c r="BL36" s="5">
        <f t="shared" si="8"/>
        <v>-6.9020290970463249E-2</v>
      </c>
      <c r="BM36" s="5">
        <f t="shared" si="9"/>
        <v>-7.414196353949809E-2</v>
      </c>
      <c r="BN36" s="5">
        <f t="shared" si="10"/>
        <v>-8.0085552538645799E-2</v>
      </c>
      <c r="BO36" s="5">
        <f t="shared" si="11"/>
        <v>-8.7066440578006721E-2</v>
      </c>
      <c r="BP36" s="5">
        <f t="shared" si="12"/>
        <v>-9.5382593074523681E-2</v>
      </c>
      <c r="BQ36" s="5">
        <f t="shared" si="13"/>
        <v>-0.10545841641140929</v>
      </c>
      <c r="BR36" s="5">
        <f t="shared" si="14"/>
        <v>-0.11791996139208627</v>
      </c>
      <c r="BS36" s="5">
        <f t="shared" si="15"/>
        <v>-0.13373123144467502</v>
      </c>
      <c r="BT36" s="5">
        <f t="shared" si="16"/>
        <v>-0.15445886165763556</v>
      </c>
      <c r="BU36" s="5">
        <f t="shared" si="17"/>
        <v>-0.18283342073090036</v>
      </c>
      <c r="BV36" s="5">
        <f t="shared" si="18"/>
        <v>-0.22408832605865991</v>
      </c>
      <c r="BW36" s="5">
        <f t="shared" si="19"/>
        <v>-0.28973433571104501</v>
      </c>
      <c r="BX36" s="5">
        <f t="shared" si="20"/>
        <v>-0.41141439252525902</v>
      </c>
      <c r="BY36" s="5">
        <f t="shared" si="21"/>
        <v>-0.7277579150809218</v>
      </c>
      <c r="BZ36" s="5">
        <f t="shared" si="22"/>
        <v>-1.6479184330021646</v>
      </c>
      <c r="CA36" s="5">
        <f t="shared" si="23"/>
        <v>1.6479184330021646</v>
      </c>
      <c r="CB36" s="5">
        <f t="shared" si="24"/>
        <v>0.7277579150809218</v>
      </c>
      <c r="CC36" s="5">
        <f t="shared" si="25"/>
        <v>0.41141439252525902</v>
      </c>
      <c r="CD36" s="5">
        <f t="shared" si="26"/>
        <v>0.28973433571104545</v>
      </c>
      <c r="CE36" s="5">
        <f t="shared" si="27"/>
        <v>0.22408832605866014</v>
      </c>
      <c r="CF36" s="5">
        <f t="shared" si="28"/>
        <v>0.18283342073089992</v>
      </c>
      <c r="CG36" s="5">
        <f t="shared" si="29"/>
        <v>0.154458861657635</v>
      </c>
      <c r="CH36" s="5">
        <f t="shared" si="30"/>
        <v>0.13373123144467491</v>
      </c>
      <c r="CI36" s="5">
        <f t="shared" si="31"/>
        <v>0.11791996139208694</v>
      </c>
      <c r="CJ36" s="5">
        <f t="shared" si="32"/>
        <v>0.10545841641141018</v>
      </c>
      <c r="CK36" s="5">
        <f t="shared" si="33"/>
        <v>9.5382593074523014E-2</v>
      </c>
      <c r="CL36">
        <v>21</v>
      </c>
      <c r="CM36" s="4">
        <v>4.4753800663858539E-4</v>
      </c>
      <c r="CN36" s="4">
        <v>9.3243037658753106E-4</v>
      </c>
      <c r="CO36" s="4">
        <v>1.2932662742644774E-3</v>
      </c>
      <c r="CP36" s="4">
        <v>1.6534946204937919E-3</v>
      </c>
      <c r="CQ36" s="4">
        <v>2.0331655209172841E-3</v>
      </c>
      <c r="CR36" s="4">
        <v>2.4486674218599266E-3</v>
      </c>
      <c r="CS36" s="4">
        <v>2.9154052498453114E-3</v>
      </c>
      <c r="CT36" s="4">
        <v>3.4509838321765572E-3</v>
      </c>
      <c r="CU36" s="4">
        <v>4.0775772550392221E-3</v>
      </c>
      <c r="CV36" s="4">
        <v>4.824854896604675E-3</v>
      </c>
      <c r="CW36" s="4">
        <v>5.7343606609608294E-3</v>
      </c>
      <c r="CX36" s="4">
        <v>6.8667528191827237E-3</v>
      </c>
      <c r="CY36" s="4">
        <v>8.3146443976621423E-3</v>
      </c>
      <c r="CZ36" s="4">
        <v>1.0227025861964381E-2</v>
      </c>
      <c r="DA36" s="4">
        <v>1.2859528195575504E-2</v>
      </c>
      <c r="DB36" s="4">
        <v>1.6691431852710967E-2</v>
      </c>
      <c r="DC36" s="4">
        <v>2.2698517505608234E-2</v>
      </c>
      <c r="DD36" s="4">
        <v>3.3815806361485401E-2</v>
      </c>
      <c r="DE36" s="4">
        <v>5.0872864772247839E-2</v>
      </c>
      <c r="DF36" s="4">
        <v>0.24122192357701694</v>
      </c>
      <c r="DG36" s="4">
        <v>-0.25486290786989113</v>
      </c>
      <c r="DH36" s="4">
        <v>-6.4616300351486147E-2</v>
      </c>
      <c r="DI36" s="4">
        <v>-4.7771093503146692E-2</v>
      </c>
      <c r="DJ36" s="4">
        <v>-3.6990301509555276E-2</v>
      </c>
      <c r="DK36" s="4">
        <v>-3.1471131004948368E-2</v>
      </c>
      <c r="DL36" s="4">
        <v>-2.8323437154639673E-2</v>
      </c>
      <c r="DM36" s="4">
        <v>-2.6647900497724843E-2</v>
      </c>
      <c r="DN36" s="4">
        <v>-2.6103502547434727E-2</v>
      </c>
      <c r="DO36" s="4">
        <v>-2.6704171113055512E-2</v>
      </c>
      <c r="DP36" s="4">
        <v>-2.901913276877955E-2</v>
      </c>
      <c r="DQ36" s="4">
        <v>-3.3534263185380928E-2</v>
      </c>
      <c r="DR36" s="4">
        <v>-7.2196693228079409E-2</v>
      </c>
    </row>
    <row r="37" spans="2:122" x14ac:dyDescent="0.25">
      <c r="B37" s="1">
        <v>21</v>
      </c>
      <c r="C37" s="10"/>
      <c r="D37" s="10"/>
      <c r="E37" s="2">
        <f t="shared" si="44"/>
        <v>0.625</v>
      </c>
      <c r="F37" s="2">
        <f t="shared" si="45"/>
        <v>2.8710937499999992E-2</v>
      </c>
      <c r="G37" s="2">
        <f t="shared" si="46"/>
        <v>2.8710937499999992E-2</v>
      </c>
      <c r="H37" s="2">
        <f t="shared" si="36"/>
        <v>0.640625</v>
      </c>
      <c r="I37" s="2">
        <f t="shared" si="37"/>
        <v>0.640625</v>
      </c>
      <c r="J37" s="2">
        <f t="shared" si="38"/>
        <v>2.7850341796874994E-2</v>
      </c>
      <c r="K37" s="2">
        <f t="shared" si="39"/>
        <v>2.7850341796874994E-2</v>
      </c>
      <c r="L37" s="2">
        <f t="shared" si="47"/>
        <v>-5.5078124999999992E-2</v>
      </c>
      <c r="M37" s="2">
        <f t="shared" si="48"/>
        <v>-5.5078124999999992E-2</v>
      </c>
      <c r="O37">
        <v>21</v>
      </c>
      <c r="P37" s="4">
        <f t="shared" si="42"/>
        <v>-0.27297051143397111</v>
      </c>
      <c r="Q37" s="4">
        <f t="shared" si="43"/>
        <v>-0.27297051143397111</v>
      </c>
      <c r="U37" s="10"/>
      <c r="V37" s="5">
        <f t="shared" si="0"/>
        <v>3.125E-2</v>
      </c>
      <c r="W37" s="5">
        <f>H38-E17</f>
        <v>0.671875</v>
      </c>
      <c r="X37" s="5">
        <f>H38-E18</f>
        <v>0.640625</v>
      </c>
      <c r="Y37" s="5">
        <f>H38-E19</f>
        <v>0.609375</v>
      </c>
      <c r="Z37" s="5">
        <f>H38-E20</f>
        <v>0.578125</v>
      </c>
      <c r="AA37" s="5">
        <f>H38-E21</f>
        <v>0.546875</v>
      </c>
      <c r="AB37" s="5">
        <f>H38-E22</f>
        <v>0.515625</v>
      </c>
      <c r="AC37" s="5">
        <f>H38-E23</f>
        <v>0.484375</v>
      </c>
      <c r="AD37" s="5">
        <f>H38-E24</f>
        <v>0.453125</v>
      </c>
      <c r="AE37" s="5">
        <f>H38-E25</f>
        <v>0.421875</v>
      </c>
      <c r="AF37" s="5">
        <f>H38-E26</f>
        <v>0.390625</v>
      </c>
      <c r="AG37" s="5">
        <f>H38-E27</f>
        <v>0.359375</v>
      </c>
      <c r="AH37" s="5">
        <f>H38-E28</f>
        <v>0.328125</v>
      </c>
      <c r="AI37" s="5">
        <f>H38-E29</f>
        <v>0.296875</v>
      </c>
      <c r="AJ37" s="5">
        <f>H38-E30</f>
        <v>0.265625</v>
      </c>
      <c r="AK37" s="5">
        <f>H38-E31</f>
        <v>0.234375</v>
      </c>
      <c r="AL37" s="5">
        <f>H38-E32</f>
        <v>0.203125</v>
      </c>
      <c r="AM37" s="5">
        <f>H38-E33</f>
        <v>0.171875</v>
      </c>
      <c r="AN37" s="5">
        <f>H38-E34</f>
        <v>0.140625</v>
      </c>
      <c r="AO37" s="5">
        <f>H38-E35</f>
        <v>0.109375</v>
      </c>
      <c r="AP37" s="5">
        <f>H38-E36</f>
        <v>7.8125E-2</v>
      </c>
      <c r="AQ37" s="5">
        <f>H38-E37</f>
        <v>4.6875E-2</v>
      </c>
      <c r="AR37" s="5">
        <f>H38-E38</f>
        <v>1.5625E-2</v>
      </c>
      <c r="AS37" s="5">
        <f>H38-E39</f>
        <v>-1.5625E-2</v>
      </c>
      <c r="AT37" s="5">
        <f>H38-E40</f>
        <v>-4.6875E-2</v>
      </c>
      <c r="AU37" s="5">
        <f>H38-E41</f>
        <v>-7.8125E-2</v>
      </c>
      <c r="AV37" s="5">
        <f>H38-E42</f>
        <v>-0.109375</v>
      </c>
      <c r="AW37" s="5">
        <f>H38-E43</f>
        <v>-0.140625</v>
      </c>
      <c r="AX37" s="5">
        <f>H38-E44</f>
        <v>-0.171875</v>
      </c>
      <c r="AY37" s="5">
        <f>H38-E45</f>
        <v>-0.203125</v>
      </c>
      <c r="AZ37" s="5">
        <f>H38-E46</f>
        <v>-0.234375</v>
      </c>
      <c r="BA37" s="5">
        <f>H38-E47</f>
        <v>-0.265625</v>
      </c>
      <c r="BB37" s="5">
        <f>H38-E48</f>
        <v>-0.296875</v>
      </c>
      <c r="BC37" s="5">
        <f t="shared" si="1"/>
        <v>-0.328125</v>
      </c>
      <c r="BD37" s="5"/>
      <c r="BE37">
        <v>22</v>
      </c>
      <c r="BF37" s="5">
        <f t="shared" si="2"/>
        <v>-2.3624995720280983E-2</v>
      </c>
      <c r="BG37" s="5">
        <f t="shared" si="3"/>
        <v>-4.879985206307591E-2</v>
      </c>
      <c r="BH37" s="5">
        <f t="shared" si="4"/>
        <v>-5.130455230025166E-2</v>
      </c>
      <c r="BI37" s="5">
        <f t="shared" si="5"/>
        <v>-5.4080407756541216E-2</v>
      </c>
      <c r="BJ37" s="5">
        <f t="shared" si="6"/>
        <v>-5.7173995985596915E-2</v>
      </c>
      <c r="BK37" s="5">
        <f t="shared" si="7"/>
        <v>-6.0643217190659682E-2</v>
      </c>
      <c r="BL37" s="5">
        <f t="shared" si="8"/>
        <v>-6.4560959961261766E-2</v>
      </c>
      <c r="BM37" s="5">
        <f t="shared" si="9"/>
        <v>-6.9020290970463249E-2</v>
      </c>
      <c r="BN37" s="5">
        <f t="shared" si="10"/>
        <v>-7.414196353949809E-2</v>
      </c>
      <c r="BO37" s="5">
        <f t="shared" si="11"/>
        <v>-8.0085552538645799E-2</v>
      </c>
      <c r="BP37" s="5">
        <f t="shared" si="12"/>
        <v>-8.7066440578006721E-2</v>
      </c>
      <c r="BQ37" s="5">
        <f t="shared" si="13"/>
        <v>-9.5382593074523681E-2</v>
      </c>
      <c r="BR37" s="5">
        <f t="shared" si="14"/>
        <v>-0.10545841641140929</v>
      </c>
      <c r="BS37" s="5">
        <f t="shared" si="15"/>
        <v>-0.11791996139208627</v>
      </c>
      <c r="BT37" s="5">
        <f t="shared" si="16"/>
        <v>-0.13373123144467502</v>
      </c>
      <c r="BU37" s="5">
        <f t="shared" si="17"/>
        <v>-0.15445886165763556</v>
      </c>
      <c r="BV37" s="5">
        <f t="shared" si="18"/>
        <v>-0.18283342073090036</v>
      </c>
      <c r="BW37" s="5">
        <f t="shared" si="19"/>
        <v>-0.22408832605865991</v>
      </c>
      <c r="BX37" s="5">
        <f t="shared" si="20"/>
        <v>-0.28973433571104501</v>
      </c>
      <c r="BY37" s="5">
        <f t="shared" si="21"/>
        <v>-0.41141439252525902</v>
      </c>
      <c r="BZ37" s="5">
        <f t="shared" si="22"/>
        <v>-0.7277579150809218</v>
      </c>
      <c r="CA37" s="5">
        <f t="shared" si="23"/>
        <v>-1.6479184330021646</v>
      </c>
      <c r="CB37" s="5">
        <f t="shared" si="24"/>
        <v>1.6479184330021646</v>
      </c>
      <c r="CC37" s="5">
        <f t="shared" si="25"/>
        <v>0.7277579150809218</v>
      </c>
      <c r="CD37" s="5">
        <f t="shared" si="26"/>
        <v>0.41141439252525902</v>
      </c>
      <c r="CE37" s="5">
        <f t="shared" si="27"/>
        <v>0.28973433571104545</v>
      </c>
      <c r="CF37" s="5">
        <f t="shared" si="28"/>
        <v>0.22408832605866014</v>
      </c>
      <c r="CG37" s="5">
        <f t="shared" si="29"/>
        <v>0.18283342073089992</v>
      </c>
      <c r="CH37" s="5">
        <f t="shared" si="30"/>
        <v>0.154458861657635</v>
      </c>
      <c r="CI37" s="5">
        <f t="shared" si="31"/>
        <v>0.13373123144467491</v>
      </c>
      <c r="CJ37" s="5">
        <f t="shared" si="32"/>
        <v>0.11791996139208694</v>
      </c>
      <c r="CK37" s="5">
        <f t="shared" si="33"/>
        <v>0.10545841641141018</v>
      </c>
      <c r="CL37">
        <v>22</v>
      </c>
      <c r="CM37" s="4">
        <v>3.9737372576373423E-4</v>
      </c>
      <c r="CN37" s="4">
        <v>8.260337789242659E-4</v>
      </c>
      <c r="CO37" s="4">
        <v>1.1423653516392297E-3</v>
      </c>
      <c r="CP37" s="4">
        <v>1.4558280071007605E-3</v>
      </c>
      <c r="CQ37" s="4">
        <v>1.7835764379869595E-3</v>
      </c>
      <c r="CR37" s="4">
        <v>2.1391854199686771E-3</v>
      </c>
      <c r="CS37" s="4">
        <v>2.5348976594907723E-3</v>
      </c>
      <c r="CT37" s="4">
        <v>2.9842274960778471E-3</v>
      </c>
      <c r="CU37" s="4">
        <v>3.5036863001002287E-3</v>
      </c>
      <c r="CV37" s="4">
        <v>4.1147311944745597E-3</v>
      </c>
      <c r="CW37" s="4">
        <v>4.8464995488543081E-3</v>
      </c>
      <c r="CX37" s="4">
        <v>5.7400914544205256E-3</v>
      </c>
      <c r="CY37" s="4">
        <v>6.8557524151890694E-3</v>
      </c>
      <c r="CZ37" s="4">
        <v>8.2856735779733136E-3</v>
      </c>
      <c r="DA37" s="4">
        <v>1.0178379994875095E-2</v>
      </c>
      <c r="DB37" s="4">
        <v>1.2788957984560366E-2</v>
      </c>
      <c r="DC37" s="4">
        <v>1.6596021069583269E-2</v>
      </c>
      <c r="DD37" s="4">
        <v>2.257450346384569E-2</v>
      </c>
      <c r="DE37" s="4">
        <v>3.3658319016840202E-2</v>
      </c>
      <c r="DF37" s="4">
        <v>5.0675544641634339E-2</v>
      </c>
      <c r="DG37" s="4">
        <v>0.24097635197548575</v>
      </c>
      <c r="DH37" s="4">
        <v>-0.25516808053845164</v>
      </c>
      <c r="DI37" s="4">
        <v>-6.4996732298483906E-2</v>
      </c>
      <c r="DJ37" s="4">
        <v>-4.8249017422334499E-2</v>
      </c>
      <c r="DK37" s="4">
        <v>-3.7598436844312404E-2</v>
      </c>
      <c r="DL37" s="4">
        <v>-3.2259858577170251E-2</v>
      </c>
      <c r="DM37" s="4">
        <v>-2.9374966332519351E-2</v>
      </c>
      <c r="DN37" s="4">
        <v>-2.8107557563694298E-2</v>
      </c>
      <c r="DO37" s="4">
        <v>-2.8251328872452922E-2</v>
      </c>
      <c r="DP37" s="4">
        <v>-3.0279690942035472E-2</v>
      </c>
      <c r="DQ37" s="4">
        <v>-3.4628396516921262E-2</v>
      </c>
      <c r="DR37" s="4">
        <v>-7.3783460671927134E-2</v>
      </c>
    </row>
    <row r="38" spans="2:122" x14ac:dyDescent="0.25">
      <c r="B38" s="1">
        <v>22</v>
      </c>
      <c r="C38" s="10"/>
      <c r="D38" s="10"/>
      <c r="E38" s="2">
        <f t="shared" si="44"/>
        <v>0.65625</v>
      </c>
      <c r="F38" s="2">
        <f t="shared" si="45"/>
        <v>2.6989746093749996E-2</v>
      </c>
      <c r="G38" s="2">
        <f t="shared" si="46"/>
        <v>2.6989746093749996E-2</v>
      </c>
      <c r="H38" s="2">
        <f t="shared" si="36"/>
        <v>0.671875</v>
      </c>
      <c r="I38" s="2">
        <f t="shared" si="37"/>
        <v>0.671875</v>
      </c>
      <c r="J38" s="2">
        <f t="shared" si="38"/>
        <v>2.6068115234374994E-2</v>
      </c>
      <c r="K38" s="2">
        <f t="shared" si="39"/>
        <v>2.6068115234374994E-2</v>
      </c>
      <c r="L38" s="2">
        <f t="shared" si="47"/>
        <v>-5.8984374999999985E-2</v>
      </c>
      <c r="M38" s="2">
        <f t="shared" si="48"/>
        <v>-5.8984374999999985E-2</v>
      </c>
      <c r="O38">
        <v>22</v>
      </c>
      <c r="P38" s="4">
        <f t="shared" si="42"/>
        <v>-0.29751420404014134</v>
      </c>
      <c r="Q38" s="4">
        <f t="shared" si="43"/>
        <v>-0.29751420404014134</v>
      </c>
      <c r="U38" s="10"/>
      <c r="V38" s="5">
        <f t="shared" si="0"/>
        <v>3.125E-2</v>
      </c>
      <c r="W38" s="5">
        <f>H39-E17</f>
        <v>0.703125</v>
      </c>
      <c r="X38" s="5">
        <f>H39-E18</f>
        <v>0.671875</v>
      </c>
      <c r="Y38" s="5">
        <f>H39-E19</f>
        <v>0.640625</v>
      </c>
      <c r="Z38" s="5">
        <f>H39-E20</f>
        <v>0.609375</v>
      </c>
      <c r="AA38" s="5">
        <f>H39-E21</f>
        <v>0.578125</v>
      </c>
      <c r="AB38" s="5">
        <f>H39-E22</f>
        <v>0.546875</v>
      </c>
      <c r="AC38" s="5">
        <f>H39-E23</f>
        <v>0.515625</v>
      </c>
      <c r="AD38" s="5">
        <f>H39-E24</f>
        <v>0.484375</v>
      </c>
      <c r="AE38" s="5">
        <f>H39-E25</f>
        <v>0.453125</v>
      </c>
      <c r="AF38" s="5">
        <f>H39-E26</f>
        <v>0.421875</v>
      </c>
      <c r="AG38" s="5">
        <f>H39-E27</f>
        <v>0.390625</v>
      </c>
      <c r="AH38" s="5">
        <f>H39-E28</f>
        <v>0.359375</v>
      </c>
      <c r="AI38" s="5">
        <f>H39-E29</f>
        <v>0.328125</v>
      </c>
      <c r="AJ38" s="5">
        <f>H39-E30</f>
        <v>0.296875</v>
      </c>
      <c r="AK38" s="5">
        <f>H39-E31</f>
        <v>0.265625</v>
      </c>
      <c r="AL38" s="5">
        <f>H39-E32</f>
        <v>0.234375</v>
      </c>
      <c r="AM38" s="5">
        <f>H39-E33</f>
        <v>0.203125</v>
      </c>
      <c r="AN38" s="5">
        <f>H39-E34</f>
        <v>0.171875</v>
      </c>
      <c r="AO38" s="5">
        <f>H39-E35</f>
        <v>0.140625</v>
      </c>
      <c r="AP38" s="5">
        <f>H39-E36</f>
        <v>0.109375</v>
      </c>
      <c r="AQ38" s="5">
        <f>H39-E37</f>
        <v>7.8125E-2</v>
      </c>
      <c r="AR38" s="5">
        <f>H39-E38</f>
        <v>4.6875E-2</v>
      </c>
      <c r="AS38" s="5">
        <f>H39-E39</f>
        <v>1.5625E-2</v>
      </c>
      <c r="AT38" s="5">
        <f>H39-E40</f>
        <v>-1.5625E-2</v>
      </c>
      <c r="AU38" s="5">
        <f>H39-E41</f>
        <v>-4.6875E-2</v>
      </c>
      <c r="AV38" s="5">
        <f>H39-E42</f>
        <v>-7.8125E-2</v>
      </c>
      <c r="AW38" s="5">
        <f>H39-E43</f>
        <v>-0.109375</v>
      </c>
      <c r="AX38" s="5">
        <f>H39-E44</f>
        <v>-0.140625</v>
      </c>
      <c r="AY38" s="5">
        <f>H39-E45</f>
        <v>-0.171875</v>
      </c>
      <c r="AZ38" s="5">
        <f>H39-E46</f>
        <v>-0.203125</v>
      </c>
      <c r="BA38" s="5">
        <f>H39-E47</f>
        <v>-0.234375</v>
      </c>
      <c r="BB38" s="5">
        <f>H39-E48</f>
        <v>-0.265625</v>
      </c>
      <c r="BC38" s="5">
        <f t="shared" si="1"/>
        <v>-0.296875</v>
      </c>
      <c r="BD38" s="5"/>
      <c r="BE38">
        <v>23</v>
      </c>
      <c r="BF38" s="5">
        <f t="shared" si="2"/>
        <v>-2.2558957349718356E-2</v>
      </c>
      <c r="BG38" s="5">
        <f t="shared" si="3"/>
        <v>-4.6528412447319978E-2</v>
      </c>
      <c r="BH38" s="5">
        <f t="shared" si="4"/>
        <v>-4.879985206307591E-2</v>
      </c>
      <c r="BI38" s="5">
        <f t="shared" si="5"/>
        <v>-5.130455230025166E-2</v>
      </c>
      <c r="BJ38" s="5">
        <f t="shared" si="6"/>
        <v>-5.4080407756541216E-2</v>
      </c>
      <c r="BK38" s="5">
        <f t="shared" si="7"/>
        <v>-5.7173995985596915E-2</v>
      </c>
      <c r="BL38" s="5">
        <f t="shared" si="8"/>
        <v>-6.0643217190659682E-2</v>
      </c>
      <c r="BM38" s="5">
        <f t="shared" si="9"/>
        <v>-6.4560959961261766E-2</v>
      </c>
      <c r="BN38" s="5">
        <f t="shared" si="10"/>
        <v>-6.9020290970463249E-2</v>
      </c>
      <c r="BO38" s="5">
        <f t="shared" si="11"/>
        <v>-7.414196353949809E-2</v>
      </c>
      <c r="BP38" s="5">
        <f t="shared" si="12"/>
        <v>-8.0085552538645799E-2</v>
      </c>
      <c r="BQ38" s="5">
        <f t="shared" si="13"/>
        <v>-8.7066440578006721E-2</v>
      </c>
      <c r="BR38" s="5">
        <f t="shared" si="14"/>
        <v>-9.5382593074523681E-2</v>
      </c>
      <c r="BS38" s="5">
        <f t="shared" si="15"/>
        <v>-0.10545841641140929</v>
      </c>
      <c r="BT38" s="5">
        <f t="shared" si="16"/>
        <v>-0.11791996139208627</v>
      </c>
      <c r="BU38" s="5">
        <f t="shared" si="17"/>
        <v>-0.13373123144467502</v>
      </c>
      <c r="BV38" s="5">
        <f t="shared" si="18"/>
        <v>-0.15445886165763556</v>
      </c>
      <c r="BW38" s="5">
        <f t="shared" si="19"/>
        <v>-0.18283342073090036</v>
      </c>
      <c r="BX38" s="5">
        <f t="shared" si="20"/>
        <v>-0.22408832605865991</v>
      </c>
      <c r="BY38" s="5">
        <f t="shared" si="21"/>
        <v>-0.28973433571104501</v>
      </c>
      <c r="BZ38" s="5">
        <f t="shared" si="22"/>
        <v>-0.41141439252525902</v>
      </c>
      <c r="CA38" s="5">
        <f t="shared" si="23"/>
        <v>-0.7277579150809218</v>
      </c>
      <c r="CB38" s="5">
        <f t="shared" si="24"/>
        <v>-1.6479184330021646</v>
      </c>
      <c r="CC38" s="5">
        <f t="shared" si="25"/>
        <v>1.6479184330021646</v>
      </c>
      <c r="CD38" s="5">
        <f t="shared" si="26"/>
        <v>0.7277579150809218</v>
      </c>
      <c r="CE38" s="5">
        <f t="shared" si="27"/>
        <v>0.41141439252525902</v>
      </c>
      <c r="CF38" s="5">
        <f t="shared" si="28"/>
        <v>0.28973433571104545</v>
      </c>
      <c r="CG38" s="5">
        <f t="shared" si="29"/>
        <v>0.22408832605866014</v>
      </c>
      <c r="CH38" s="5">
        <f t="shared" si="30"/>
        <v>0.18283342073089992</v>
      </c>
      <c r="CI38" s="5">
        <f t="shared" si="31"/>
        <v>0.154458861657635</v>
      </c>
      <c r="CJ38" s="5">
        <f t="shared" si="32"/>
        <v>0.13373123144467491</v>
      </c>
      <c r="CK38" s="5">
        <f t="shared" si="33"/>
        <v>0.11791996139208694</v>
      </c>
      <c r="CL38">
        <v>23</v>
      </c>
      <c r="CM38" s="4">
        <v>3.5257387035028193E-4</v>
      </c>
      <c r="CN38" s="4">
        <v>7.3140062750251598E-4</v>
      </c>
      <c r="CO38" s="4">
        <v>1.0088445123060054E-3</v>
      </c>
      <c r="CP38" s="4">
        <v>1.2819393170150158E-3</v>
      </c>
      <c r="CQ38" s="4">
        <v>1.5654411059881166E-3</v>
      </c>
      <c r="CR38" s="4">
        <v>1.8706998858746293E-3</v>
      </c>
      <c r="CS38" s="4">
        <v>2.2075731696362877E-3</v>
      </c>
      <c r="CT38" s="4">
        <v>2.5865985475018241E-3</v>
      </c>
      <c r="CU38" s="4">
        <v>3.0202958232971779E-3</v>
      </c>
      <c r="CV38" s="4">
        <v>3.5245159160321102E-3</v>
      </c>
      <c r="CW38" s="4">
        <v>4.1202175555454055E-3</v>
      </c>
      <c r="CX38" s="4">
        <v>4.8361142058108882E-3</v>
      </c>
      <c r="CY38" s="4">
        <v>5.7129040568056977E-3</v>
      </c>
      <c r="CZ38" s="4">
        <v>6.8104149734641408E-3</v>
      </c>
      <c r="DA38" s="4">
        <v>8.2203714627396996E-3</v>
      </c>
      <c r="DB38" s="4">
        <v>1.0090747562202263E-2</v>
      </c>
      <c r="DC38" s="4">
        <v>1.267595088446947E-2</v>
      </c>
      <c r="DD38" s="4">
        <v>1.6453730348878405E-2</v>
      </c>
      <c r="DE38" s="4">
        <v>2.2397886557982784E-2</v>
      </c>
      <c r="DF38" s="4">
        <v>3.3440806695473974E-2</v>
      </c>
      <c r="DG38" s="4">
        <v>5.0408455652017216E-2</v>
      </c>
      <c r="DH38" s="4">
        <v>0.24064799820204374</v>
      </c>
      <c r="DI38" s="4">
        <v>-0.2555738075628215</v>
      </c>
      <c r="DJ38" s="4">
        <v>-6.5502685167298805E-2</v>
      </c>
      <c r="DK38" s="4">
        <v>-4.8888803772000944E-2</v>
      </c>
      <c r="DL38" s="4">
        <v>-3.8423772731609643E-2</v>
      </c>
      <c r="DM38" s="4">
        <v>-3.3355084681044644E-2</v>
      </c>
      <c r="DN38" s="4">
        <v>-3.0889098283473932E-2</v>
      </c>
      <c r="DO38" s="4">
        <v>-3.0327615778080977E-2</v>
      </c>
      <c r="DP38" s="4">
        <v>-3.1934780611546906E-2</v>
      </c>
      <c r="DQ38" s="4">
        <v>-3.6048314368206089E-2</v>
      </c>
      <c r="DR38" s="4">
        <v>-7.5845286328289407E-2</v>
      </c>
    </row>
    <row r="39" spans="2:122" x14ac:dyDescent="0.25">
      <c r="B39" s="1">
        <v>23</v>
      </c>
      <c r="C39" s="10"/>
      <c r="D39" s="10"/>
      <c r="E39" s="2">
        <f t="shared" si="44"/>
        <v>0.6875</v>
      </c>
      <c r="F39" s="2">
        <f t="shared" si="45"/>
        <v>2.5146484374999993E-2</v>
      </c>
      <c r="G39" s="2">
        <f t="shared" si="46"/>
        <v>2.5146484374999993E-2</v>
      </c>
      <c r="H39" s="2">
        <f t="shared" si="36"/>
        <v>0.703125</v>
      </c>
      <c r="I39" s="2">
        <f t="shared" si="37"/>
        <v>0.703125</v>
      </c>
      <c r="J39" s="2">
        <f t="shared" si="38"/>
        <v>2.4163818359374992E-2</v>
      </c>
      <c r="K39" s="2">
        <f t="shared" si="39"/>
        <v>2.4163818359374992E-2</v>
      </c>
      <c r="L39" s="2">
        <f t="shared" si="47"/>
        <v>-6.2890624999999992E-2</v>
      </c>
      <c r="M39" s="2">
        <f t="shared" si="48"/>
        <v>-6.2890624999999992E-2</v>
      </c>
      <c r="O39">
        <v>23</v>
      </c>
      <c r="P39" s="4">
        <f t="shared" si="42"/>
        <v>-0.32205789664631163</v>
      </c>
      <c r="Q39" s="4">
        <f t="shared" si="43"/>
        <v>-0.32205789664631163</v>
      </c>
      <c r="U39" s="10"/>
      <c r="V39" s="5">
        <f t="shared" si="0"/>
        <v>3.125E-2</v>
      </c>
      <c r="W39" s="5">
        <f>H40-E17</f>
        <v>0.734375</v>
      </c>
      <c r="X39" s="5">
        <f>H40-E18</f>
        <v>0.703125</v>
      </c>
      <c r="Y39" s="5">
        <f>H40-E19</f>
        <v>0.671875</v>
      </c>
      <c r="Z39" s="5">
        <f>H40-E20</f>
        <v>0.640625</v>
      </c>
      <c r="AA39" s="5">
        <f>H40-E21</f>
        <v>0.609375</v>
      </c>
      <c r="AB39" s="5">
        <f>H40-E22</f>
        <v>0.578125</v>
      </c>
      <c r="AC39" s="5">
        <f>H40-E23</f>
        <v>0.546875</v>
      </c>
      <c r="AD39" s="5">
        <f>H40-E24</f>
        <v>0.515625</v>
      </c>
      <c r="AE39" s="5">
        <f>H40-E25</f>
        <v>0.484375</v>
      </c>
      <c r="AF39" s="5">
        <f>H40-E26</f>
        <v>0.453125</v>
      </c>
      <c r="AG39" s="5">
        <f>H40-E27</f>
        <v>0.421875</v>
      </c>
      <c r="AH39" s="5">
        <f>H40-E28</f>
        <v>0.390625</v>
      </c>
      <c r="AI39" s="5">
        <f>H40-E29</f>
        <v>0.359375</v>
      </c>
      <c r="AJ39" s="5">
        <f>H40-E30</f>
        <v>0.328125</v>
      </c>
      <c r="AK39" s="5">
        <f>H40-E31</f>
        <v>0.296875</v>
      </c>
      <c r="AL39" s="5">
        <f>H40-E32</f>
        <v>0.265625</v>
      </c>
      <c r="AM39" s="5">
        <f>H40-E33</f>
        <v>0.234375</v>
      </c>
      <c r="AN39" s="5">
        <f>H40-E34</f>
        <v>0.203125</v>
      </c>
      <c r="AO39" s="5">
        <f>H40-E35</f>
        <v>0.171875</v>
      </c>
      <c r="AP39" s="5">
        <f>H40-E36</f>
        <v>0.140625</v>
      </c>
      <c r="AQ39" s="5">
        <f>H40-E37</f>
        <v>0.109375</v>
      </c>
      <c r="AR39" s="5">
        <f>H40-E38</f>
        <v>7.8125E-2</v>
      </c>
      <c r="AS39" s="5">
        <f>H40-E39</f>
        <v>4.6875E-2</v>
      </c>
      <c r="AT39" s="5">
        <f>H40-E40</f>
        <v>1.5625E-2</v>
      </c>
      <c r="AU39" s="5">
        <f>H40-E41</f>
        <v>-1.5625E-2</v>
      </c>
      <c r="AV39" s="5">
        <f>H40-E42</f>
        <v>-4.6875E-2</v>
      </c>
      <c r="AW39" s="5">
        <f>H40-E43</f>
        <v>-7.8125E-2</v>
      </c>
      <c r="AX39" s="5">
        <f>H40-E44</f>
        <v>-0.109375</v>
      </c>
      <c r="AY39" s="5">
        <f>H40-E45</f>
        <v>-0.140625</v>
      </c>
      <c r="AZ39" s="5">
        <f>H40-E46</f>
        <v>-0.171875</v>
      </c>
      <c r="BA39" s="5">
        <f>H40-E47</f>
        <v>-0.203125</v>
      </c>
      <c r="BB39" s="5">
        <f>H40-E48</f>
        <v>-0.234375</v>
      </c>
      <c r="BC39" s="5">
        <f t="shared" si="1"/>
        <v>-0.265625</v>
      </c>
      <c r="BD39" s="5"/>
      <c r="BE39">
        <v>24</v>
      </c>
      <c r="BF39" s="5">
        <f t="shared" si="2"/>
        <v>-2.1584981355877497E-2</v>
      </c>
      <c r="BG39" s="5">
        <f t="shared" si="3"/>
        <v>-4.4459087933579666E-2</v>
      </c>
      <c r="BH39" s="5">
        <f t="shared" si="4"/>
        <v>-4.6528412447319978E-2</v>
      </c>
      <c r="BI39" s="5">
        <f t="shared" si="5"/>
        <v>-4.879985206307591E-2</v>
      </c>
      <c r="BJ39" s="5">
        <f t="shared" si="6"/>
        <v>-5.130455230025166E-2</v>
      </c>
      <c r="BK39" s="5">
        <f t="shared" si="7"/>
        <v>-5.4080407756541216E-2</v>
      </c>
      <c r="BL39" s="5">
        <f t="shared" si="8"/>
        <v>-5.7173995985596915E-2</v>
      </c>
      <c r="BM39" s="5">
        <f t="shared" si="9"/>
        <v>-6.0643217190659682E-2</v>
      </c>
      <c r="BN39" s="5">
        <f t="shared" si="10"/>
        <v>-6.4560959961261766E-2</v>
      </c>
      <c r="BO39" s="5">
        <f t="shared" si="11"/>
        <v>-6.9020290970463249E-2</v>
      </c>
      <c r="BP39" s="5">
        <f t="shared" si="12"/>
        <v>-7.414196353949809E-2</v>
      </c>
      <c r="BQ39" s="5">
        <f t="shared" si="13"/>
        <v>-8.0085552538645799E-2</v>
      </c>
      <c r="BR39" s="5">
        <f t="shared" si="14"/>
        <v>-8.7066440578006721E-2</v>
      </c>
      <c r="BS39" s="5">
        <f t="shared" si="15"/>
        <v>-9.5382593074523681E-2</v>
      </c>
      <c r="BT39" s="5">
        <f t="shared" si="16"/>
        <v>-0.10545841641140929</v>
      </c>
      <c r="BU39" s="5">
        <f t="shared" si="17"/>
        <v>-0.11791996139208627</v>
      </c>
      <c r="BV39" s="5">
        <f t="shared" si="18"/>
        <v>-0.13373123144467502</v>
      </c>
      <c r="BW39" s="5">
        <f t="shared" si="19"/>
        <v>-0.15445886165763556</v>
      </c>
      <c r="BX39" s="5">
        <f t="shared" si="20"/>
        <v>-0.18283342073090036</v>
      </c>
      <c r="BY39" s="5">
        <f t="shared" si="21"/>
        <v>-0.22408832605865991</v>
      </c>
      <c r="BZ39" s="5">
        <f t="shared" si="22"/>
        <v>-0.28973433571104501</v>
      </c>
      <c r="CA39" s="5">
        <f t="shared" si="23"/>
        <v>-0.41141439252525902</v>
      </c>
      <c r="CB39" s="5">
        <f t="shared" si="24"/>
        <v>-0.7277579150809218</v>
      </c>
      <c r="CC39" s="5">
        <f t="shared" si="25"/>
        <v>-1.6479184330021646</v>
      </c>
      <c r="CD39" s="5">
        <f t="shared" si="26"/>
        <v>1.6479184330021646</v>
      </c>
      <c r="CE39" s="5">
        <f t="shared" si="27"/>
        <v>0.7277579150809218</v>
      </c>
      <c r="CF39" s="5">
        <f t="shared" si="28"/>
        <v>0.41141439252525902</v>
      </c>
      <c r="CG39" s="5">
        <f t="shared" si="29"/>
        <v>0.28973433571104545</v>
      </c>
      <c r="CH39" s="5">
        <f t="shared" si="30"/>
        <v>0.22408832605866014</v>
      </c>
      <c r="CI39" s="5">
        <f t="shared" si="31"/>
        <v>0.18283342073089992</v>
      </c>
      <c r="CJ39" s="5">
        <f t="shared" si="32"/>
        <v>0.154458861657635</v>
      </c>
      <c r="CK39" s="5">
        <f t="shared" si="33"/>
        <v>0.13373123144467491</v>
      </c>
      <c r="CL39">
        <v>24</v>
      </c>
      <c r="CM39" s="4">
        <v>3.1220903908199267E-4</v>
      </c>
      <c r="CN39" s="4">
        <v>6.4645557606425141E-4</v>
      </c>
      <c r="CO39" s="4">
        <v>8.8956429824176605E-4</v>
      </c>
      <c r="CP39" s="4">
        <v>1.127417023010663E-3</v>
      </c>
      <c r="CQ39" s="4">
        <v>1.372744377412342E-3</v>
      </c>
      <c r="CR39" s="4">
        <v>1.6350978024767422E-3</v>
      </c>
      <c r="CS39" s="4">
        <v>1.9224931744975492E-3</v>
      </c>
      <c r="CT39" s="4">
        <v>2.2432480501967636E-3</v>
      </c>
      <c r="CU39" s="4">
        <v>2.6069929510363125E-3</v>
      </c>
      <c r="CV39" s="4">
        <v>3.0256365220146246E-3</v>
      </c>
      <c r="CW39" s="4">
        <v>3.5145598362379183E-3</v>
      </c>
      <c r="CX39" s="4">
        <v>4.0943136788861396E-3</v>
      </c>
      <c r="CY39" s="4">
        <v>4.7932170731346917E-3</v>
      </c>
      <c r="CZ39" s="4">
        <v>5.6515515671853502E-3</v>
      </c>
      <c r="DA39" s="4">
        <v>6.7286737859841893E-3</v>
      </c>
      <c r="DB39" s="4">
        <v>8.11574709387421E-3</v>
      </c>
      <c r="DC39" s="4">
        <v>9.9600505596431112E-3</v>
      </c>
      <c r="DD39" s="4">
        <v>1.251510346186949E-2</v>
      </c>
      <c r="DE39" s="4">
        <v>1.6257487634176622E-2</v>
      </c>
      <c r="DF39" s="4">
        <v>2.2159430140333558E-2</v>
      </c>
      <c r="DG39" s="4">
        <v>3.3151140031885344E-2</v>
      </c>
      <c r="DH39" s="4">
        <v>5.0055480496841075E-2</v>
      </c>
      <c r="DI39" s="4">
        <v>0.2402150564580727</v>
      </c>
      <c r="DJ39" s="4">
        <v>-0.256110330157169</v>
      </c>
      <c r="DK39" s="4">
        <v>-6.6177493910138219E-2</v>
      </c>
      <c r="DL39" s="4">
        <v>-4.9755273607652931E-2</v>
      </c>
      <c r="DM39" s="4">
        <v>-3.9568905409193257E-2</v>
      </c>
      <c r="DN39" s="4">
        <v>-3.4932524364139919E-2</v>
      </c>
      <c r="DO39" s="4">
        <v>-3.319465871760581E-2</v>
      </c>
      <c r="DP39" s="4">
        <v>-3.4141515127543778E-2</v>
      </c>
      <c r="DQ39" s="4">
        <v>-3.7898429653894006E-2</v>
      </c>
      <c r="DR39" s="4">
        <v>-7.8494875277725931E-2</v>
      </c>
    </row>
    <row r="40" spans="2:122" x14ac:dyDescent="0.25">
      <c r="B40" s="1">
        <v>24</v>
      </c>
      <c r="C40" s="10"/>
      <c r="D40" s="10"/>
      <c r="E40" s="2">
        <f t="shared" si="44"/>
        <v>0.71875</v>
      </c>
      <c r="F40" s="2">
        <f t="shared" si="45"/>
        <v>2.3181152343749994E-2</v>
      </c>
      <c r="G40" s="2">
        <f>($B$11/(1-$B$8)^2)*(1-2*$B$8+2*$B$8*E40-E40^2)-$B$10*(E40-(1-$B$7))</f>
        <v>2.3181152343749994E-2</v>
      </c>
      <c r="H40" s="2">
        <f t="shared" si="36"/>
        <v>0.734375</v>
      </c>
      <c r="I40" s="2">
        <f t="shared" si="37"/>
        <v>0.734375</v>
      </c>
      <c r="J40" s="2">
        <f t="shared" si="38"/>
        <v>2.2137451171874996E-2</v>
      </c>
      <c r="K40" s="2">
        <f t="shared" si="39"/>
        <v>2.2137451171874996E-2</v>
      </c>
      <c r="L40" s="2">
        <f t="shared" si="47"/>
        <v>-6.6796874999999992E-2</v>
      </c>
      <c r="M40" s="2">
        <f t="shared" si="48"/>
        <v>-6.6796874999999992E-2</v>
      </c>
      <c r="O40">
        <v>24</v>
      </c>
      <c r="P40" s="4">
        <f t="shared" si="42"/>
        <v>-0.34660158925248191</v>
      </c>
      <c r="Q40" s="4">
        <f t="shared" si="43"/>
        <v>-0.34660158925248191</v>
      </c>
      <c r="U40" s="10"/>
      <c r="V40" s="5">
        <f t="shared" si="0"/>
        <v>3.125E-2</v>
      </c>
      <c r="W40" s="5">
        <f>H41-E17</f>
        <v>0.765625</v>
      </c>
      <c r="X40" s="5">
        <f>H41-E18</f>
        <v>0.734375</v>
      </c>
      <c r="Y40" s="5">
        <f>H41-E19</f>
        <v>0.703125</v>
      </c>
      <c r="Z40" s="5">
        <f>H41-E20</f>
        <v>0.671875</v>
      </c>
      <c r="AA40" s="5">
        <f>H41-E21</f>
        <v>0.640625</v>
      </c>
      <c r="AB40" s="5">
        <f>H41-E22</f>
        <v>0.609375</v>
      </c>
      <c r="AC40" s="5">
        <f>H41-E23</f>
        <v>0.578125</v>
      </c>
      <c r="AD40" s="5">
        <f>H41-E24</f>
        <v>0.546875</v>
      </c>
      <c r="AE40" s="5">
        <f>H41-E25</f>
        <v>0.515625</v>
      </c>
      <c r="AF40" s="5">
        <f>H41-E26</f>
        <v>0.484375</v>
      </c>
      <c r="AG40" s="5">
        <f>H41-E27</f>
        <v>0.453125</v>
      </c>
      <c r="AH40" s="5">
        <f>H41-E28</f>
        <v>0.421875</v>
      </c>
      <c r="AI40" s="5">
        <f>H41-E29</f>
        <v>0.390625</v>
      </c>
      <c r="AJ40" s="5">
        <f>H41-E30</f>
        <v>0.359375</v>
      </c>
      <c r="AK40" s="5">
        <f>H41-E31</f>
        <v>0.328125</v>
      </c>
      <c r="AL40" s="5">
        <f>H41-E32</f>
        <v>0.296875</v>
      </c>
      <c r="AM40" s="5">
        <f>H41-E33</f>
        <v>0.265625</v>
      </c>
      <c r="AN40" s="5">
        <f>H41-E34</f>
        <v>0.234375</v>
      </c>
      <c r="AO40" s="5">
        <f>H41-E35</f>
        <v>0.203125</v>
      </c>
      <c r="AP40" s="5">
        <f>H41-E36</f>
        <v>0.171875</v>
      </c>
      <c r="AQ40" s="5">
        <f>H41-E37</f>
        <v>0.140625</v>
      </c>
      <c r="AR40" s="5">
        <f>H41-E38</f>
        <v>0.109375</v>
      </c>
      <c r="AS40" s="5">
        <f>H41-E39</f>
        <v>7.8125E-2</v>
      </c>
      <c r="AT40" s="5">
        <f>H41-E40</f>
        <v>4.6875E-2</v>
      </c>
      <c r="AU40" s="5">
        <f>H41-E41</f>
        <v>1.5625E-2</v>
      </c>
      <c r="AV40" s="5">
        <f>H41-E42</f>
        <v>-1.5625E-2</v>
      </c>
      <c r="AW40" s="5">
        <f>H41-E43</f>
        <v>-4.6875E-2</v>
      </c>
      <c r="AX40" s="5">
        <f>H41-E44</f>
        <v>-7.8125E-2</v>
      </c>
      <c r="AY40" s="5">
        <f>H41-E45</f>
        <v>-0.109375</v>
      </c>
      <c r="AZ40" s="5">
        <f>H41-E46</f>
        <v>-0.140625</v>
      </c>
      <c r="BA40" s="5">
        <f>H41-E47</f>
        <v>-0.171875</v>
      </c>
      <c r="BB40" s="5">
        <f>H41-E48</f>
        <v>-0.203125</v>
      </c>
      <c r="BC40" s="5">
        <f t="shared" si="1"/>
        <v>-0.234375</v>
      </c>
      <c r="BD40" s="5"/>
      <c r="BE40">
        <v>25</v>
      </c>
      <c r="BF40" s="5">
        <f t="shared" si="2"/>
        <v>-2.0691634586650243E-2</v>
      </c>
      <c r="BG40" s="5">
        <f t="shared" si="3"/>
        <v>-4.2566043169795398E-2</v>
      </c>
      <c r="BH40" s="5">
        <f t="shared" si="4"/>
        <v>-4.4459087933579666E-2</v>
      </c>
      <c r="BI40" s="5">
        <f t="shared" si="5"/>
        <v>-4.6528412447319978E-2</v>
      </c>
      <c r="BJ40" s="5">
        <f t="shared" si="6"/>
        <v>-4.879985206307591E-2</v>
      </c>
      <c r="BK40" s="5">
        <f t="shared" si="7"/>
        <v>-5.130455230025166E-2</v>
      </c>
      <c r="BL40" s="5">
        <f t="shared" si="8"/>
        <v>-5.4080407756541216E-2</v>
      </c>
      <c r="BM40" s="5">
        <f t="shared" si="9"/>
        <v>-5.7173995985596915E-2</v>
      </c>
      <c r="BN40" s="5">
        <f t="shared" si="10"/>
        <v>-6.0643217190659682E-2</v>
      </c>
      <c r="BO40" s="5">
        <f t="shared" si="11"/>
        <v>-6.4560959961261766E-2</v>
      </c>
      <c r="BP40" s="5">
        <f t="shared" si="12"/>
        <v>-6.9020290970463249E-2</v>
      </c>
      <c r="BQ40" s="5">
        <f t="shared" si="13"/>
        <v>-7.414196353949809E-2</v>
      </c>
      <c r="BR40" s="5">
        <f t="shared" si="14"/>
        <v>-8.0085552538645799E-2</v>
      </c>
      <c r="BS40" s="5">
        <f t="shared" si="15"/>
        <v>-8.7066440578006721E-2</v>
      </c>
      <c r="BT40" s="5">
        <f t="shared" si="16"/>
        <v>-9.5382593074523681E-2</v>
      </c>
      <c r="BU40" s="5">
        <f t="shared" si="17"/>
        <v>-0.10545841641140929</v>
      </c>
      <c r="BV40" s="5">
        <f t="shared" si="18"/>
        <v>-0.11791996139208627</v>
      </c>
      <c r="BW40" s="5">
        <f t="shared" si="19"/>
        <v>-0.13373123144467502</v>
      </c>
      <c r="BX40" s="5">
        <f t="shared" si="20"/>
        <v>-0.15445886165763556</v>
      </c>
      <c r="BY40" s="5">
        <f t="shared" si="21"/>
        <v>-0.18283342073090036</v>
      </c>
      <c r="BZ40" s="5">
        <f t="shared" si="22"/>
        <v>-0.22408832605865991</v>
      </c>
      <c r="CA40" s="5">
        <f t="shared" si="23"/>
        <v>-0.28973433571104501</v>
      </c>
      <c r="CB40" s="5">
        <f t="shared" si="24"/>
        <v>-0.41141439252525902</v>
      </c>
      <c r="CC40" s="5">
        <f t="shared" si="25"/>
        <v>-0.7277579150809218</v>
      </c>
      <c r="CD40" s="5">
        <f t="shared" si="26"/>
        <v>-1.6479184330021646</v>
      </c>
      <c r="CE40" s="5">
        <f t="shared" si="27"/>
        <v>1.6479184330021646</v>
      </c>
      <c r="CF40" s="5">
        <f t="shared" si="28"/>
        <v>0.7277579150809218</v>
      </c>
      <c r="CG40" s="5">
        <f t="shared" si="29"/>
        <v>0.41141439252525902</v>
      </c>
      <c r="CH40" s="5">
        <f t="shared" si="30"/>
        <v>0.28973433571104545</v>
      </c>
      <c r="CI40" s="5">
        <f t="shared" si="31"/>
        <v>0.22408832605866014</v>
      </c>
      <c r="CJ40" s="5">
        <f t="shared" si="32"/>
        <v>0.18283342073089992</v>
      </c>
      <c r="CK40" s="5">
        <f t="shared" si="33"/>
        <v>0.154458861657635</v>
      </c>
      <c r="CL40">
        <v>25</v>
      </c>
      <c r="CM40" s="4">
        <v>2.7550059640134381E-4</v>
      </c>
      <c r="CN40" s="4">
        <v>5.694748555822146E-4</v>
      </c>
      <c r="CO40" s="4">
        <v>7.819451859195967E-4</v>
      </c>
      <c r="CP40" s="4">
        <v>9.8867930752486789E-4</v>
      </c>
      <c r="CQ40" s="4">
        <v>1.2006664446879297E-3</v>
      </c>
      <c r="CR40" s="4">
        <v>1.4259732685577976E-3</v>
      </c>
      <c r="CS40" s="4">
        <v>1.6711620437434959E-3</v>
      </c>
      <c r="CT40" s="4">
        <v>1.9428565435661224E-3</v>
      </c>
      <c r="CU40" s="4">
        <v>2.2485447865524433E-3</v>
      </c>
      <c r="CV40" s="4">
        <v>2.5972889845236008E-3</v>
      </c>
      <c r="CW40" s="4">
        <v>3.00055177305962E-3</v>
      </c>
      <c r="CX40" s="4">
        <v>3.4733183803328659E-3</v>
      </c>
      <c r="CY40" s="4">
        <v>4.0357490840714433E-3</v>
      </c>
      <c r="CZ40" s="4">
        <v>4.7157437154877581E-3</v>
      </c>
      <c r="DA40" s="4">
        <v>5.5531041184267811E-3</v>
      </c>
      <c r="DB40" s="4">
        <v>6.606611165904561E-3</v>
      </c>
      <c r="DC40" s="4">
        <v>7.9667115369013511E-3</v>
      </c>
      <c r="DD40" s="4">
        <v>9.7797653400929288E-3</v>
      </c>
      <c r="DE40" s="4">
        <v>1.2298082294406768E-2</v>
      </c>
      <c r="DF40" s="4">
        <v>1.5996611732886707E-2</v>
      </c>
      <c r="DG40" s="4">
        <v>2.1845319775491867E-2</v>
      </c>
      <c r="DH40" s="4">
        <v>3.2771195165501532E-2</v>
      </c>
      <c r="DI40" s="4">
        <v>4.9592366802972333E-2</v>
      </c>
      <c r="DJ40" s="4">
        <v>0.23964421809233497</v>
      </c>
      <c r="DK40" s="4">
        <v>-0.25682496113112829</v>
      </c>
      <c r="DL40" s="4">
        <v>-6.7091359598149103E-2</v>
      </c>
      <c r="DM40" s="4">
        <v>-5.0958703426161434E-2</v>
      </c>
      <c r="DN40" s="4">
        <v>-4.122135108440543E-2</v>
      </c>
      <c r="DO40" s="4">
        <v>-3.7340866017751211E-2</v>
      </c>
      <c r="DP40" s="4">
        <v>-3.7167872029813642E-2</v>
      </c>
      <c r="DQ40" s="4">
        <v>-4.0345557541524274E-2</v>
      </c>
      <c r="DR40" s="4">
        <v>-8.1901649639741905E-2</v>
      </c>
    </row>
    <row r="41" spans="2:122" x14ac:dyDescent="0.25">
      <c r="B41" s="1">
        <v>25</v>
      </c>
      <c r="C41" s="10"/>
      <c r="D41" s="10"/>
      <c r="E41" s="2">
        <f t="shared" si="44"/>
        <v>0.75</v>
      </c>
      <c r="F41" s="2">
        <f t="shared" si="45"/>
        <v>2.1093749999999998E-2</v>
      </c>
      <c r="G41" s="2">
        <f>($B$11/(1-$B$8)^2)*(1-2*$B$8+2*$B$8*E41-E41^2)-$B$10*(E41-(1-$B$7))</f>
        <v>2.1093749999999998E-2</v>
      </c>
      <c r="H41" s="2">
        <f t="shared" si="36"/>
        <v>0.765625</v>
      </c>
      <c r="I41" s="2">
        <f t="shared" si="37"/>
        <v>0.765625</v>
      </c>
      <c r="J41" s="2">
        <f t="shared" si="38"/>
        <v>1.9989013671874997E-2</v>
      </c>
      <c r="K41" s="2">
        <f t="shared" si="39"/>
        <v>1.9989013671874997E-2</v>
      </c>
      <c r="L41" s="2">
        <f t="shared" si="47"/>
        <v>-7.0703124999999978E-2</v>
      </c>
      <c r="M41" s="2">
        <f>(2*$B$8*$B$11-2*$B$11*H41)/(1-$B$8)^2-$B$10</f>
        <v>-7.0703124999999978E-2</v>
      </c>
      <c r="O41">
        <v>25</v>
      </c>
      <c r="P41" s="4">
        <f t="shared" si="42"/>
        <v>-0.37114528185865209</v>
      </c>
      <c r="Q41" s="4">
        <f t="shared" si="43"/>
        <v>-0.37114528185865209</v>
      </c>
      <c r="U41" s="10"/>
      <c r="V41" s="5">
        <f t="shared" si="0"/>
        <v>3.125E-2</v>
      </c>
      <c r="W41" s="5">
        <f>H42-E17</f>
        <v>0.796875</v>
      </c>
      <c r="X41" s="5">
        <f>H42-E18</f>
        <v>0.765625</v>
      </c>
      <c r="Y41" s="5">
        <f>H42-E19</f>
        <v>0.734375</v>
      </c>
      <c r="Z41" s="5">
        <f>H42-E20</f>
        <v>0.703125</v>
      </c>
      <c r="AA41" s="5">
        <f>H42-E21</f>
        <v>0.671875</v>
      </c>
      <c r="AB41" s="5">
        <f>H42-E22</f>
        <v>0.640625</v>
      </c>
      <c r="AC41" s="5">
        <f>H42-E23</f>
        <v>0.609375</v>
      </c>
      <c r="AD41" s="5">
        <f>H42-E24</f>
        <v>0.578125</v>
      </c>
      <c r="AE41" s="5">
        <f>H42-E25</f>
        <v>0.546875</v>
      </c>
      <c r="AF41" s="5">
        <f>H42-E26</f>
        <v>0.515625</v>
      </c>
      <c r="AG41" s="5">
        <f>H42-E27</f>
        <v>0.484375</v>
      </c>
      <c r="AH41" s="5">
        <f>H42-E28</f>
        <v>0.453125</v>
      </c>
      <c r="AI41" s="5">
        <f>H42-E29</f>
        <v>0.421875</v>
      </c>
      <c r="AJ41" s="5">
        <f>H42-E30</f>
        <v>0.390625</v>
      </c>
      <c r="AK41" s="5">
        <f>H42-E31</f>
        <v>0.359375</v>
      </c>
      <c r="AL41" s="5">
        <f>H42-E32</f>
        <v>0.328125</v>
      </c>
      <c r="AM41" s="5">
        <f>H42-E33</f>
        <v>0.296875</v>
      </c>
      <c r="AN41" s="5">
        <f>H42-E34</f>
        <v>0.265625</v>
      </c>
      <c r="AO41" s="5">
        <f>H42-E35</f>
        <v>0.234375</v>
      </c>
      <c r="AP41" s="5">
        <f>H42-E36</f>
        <v>0.203125</v>
      </c>
      <c r="AQ41" s="5">
        <f>H42-E37</f>
        <v>0.171875</v>
      </c>
      <c r="AR41" s="5">
        <f>H42-E38</f>
        <v>0.140625</v>
      </c>
      <c r="AS41" s="5">
        <f>H42-E39</f>
        <v>0.109375</v>
      </c>
      <c r="AT41" s="5">
        <f>H42-E40</f>
        <v>7.8125E-2</v>
      </c>
      <c r="AU41" s="5">
        <f>H42-E41</f>
        <v>4.6875E-2</v>
      </c>
      <c r="AV41" s="5">
        <f>H42-E42</f>
        <v>1.5625E-2</v>
      </c>
      <c r="AW41" s="5">
        <f>H42-E43</f>
        <v>-1.5625E-2</v>
      </c>
      <c r="AX41" s="5">
        <f>H42-E44</f>
        <v>-4.6875E-2</v>
      </c>
      <c r="AY41" s="5">
        <f>H42-E45</f>
        <v>-7.8125E-2</v>
      </c>
      <c r="AZ41" s="5">
        <f>H42-E46</f>
        <v>-0.109375</v>
      </c>
      <c r="BA41" s="5">
        <f>H42-E47</f>
        <v>-0.140625</v>
      </c>
      <c r="BB41" s="5">
        <f>H42-E48</f>
        <v>-0.171875</v>
      </c>
      <c r="BC41" s="5">
        <f t="shared" si="1"/>
        <v>-0.203125</v>
      </c>
      <c r="BD41" s="5"/>
      <c r="BE41">
        <v>26</v>
      </c>
      <c r="BF41" s="5">
        <f t="shared" si="2"/>
        <v>-1.9869301964371311E-2</v>
      </c>
      <c r="BG41" s="5">
        <f t="shared" si="3"/>
        <v>-4.0827667235978082E-2</v>
      </c>
      <c r="BH41" s="5">
        <f t="shared" si="4"/>
        <v>-4.2566043169795398E-2</v>
      </c>
      <c r="BI41" s="5">
        <f t="shared" si="5"/>
        <v>-4.4459087933579666E-2</v>
      </c>
      <c r="BJ41" s="5">
        <f t="shared" si="6"/>
        <v>-4.6528412447319978E-2</v>
      </c>
      <c r="BK41" s="5">
        <f t="shared" si="7"/>
        <v>-4.879985206307591E-2</v>
      </c>
      <c r="BL41" s="5">
        <f t="shared" si="8"/>
        <v>-5.130455230025166E-2</v>
      </c>
      <c r="BM41" s="5">
        <f t="shared" si="9"/>
        <v>-5.4080407756541216E-2</v>
      </c>
      <c r="BN41" s="5">
        <f t="shared" si="10"/>
        <v>-5.7173995985596915E-2</v>
      </c>
      <c r="BO41" s="5">
        <f t="shared" si="11"/>
        <v>-6.0643217190659682E-2</v>
      </c>
      <c r="BP41" s="5">
        <f t="shared" si="12"/>
        <v>-6.4560959961261766E-2</v>
      </c>
      <c r="BQ41" s="5">
        <f t="shared" si="13"/>
        <v>-6.9020290970463249E-2</v>
      </c>
      <c r="BR41" s="5">
        <f t="shared" si="14"/>
        <v>-7.414196353949809E-2</v>
      </c>
      <c r="BS41" s="5">
        <f t="shared" si="15"/>
        <v>-8.0085552538645799E-2</v>
      </c>
      <c r="BT41" s="5">
        <f t="shared" si="16"/>
        <v>-8.7066440578006721E-2</v>
      </c>
      <c r="BU41" s="5">
        <f t="shared" si="17"/>
        <v>-9.5382593074523681E-2</v>
      </c>
      <c r="BV41" s="5">
        <f t="shared" si="18"/>
        <v>-0.10545841641140929</v>
      </c>
      <c r="BW41" s="5">
        <f t="shared" si="19"/>
        <v>-0.11791996139208627</v>
      </c>
      <c r="BX41" s="5">
        <f t="shared" si="20"/>
        <v>-0.13373123144467502</v>
      </c>
      <c r="BY41" s="5">
        <f t="shared" si="21"/>
        <v>-0.15445886165763556</v>
      </c>
      <c r="BZ41" s="5">
        <f t="shared" si="22"/>
        <v>-0.18283342073090036</v>
      </c>
      <c r="CA41" s="5">
        <f t="shared" si="23"/>
        <v>-0.22408832605865991</v>
      </c>
      <c r="CB41" s="5">
        <f t="shared" si="24"/>
        <v>-0.28973433571104501</v>
      </c>
      <c r="CC41" s="5">
        <f t="shared" si="25"/>
        <v>-0.41141439252525902</v>
      </c>
      <c r="CD41" s="5">
        <f t="shared" si="26"/>
        <v>-0.7277579150809218</v>
      </c>
      <c r="CE41" s="5">
        <f t="shared" si="27"/>
        <v>-1.6479184330021646</v>
      </c>
      <c r="CF41" s="5">
        <f t="shared" si="28"/>
        <v>1.6479184330021646</v>
      </c>
      <c r="CG41" s="5">
        <f t="shared" si="29"/>
        <v>0.7277579150809218</v>
      </c>
      <c r="CH41" s="5">
        <f t="shared" si="30"/>
        <v>0.41141439252525902</v>
      </c>
      <c r="CI41" s="5">
        <f t="shared" si="31"/>
        <v>0.28973433571104545</v>
      </c>
      <c r="CJ41" s="5">
        <f t="shared" si="32"/>
        <v>0.22408832605866014</v>
      </c>
      <c r="CK41" s="5">
        <f t="shared" si="33"/>
        <v>0.18283342073089992</v>
      </c>
      <c r="CL41">
        <v>26</v>
      </c>
      <c r="CM41" s="4">
        <v>2.4177548476500438E-4</v>
      </c>
      <c r="CN41" s="4">
        <v>4.989820893697047E-4</v>
      </c>
      <c r="CO41" s="4">
        <v>6.8380297190679881E-4</v>
      </c>
      <c r="CP41" s="4">
        <v>8.6273055311982016E-4</v>
      </c>
      <c r="CQ41" s="4">
        <v>1.0452302801353427E-3</v>
      </c>
      <c r="CR41" s="4">
        <v>1.2381179039768996E-3</v>
      </c>
      <c r="CS41" s="4">
        <v>1.4467835783984364E-3</v>
      </c>
      <c r="CT41" s="4">
        <v>1.6765303947146319E-3</v>
      </c>
      <c r="CU41" s="4">
        <v>1.9332213095306749E-3</v>
      </c>
      <c r="CV41" s="4">
        <v>2.2238129257824029E-3</v>
      </c>
      <c r="CW41" s="4">
        <v>2.5569406840352921E-3</v>
      </c>
      <c r="CX41" s="4">
        <v>2.9436794627296513E-3</v>
      </c>
      <c r="CY41" s="4">
        <v>3.3986240190410789E-3</v>
      </c>
      <c r="CZ41" s="4">
        <v>3.9415087568670524E-3</v>
      </c>
      <c r="DA41" s="4">
        <v>4.599740652658205E-3</v>
      </c>
      <c r="DB41" s="4">
        <v>5.4125255984444473E-3</v>
      </c>
      <c r="DC41" s="4">
        <v>6.4378991330008555E-3</v>
      </c>
      <c r="DD41" s="4">
        <v>7.7653494813165825E-3</v>
      </c>
      <c r="DE41" s="4">
        <v>9.5399730628019097E-3</v>
      </c>
      <c r="DF41" s="4">
        <v>1.2012372415130323E-2</v>
      </c>
      <c r="DG41" s="4">
        <v>1.5655131354623316E-2</v>
      </c>
      <c r="DH41" s="4">
        <v>2.1434846097364724E-2</v>
      </c>
      <c r="DI41" s="4">
        <v>3.227355110339887E-2</v>
      </c>
      <c r="DJ41" s="4">
        <v>4.8981818900953815E-2</v>
      </c>
      <c r="DK41" s="4">
        <v>0.23888298894100596</v>
      </c>
      <c r="DL41" s="4">
        <v>-0.25779491414451017</v>
      </c>
      <c r="DM41" s="4">
        <v>-6.8364562815640448E-2</v>
      </c>
      <c r="DN41" s="4">
        <v>-5.2701951071225731E-2</v>
      </c>
      <c r="DO41" s="4">
        <v>-4.3755544613880037E-2</v>
      </c>
      <c r="DP41" s="4">
        <v>-4.1511531389009711E-2</v>
      </c>
      <c r="DQ41" s="4">
        <v>-4.3671921896910604E-2</v>
      </c>
      <c r="DR41" s="4">
        <v>-8.632937079340669E-2</v>
      </c>
    </row>
    <row r="42" spans="2:122" x14ac:dyDescent="0.25">
      <c r="B42" s="1">
        <v>26</v>
      </c>
      <c r="C42" s="10"/>
      <c r="D42" s="10"/>
      <c r="E42" s="2">
        <f t="shared" si="44"/>
        <v>0.78125</v>
      </c>
      <c r="F42" s="2">
        <f t="shared" si="45"/>
        <v>1.8884277343749995E-2</v>
      </c>
      <c r="G42" s="2">
        <f t="shared" ref="G42:G49" si="49">($B$11/(1-$B$8)^2)*(1-2*$B$8+2*$B$8*E42-E42^2)-$B$10*(E42-(1-$B$7))</f>
        <v>1.8884277343749995E-2</v>
      </c>
      <c r="H42" s="2">
        <f t="shared" si="36"/>
        <v>0.796875</v>
      </c>
      <c r="I42" s="2">
        <f t="shared" si="37"/>
        <v>0.796875</v>
      </c>
      <c r="J42" s="2">
        <f t="shared" si="38"/>
        <v>1.7718505859374997E-2</v>
      </c>
      <c r="K42" s="2">
        <f t="shared" si="39"/>
        <v>1.7718505859374997E-2</v>
      </c>
      <c r="L42" s="2">
        <f t="shared" si="47"/>
        <v>-7.4609374999999992E-2</v>
      </c>
      <c r="M42" s="2">
        <f t="shared" ref="M42:M48" si="50">(2*$B$8*$B$11-2*$B$11*H42)/(1-$B$8)^2-$B$10</f>
        <v>-7.4609374999999992E-2</v>
      </c>
      <c r="O42">
        <v>26</v>
      </c>
      <c r="P42" s="4">
        <f t="shared" si="42"/>
        <v>-0.39568897446482237</v>
      </c>
      <c r="Q42" s="4">
        <f t="shared" si="43"/>
        <v>-0.39568897446482237</v>
      </c>
      <c r="U42" s="10"/>
      <c r="V42" s="5">
        <f t="shared" si="0"/>
        <v>3.125E-2</v>
      </c>
      <c r="W42" s="5">
        <f>H43-E17</f>
        <v>0.828125</v>
      </c>
      <c r="X42" s="5">
        <f>H43-E18</f>
        <v>0.796875</v>
      </c>
      <c r="Y42" s="5">
        <f>H43-E19</f>
        <v>0.765625</v>
      </c>
      <c r="Z42" s="5">
        <f>H43-E20</f>
        <v>0.734375</v>
      </c>
      <c r="AA42" s="5">
        <f>H43-E21</f>
        <v>0.703125</v>
      </c>
      <c r="AB42" s="5">
        <f>H43-E22</f>
        <v>0.671875</v>
      </c>
      <c r="AC42" s="5">
        <f>H43-E23</f>
        <v>0.640625</v>
      </c>
      <c r="AD42" s="5">
        <f>H43-E24</f>
        <v>0.609375</v>
      </c>
      <c r="AE42" s="5">
        <f>H43-E25</f>
        <v>0.578125</v>
      </c>
      <c r="AF42" s="5">
        <f>H43-E26</f>
        <v>0.546875</v>
      </c>
      <c r="AG42" s="5">
        <f>H43-E27</f>
        <v>0.515625</v>
      </c>
      <c r="AH42" s="5">
        <f>H43-E28</f>
        <v>0.484375</v>
      </c>
      <c r="AI42" s="5">
        <f>H43-E29</f>
        <v>0.453125</v>
      </c>
      <c r="AJ42" s="5">
        <f>H43-E30</f>
        <v>0.421875</v>
      </c>
      <c r="AK42" s="5">
        <f>H43-E31</f>
        <v>0.390625</v>
      </c>
      <c r="AL42" s="5">
        <f>H43-E32</f>
        <v>0.359375</v>
      </c>
      <c r="AM42" s="5">
        <f>H43-E33</f>
        <v>0.328125</v>
      </c>
      <c r="AN42" s="5">
        <f>H43-E34</f>
        <v>0.296875</v>
      </c>
      <c r="AO42" s="5">
        <f>H43-E35</f>
        <v>0.265625</v>
      </c>
      <c r="AP42" s="5">
        <f>H43-E36</f>
        <v>0.234375</v>
      </c>
      <c r="AQ42" s="5">
        <f>H43-E37</f>
        <v>0.203125</v>
      </c>
      <c r="AR42" s="5">
        <f>H43-E38</f>
        <v>0.171875</v>
      </c>
      <c r="AS42" s="5">
        <f>H43-E39</f>
        <v>0.140625</v>
      </c>
      <c r="AT42" s="5">
        <f>H43-E40</f>
        <v>0.109375</v>
      </c>
      <c r="AU42" s="5">
        <f>H43-E41</f>
        <v>7.8125E-2</v>
      </c>
      <c r="AV42" s="5">
        <f>H43-E42</f>
        <v>4.6875E-2</v>
      </c>
      <c r="AW42" s="5">
        <f>H43-E43</f>
        <v>1.5625E-2</v>
      </c>
      <c r="AX42" s="5">
        <f>H43-E44</f>
        <v>-1.5625E-2</v>
      </c>
      <c r="AY42" s="5">
        <f>H43-E45</f>
        <v>-4.6875E-2</v>
      </c>
      <c r="AZ42" s="5">
        <f>H43-E46</f>
        <v>-7.8125E-2</v>
      </c>
      <c r="BA42" s="5">
        <f>H43-E47</f>
        <v>-0.109375</v>
      </c>
      <c r="BB42" s="5">
        <f>H43-E48</f>
        <v>-0.140625</v>
      </c>
      <c r="BC42" s="5">
        <f t="shared" si="1"/>
        <v>-0.171875</v>
      </c>
      <c r="BD42" s="5"/>
      <c r="BE42">
        <v>27</v>
      </c>
      <c r="BF42" s="5">
        <f t="shared" si="2"/>
        <v>-1.9109838891200659E-2</v>
      </c>
      <c r="BG42" s="5">
        <f t="shared" si="3"/>
        <v>-3.9225743900966781E-2</v>
      </c>
      <c r="BH42" s="5">
        <f t="shared" si="4"/>
        <v>-4.0827667235978082E-2</v>
      </c>
      <c r="BI42" s="5">
        <f t="shared" si="5"/>
        <v>-4.2566043169795398E-2</v>
      </c>
      <c r="BJ42" s="5">
        <f t="shared" si="6"/>
        <v>-4.4459087933579666E-2</v>
      </c>
      <c r="BK42" s="5">
        <f t="shared" si="7"/>
        <v>-4.6528412447319978E-2</v>
      </c>
      <c r="BL42" s="5">
        <f t="shared" si="8"/>
        <v>-4.879985206307591E-2</v>
      </c>
      <c r="BM42" s="5">
        <f t="shared" si="9"/>
        <v>-5.130455230025166E-2</v>
      </c>
      <c r="BN42" s="5">
        <f t="shared" si="10"/>
        <v>-5.4080407756541216E-2</v>
      </c>
      <c r="BO42" s="5">
        <f t="shared" si="11"/>
        <v>-5.7173995985596915E-2</v>
      </c>
      <c r="BP42" s="5">
        <f t="shared" si="12"/>
        <v>-6.0643217190659682E-2</v>
      </c>
      <c r="BQ42" s="5">
        <f t="shared" si="13"/>
        <v>-6.4560959961261766E-2</v>
      </c>
      <c r="BR42" s="5">
        <f t="shared" si="14"/>
        <v>-6.9020290970463249E-2</v>
      </c>
      <c r="BS42" s="5">
        <f t="shared" si="15"/>
        <v>-7.414196353949809E-2</v>
      </c>
      <c r="BT42" s="5">
        <f t="shared" si="16"/>
        <v>-8.0085552538645799E-2</v>
      </c>
      <c r="BU42" s="5">
        <f t="shared" si="17"/>
        <v>-8.7066440578006721E-2</v>
      </c>
      <c r="BV42" s="5">
        <f t="shared" si="18"/>
        <v>-9.5382593074523681E-2</v>
      </c>
      <c r="BW42" s="5">
        <f t="shared" si="19"/>
        <v>-0.10545841641140929</v>
      </c>
      <c r="BX42" s="5">
        <f t="shared" si="20"/>
        <v>-0.11791996139208627</v>
      </c>
      <c r="BY42" s="5">
        <f t="shared" si="21"/>
        <v>-0.13373123144467502</v>
      </c>
      <c r="BZ42" s="5">
        <f t="shared" si="22"/>
        <v>-0.15445886165763556</v>
      </c>
      <c r="CA42" s="5">
        <f t="shared" si="23"/>
        <v>-0.18283342073090036</v>
      </c>
      <c r="CB42" s="5">
        <f t="shared" si="24"/>
        <v>-0.22408832605865991</v>
      </c>
      <c r="CC42" s="5">
        <f t="shared" si="25"/>
        <v>-0.28973433571104501</v>
      </c>
      <c r="CD42" s="5">
        <f t="shared" si="26"/>
        <v>-0.41141439252525902</v>
      </c>
      <c r="CE42" s="5">
        <f t="shared" si="27"/>
        <v>-0.7277579150809218</v>
      </c>
      <c r="CF42" s="5">
        <f t="shared" si="28"/>
        <v>-1.6479184330021646</v>
      </c>
      <c r="CG42" s="5">
        <f t="shared" si="29"/>
        <v>1.6479184330021646</v>
      </c>
      <c r="CH42" s="5">
        <f t="shared" si="30"/>
        <v>0.7277579150809218</v>
      </c>
      <c r="CI42" s="5">
        <f t="shared" si="31"/>
        <v>0.41141439252525902</v>
      </c>
      <c r="CJ42" s="5">
        <f t="shared" si="32"/>
        <v>0.28973433571104545</v>
      </c>
      <c r="CK42" s="5">
        <f t="shared" si="33"/>
        <v>0.22408832605866014</v>
      </c>
      <c r="CL42">
        <v>27</v>
      </c>
      <c r="CM42" s="4">
        <v>2.104248306236119E-4</v>
      </c>
      <c r="CN42" s="4">
        <v>4.3365540224990474E-4</v>
      </c>
      <c r="CO42" s="4">
        <v>5.9320670661970132E-4</v>
      </c>
      <c r="CP42" s="4">
        <v>7.4695818621914399E-4</v>
      </c>
      <c r="CQ42" s="4">
        <v>9.0301766068441223E-4</v>
      </c>
      <c r="CR42" s="4">
        <v>1.0671250349534157E-3</v>
      </c>
      <c r="CS42" s="4">
        <v>1.243704757949863E-3</v>
      </c>
      <c r="CT42" s="4">
        <v>1.4370076465999152E-3</v>
      </c>
      <c r="CU42" s="4">
        <v>1.6516366252115641E-3</v>
      </c>
      <c r="CV42" s="4">
        <v>1.8929543358393286E-3</v>
      </c>
      <c r="CW42" s="4">
        <v>2.1675050501720463E-3</v>
      </c>
      <c r="CX42" s="4">
        <v>2.4835400476837903E-3</v>
      </c>
      <c r="CY42" s="4">
        <v>2.8517391347483872E-3</v>
      </c>
      <c r="CZ42" s="4">
        <v>3.2862593599531009E-3</v>
      </c>
      <c r="DA42" s="4">
        <v>3.8063230821539645E-3</v>
      </c>
      <c r="DB42" s="4">
        <v>4.4387137620167279E-3</v>
      </c>
      <c r="DC42" s="4">
        <v>5.221854050590064E-3</v>
      </c>
      <c r="DD42" s="4">
        <v>6.2127695962049681E-3</v>
      </c>
      <c r="DE42" s="4">
        <v>7.4996150299699487E-3</v>
      </c>
      <c r="DF42" s="4">
        <v>9.2256835761404862E-3</v>
      </c>
      <c r="DG42" s="4">
        <v>1.1639078107401286E-2</v>
      </c>
      <c r="DH42" s="4">
        <v>1.5208820798916561E-2</v>
      </c>
      <c r="DI42" s="4">
        <v>2.0896271632551273E-2</v>
      </c>
      <c r="DJ42" s="4">
        <v>3.1615479356892642E-2</v>
      </c>
      <c r="DK42" s="4">
        <v>4.8164290111875174E-2</v>
      </c>
      <c r="DL42" s="4">
        <v>0.23784463381113458</v>
      </c>
      <c r="DM42" s="4">
        <v>-0.25915400097132107</v>
      </c>
      <c r="DN42" s="4">
        <v>-7.0220602989459951E-2</v>
      </c>
      <c r="DO42" s="4">
        <v>-5.5393877160010388E-2</v>
      </c>
      <c r="DP42" s="4">
        <v>-4.8175992395500647E-2</v>
      </c>
      <c r="DQ42" s="4">
        <v>-4.8397084071365275E-2</v>
      </c>
      <c r="DR42" s="4">
        <v>-9.2210505507524035E-2</v>
      </c>
    </row>
    <row r="43" spans="2:122" x14ac:dyDescent="0.25">
      <c r="B43" s="1">
        <v>27</v>
      </c>
      <c r="C43" s="10"/>
      <c r="D43" s="10"/>
      <c r="E43" s="2">
        <f t="shared" si="44"/>
        <v>0.8125</v>
      </c>
      <c r="F43" s="2">
        <f t="shared" si="45"/>
        <v>1.6552734374999999E-2</v>
      </c>
      <c r="G43" s="2">
        <f t="shared" si="49"/>
        <v>1.6552734374999999E-2</v>
      </c>
      <c r="H43" s="2">
        <f t="shared" si="36"/>
        <v>0.828125</v>
      </c>
      <c r="I43" s="2">
        <f t="shared" si="37"/>
        <v>0.828125</v>
      </c>
      <c r="J43" s="2">
        <f t="shared" si="38"/>
        <v>1.5325927734374998E-2</v>
      </c>
      <c r="K43" s="2">
        <f t="shared" si="39"/>
        <v>1.5325927734374998E-2</v>
      </c>
      <c r="L43" s="2">
        <f t="shared" si="47"/>
        <v>-7.8515624999999992E-2</v>
      </c>
      <c r="M43" s="2">
        <f t="shared" si="50"/>
        <v>-7.8515624999999992E-2</v>
      </c>
      <c r="O43">
        <v>27</v>
      </c>
      <c r="P43" s="4">
        <f t="shared" si="42"/>
        <v>-0.42023266707099266</v>
      </c>
      <c r="Q43" s="4">
        <f t="shared" si="43"/>
        <v>-0.42023266707099266</v>
      </c>
      <c r="U43" s="10"/>
      <c r="V43" s="5">
        <f t="shared" si="0"/>
        <v>3.125E-2</v>
      </c>
      <c r="W43" s="5">
        <f>H44-E17</f>
        <v>0.859375</v>
      </c>
      <c r="X43" s="5">
        <f>H44-E18</f>
        <v>0.828125</v>
      </c>
      <c r="Y43" s="5">
        <f>H44-E19</f>
        <v>0.796875</v>
      </c>
      <c r="Z43" s="5">
        <f>H44-E20</f>
        <v>0.765625</v>
      </c>
      <c r="AA43" s="5">
        <f>H44-E21</f>
        <v>0.734375</v>
      </c>
      <c r="AB43" s="5">
        <f>H44-E22</f>
        <v>0.703125</v>
      </c>
      <c r="AC43" s="5">
        <f>H44-E23</f>
        <v>0.671875</v>
      </c>
      <c r="AD43" s="5">
        <f>H44-E24</f>
        <v>0.640625</v>
      </c>
      <c r="AE43" s="5">
        <f>H44-E25</f>
        <v>0.609375</v>
      </c>
      <c r="AF43" s="5">
        <f>H44-E26</f>
        <v>0.578125</v>
      </c>
      <c r="AG43" s="5">
        <f>H44-E27</f>
        <v>0.546875</v>
      </c>
      <c r="AH43" s="5">
        <f>H44-E28</f>
        <v>0.515625</v>
      </c>
      <c r="AI43" s="5">
        <f>H44-E29</f>
        <v>0.484375</v>
      </c>
      <c r="AJ43" s="5">
        <f>H44-E30</f>
        <v>0.453125</v>
      </c>
      <c r="AK43" s="5">
        <f>H44-E31</f>
        <v>0.421875</v>
      </c>
      <c r="AL43" s="5">
        <f>H44-E32</f>
        <v>0.390625</v>
      </c>
      <c r="AM43" s="5">
        <f>H44-E33</f>
        <v>0.359375</v>
      </c>
      <c r="AN43" s="5">
        <f>H44-E34</f>
        <v>0.328125</v>
      </c>
      <c r="AO43" s="5">
        <f>H44-E35</f>
        <v>0.296875</v>
      </c>
      <c r="AP43" s="5">
        <f>H44-E36</f>
        <v>0.265625</v>
      </c>
      <c r="AQ43" s="5">
        <f>H44-E37</f>
        <v>0.234375</v>
      </c>
      <c r="AR43" s="5">
        <f>H44-E38</f>
        <v>0.203125</v>
      </c>
      <c r="AS43" s="5">
        <f>H44-E39</f>
        <v>0.171875</v>
      </c>
      <c r="AT43" s="5">
        <f>H44-E40</f>
        <v>0.140625</v>
      </c>
      <c r="AU43" s="5">
        <f>H44-E41</f>
        <v>0.109375</v>
      </c>
      <c r="AV43" s="5">
        <f>H44-E42</f>
        <v>7.8125E-2</v>
      </c>
      <c r="AW43" s="5">
        <f>H44-E43</f>
        <v>4.6875E-2</v>
      </c>
      <c r="AX43" s="5">
        <f>H44-E44</f>
        <v>1.5625E-2</v>
      </c>
      <c r="AY43" s="5">
        <f>H44-E45</f>
        <v>-1.5625E-2</v>
      </c>
      <c r="AZ43" s="5">
        <f>H44-E46</f>
        <v>-4.6875E-2</v>
      </c>
      <c r="BA43" s="5">
        <f>H44-E47</f>
        <v>-7.8125E-2</v>
      </c>
      <c r="BB43" s="5">
        <f>H44-E48</f>
        <v>-0.109375</v>
      </c>
      <c r="BC43" s="5">
        <f t="shared" si="1"/>
        <v>-0.140625</v>
      </c>
      <c r="BD43" s="5"/>
      <c r="BE43">
        <v>28</v>
      </c>
      <c r="BF43" s="5">
        <f t="shared" si="2"/>
        <v>-1.8406300470748871E-2</v>
      </c>
      <c r="BG43" s="5">
        <f t="shared" si="3"/>
        <v>-3.7744810100800774E-2</v>
      </c>
      <c r="BH43" s="5">
        <f t="shared" si="4"/>
        <v>-3.9225743900966781E-2</v>
      </c>
      <c r="BI43" s="5">
        <f t="shared" si="5"/>
        <v>-4.0827667235978082E-2</v>
      </c>
      <c r="BJ43" s="5">
        <f t="shared" si="6"/>
        <v>-4.2566043169795398E-2</v>
      </c>
      <c r="BK43" s="5">
        <f t="shared" si="7"/>
        <v>-4.4459087933579666E-2</v>
      </c>
      <c r="BL43" s="5">
        <f t="shared" si="8"/>
        <v>-4.6528412447319978E-2</v>
      </c>
      <c r="BM43" s="5">
        <f t="shared" si="9"/>
        <v>-4.879985206307591E-2</v>
      </c>
      <c r="BN43" s="5">
        <f t="shared" si="10"/>
        <v>-5.130455230025166E-2</v>
      </c>
      <c r="BO43" s="5">
        <f t="shared" si="11"/>
        <v>-5.4080407756541216E-2</v>
      </c>
      <c r="BP43" s="5">
        <f t="shared" si="12"/>
        <v>-5.7173995985596915E-2</v>
      </c>
      <c r="BQ43" s="5">
        <f t="shared" si="13"/>
        <v>-6.0643217190659682E-2</v>
      </c>
      <c r="BR43" s="5">
        <f t="shared" si="14"/>
        <v>-6.4560959961261766E-2</v>
      </c>
      <c r="BS43" s="5">
        <f t="shared" si="15"/>
        <v>-6.9020290970463249E-2</v>
      </c>
      <c r="BT43" s="5">
        <f t="shared" si="16"/>
        <v>-7.414196353949809E-2</v>
      </c>
      <c r="BU43" s="5">
        <f t="shared" si="17"/>
        <v>-8.0085552538645799E-2</v>
      </c>
      <c r="BV43" s="5">
        <f t="shared" si="18"/>
        <v>-8.7066440578006721E-2</v>
      </c>
      <c r="BW43" s="5">
        <f t="shared" si="19"/>
        <v>-9.5382593074523681E-2</v>
      </c>
      <c r="BX43" s="5">
        <f t="shared" si="20"/>
        <v>-0.10545841641140929</v>
      </c>
      <c r="BY43" s="5">
        <f t="shared" si="21"/>
        <v>-0.11791996139208627</v>
      </c>
      <c r="BZ43" s="5">
        <f t="shared" si="22"/>
        <v>-0.13373123144467502</v>
      </c>
      <c r="CA43" s="5">
        <f t="shared" si="23"/>
        <v>-0.15445886165763556</v>
      </c>
      <c r="CB43" s="5">
        <f t="shared" si="24"/>
        <v>-0.18283342073090036</v>
      </c>
      <c r="CC43" s="5">
        <f t="shared" si="25"/>
        <v>-0.22408832605865991</v>
      </c>
      <c r="CD43" s="5">
        <f t="shared" si="26"/>
        <v>-0.28973433571104501</v>
      </c>
      <c r="CE43" s="5">
        <f t="shared" si="27"/>
        <v>-0.41141439252525902</v>
      </c>
      <c r="CF43" s="5">
        <f t="shared" si="28"/>
        <v>-0.7277579150809218</v>
      </c>
      <c r="CG43" s="5">
        <f t="shared" si="29"/>
        <v>-1.6479184330021646</v>
      </c>
      <c r="CH43" s="5">
        <f t="shared" si="30"/>
        <v>1.6479184330021646</v>
      </c>
      <c r="CI43" s="5">
        <f t="shared" si="31"/>
        <v>0.7277579150809218</v>
      </c>
      <c r="CJ43" s="5">
        <f t="shared" si="32"/>
        <v>0.41141439252525902</v>
      </c>
      <c r="CK43" s="5">
        <f t="shared" si="33"/>
        <v>0.28973433571104545</v>
      </c>
      <c r="CL43">
        <v>28</v>
      </c>
      <c r="CM43" s="4">
        <v>1.8085817110526968E-4</v>
      </c>
      <c r="CN43" s="4">
        <v>3.7222797555712677E-4</v>
      </c>
      <c r="CO43" s="4">
        <v>5.0833259916941093E-4</v>
      </c>
      <c r="CP43" s="4">
        <v>6.3893255814556377E-4</v>
      </c>
      <c r="CQ43" s="4">
        <v>7.7090194295027195E-4</v>
      </c>
      <c r="CR43" s="4">
        <v>9.0903470055670593E-4</v>
      </c>
      <c r="CS43" s="4">
        <v>1.0569411623543824E-3</v>
      </c>
      <c r="CT43" s="4">
        <v>1.2180144405794916E-3</v>
      </c>
      <c r="CU43" s="4">
        <v>1.395858027682091E-3</v>
      </c>
      <c r="CV43" s="4">
        <v>1.5945995523922679E-3</v>
      </c>
      <c r="CW43" s="4">
        <v>1.8191982919267646E-3</v>
      </c>
      <c r="CX43" s="4">
        <v>2.0758124468190507E-3</v>
      </c>
      <c r="CY43" s="4">
        <v>2.3722876185210857E-3</v>
      </c>
      <c r="CZ43" s="4">
        <v>2.7188471390844978E-3</v>
      </c>
      <c r="DA43" s="4">
        <v>3.1291084930410765E-3</v>
      </c>
      <c r="DB43" s="4">
        <v>3.6216326443753045E-3</v>
      </c>
      <c r="DC43" s="4">
        <v>4.2223688129939783E-3</v>
      </c>
      <c r="DD43" s="4">
        <v>4.9686613354905339E-3</v>
      </c>
      <c r="DE43" s="4">
        <v>5.9161098472522954E-3</v>
      </c>
      <c r="DF43" s="4">
        <v>7.1509392661433385E-3</v>
      </c>
      <c r="DG43" s="4">
        <v>8.8137666736332713E-3</v>
      </c>
      <c r="DH43" s="4">
        <v>1.1148881226239946E-2</v>
      </c>
      <c r="DI43" s="4">
        <v>1.461969820435347E-2</v>
      </c>
      <c r="DJ43" s="4">
        <v>2.0179027276314002E-2</v>
      </c>
      <c r="DK43" s="4">
        <v>3.0727292880956571E-2</v>
      </c>
      <c r="DL43" s="4">
        <v>4.7039424928881864E-2</v>
      </c>
      <c r="DM43" s="4">
        <v>0.2363761130282567</v>
      </c>
      <c r="DN43" s="4">
        <v>-0.26115480934333829</v>
      </c>
      <c r="DO43" s="4">
        <v>-7.311639558222599E-2</v>
      </c>
      <c r="DP43" s="4">
        <v>-6.0139482622392305E-2</v>
      </c>
      <c r="DQ43" s="4">
        <v>-5.556014363857429E-2</v>
      </c>
      <c r="DR43" s="4">
        <v>-0.10031031880449835</v>
      </c>
    </row>
    <row r="44" spans="2:122" x14ac:dyDescent="0.25">
      <c r="B44" s="1">
        <v>28</v>
      </c>
      <c r="C44" s="10"/>
      <c r="D44" s="10"/>
      <c r="E44" s="2">
        <f t="shared" si="44"/>
        <v>0.84375</v>
      </c>
      <c r="F44" s="2">
        <f t="shared" si="45"/>
        <v>1.4099121093749997E-2</v>
      </c>
      <c r="G44" s="2">
        <f t="shared" si="49"/>
        <v>1.4099121093749997E-2</v>
      </c>
      <c r="H44" s="2">
        <f t="shared" si="36"/>
        <v>0.859375</v>
      </c>
      <c r="I44" s="2">
        <f t="shared" si="37"/>
        <v>0.859375</v>
      </c>
      <c r="J44" s="2">
        <f t="shared" si="38"/>
        <v>1.2811279296874995E-2</v>
      </c>
      <c r="K44" s="2">
        <f t="shared" si="39"/>
        <v>1.2811279296874995E-2</v>
      </c>
      <c r="L44" s="2">
        <f t="shared" si="47"/>
        <v>-8.2421874999999992E-2</v>
      </c>
      <c r="M44" s="2">
        <f t="shared" si="50"/>
        <v>-8.2421874999999992E-2</v>
      </c>
      <c r="O44">
        <v>28</v>
      </c>
      <c r="P44" s="4">
        <f t="shared" si="42"/>
        <v>-0.44477635967716289</v>
      </c>
      <c r="Q44" s="4">
        <f t="shared" si="43"/>
        <v>-0.44477635967716289</v>
      </c>
      <c r="U44" s="10"/>
      <c r="V44" s="5">
        <f t="shared" si="0"/>
        <v>3.125E-2</v>
      </c>
      <c r="W44" s="5">
        <f>H45-E17</f>
        <v>0.890625</v>
      </c>
      <c r="X44" s="5">
        <f>H45-E18</f>
        <v>0.859375</v>
      </c>
      <c r="Y44" s="5">
        <f>H45-E19</f>
        <v>0.828125</v>
      </c>
      <c r="Z44" s="5">
        <f>H45-E20</f>
        <v>0.796875</v>
      </c>
      <c r="AA44" s="5">
        <f>H45-E21</f>
        <v>0.765625</v>
      </c>
      <c r="AB44" s="5">
        <f>H45-E22</f>
        <v>0.734375</v>
      </c>
      <c r="AC44" s="5">
        <f>H45-E23</f>
        <v>0.703125</v>
      </c>
      <c r="AD44" s="5">
        <f>H45-E24</f>
        <v>0.671875</v>
      </c>
      <c r="AE44" s="5">
        <f>H45-E25</f>
        <v>0.640625</v>
      </c>
      <c r="AF44" s="5">
        <f>H45-E26</f>
        <v>0.609375</v>
      </c>
      <c r="AG44" s="5">
        <f>H45-E27</f>
        <v>0.578125</v>
      </c>
      <c r="AH44" s="5">
        <f>H45-E28</f>
        <v>0.546875</v>
      </c>
      <c r="AI44" s="5">
        <f>H45-E29</f>
        <v>0.515625</v>
      </c>
      <c r="AJ44" s="5">
        <f>H45-E30</f>
        <v>0.484375</v>
      </c>
      <c r="AK44" s="5">
        <f>H45-E31</f>
        <v>0.453125</v>
      </c>
      <c r="AL44" s="5">
        <f>H45-E32</f>
        <v>0.421875</v>
      </c>
      <c r="AM44" s="5">
        <f>H45-E33</f>
        <v>0.390625</v>
      </c>
      <c r="AN44" s="5">
        <f>H45-E34</f>
        <v>0.359375</v>
      </c>
      <c r="AO44" s="5">
        <f>H45-E35</f>
        <v>0.328125</v>
      </c>
      <c r="AP44" s="5">
        <f>H45-E36</f>
        <v>0.296875</v>
      </c>
      <c r="AQ44" s="5">
        <f>H45-E37</f>
        <v>0.265625</v>
      </c>
      <c r="AR44" s="5">
        <f>H45-E38</f>
        <v>0.234375</v>
      </c>
      <c r="AS44" s="5">
        <f>H45-E39</f>
        <v>0.203125</v>
      </c>
      <c r="AT44" s="5">
        <f>H45-E40</f>
        <v>0.171875</v>
      </c>
      <c r="AU44" s="5">
        <f>H45-E41</f>
        <v>0.140625</v>
      </c>
      <c r="AV44" s="5">
        <f>H45-E42</f>
        <v>0.109375</v>
      </c>
      <c r="AW44" s="5">
        <f>H45-E43</f>
        <v>7.8125E-2</v>
      </c>
      <c r="AX44" s="5">
        <f>H45-E44</f>
        <v>4.6875E-2</v>
      </c>
      <c r="AY44" s="5">
        <f>H45-E45</f>
        <v>1.5625E-2</v>
      </c>
      <c r="AZ44" s="5">
        <f>H45-E46</f>
        <v>-1.5625E-2</v>
      </c>
      <c r="BA44" s="5">
        <f>H45-E47</f>
        <v>-4.6875E-2</v>
      </c>
      <c r="BB44" s="5">
        <f>H45-E48</f>
        <v>-7.8125E-2</v>
      </c>
      <c r="BC44" s="5">
        <f t="shared" si="1"/>
        <v>-0.109375</v>
      </c>
      <c r="BD44" s="5"/>
      <c r="BE44">
        <v>29</v>
      </c>
      <c r="BF44" s="5">
        <f t="shared" si="2"/>
        <v>-1.7752728442821164E-2</v>
      </c>
      <c r="BG44" s="5">
        <f t="shared" si="3"/>
        <v>-3.6371654630007022E-2</v>
      </c>
      <c r="BH44" s="5">
        <f t="shared" si="4"/>
        <v>-3.7744810100800774E-2</v>
      </c>
      <c r="BI44" s="5">
        <f t="shared" si="5"/>
        <v>-3.9225743900966781E-2</v>
      </c>
      <c r="BJ44" s="5">
        <f t="shared" si="6"/>
        <v>-4.0827667235978082E-2</v>
      </c>
      <c r="BK44" s="5">
        <f t="shared" si="7"/>
        <v>-4.2566043169795398E-2</v>
      </c>
      <c r="BL44" s="5">
        <f t="shared" si="8"/>
        <v>-4.4459087933579666E-2</v>
      </c>
      <c r="BM44" s="5">
        <f t="shared" si="9"/>
        <v>-4.6528412447319978E-2</v>
      </c>
      <c r="BN44" s="5">
        <f t="shared" si="10"/>
        <v>-4.879985206307591E-2</v>
      </c>
      <c r="BO44" s="5">
        <f t="shared" si="11"/>
        <v>-5.130455230025166E-2</v>
      </c>
      <c r="BP44" s="5">
        <f t="shared" si="12"/>
        <v>-5.4080407756541216E-2</v>
      </c>
      <c r="BQ44" s="5">
        <f t="shared" si="13"/>
        <v>-5.7173995985596915E-2</v>
      </c>
      <c r="BR44" s="5">
        <f t="shared" si="14"/>
        <v>-6.0643217190659682E-2</v>
      </c>
      <c r="BS44" s="5">
        <f t="shared" si="15"/>
        <v>-6.4560959961261766E-2</v>
      </c>
      <c r="BT44" s="5">
        <f t="shared" si="16"/>
        <v>-6.9020290970463249E-2</v>
      </c>
      <c r="BU44" s="5">
        <f t="shared" si="17"/>
        <v>-7.414196353949809E-2</v>
      </c>
      <c r="BV44" s="5">
        <f t="shared" si="18"/>
        <v>-8.0085552538645799E-2</v>
      </c>
      <c r="BW44" s="5">
        <f t="shared" si="19"/>
        <v>-8.7066440578006721E-2</v>
      </c>
      <c r="BX44" s="5">
        <f t="shared" si="20"/>
        <v>-9.5382593074523681E-2</v>
      </c>
      <c r="BY44" s="5">
        <f t="shared" si="21"/>
        <v>-0.10545841641140929</v>
      </c>
      <c r="BZ44" s="5">
        <f t="shared" si="22"/>
        <v>-0.11791996139208627</v>
      </c>
      <c r="CA44" s="5">
        <f t="shared" si="23"/>
        <v>-0.13373123144467502</v>
      </c>
      <c r="CB44" s="5">
        <f t="shared" si="24"/>
        <v>-0.15445886165763556</v>
      </c>
      <c r="CC44" s="5">
        <f t="shared" si="25"/>
        <v>-0.18283342073090036</v>
      </c>
      <c r="CD44" s="5">
        <f t="shared" si="26"/>
        <v>-0.22408832605865991</v>
      </c>
      <c r="CE44" s="5">
        <f t="shared" si="27"/>
        <v>-0.28973433571104501</v>
      </c>
      <c r="CF44" s="5">
        <f t="shared" si="28"/>
        <v>-0.41141439252525902</v>
      </c>
      <c r="CG44" s="5">
        <f t="shared" si="29"/>
        <v>-0.7277579150809218</v>
      </c>
      <c r="CH44" s="5">
        <f t="shared" si="30"/>
        <v>-1.6479184330021646</v>
      </c>
      <c r="CI44" s="5">
        <f t="shared" si="31"/>
        <v>1.6479184330021646</v>
      </c>
      <c r="CJ44" s="5">
        <f t="shared" si="32"/>
        <v>0.7277579150809218</v>
      </c>
      <c r="CK44" s="5">
        <f t="shared" si="33"/>
        <v>0.41141439252525902</v>
      </c>
      <c r="CL44">
        <v>29</v>
      </c>
      <c r="CM44" s="4">
        <v>1.5243778129497165E-4</v>
      </c>
      <c r="CN44" s="4">
        <v>3.133495730301447E-4</v>
      </c>
      <c r="CO44" s="4">
        <v>4.2726836064373912E-4</v>
      </c>
      <c r="CP44" s="4">
        <v>5.3615047814752168E-4</v>
      </c>
      <c r="CQ44" s="4">
        <v>6.4572213559624132E-4</v>
      </c>
      <c r="CR44" s="4">
        <v>7.5992388036544658E-4</v>
      </c>
      <c r="CS44" s="4">
        <v>8.8166134661593338E-4</v>
      </c>
      <c r="CT44" s="4">
        <v>1.0136101784560833E-3</v>
      </c>
      <c r="CU44" s="4">
        <v>1.1585607259074644E-3</v>
      </c>
      <c r="CV44" s="4">
        <v>1.3196590581197479E-3</v>
      </c>
      <c r="CW44" s="4">
        <v>1.5006313898585314E-3</v>
      </c>
      <c r="CX44" s="4">
        <v>1.7060414891024252E-3</v>
      </c>
      <c r="CY44" s="4">
        <v>1.94162269538992E-3</v>
      </c>
      <c r="CZ44" s="4">
        <v>2.2147351893778647E-3</v>
      </c>
      <c r="DA44" s="4">
        <v>2.5350227722216769E-3</v>
      </c>
      <c r="DB44" s="4">
        <v>2.9153880744127452E-3</v>
      </c>
      <c r="DC44" s="4">
        <v>3.3734869178078802E-3</v>
      </c>
      <c r="DD44" s="4">
        <v>3.9340958654763385E-3</v>
      </c>
      <c r="DE44" s="4">
        <v>4.6330063964857837E-3</v>
      </c>
      <c r="DF44" s="4">
        <v>5.5237152166674854E-3</v>
      </c>
      <c r="DG44" s="4">
        <v>6.689529782587445E-3</v>
      </c>
      <c r="DH44" s="4">
        <v>8.2669089363909334E-3</v>
      </c>
      <c r="DI44" s="4">
        <v>1.0494028357990666E-2</v>
      </c>
      <c r="DJ44" s="4">
        <v>1.3824981186998268E-2</v>
      </c>
      <c r="DK44" s="4">
        <v>1.9197724796565546E-2</v>
      </c>
      <c r="DL44" s="4">
        <v>2.9487705814360173E-2</v>
      </c>
      <c r="DM44" s="4">
        <v>4.542491157192128E-2</v>
      </c>
      <c r="DN44" s="4">
        <v>0.23418106291219973</v>
      </c>
      <c r="DO44" s="4">
        <v>-0.26432563278925453</v>
      </c>
      <c r="DP44" s="4">
        <v>-7.8303088521993913E-2</v>
      </c>
      <c r="DQ44" s="4">
        <v>-6.8202048607505186E-2</v>
      </c>
      <c r="DR44" s="4">
        <v>-0.11210205661640196</v>
      </c>
    </row>
    <row r="45" spans="2:122" x14ac:dyDescent="0.25">
      <c r="B45" s="1">
        <v>29</v>
      </c>
      <c r="C45" s="10"/>
      <c r="D45" s="10"/>
      <c r="E45" s="2">
        <f t="shared" si="44"/>
        <v>0.875</v>
      </c>
      <c r="F45" s="2">
        <f t="shared" si="45"/>
        <v>1.1523437499999995E-2</v>
      </c>
      <c r="G45" s="2">
        <f t="shared" si="49"/>
        <v>1.1523437499999995E-2</v>
      </c>
      <c r="H45" s="2">
        <f t="shared" si="36"/>
        <v>0.890625</v>
      </c>
      <c r="I45" s="2">
        <f t="shared" si="37"/>
        <v>0.890625</v>
      </c>
      <c r="J45" s="2">
        <f t="shared" si="38"/>
        <v>1.0174560546874998E-2</v>
      </c>
      <c r="K45" s="2">
        <f t="shared" si="39"/>
        <v>1.0174560546874998E-2</v>
      </c>
      <c r="L45" s="2">
        <f t="shared" si="47"/>
        <v>-8.6328124999999992E-2</v>
      </c>
      <c r="M45" s="2">
        <f t="shared" si="50"/>
        <v>-8.6328124999999992E-2</v>
      </c>
      <c r="O45">
        <v>29</v>
      </c>
      <c r="P45" s="4">
        <f t="shared" si="42"/>
        <v>-0.46932005228333318</v>
      </c>
      <c r="Q45" s="4">
        <f t="shared" si="43"/>
        <v>-0.46932005228333318</v>
      </c>
      <c r="U45" s="10"/>
      <c r="V45" s="5">
        <f t="shared" si="0"/>
        <v>3.125E-2</v>
      </c>
      <c r="W45" s="5">
        <f>H46-E17</f>
        <v>0.921875</v>
      </c>
      <c r="X45" s="5">
        <f>H46-E18</f>
        <v>0.890625</v>
      </c>
      <c r="Y45" s="5">
        <f>H46-E19</f>
        <v>0.859375</v>
      </c>
      <c r="Z45" s="5">
        <f>H46-E20</f>
        <v>0.828125</v>
      </c>
      <c r="AA45" s="5">
        <f>H46-E21</f>
        <v>0.796875</v>
      </c>
      <c r="AB45" s="5">
        <f>H46-E22</f>
        <v>0.765625</v>
      </c>
      <c r="AC45" s="5">
        <f>H46-E23</f>
        <v>0.734375</v>
      </c>
      <c r="AD45" s="5">
        <f>H46-E24</f>
        <v>0.703125</v>
      </c>
      <c r="AE45" s="5">
        <f>H46-E25</f>
        <v>0.671875</v>
      </c>
      <c r="AF45" s="5">
        <f>H46-E26</f>
        <v>0.640625</v>
      </c>
      <c r="AG45" s="5">
        <f>H46-E27</f>
        <v>0.609375</v>
      </c>
      <c r="AH45" s="5">
        <f>H46-E28</f>
        <v>0.578125</v>
      </c>
      <c r="AI45" s="5">
        <f>H46-E29</f>
        <v>0.546875</v>
      </c>
      <c r="AJ45" s="5">
        <f>H46-E30</f>
        <v>0.515625</v>
      </c>
      <c r="AK45" s="5">
        <f>H46-E31</f>
        <v>0.484375</v>
      </c>
      <c r="AL45" s="5">
        <f>H46-E32</f>
        <v>0.453125</v>
      </c>
      <c r="AM45" s="5">
        <f>H46-E33</f>
        <v>0.421875</v>
      </c>
      <c r="AN45" s="5">
        <f>H46-E34</f>
        <v>0.390625</v>
      </c>
      <c r="AO45" s="5">
        <f>H46-E35</f>
        <v>0.359375</v>
      </c>
      <c r="AP45" s="5">
        <f>H46-E36</f>
        <v>0.328125</v>
      </c>
      <c r="AQ45" s="5">
        <f>H46-E37</f>
        <v>0.296875</v>
      </c>
      <c r="AR45" s="5">
        <f>H46-E38</f>
        <v>0.265625</v>
      </c>
      <c r="AS45" s="5">
        <f>H46-E39</f>
        <v>0.234375</v>
      </c>
      <c r="AT45" s="5">
        <f>H46-E40</f>
        <v>0.203125</v>
      </c>
      <c r="AU45" s="5">
        <f>H46-E41</f>
        <v>0.171875</v>
      </c>
      <c r="AV45" s="5">
        <f>H46-E42</f>
        <v>0.140625</v>
      </c>
      <c r="AW45" s="5">
        <f>H46-E43</f>
        <v>0.109375</v>
      </c>
      <c r="AX45" s="5">
        <f>H46-E44</f>
        <v>7.8125E-2</v>
      </c>
      <c r="AY45" s="5">
        <f>H46-E45</f>
        <v>4.6875E-2</v>
      </c>
      <c r="AZ45" s="5">
        <f>H46-E46</f>
        <v>1.5625E-2</v>
      </c>
      <c r="BA45" s="5">
        <f>H46-E47</f>
        <v>-1.5625E-2</v>
      </c>
      <c r="BB45" s="5">
        <f>H46-E48</f>
        <v>-4.6875E-2</v>
      </c>
      <c r="BC45" s="5">
        <f t="shared" si="1"/>
        <v>-7.8125E-2</v>
      </c>
      <c r="BD45" s="5"/>
      <c r="BE45">
        <v>30</v>
      </c>
      <c r="BF45" s="5">
        <f t="shared" si="2"/>
        <v>-1.7143981971674327E-2</v>
      </c>
      <c r="BG45" s="5">
        <f t="shared" si="3"/>
        <v>-3.5094922542316054E-2</v>
      </c>
      <c r="BH45" s="5">
        <f t="shared" si="4"/>
        <v>-3.6371654630007022E-2</v>
      </c>
      <c r="BI45" s="5">
        <f t="shared" si="5"/>
        <v>-3.7744810100800774E-2</v>
      </c>
      <c r="BJ45" s="5">
        <f t="shared" si="6"/>
        <v>-3.9225743900966781E-2</v>
      </c>
      <c r="BK45" s="5">
        <f t="shared" si="7"/>
        <v>-4.0827667235978082E-2</v>
      </c>
      <c r="BL45" s="5">
        <f t="shared" si="8"/>
        <v>-4.2566043169795398E-2</v>
      </c>
      <c r="BM45" s="5">
        <f t="shared" si="9"/>
        <v>-4.4459087933579666E-2</v>
      </c>
      <c r="BN45" s="5">
        <f t="shared" si="10"/>
        <v>-4.6528412447319978E-2</v>
      </c>
      <c r="BO45" s="5">
        <f t="shared" si="11"/>
        <v>-4.879985206307591E-2</v>
      </c>
      <c r="BP45" s="5">
        <f t="shared" si="12"/>
        <v>-5.130455230025166E-2</v>
      </c>
      <c r="BQ45" s="5">
        <f t="shared" si="13"/>
        <v>-5.4080407756541216E-2</v>
      </c>
      <c r="BR45" s="5">
        <f t="shared" si="14"/>
        <v>-5.7173995985596915E-2</v>
      </c>
      <c r="BS45" s="5">
        <f t="shared" si="15"/>
        <v>-6.0643217190659682E-2</v>
      </c>
      <c r="BT45" s="5">
        <f t="shared" si="16"/>
        <v>-6.4560959961261766E-2</v>
      </c>
      <c r="BU45" s="5">
        <f t="shared" si="17"/>
        <v>-6.9020290970463249E-2</v>
      </c>
      <c r="BV45" s="5">
        <f t="shared" si="18"/>
        <v>-7.414196353949809E-2</v>
      </c>
      <c r="BW45" s="5">
        <f t="shared" si="19"/>
        <v>-8.0085552538645799E-2</v>
      </c>
      <c r="BX45" s="5">
        <f t="shared" si="20"/>
        <v>-8.7066440578006721E-2</v>
      </c>
      <c r="BY45" s="5">
        <f t="shared" si="21"/>
        <v>-9.5382593074523681E-2</v>
      </c>
      <c r="BZ45" s="5">
        <f t="shared" si="22"/>
        <v>-0.10545841641140929</v>
      </c>
      <c r="CA45" s="5">
        <f t="shared" si="23"/>
        <v>-0.11791996139208627</v>
      </c>
      <c r="CB45" s="5">
        <f t="shared" si="24"/>
        <v>-0.13373123144467502</v>
      </c>
      <c r="CC45" s="5">
        <f t="shared" si="25"/>
        <v>-0.15445886165763556</v>
      </c>
      <c r="CD45" s="5">
        <f t="shared" si="26"/>
        <v>-0.18283342073090036</v>
      </c>
      <c r="CE45" s="5">
        <f t="shared" si="27"/>
        <v>-0.22408832605865991</v>
      </c>
      <c r="CF45" s="5">
        <f t="shared" si="28"/>
        <v>-0.28973433571104501</v>
      </c>
      <c r="CG45" s="5">
        <f t="shared" si="29"/>
        <v>-0.41141439252525902</v>
      </c>
      <c r="CH45" s="5">
        <f t="shared" si="30"/>
        <v>-0.7277579150809218</v>
      </c>
      <c r="CI45" s="5">
        <f t="shared" si="31"/>
        <v>-1.6479184330021646</v>
      </c>
      <c r="CJ45" s="5">
        <f t="shared" si="32"/>
        <v>1.6479184330021646</v>
      </c>
      <c r="CK45" s="5">
        <f t="shared" si="33"/>
        <v>0.7277579150809218</v>
      </c>
      <c r="CL45">
        <v>30</v>
      </c>
      <c r="CM45" s="4">
        <v>1.2435951674770807E-4</v>
      </c>
      <c r="CN45" s="4">
        <v>2.5533987832854384E-4</v>
      </c>
      <c r="CO45" s="4">
        <v>3.476733005037831E-4</v>
      </c>
      <c r="CP45" s="4">
        <v>4.3560272140625049E-4</v>
      </c>
      <c r="CQ45" s="4">
        <v>5.2375240967268276E-4</v>
      </c>
      <c r="CR45" s="4">
        <v>6.1526704348885311E-4</v>
      </c>
      <c r="CS45" s="4">
        <v>7.1242132592622825E-4</v>
      </c>
      <c r="CT45" s="4">
        <v>8.1727063156277315E-4</v>
      </c>
      <c r="CU45" s="4">
        <v>9.3192223571892752E-4</v>
      </c>
      <c r="CV45" s="4">
        <v>1.0587171665206094E-3</v>
      </c>
      <c r="CW45" s="4">
        <v>1.2003916858446398E-3</v>
      </c>
      <c r="CX45" s="4">
        <v>1.3602554048712159E-3</v>
      </c>
      <c r="CY45" s="4">
        <v>1.5424143603912466E-3</v>
      </c>
      <c r="CZ45" s="4">
        <v>1.7520709802682699E-3</v>
      </c>
      <c r="DA45" s="4">
        <v>1.9959454981886915E-3</v>
      </c>
      <c r="DB45" s="4">
        <v>2.2828876415118189E-3</v>
      </c>
      <c r="DC45" s="4">
        <v>2.624790965257208E-3</v>
      </c>
      <c r="DD45" s="4">
        <v>3.0380011769144529E-3</v>
      </c>
      <c r="DE45" s="4">
        <v>3.5455577965850067E-3</v>
      </c>
      <c r="DF45" s="4">
        <v>4.1808983190430166E-3</v>
      </c>
      <c r="DG45" s="4">
        <v>4.9942525523519231E-3</v>
      </c>
      <c r="DH45" s="4">
        <v>6.0642710168347606E-3</v>
      </c>
      <c r="DI45" s="4">
        <v>7.5205658208710464E-3</v>
      </c>
      <c r="DJ45" s="4">
        <v>9.5908731121500373E-3</v>
      </c>
      <c r="DK45" s="4">
        <v>1.2712655407948383E-2</v>
      </c>
      <c r="DL45" s="4">
        <v>1.7795905614440909E-2</v>
      </c>
      <c r="DM45" s="4">
        <v>2.7665761940902502E-2</v>
      </c>
      <c r="DN45" s="4">
        <v>4.2952638059245693E-2</v>
      </c>
      <c r="DO45" s="4">
        <v>0.23061605585284503</v>
      </c>
      <c r="DP45" s="4">
        <v>-0.2701471832764864</v>
      </c>
      <c r="DQ45" s="4">
        <v>-8.7344344848832994E-2</v>
      </c>
      <c r="DR45" s="4">
        <v>-0.13146180177140915</v>
      </c>
    </row>
    <row r="46" spans="2:122" x14ac:dyDescent="0.25">
      <c r="B46" s="1">
        <v>30</v>
      </c>
      <c r="C46" s="10"/>
      <c r="D46" s="10"/>
      <c r="E46" s="2">
        <f t="shared" si="44"/>
        <v>0.90625</v>
      </c>
      <c r="F46" s="2">
        <f t="shared" si="45"/>
        <v>8.8256835937499997E-3</v>
      </c>
      <c r="G46" s="2">
        <f t="shared" si="49"/>
        <v>8.8256835937499997E-3</v>
      </c>
      <c r="H46" s="2">
        <f t="shared" si="36"/>
        <v>0.921875</v>
      </c>
      <c r="I46" s="2">
        <f t="shared" si="37"/>
        <v>0.921875</v>
      </c>
      <c r="J46" s="2">
        <f t="shared" si="38"/>
        <v>7.4157714843749983E-3</v>
      </c>
      <c r="K46" s="2">
        <f t="shared" si="39"/>
        <v>7.4157714843749983E-3</v>
      </c>
      <c r="L46" s="2">
        <f t="shared" si="47"/>
        <v>-9.0234374999999978E-2</v>
      </c>
      <c r="M46" s="2">
        <f t="shared" si="50"/>
        <v>-9.0234374999999978E-2</v>
      </c>
      <c r="O46">
        <v>30</v>
      </c>
      <c r="P46" s="4">
        <f t="shared" si="42"/>
        <v>-0.49386374488950335</v>
      </c>
      <c r="Q46" s="4">
        <f t="shared" si="43"/>
        <v>-0.49386374488950335</v>
      </c>
      <c r="U46" s="10"/>
      <c r="V46" s="5">
        <f t="shared" si="0"/>
        <v>3.125E-2</v>
      </c>
      <c r="W46" s="5">
        <f>H47-E17</f>
        <v>0.953125</v>
      </c>
      <c r="X46" s="5">
        <f>H47-E18</f>
        <v>0.921875</v>
      </c>
      <c r="Y46" s="5">
        <f>H47-E19</f>
        <v>0.890625</v>
      </c>
      <c r="Z46" s="5">
        <f>H47-E20</f>
        <v>0.859375</v>
      </c>
      <c r="AA46" s="5">
        <f>H47-E21</f>
        <v>0.828125</v>
      </c>
      <c r="AB46" s="5">
        <f>H47-E22</f>
        <v>0.796875</v>
      </c>
      <c r="AC46" s="5">
        <f>H47-E23</f>
        <v>0.765625</v>
      </c>
      <c r="AD46" s="5">
        <f>H47-E24</f>
        <v>0.734375</v>
      </c>
      <c r="AE46" s="5">
        <f>H47-E25</f>
        <v>0.703125</v>
      </c>
      <c r="AF46" s="5">
        <f>H47-E26</f>
        <v>0.671875</v>
      </c>
      <c r="AG46" s="5">
        <f>H47-E27</f>
        <v>0.640625</v>
      </c>
      <c r="AH46" s="5">
        <f>H47-E28</f>
        <v>0.609375</v>
      </c>
      <c r="AI46" s="5">
        <f>H47-E29</f>
        <v>0.578125</v>
      </c>
      <c r="AJ46" s="5">
        <f>H47-E30</f>
        <v>0.546875</v>
      </c>
      <c r="AK46" s="5">
        <f>H47-E31</f>
        <v>0.515625</v>
      </c>
      <c r="AL46" s="5">
        <f>H47-E32</f>
        <v>0.484375</v>
      </c>
      <c r="AM46" s="5">
        <f>H47-E33</f>
        <v>0.453125</v>
      </c>
      <c r="AN46" s="5">
        <f>H47-E34</f>
        <v>0.421875</v>
      </c>
      <c r="AO46" s="5">
        <f>H47-E35</f>
        <v>0.390625</v>
      </c>
      <c r="AP46" s="5">
        <f>H47-E36</f>
        <v>0.359375</v>
      </c>
      <c r="AQ46" s="5">
        <f>H47-E37</f>
        <v>0.328125</v>
      </c>
      <c r="AR46" s="5">
        <f>H47-E38</f>
        <v>0.296875</v>
      </c>
      <c r="AS46" s="5">
        <f>H47-E39</f>
        <v>0.265625</v>
      </c>
      <c r="AT46" s="5">
        <f>H47-E40</f>
        <v>0.234375</v>
      </c>
      <c r="AU46" s="5">
        <f>H47-E41</f>
        <v>0.203125</v>
      </c>
      <c r="AV46" s="5">
        <f>H47-E42</f>
        <v>0.171875</v>
      </c>
      <c r="AW46" s="5">
        <f>H47-E43</f>
        <v>0.140625</v>
      </c>
      <c r="AX46" s="5">
        <f>H47-E44</f>
        <v>0.109375</v>
      </c>
      <c r="AY46" s="5">
        <f>H47-E45</f>
        <v>7.8125E-2</v>
      </c>
      <c r="AZ46" s="5">
        <f>H47-E46</f>
        <v>4.6875E-2</v>
      </c>
      <c r="BA46" s="5">
        <f>H47-E47</f>
        <v>1.5625E-2</v>
      </c>
      <c r="BB46" s="5">
        <f>H47-E48</f>
        <v>-1.5625E-2</v>
      </c>
      <c r="BC46" s="5">
        <f t="shared" si="1"/>
        <v>-4.6875E-2</v>
      </c>
      <c r="BD46" s="5"/>
      <c r="BE46">
        <v>31</v>
      </c>
      <c r="BF46" s="5">
        <f t="shared" si="2"/>
        <v>-1.657560210604081E-2</v>
      </c>
      <c r="BG46" s="5">
        <f t="shared" si="3"/>
        <v>-3.3904800133225388E-2</v>
      </c>
      <c r="BH46" s="5">
        <f t="shared" si="4"/>
        <v>-3.5094922542316054E-2</v>
      </c>
      <c r="BI46" s="5">
        <f t="shared" si="5"/>
        <v>-3.6371654630007022E-2</v>
      </c>
      <c r="BJ46" s="5">
        <f t="shared" si="6"/>
        <v>-3.7744810100800774E-2</v>
      </c>
      <c r="BK46" s="5">
        <f t="shared" si="7"/>
        <v>-3.9225743900966781E-2</v>
      </c>
      <c r="BL46" s="5">
        <f t="shared" si="8"/>
        <v>-4.0827667235978082E-2</v>
      </c>
      <c r="BM46" s="5">
        <f t="shared" si="9"/>
        <v>-4.2566043169795398E-2</v>
      </c>
      <c r="BN46" s="5">
        <f t="shared" si="10"/>
        <v>-4.4459087933579666E-2</v>
      </c>
      <c r="BO46" s="5">
        <f t="shared" si="11"/>
        <v>-4.6528412447319978E-2</v>
      </c>
      <c r="BP46" s="5">
        <f t="shared" si="12"/>
        <v>-4.879985206307591E-2</v>
      </c>
      <c r="BQ46" s="5">
        <f t="shared" si="13"/>
        <v>-5.130455230025166E-2</v>
      </c>
      <c r="BR46" s="5">
        <f t="shared" si="14"/>
        <v>-5.4080407756541216E-2</v>
      </c>
      <c r="BS46" s="5">
        <f t="shared" si="15"/>
        <v>-5.7173995985596915E-2</v>
      </c>
      <c r="BT46" s="5">
        <f t="shared" si="16"/>
        <v>-6.0643217190659682E-2</v>
      </c>
      <c r="BU46" s="5">
        <f t="shared" si="17"/>
        <v>-6.4560959961261766E-2</v>
      </c>
      <c r="BV46" s="5">
        <f t="shared" si="18"/>
        <v>-6.9020290970463249E-2</v>
      </c>
      <c r="BW46" s="5">
        <f t="shared" si="19"/>
        <v>-7.414196353949809E-2</v>
      </c>
      <c r="BX46" s="5">
        <f t="shared" si="20"/>
        <v>-8.0085552538645799E-2</v>
      </c>
      <c r="BY46" s="5">
        <f t="shared" si="21"/>
        <v>-8.7066440578006721E-2</v>
      </c>
      <c r="BZ46" s="5">
        <f t="shared" si="22"/>
        <v>-9.5382593074523681E-2</v>
      </c>
      <c r="CA46" s="5">
        <f t="shared" si="23"/>
        <v>-0.10545841641140929</v>
      </c>
      <c r="CB46" s="5">
        <f t="shared" si="24"/>
        <v>-0.11791996139208627</v>
      </c>
      <c r="CC46" s="5">
        <f t="shared" si="25"/>
        <v>-0.13373123144467502</v>
      </c>
      <c r="CD46" s="5">
        <f t="shared" si="26"/>
        <v>-0.15445886165763556</v>
      </c>
      <c r="CE46" s="5">
        <f t="shared" si="27"/>
        <v>-0.18283342073090036</v>
      </c>
      <c r="CF46" s="5">
        <f t="shared" si="28"/>
        <v>-0.22408832605865991</v>
      </c>
      <c r="CG46" s="5">
        <f t="shared" si="29"/>
        <v>-0.28973433571104501</v>
      </c>
      <c r="CH46" s="5">
        <f t="shared" si="30"/>
        <v>-0.41141439252525902</v>
      </c>
      <c r="CI46" s="5">
        <f t="shared" si="31"/>
        <v>-0.7277579150809218</v>
      </c>
      <c r="CJ46" s="5">
        <f t="shared" si="32"/>
        <v>-1.6479184330021646</v>
      </c>
      <c r="CK46" s="5">
        <f t="shared" si="33"/>
        <v>1.6479184330021646</v>
      </c>
      <c r="CL46">
        <v>31</v>
      </c>
      <c r="CM46" s="4">
        <v>9.5271619685162969E-5</v>
      </c>
      <c r="CN46" s="4">
        <v>1.9540671328038288E-4</v>
      </c>
      <c r="CO46" s="4">
        <v>2.6571489190275723E-4</v>
      </c>
      <c r="CP46" s="4">
        <v>3.3244221064825384E-4</v>
      </c>
      <c r="CQ46" s="4">
        <v>3.991002099427921E-4</v>
      </c>
      <c r="CR46" s="4">
        <v>4.680516532615812E-4</v>
      </c>
      <c r="CS46" s="4">
        <v>5.4097602663735712E-4</v>
      </c>
      <c r="CT46" s="4">
        <v>6.1936444158445809E-4</v>
      </c>
      <c r="CU46" s="4">
        <v>7.0472140160672341E-4</v>
      </c>
      <c r="CV46" s="4">
        <v>7.9869525320650989E-4</v>
      </c>
      <c r="CW46" s="4">
        <v>9.0318907437308353E-4</v>
      </c>
      <c r="CX46" s="4">
        <v>1.0204784873953155E-3</v>
      </c>
      <c r="CY46" s="4">
        <v>1.1533550849729386E-3</v>
      </c>
      <c r="CZ46" s="4">
        <v>1.3053150210661259E-3</v>
      </c>
      <c r="DA46" s="4">
        <v>1.4808187310057263E-3</v>
      </c>
      <c r="DB46" s="4">
        <v>1.6856605292559618E-3</v>
      </c>
      <c r="DC46" s="4">
        <v>1.9275095153520351E-3</v>
      </c>
      <c r="DD46" s="4">
        <v>2.2167233062937689E-3</v>
      </c>
      <c r="DE46" s="4">
        <v>2.5676087778257303E-3</v>
      </c>
      <c r="DF46" s="4">
        <v>3.0004407074691419E-3</v>
      </c>
      <c r="DG46" s="4">
        <v>3.5448183842454102E-3</v>
      </c>
      <c r="DH46" s="4">
        <v>4.2454995751850981E-3</v>
      </c>
      <c r="DI46" s="4">
        <v>5.1730896056243533E-3</v>
      </c>
      <c r="DJ46" s="4">
        <v>6.4449344880901293E-3</v>
      </c>
      <c r="DK46" s="4">
        <v>8.2692320727866964E-3</v>
      </c>
      <c r="DL46" s="4">
        <v>1.1050595573948156E-2</v>
      </c>
      <c r="DM46" s="4">
        <v>1.5639930431233962E-2</v>
      </c>
      <c r="DN46" s="4">
        <v>2.4745444198439905E-2</v>
      </c>
      <c r="DO46" s="4">
        <v>3.8748395647734517E-2</v>
      </c>
      <c r="DP46" s="4">
        <v>0.22376150083062132</v>
      </c>
      <c r="DQ46" s="4">
        <v>-0.28078381647730905</v>
      </c>
      <c r="DR46" s="4">
        <v>-0.1616071371437624</v>
      </c>
    </row>
    <row r="47" spans="2:122" x14ac:dyDescent="0.25">
      <c r="B47" s="1">
        <v>31</v>
      </c>
      <c r="C47" s="10"/>
      <c r="D47" s="10"/>
      <c r="E47" s="2">
        <f t="shared" si="44"/>
        <v>0.9375</v>
      </c>
      <c r="F47" s="2">
        <f t="shared" si="45"/>
        <v>6.0058593749999969E-3</v>
      </c>
      <c r="G47" s="2">
        <f t="shared" si="49"/>
        <v>6.0058593749999969E-3</v>
      </c>
      <c r="H47" s="2">
        <f t="shared" si="36"/>
        <v>0.953125</v>
      </c>
      <c r="I47" s="2">
        <f t="shared" si="37"/>
        <v>0.953125</v>
      </c>
      <c r="J47" s="2">
        <f t="shared" si="38"/>
        <v>4.534912109374999E-3</v>
      </c>
      <c r="K47" s="2">
        <f t="shared" si="39"/>
        <v>4.534912109374999E-3</v>
      </c>
      <c r="L47" s="2">
        <f t="shared" si="47"/>
        <v>-9.4140624999999978E-2</v>
      </c>
      <c r="M47" s="2">
        <f t="shared" si="50"/>
        <v>-9.4140624999999978E-2</v>
      </c>
      <c r="O47">
        <v>31</v>
      </c>
      <c r="P47" s="4">
        <f t="shared" si="42"/>
        <v>-0.51840743749567364</v>
      </c>
      <c r="Q47" s="4">
        <f t="shared" si="43"/>
        <v>-0.51840743749567364</v>
      </c>
      <c r="U47" s="10"/>
      <c r="V47" s="5">
        <f t="shared" si="0"/>
        <v>3.125E-2</v>
      </c>
      <c r="W47" s="5">
        <f>H48-E17</f>
        <v>0.984375</v>
      </c>
      <c r="X47" s="5">
        <f>H48-E18</f>
        <v>0.953125</v>
      </c>
      <c r="Y47" s="5">
        <f>H48-E19</f>
        <v>0.921875</v>
      </c>
      <c r="Z47" s="5">
        <f>H48-E20</f>
        <v>0.890625</v>
      </c>
      <c r="AA47" s="5">
        <f>H48-E21</f>
        <v>0.859375</v>
      </c>
      <c r="AB47" s="5">
        <f>H48-E22</f>
        <v>0.828125</v>
      </c>
      <c r="AC47" s="5">
        <f>H48-E23</f>
        <v>0.796875</v>
      </c>
      <c r="AD47" s="5">
        <f>H48-E24</f>
        <v>0.765625</v>
      </c>
      <c r="AE47" s="5">
        <f>H48-E25</f>
        <v>0.734375</v>
      </c>
      <c r="AF47" s="5">
        <f>H48-E26</f>
        <v>0.703125</v>
      </c>
      <c r="AG47" s="5">
        <f>H48-E27</f>
        <v>0.671875</v>
      </c>
      <c r="AH47" s="5">
        <f>H48-E28</f>
        <v>0.640625</v>
      </c>
      <c r="AI47" s="5">
        <f>H48-E29</f>
        <v>0.609375</v>
      </c>
      <c r="AJ47" s="5">
        <f>H48-E30</f>
        <v>0.578125</v>
      </c>
      <c r="AK47" s="5">
        <f>H48-E31</f>
        <v>0.546875</v>
      </c>
      <c r="AL47" s="5">
        <f>H48-E32</f>
        <v>0.515625</v>
      </c>
      <c r="AM47" s="5">
        <f>H48-E33</f>
        <v>0.484375</v>
      </c>
      <c r="AN47" s="5">
        <f>H48-E34</f>
        <v>0.453125</v>
      </c>
      <c r="AO47" s="5">
        <f>H48-E35</f>
        <v>0.421875</v>
      </c>
      <c r="AP47" s="5">
        <f>H48-E36</f>
        <v>0.390625</v>
      </c>
      <c r="AQ47" s="5">
        <f>H48-E37</f>
        <v>0.359375</v>
      </c>
      <c r="AR47" s="5">
        <f>H48-E38</f>
        <v>0.328125</v>
      </c>
      <c r="AS47" s="5">
        <f>H48-E39</f>
        <v>0.296875</v>
      </c>
      <c r="AT47" s="5">
        <f>H48-E40</f>
        <v>0.265625</v>
      </c>
      <c r="AU47" s="5">
        <f>H48-E41</f>
        <v>0.234375</v>
      </c>
      <c r="AV47" s="5">
        <f>H48-E42</f>
        <v>0.203125</v>
      </c>
      <c r="AW47" s="5">
        <f>H48-E43</f>
        <v>0.171875</v>
      </c>
      <c r="AX47" s="5">
        <f>H48-E44</f>
        <v>0.140625</v>
      </c>
      <c r="AY47" s="5">
        <f>H48-E45</f>
        <v>0.109375</v>
      </c>
      <c r="AZ47" s="5">
        <f>H48-E46</f>
        <v>7.8125E-2</v>
      </c>
      <c r="BA47" s="5">
        <f>H48-E47</f>
        <v>4.6875E-2</v>
      </c>
      <c r="BB47" s="5">
        <f>H48-E48</f>
        <v>1.5625E-2</v>
      </c>
      <c r="BC47" s="5">
        <f t="shared" si="1"/>
        <v>-1.5625E-2</v>
      </c>
      <c r="BD47" s="5"/>
      <c r="BE47">
        <v>32</v>
      </c>
      <c r="BF47" s="5">
        <f t="shared" si="2"/>
        <v>-1.6043702344246236E-2</v>
      </c>
      <c r="BG47" s="5">
        <f t="shared" si="3"/>
        <v>-3.2792761980016127E-2</v>
      </c>
      <c r="BH47" s="5">
        <f t="shared" si="4"/>
        <v>-3.3904800133225388E-2</v>
      </c>
      <c r="BI47" s="5">
        <f t="shared" si="5"/>
        <v>-3.5094922542316054E-2</v>
      </c>
      <c r="BJ47" s="5">
        <f t="shared" si="6"/>
        <v>-3.6371654630007022E-2</v>
      </c>
      <c r="BK47" s="5">
        <f t="shared" si="7"/>
        <v>-3.7744810100800774E-2</v>
      </c>
      <c r="BL47" s="5">
        <f t="shared" si="8"/>
        <v>-3.9225743900966781E-2</v>
      </c>
      <c r="BM47" s="5">
        <f t="shared" si="9"/>
        <v>-4.0827667235978082E-2</v>
      </c>
      <c r="BN47" s="5">
        <f t="shared" si="10"/>
        <v>-4.2566043169795398E-2</v>
      </c>
      <c r="BO47" s="5">
        <f t="shared" si="11"/>
        <v>-4.4459087933579666E-2</v>
      </c>
      <c r="BP47" s="5">
        <f t="shared" si="12"/>
        <v>-4.6528412447319978E-2</v>
      </c>
      <c r="BQ47" s="5">
        <f t="shared" si="13"/>
        <v>-4.879985206307591E-2</v>
      </c>
      <c r="BR47" s="5">
        <f t="shared" si="14"/>
        <v>-5.130455230025166E-2</v>
      </c>
      <c r="BS47" s="5">
        <f t="shared" si="15"/>
        <v>-5.4080407756541216E-2</v>
      </c>
      <c r="BT47" s="5">
        <f t="shared" si="16"/>
        <v>-5.7173995985596915E-2</v>
      </c>
      <c r="BU47" s="5">
        <f t="shared" si="17"/>
        <v>-6.0643217190659682E-2</v>
      </c>
      <c r="BV47" s="5">
        <f t="shared" si="18"/>
        <v>-6.4560959961261766E-2</v>
      </c>
      <c r="BW47" s="5">
        <f t="shared" si="19"/>
        <v>-6.9020290970463249E-2</v>
      </c>
      <c r="BX47" s="5">
        <f t="shared" si="20"/>
        <v>-7.414196353949809E-2</v>
      </c>
      <c r="BY47" s="5">
        <f t="shared" si="21"/>
        <v>-8.0085552538645799E-2</v>
      </c>
      <c r="BZ47" s="5">
        <f t="shared" si="22"/>
        <v>-8.7066440578006721E-2</v>
      </c>
      <c r="CA47" s="5">
        <f t="shared" si="23"/>
        <v>-9.5382593074523681E-2</v>
      </c>
      <c r="CB47" s="5">
        <f t="shared" si="24"/>
        <v>-0.10545841641140929</v>
      </c>
      <c r="CC47" s="5">
        <f t="shared" si="25"/>
        <v>-0.11791996139208627</v>
      </c>
      <c r="CD47" s="5">
        <f t="shared" si="26"/>
        <v>-0.13373123144467502</v>
      </c>
      <c r="CE47" s="5">
        <f t="shared" si="27"/>
        <v>-0.15445886165763556</v>
      </c>
      <c r="CF47" s="5">
        <f t="shared" si="28"/>
        <v>-0.18283342073090036</v>
      </c>
      <c r="CG47" s="5">
        <f t="shared" si="29"/>
        <v>-0.22408832605865991</v>
      </c>
      <c r="CH47" s="5">
        <f t="shared" si="30"/>
        <v>-0.28973433571104501</v>
      </c>
      <c r="CI47" s="5">
        <f t="shared" si="31"/>
        <v>-0.41141439252525902</v>
      </c>
      <c r="CJ47" s="5">
        <f t="shared" si="32"/>
        <v>-0.7277579150809218</v>
      </c>
      <c r="CK47" s="5">
        <f t="shared" si="33"/>
        <v>-1.6479184330021646</v>
      </c>
      <c r="CL47">
        <v>32</v>
      </c>
      <c r="CM47" s="4">
        <v>6.3406760076380669E-5</v>
      </c>
      <c r="CN47" s="4">
        <v>1.2991584464410933E-4</v>
      </c>
      <c r="CO47" s="4">
        <v>1.7643360823221859E-4</v>
      </c>
      <c r="CP47" s="4">
        <v>2.2043714185620181E-4</v>
      </c>
      <c r="CQ47" s="4">
        <v>2.6424503144085434E-4</v>
      </c>
      <c r="CR47" s="4">
        <v>3.0940207449858462E-4</v>
      </c>
      <c r="CS47" s="4">
        <v>3.5698838814256998E-4</v>
      </c>
      <c r="CT47" s="4">
        <v>4.0794689829178852E-4</v>
      </c>
      <c r="CU47" s="4">
        <v>4.6321433693115402E-4</v>
      </c>
      <c r="CV47" s="4">
        <v>5.2380324086699571E-4</v>
      </c>
      <c r="CW47" s="4">
        <v>5.9086884975572307E-4</v>
      </c>
      <c r="CX47" s="4">
        <v>6.6577761186918151E-4</v>
      </c>
      <c r="CY47" s="4">
        <v>7.5018826837327406E-4</v>
      </c>
      <c r="CZ47" s="4">
        <v>8.4615618108334627E-4</v>
      </c>
      <c r="DA47" s="4">
        <v>9.5627436235152261E-4</v>
      </c>
      <c r="DB47" s="4">
        <v>1.0838706235613452E-3</v>
      </c>
      <c r="DC47" s="4">
        <v>1.2332908034428185E-3</v>
      </c>
      <c r="DD47" s="4">
        <v>1.4103163158262289E-3</v>
      </c>
      <c r="DE47" s="4">
        <v>1.6227965062238778E-3</v>
      </c>
      <c r="DF47" s="4">
        <v>1.8816350348038573E-3</v>
      </c>
      <c r="DG47" s="4">
        <v>2.2023807748419947E-3</v>
      </c>
      <c r="DH47" s="4">
        <v>2.6078946507046953E-3</v>
      </c>
      <c r="DI47" s="4">
        <v>3.1330273590352798E-3</v>
      </c>
      <c r="DJ47" s="4">
        <v>3.8332802562663897E-3</v>
      </c>
      <c r="DK47" s="4">
        <v>4.8019429403201863E-3</v>
      </c>
      <c r="DL47" s="4">
        <v>6.2067724481184357E-3</v>
      </c>
      <c r="DM47" s="4">
        <v>8.3796487119546428E-3</v>
      </c>
      <c r="DN47" s="4">
        <v>1.2027562453534155E-2</v>
      </c>
      <c r="DO47" s="4">
        <v>1.9552104032316182E-2</v>
      </c>
      <c r="DP47" s="4">
        <v>3.0292681083522875E-2</v>
      </c>
      <c r="DQ47" s="4">
        <v>0.21064971464454776</v>
      </c>
      <c r="DR47" s="4">
        <v>-0.37215880080327474</v>
      </c>
    </row>
    <row r="48" spans="2:122" x14ac:dyDescent="0.25">
      <c r="B48" s="1">
        <v>32</v>
      </c>
      <c r="C48" s="10"/>
      <c r="D48" s="10"/>
      <c r="E48" s="2">
        <f t="shared" si="44"/>
        <v>0.96875</v>
      </c>
      <c r="F48" s="2">
        <f t="shared" si="45"/>
        <v>3.0639648437500019E-3</v>
      </c>
      <c r="G48" s="2">
        <f t="shared" si="49"/>
        <v>3.0639648437500019E-3</v>
      </c>
      <c r="H48" s="2">
        <f t="shared" si="36"/>
        <v>0.984375</v>
      </c>
      <c r="I48" s="2">
        <f t="shared" si="37"/>
        <v>0.984375</v>
      </c>
      <c r="J48" s="2">
        <f t="shared" si="38"/>
        <v>1.531982421875001E-3</v>
      </c>
      <c r="K48" s="2">
        <f t="shared" si="39"/>
        <v>1.531982421875001E-3</v>
      </c>
      <c r="L48" s="2">
        <f t="shared" si="47"/>
        <v>-9.8046874999999978E-2</v>
      </c>
      <c r="M48" s="2">
        <f t="shared" si="50"/>
        <v>-9.8046874999999978E-2</v>
      </c>
      <c r="O48">
        <v>32</v>
      </c>
      <c r="P48" s="4">
        <f t="shared" si="42"/>
        <v>-0.54295113010184382</v>
      </c>
      <c r="Q48" s="4">
        <f t="shared" si="43"/>
        <v>-0.54295113010184382</v>
      </c>
    </row>
    <row r="49" spans="1:26" x14ac:dyDescent="0.25">
      <c r="A49" s="10"/>
      <c r="B49" s="1">
        <v>33</v>
      </c>
      <c r="C49" s="10"/>
      <c r="D49" s="10"/>
      <c r="E49" s="2">
        <f t="shared" si="44"/>
        <v>1</v>
      </c>
      <c r="F49" s="2">
        <f t="shared" si="45"/>
        <v>0</v>
      </c>
      <c r="G49" s="2">
        <f t="shared" si="49"/>
        <v>0</v>
      </c>
      <c r="H49" s="2"/>
      <c r="I49" s="2"/>
      <c r="J49" s="2"/>
      <c r="K49" s="2"/>
      <c r="L49" s="2"/>
      <c r="M49" s="2"/>
    </row>
    <row r="50" spans="1:26" x14ac:dyDescent="0.25">
      <c r="A50" s="10"/>
      <c r="B50" s="10"/>
      <c r="C50" s="10"/>
      <c r="D50" s="10"/>
    </row>
    <row r="51" spans="1:2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2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2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2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26" x14ac:dyDescent="0.25">
      <c r="A55" s="10"/>
      <c r="B55" s="10"/>
      <c r="C55" s="10"/>
      <c r="D55" s="10"/>
    </row>
    <row r="56" spans="1:26" x14ac:dyDescent="0.25">
      <c r="A56" s="10"/>
      <c r="B56" s="10"/>
      <c r="C56" s="10"/>
      <c r="D56" s="10"/>
    </row>
    <row r="57" spans="1:26" x14ac:dyDescent="0.25">
      <c r="A57" s="10"/>
      <c r="B57" s="10"/>
      <c r="C57" s="10"/>
      <c r="D57" s="10"/>
    </row>
    <row r="58" spans="1:26" x14ac:dyDescent="0.25">
      <c r="A58" s="10"/>
      <c r="B58" s="10"/>
      <c r="C58" s="10"/>
      <c r="D58" s="10"/>
      <c r="G58" s="1" t="s">
        <v>39</v>
      </c>
      <c r="H58" s="1"/>
      <c r="I58" s="1" t="s">
        <v>40</v>
      </c>
      <c r="J58" s="1"/>
      <c r="K58" s="1" t="s">
        <v>41</v>
      </c>
      <c r="L58" s="1"/>
      <c r="M58" s="1" t="s">
        <v>42</v>
      </c>
      <c r="N58" s="1"/>
      <c r="O58" s="1" t="s">
        <v>43</v>
      </c>
      <c r="P58" s="1"/>
      <c r="Q58" s="1" t="s">
        <v>44</v>
      </c>
      <c r="R58" s="1"/>
      <c r="S58" s="1" t="s">
        <v>45</v>
      </c>
      <c r="T58" s="1"/>
      <c r="U58" s="1" t="s">
        <v>46</v>
      </c>
      <c r="V58" s="1"/>
      <c r="W58" s="1" t="s">
        <v>48</v>
      </c>
      <c r="X58" s="1"/>
      <c r="Y58" s="1" t="s">
        <v>49</v>
      </c>
      <c r="Z58" s="1"/>
    </row>
    <row r="59" spans="1:26" x14ac:dyDescent="0.25">
      <c r="A59" s="10"/>
      <c r="B59" s="10"/>
      <c r="C59" s="10"/>
      <c r="D59" s="10"/>
    </row>
    <row r="60" spans="1:26" x14ac:dyDescent="0.25">
      <c r="A60" s="10"/>
      <c r="B60" s="10"/>
      <c r="C60" s="10"/>
      <c r="D60" s="10"/>
    </row>
    <row r="61" spans="1:26" x14ac:dyDescent="0.25">
      <c r="A61" s="10"/>
      <c r="B61" s="10"/>
      <c r="C61" s="10"/>
      <c r="D61" s="10"/>
      <c r="G61" s="1">
        <f t="array" ref="G61:G92">MMULT(CM16:DR47,P17:P48)</f>
        <v>-1.6118133165820496</v>
      </c>
      <c r="H61">
        <v>1</v>
      </c>
      <c r="I61" s="1">
        <f t="array" ref="I61:I92">MMULT(CM16:DR47,Q17:Q48)</f>
        <v>-1.6118133165820496</v>
      </c>
      <c r="K61" s="1">
        <f>(G61+G62)</f>
        <v>-1.6498953183388383</v>
      </c>
      <c r="M61" s="1">
        <f>I61+I62</f>
        <v>-1.6498953183388383</v>
      </c>
      <c r="O61" s="1">
        <f>K61/2</f>
        <v>-0.82494765916941915</v>
      </c>
      <c r="Q61" s="1">
        <f>M61*0.5</f>
        <v>-0.82494765916941915</v>
      </c>
      <c r="S61" s="1">
        <f>-O61</f>
        <v>0.82494765916941915</v>
      </c>
      <c r="U61" s="1">
        <f>-Q61</f>
        <v>0.82494765916941915</v>
      </c>
      <c r="W61" s="1">
        <f t="shared" ref="W61:W92" si="51">-K61*H17</f>
        <v>2.5779614349044348E-2</v>
      </c>
      <c r="Y61" s="1">
        <f t="shared" ref="Y61:Y92" si="52">-M61*I17</f>
        <v>2.5779614349044348E-2</v>
      </c>
    </row>
    <row r="62" spans="1:26" x14ac:dyDescent="0.25">
      <c r="A62" s="10"/>
      <c r="B62" s="10"/>
      <c r="C62" s="10"/>
      <c r="D62" s="10"/>
      <c r="G62" s="1">
        <v>-3.8082001756788553E-2</v>
      </c>
      <c r="H62">
        <v>2</v>
      </c>
      <c r="I62" s="1">
        <v>-3.8082001756788553E-2</v>
      </c>
      <c r="K62" s="1">
        <f t="shared" ref="K62:K92" si="53">(G62+G63)</f>
        <v>0.12212596087700164</v>
      </c>
      <c r="M62" s="1">
        <f t="shared" ref="M62:M92" si="54">I62+I63</f>
        <v>0.12212596087700164</v>
      </c>
      <c r="O62" s="1">
        <f t="shared" ref="O62:O92" si="55">K62/2</f>
        <v>6.1062980438500822E-2</v>
      </c>
      <c r="Q62" s="1">
        <f t="shared" ref="Q62:Q92" si="56">M62*0.5</f>
        <v>6.1062980438500822E-2</v>
      </c>
      <c r="S62" s="1">
        <f t="shared" ref="S62:S92" si="57">-O62</f>
        <v>-6.1062980438500822E-2</v>
      </c>
      <c r="U62" s="1">
        <f t="shared" ref="U62:U92" si="58">-Q62</f>
        <v>-6.1062980438500822E-2</v>
      </c>
      <c r="W62" s="1">
        <f t="shared" si="51"/>
        <v>-5.7246544161094516E-3</v>
      </c>
      <c r="Y62" s="1">
        <f t="shared" si="52"/>
        <v>-5.7246544161094516E-3</v>
      </c>
    </row>
    <row r="63" spans="1:26" x14ac:dyDescent="0.25">
      <c r="A63" s="10"/>
      <c r="B63" s="10"/>
      <c r="C63" s="10"/>
      <c r="D63" s="10"/>
      <c r="G63" s="1">
        <v>0.1602079626337902</v>
      </c>
      <c r="H63">
        <v>3</v>
      </c>
      <c r="I63" s="1">
        <v>0.1602079626337902</v>
      </c>
      <c r="K63" s="1">
        <f t="shared" si="53"/>
        <v>0.46321605519150488</v>
      </c>
      <c r="M63" s="1">
        <f t="shared" si="54"/>
        <v>0.46321605519150488</v>
      </c>
      <c r="O63" s="1">
        <f t="shared" si="55"/>
        <v>0.23160802759575244</v>
      </c>
      <c r="Q63" s="1">
        <f t="shared" si="56"/>
        <v>0.23160802759575244</v>
      </c>
      <c r="S63" s="1">
        <f t="shared" si="57"/>
        <v>-0.23160802759575244</v>
      </c>
      <c r="U63" s="1">
        <f t="shared" si="58"/>
        <v>-0.23160802759575244</v>
      </c>
      <c r="W63" s="1">
        <f t="shared" si="51"/>
        <v>-3.6188754311836317E-2</v>
      </c>
      <c r="Y63" s="1">
        <f t="shared" si="52"/>
        <v>-3.6188754311836317E-2</v>
      </c>
    </row>
    <row r="64" spans="1:26" x14ac:dyDescent="0.25">
      <c r="A64" s="10"/>
      <c r="B64" s="10"/>
      <c r="C64" s="10"/>
      <c r="D64" s="10"/>
      <c r="G64" s="1">
        <v>0.30300809255771471</v>
      </c>
      <c r="H64">
        <v>4</v>
      </c>
      <c r="I64" s="1">
        <v>0.30300809255771471</v>
      </c>
      <c r="K64" s="1">
        <f t="shared" si="53"/>
        <v>0.68446500677447308</v>
      </c>
      <c r="M64" s="1">
        <f t="shared" si="54"/>
        <v>0.68446500677447308</v>
      </c>
      <c r="O64" s="1">
        <f t="shared" si="55"/>
        <v>0.34223250338723654</v>
      </c>
      <c r="Q64" s="1">
        <f t="shared" si="56"/>
        <v>0.34223250338723654</v>
      </c>
      <c r="S64" s="1">
        <f t="shared" si="57"/>
        <v>-0.34223250338723654</v>
      </c>
      <c r="U64" s="1">
        <f t="shared" si="58"/>
        <v>-0.34223250338723654</v>
      </c>
      <c r="W64" s="1">
        <f t="shared" si="51"/>
        <v>-7.4863360115957997E-2</v>
      </c>
      <c r="Y64" s="1">
        <f t="shared" si="52"/>
        <v>-7.4863360115957997E-2</v>
      </c>
    </row>
    <row r="65" spans="1:110" x14ac:dyDescent="0.25">
      <c r="A65" s="10"/>
      <c r="B65" s="10"/>
      <c r="C65" s="10"/>
      <c r="D65" s="10"/>
      <c r="G65" s="1">
        <v>0.38145691421675842</v>
      </c>
      <c r="H65">
        <v>5</v>
      </c>
      <c r="I65" s="1">
        <v>0.38145691421675842</v>
      </c>
      <c r="K65" s="1">
        <f t="shared" si="53"/>
        <v>0.79676727086422816</v>
      </c>
      <c r="M65" s="1">
        <f t="shared" si="54"/>
        <v>0.79676727086422816</v>
      </c>
      <c r="O65" s="1">
        <f t="shared" si="55"/>
        <v>0.39838363543211408</v>
      </c>
      <c r="Q65" s="1">
        <f t="shared" si="56"/>
        <v>0.39838363543211408</v>
      </c>
      <c r="S65" s="1">
        <f t="shared" si="57"/>
        <v>-0.39838363543211408</v>
      </c>
      <c r="U65" s="1">
        <f t="shared" si="58"/>
        <v>-0.39838363543211408</v>
      </c>
      <c r="W65" s="1">
        <f t="shared" si="51"/>
        <v>-0.11204539746528208</v>
      </c>
      <c r="Y65" s="1">
        <f t="shared" si="52"/>
        <v>-0.11204539746528208</v>
      </c>
    </row>
    <row r="66" spans="1:110" x14ac:dyDescent="0.25">
      <c r="A66" s="10"/>
      <c r="B66" s="10"/>
      <c r="C66" s="10"/>
      <c r="D66" s="10"/>
      <c r="G66" s="1">
        <v>0.41531035664746974</v>
      </c>
      <c r="H66">
        <v>6</v>
      </c>
      <c r="I66" s="1">
        <v>0.41531035664746974</v>
      </c>
      <c r="K66" s="1">
        <f t="shared" si="53"/>
        <v>0.822557358662243</v>
      </c>
      <c r="M66" s="1">
        <f t="shared" si="54"/>
        <v>0.822557358662243</v>
      </c>
      <c r="O66" s="1">
        <f t="shared" si="55"/>
        <v>0.4112786793311215</v>
      </c>
      <c r="Q66" s="1">
        <f t="shared" si="56"/>
        <v>0.4112786793311215</v>
      </c>
      <c r="S66" s="1">
        <f t="shared" si="57"/>
        <v>-0.4112786793311215</v>
      </c>
      <c r="U66" s="1">
        <f t="shared" si="58"/>
        <v>-0.4112786793311215</v>
      </c>
      <c r="W66" s="1">
        <f t="shared" si="51"/>
        <v>-0.14137704602007301</v>
      </c>
      <c r="Y66" s="1">
        <f t="shared" si="52"/>
        <v>-0.14137704602007301</v>
      </c>
    </row>
    <row r="67" spans="1:110" x14ac:dyDescent="0.25">
      <c r="A67" s="10"/>
      <c r="B67" s="10"/>
      <c r="C67" s="10"/>
      <c r="D67" s="10"/>
      <c r="G67" s="1">
        <v>0.40724700201477321</v>
      </c>
      <c r="H67">
        <v>7</v>
      </c>
      <c r="I67" s="1">
        <v>0.40724700201477321</v>
      </c>
      <c r="K67" s="1">
        <f t="shared" si="53"/>
        <v>0.69320873625246149</v>
      </c>
      <c r="M67" s="1">
        <f t="shared" si="54"/>
        <v>0.69320873625246149</v>
      </c>
      <c r="O67" s="1">
        <f t="shared" si="55"/>
        <v>0.34660436812623074</v>
      </c>
      <c r="Q67" s="1">
        <f t="shared" si="56"/>
        <v>0.34660436812623074</v>
      </c>
      <c r="S67" s="1">
        <f t="shared" si="57"/>
        <v>-0.34660436812623074</v>
      </c>
      <c r="U67" s="1">
        <f t="shared" si="58"/>
        <v>-0.34660436812623074</v>
      </c>
      <c r="W67" s="1">
        <f t="shared" si="51"/>
        <v>-0.14080802455128125</v>
      </c>
      <c r="Y67" s="1">
        <f t="shared" si="52"/>
        <v>-0.14080802455128125</v>
      </c>
    </row>
    <row r="68" spans="1:110" x14ac:dyDescent="0.25">
      <c r="A68" s="10"/>
      <c r="B68" s="10"/>
      <c r="C68" s="10"/>
      <c r="D68" s="10"/>
      <c r="G68" s="1">
        <v>0.28596173423768834</v>
      </c>
      <c r="H68">
        <v>8</v>
      </c>
      <c r="I68" s="1">
        <v>0.28596173423768834</v>
      </c>
      <c r="K68" s="1">
        <f t="shared" si="53"/>
        <v>0.54843146310195401</v>
      </c>
      <c r="M68" s="1">
        <f t="shared" si="54"/>
        <v>0.54843146310195401</v>
      </c>
      <c r="O68" s="1">
        <f t="shared" si="55"/>
        <v>0.274215731550977</v>
      </c>
      <c r="Q68" s="1">
        <f t="shared" si="56"/>
        <v>0.274215731550977</v>
      </c>
      <c r="S68" s="1">
        <f t="shared" si="57"/>
        <v>-0.274215731550977</v>
      </c>
      <c r="U68" s="1">
        <f t="shared" si="58"/>
        <v>-0.274215731550977</v>
      </c>
      <c r="W68" s="1">
        <f t="shared" si="51"/>
        <v>-0.12853862416452047</v>
      </c>
      <c r="Y68" s="1">
        <f t="shared" si="52"/>
        <v>-0.12853862416452047</v>
      </c>
    </row>
    <row r="69" spans="1:110" x14ac:dyDescent="0.25">
      <c r="A69" s="10"/>
      <c r="B69" s="10"/>
      <c r="C69" s="10"/>
      <c r="D69" s="10"/>
      <c r="G69" s="1">
        <v>0.26246972886426567</v>
      </c>
      <c r="H69">
        <v>9</v>
      </c>
      <c r="I69" s="1">
        <v>0.26246972886426567</v>
      </c>
      <c r="K69" s="1">
        <f t="shared" si="53"/>
        <v>0.50593823103239322</v>
      </c>
      <c r="M69" s="1">
        <f t="shared" si="54"/>
        <v>0.50593823103239322</v>
      </c>
      <c r="O69" s="1">
        <f t="shared" si="55"/>
        <v>0.25296911551619661</v>
      </c>
      <c r="Q69" s="1">
        <f t="shared" si="56"/>
        <v>0.25296911551619661</v>
      </c>
      <c r="S69" s="1">
        <f t="shared" si="57"/>
        <v>-0.25296911551619661</v>
      </c>
      <c r="U69" s="1">
        <f t="shared" si="58"/>
        <v>-0.25296911551619661</v>
      </c>
      <c r="W69" s="1">
        <f t="shared" si="51"/>
        <v>-0.13438984261797945</v>
      </c>
      <c r="Y69" s="1">
        <f t="shared" si="52"/>
        <v>-0.13438984261797945</v>
      </c>
    </row>
    <row r="70" spans="1:110" x14ac:dyDescent="0.25">
      <c r="A70" s="10"/>
      <c r="B70" s="10"/>
      <c r="C70" s="10"/>
      <c r="D70" s="10"/>
      <c r="G70" s="1">
        <v>0.24346850216812752</v>
      </c>
      <c r="H70">
        <v>10</v>
      </c>
      <c r="I70" s="1">
        <v>0.24346850216812752</v>
      </c>
      <c r="K70" s="1">
        <f t="shared" si="53"/>
        <v>0.47395066136768471</v>
      </c>
      <c r="M70" s="1">
        <f t="shared" si="54"/>
        <v>0.47395066136768471</v>
      </c>
      <c r="O70" s="1">
        <f t="shared" si="55"/>
        <v>0.23697533068384236</v>
      </c>
      <c r="Q70" s="1">
        <f t="shared" si="56"/>
        <v>0.23697533068384236</v>
      </c>
      <c r="S70" s="1">
        <f t="shared" si="57"/>
        <v>-0.23697533068384236</v>
      </c>
      <c r="U70" s="1">
        <f t="shared" si="58"/>
        <v>-0.23697533068384236</v>
      </c>
      <c r="W70" s="1">
        <f t="shared" si="51"/>
        <v>-0.14070410259353139</v>
      </c>
      <c r="Y70" s="1">
        <f t="shared" si="52"/>
        <v>-0.14070410259353139</v>
      </c>
    </row>
    <row r="71" spans="1:110" x14ac:dyDescent="0.25">
      <c r="A71" s="10"/>
      <c r="B71" s="10"/>
      <c r="C71" s="10"/>
      <c r="D71" s="10"/>
      <c r="G71" s="1">
        <v>0.23048215919955722</v>
      </c>
      <c r="H71">
        <v>11</v>
      </c>
      <c r="I71" s="1">
        <v>0.23048215919955722</v>
      </c>
      <c r="K71" s="1">
        <f t="shared" si="53"/>
        <v>0.45115236448648599</v>
      </c>
      <c r="M71" s="1">
        <f t="shared" si="54"/>
        <v>0.45115236448648599</v>
      </c>
      <c r="O71" s="1">
        <f t="shared" si="55"/>
        <v>0.225576182243243</v>
      </c>
      <c r="Q71" s="1">
        <f t="shared" si="56"/>
        <v>0.225576182243243</v>
      </c>
      <c r="S71" s="1">
        <f t="shared" si="57"/>
        <v>-0.225576182243243</v>
      </c>
      <c r="U71" s="1">
        <f t="shared" si="58"/>
        <v>-0.225576182243243</v>
      </c>
      <c r="W71" s="1">
        <f t="shared" si="51"/>
        <v>-0.14803436959712821</v>
      </c>
      <c r="Y71" s="1">
        <f t="shared" si="52"/>
        <v>-0.14803436959712821</v>
      </c>
    </row>
    <row r="72" spans="1:110" x14ac:dyDescent="0.25">
      <c r="A72" s="10"/>
      <c r="B72" s="10"/>
      <c r="C72" s="10"/>
      <c r="D72" s="10"/>
      <c r="G72" s="1">
        <v>0.22067020528692874</v>
      </c>
      <c r="H72">
        <v>12</v>
      </c>
      <c r="I72" s="1">
        <v>0.22067020528692874</v>
      </c>
      <c r="K72" s="1">
        <f t="shared" si="53"/>
        <v>0.43345533839729949</v>
      </c>
      <c r="M72" s="1">
        <f t="shared" si="54"/>
        <v>0.43345533839729949</v>
      </c>
      <c r="O72" s="1">
        <f t="shared" si="55"/>
        <v>0.21672766919864975</v>
      </c>
      <c r="Q72" s="1">
        <f t="shared" si="56"/>
        <v>0.21672766919864975</v>
      </c>
      <c r="S72" s="1">
        <f t="shared" si="57"/>
        <v>-0.21672766919864975</v>
      </c>
      <c r="U72" s="1">
        <f t="shared" si="58"/>
        <v>-0.21672766919864975</v>
      </c>
      <c r="W72" s="1">
        <f t="shared" si="51"/>
        <v>-0.15577301223652951</v>
      </c>
      <c r="Y72" s="1">
        <f t="shared" si="52"/>
        <v>-0.15577301223652951</v>
      </c>
    </row>
    <row r="73" spans="1:110" x14ac:dyDescent="0.25">
      <c r="A73" s="10"/>
      <c r="B73" s="10"/>
      <c r="C73" s="10"/>
      <c r="D73" s="10"/>
      <c r="G73" s="1">
        <v>0.21278513311037076</v>
      </c>
      <c r="H73">
        <v>13</v>
      </c>
      <c r="I73" s="1">
        <v>0.21278513311037076</v>
      </c>
      <c r="K73" s="1">
        <f t="shared" si="53"/>
        <v>0.41887944080080664</v>
      </c>
      <c r="M73" s="1">
        <f t="shared" si="54"/>
        <v>0.41887944080080664</v>
      </c>
      <c r="O73" s="1">
        <f t="shared" si="55"/>
        <v>0.20943972040040332</v>
      </c>
      <c r="Q73" s="1">
        <f t="shared" si="56"/>
        <v>0.20943972040040332</v>
      </c>
      <c r="S73" s="1">
        <f t="shared" si="57"/>
        <v>-0.20943972040040332</v>
      </c>
      <c r="U73" s="1">
        <f t="shared" si="58"/>
        <v>-0.20943972040040332</v>
      </c>
      <c r="W73" s="1">
        <f t="shared" si="51"/>
        <v>-0.1636247815628151</v>
      </c>
      <c r="Y73" s="1">
        <f t="shared" si="52"/>
        <v>-0.1636247815628151</v>
      </c>
    </row>
    <row r="74" spans="1:110" x14ac:dyDescent="0.25">
      <c r="A74" s="10"/>
      <c r="B74" s="10"/>
      <c r="C74" s="10"/>
      <c r="D74" s="10"/>
      <c r="G74" s="1">
        <v>0.20609430769043585</v>
      </c>
      <c r="H74">
        <v>14</v>
      </c>
      <c r="I74" s="1">
        <v>0.20609430769043585</v>
      </c>
      <c r="K74" s="1">
        <f t="shared" si="53"/>
        <v>0.40623782678442555</v>
      </c>
      <c r="M74" s="1">
        <f t="shared" si="54"/>
        <v>0.40623782678442555</v>
      </c>
      <c r="O74" s="1">
        <f t="shared" si="55"/>
        <v>0.20311891339221277</v>
      </c>
      <c r="Q74" s="1">
        <f t="shared" si="56"/>
        <v>0.20311891339221277</v>
      </c>
      <c r="S74" s="1">
        <f t="shared" si="57"/>
        <v>-0.20311891339221277</v>
      </c>
      <c r="U74" s="1">
        <f t="shared" si="58"/>
        <v>-0.20311891339221277</v>
      </c>
      <c r="W74" s="1">
        <f t="shared" si="51"/>
        <v>-0.17138158317467952</v>
      </c>
      <c r="Y74" s="1">
        <f t="shared" si="52"/>
        <v>-0.17138158317467952</v>
      </c>
    </row>
    <row r="75" spans="1:110" x14ac:dyDescent="0.25">
      <c r="A75" s="10"/>
      <c r="B75" s="10"/>
      <c r="C75" s="10"/>
      <c r="D75" s="10"/>
      <c r="G75" s="1">
        <v>0.2001435190939897</v>
      </c>
      <c r="H75">
        <v>15</v>
      </c>
      <c r="I75" s="1">
        <v>0.2001435190939897</v>
      </c>
      <c r="K75" s="1">
        <f t="shared" si="53"/>
        <v>0.39477571037917952</v>
      </c>
      <c r="M75" s="1">
        <f t="shared" si="54"/>
        <v>0.39477571037917952</v>
      </c>
      <c r="O75" s="1">
        <f t="shared" si="55"/>
        <v>0.19738785518958976</v>
      </c>
      <c r="Q75" s="1">
        <f t="shared" si="56"/>
        <v>0.19738785518958976</v>
      </c>
      <c r="S75" s="1">
        <f t="shared" si="57"/>
        <v>-0.19738785518958976</v>
      </c>
      <c r="U75" s="1">
        <f t="shared" si="58"/>
        <v>-0.19738785518958976</v>
      </c>
      <c r="W75" s="1">
        <f t="shared" si="51"/>
        <v>-0.17888274376556573</v>
      </c>
      <c r="Y75" s="1">
        <f t="shared" si="52"/>
        <v>-0.17888274376556573</v>
      </c>
    </row>
    <row r="76" spans="1:110" x14ac:dyDescent="0.25">
      <c r="A76" s="10"/>
      <c r="B76" s="10"/>
      <c r="C76" s="10"/>
      <c r="D76" s="10"/>
      <c r="G76" s="1">
        <v>0.19463219128518983</v>
      </c>
      <c r="H76">
        <v>16</v>
      </c>
      <c r="I76" s="1">
        <v>0.19463219128518983</v>
      </c>
      <c r="K76" s="1">
        <f t="shared" si="53"/>
        <v>0.3839823847848805</v>
      </c>
      <c r="M76" s="1">
        <f t="shared" si="54"/>
        <v>0.3839823847848805</v>
      </c>
      <c r="O76" s="1">
        <f t="shared" si="55"/>
        <v>0.19199119239244025</v>
      </c>
      <c r="Q76" s="1">
        <f t="shared" si="56"/>
        <v>0.19199119239244025</v>
      </c>
      <c r="S76" s="1">
        <f t="shared" si="57"/>
        <v>-0.19199119239244025</v>
      </c>
      <c r="U76" s="1">
        <f t="shared" si="58"/>
        <v>-0.19199119239244025</v>
      </c>
      <c r="W76" s="1">
        <f t="shared" si="51"/>
        <v>-0.18599146763017649</v>
      </c>
      <c r="Y76" s="1">
        <f t="shared" si="52"/>
        <v>-0.18599146763017649</v>
      </c>
    </row>
    <row r="77" spans="1:110" x14ac:dyDescent="0.25">
      <c r="A77" s="10"/>
      <c r="B77" s="10"/>
      <c r="C77" s="10"/>
      <c r="D77" s="10"/>
      <c r="G77" s="1">
        <v>0.18935019349969068</v>
      </c>
      <c r="H77">
        <v>17</v>
      </c>
      <c r="I77" s="1">
        <v>0.18935019349969068</v>
      </c>
      <c r="K77" s="1">
        <f t="shared" si="53"/>
        <v>0.37349290397734469</v>
      </c>
      <c r="M77" s="1">
        <f t="shared" si="54"/>
        <v>0.37349290397734469</v>
      </c>
      <c r="O77" s="1">
        <f t="shared" si="55"/>
        <v>0.18674645198867235</v>
      </c>
      <c r="Q77" s="1">
        <f t="shared" si="56"/>
        <v>0.18674645198867235</v>
      </c>
      <c r="S77" s="1">
        <f t="shared" si="57"/>
        <v>-0.18674645198867235</v>
      </c>
      <c r="U77" s="1">
        <f t="shared" si="58"/>
        <v>-0.18674645198867235</v>
      </c>
      <c r="W77" s="1">
        <f t="shared" si="51"/>
        <v>-0.19258227861331836</v>
      </c>
      <c r="Y77" s="1">
        <f t="shared" si="52"/>
        <v>-0.19258227861331836</v>
      </c>
    </row>
    <row r="78" spans="1:110" x14ac:dyDescent="0.25">
      <c r="A78" s="10"/>
      <c r="B78" s="10"/>
      <c r="C78" s="10"/>
      <c r="D78" s="10"/>
      <c r="G78" s="1">
        <v>0.18414271047765404</v>
      </c>
      <c r="H78">
        <v>18</v>
      </c>
      <c r="I78" s="1">
        <v>0.18414271047765404</v>
      </c>
      <c r="K78" s="1">
        <f t="shared" si="53"/>
        <v>0.36303210412141307</v>
      </c>
      <c r="M78" s="1">
        <f t="shared" si="54"/>
        <v>0.36303210412141307</v>
      </c>
      <c r="O78" s="1">
        <f t="shared" si="55"/>
        <v>0.18151605206070653</v>
      </c>
      <c r="Q78" s="1">
        <f t="shared" si="56"/>
        <v>0.18151605206070653</v>
      </c>
      <c r="S78" s="1">
        <f t="shared" si="57"/>
        <v>-0.18151605206070653</v>
      </c>
      <c r="U78" s="1">
        <f t="shared" si="58"/>
        <v>-0.18151605206070653</v>
      </c>
      <c r="W78" s="1">
        <f t="shared" si="51"/>
        <v>-0.19853318194139777</v>
      </c>
      <c r="Y78" s="1">
        <f t="shared" si="52"/>
        <v>-0.19853318194139777</v>
      </c>
    </row>
    <row r="79" spans="1:110" x14ac:dyDescent="0.25">
      <c r="A79" s="10"/>
      <c r="B79" s="10"/>
      <c r="C79" s="10"/>
      <c r="D79" s="10"/>
      <c r="G79" s="1">
        <v>0.17888939364375903</v>
      </c>
      <c r="H79">
        <v>19</v>
      </c>
      <c r="I79" s="1">
        <v>0.17888939364375903</v>
      </c>
      <c r="K79" s="1">
        <f t="shared" si="53"/>
        <v>0.35238053783884238</v>
      </c>
      <c r="M79" s="1">
        <f t="shared" si="54"/>
        <v>0.35238053783884238</v>
      </c>
      <c r="O79" s="1">
        <f t="shared" si="55"/>
        <v>0.17619026891942119</v>
      </c>
      <c r="Q79" s="1">
        <f t="shared" si="56"/>
        <v>0.17619026891942119</v>
      </c>
      <c r="S79" s="1">
        <f t="shared" si="57"/>
        <v>-0.17619026891942119</v>
      </c>
      <c r="U79" s="1">
        <f t="shared" si="58"/>
        <v>-0.17619026891942119</v>
      </c>
      <c r="W79" s="1">
        <f t="shared" si="51"/>
        <v>-0.20371999843808075</v>
      </c>
      <c r="Y79" s="1">
        <f t="shared" si="52"/>
        <v>-0.20371999843808075</v>
      </c>
      <c r="DF79" t="s">
        <v>54</v>
      </c>
    </row>
    <row r="80" spans="1:110" x14ac:dyDescent="0.25">
      <c r="A80" s="10"/>
      <c r="B80" s="10"/>
      <c r="C80" s="10"/>
      <c r="D80" s="10"/>
      <c r="G80" s="1">
        <v>0.17349114419508335</v>
      </c>
      <c r="H80">
        <v>20</v>
      </c>
      <c r="I80" s="1">
        <v>0.17349114419508335</v>
      </c>
      <c r="K80" s="1">
        <f t="shared" si="53"/>
        <v>0.34135222834874557</v>
      </c>
      <c r="M80" s="1">
        <f t="shared" si="54"/>
        <v>0.34135222834874557</v>
      </c>
      <c r="O80" s="1">
        <f t="shared" si="55"/>
        <v>0.17067611417437278</v>
      </c>
      <c r="Q80" s="1">
        <f t="shared" si="56"/>
        <v>0.17067611417437278</v>
      </c>
      <c r="S80" s="1">
        <f t="shared" si="57"/>
        <v>-0.17067611417437278</v>
      </c>
      <c r="U80" s="1">
        <f t="shared" si="58"/>
        <v>-0.17067611417437278</v>
      </c>
      <c r="W80" s="1">
        <f t="shared" si="51"/>
        <v>-0.20801151415001684</v>
      </c>
      <c r="Y80" s="1">
        <f t="shared" si="52"/>
        <v>-0.20801151415001684</v>
      </c>
      <c r="AN80" s="3" t="s">
        <v>21</v>
      </c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 t="s">
        <v>56</v>
      </c>
      <c r="BZ80" s="1" t="s">
        <v>36</v>
      </c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</row>
    <row r="81" spans="1:110" x14ac:dyDescent="0.25">
      <c r="A81" s="10"/>
      <c r="B81" s="10"/>
      <c r="C81" s="10"/>
      <c r="D81" s="10"/>
      <c r="G81" s="1">
        <v>0.16786108415366219</v>
      </c>
      <c r="H81">
        <v>21</v>
      </c>
      <c r="I81" s="1">
        <v>0.16786108415366219</v>
      </c>
      <c r="K81" s="1">
        <f t="shared" si="53"/>
        <v>0.32977884806040841</v>
      </c>
      <c r="M81" s="1">
        <f t="shared" si="54"/>
        <v>0.32977884806040841</v>
      </c>
      <c r="O81" s="1">
        <f t="shared" si="55"/>
        <v>0.16488942403020421</v>
      </c>
      <c r="Q81" s="1">
        <f t="shared" si="56"/>
        <v>0.16488942403020421</v>
      </c>
      <c r="S81" s="1">
        <f t="shared" si="57"/>
        <v>-0.16488942403020421</v>
      </c>
      <c r="U81" s="1">
        <f t="shared" si="58"/>
        <v>-0.16488942403020421</v>
      </c>
      <c r="W81" s="1">
        <f t="shared" si="51"/>
        <v>-0.21126457453869915</v>
      </c>
      <c r="Y81" s="1">
        <f t="shared" si="52"/>
        <v>-0.21126457453869915</v>
      </c>
      <c r="AN81" s="3"/>
      <c r="AO81" s="3">
        <v>1</v>
      </c>
      <c r="AP81" s="3">
        <v>2</v>
      </c>
      <c r="AQ81" s="3">
        <v>3</v>
      </c>
      <c r="AR81" s="3">
        <v>4</v>
      </c>
      <c r="AS81" s="3">
        <v>5</v>
      </c>
      <c r="AT81" s="3">
        <v>6</v>
      </c>
      <c r="AU81" s="3">
        <v>7</v>
      </c>
      <c r="AV81" s="3">
        <v>8</v>
      </c>
      <c r="AW81" s="3">
        <v>9</v>
      </c>
      <c r="AX81" s="3">
        <v>10</v>
      </c>
      <c r="AY81" s="3">
        <v>11</v>
      </c>
      <c r="AZ81" s="3">
        <v>12</v>
      </c>
      <c r="BA81" s="3">
        <v>13</v>
      </c>
      <c r="BB81" s="3">
        <v>14</v>
      </c>
      <c r="BC81" s="3">
        <v>15</v>
      </c>
      <c r="BD81" s="3">
        <v>16</v>
      </c>
      <c r="BE81" s="3">
        <v>17</v>
      </c>
      <c r="BF81" s="3">
        <v>18</v>
      </c>
      <c r="BG81" s="3">
        <v>19</v>
      </c>
      <c r="BH81" s="3">
        <v>20</v>
      </c>
      <c r="BI81" s="3">
        <v>21</v>
      </c>
      <c r="BJ81" s="3">
        <v>22</v>
      </c>
      <c r="BK81" s="3">
        <v>23</v>
      </c>
      <c r="BL81" s="3">
        <v>24</v>
      </c>
      <c r="BM81" s="3">
        <v>25</v>
      </c>
      <c r="BN81" s="3">
        <v>26</v>
      </c>
      <c r="BO81" s="3">
        <v>27</v>
      </c>
      <c r="BP81" s="3">
        <v>28</v>
      </c>
      <c r="BQ81" s="3">
        <v>29</v>
      </c>
      <c r="BR81" s="3">
        <v>30</v>
      </c>
      <c r="BS81" s="3">
        <v>31</v>
      </c>
      <c r="BT81" s="3">
        <v>32</v>
      </c>
      <c r="BU81" s="12" t="s">
        <v>51</v>
      </c>
      <c r="BV81" s="12"/>
      <c r="BZ81" s="1">
        <v>0</v>
      </c>
      <c r="CA81" s="1">
        <v>1</v>
      </c>
      <c r="CB81" s="1">
        <v>2</v>
      </c>
      <c r="CC81" s="1">
        <v>3</v>
      </c>
      <c r="CD81" s="1">
        <v>4</v>
      </c>
      <c r="CE81" s="1">
        <v>5</v>
      </c>
      <c r="CF81" s="1">
        <v>6</v>
      </c>
      <c r="CG81" s="1">
        <v>7</v>
      </c>
      <c r="CH81" s="1">
        <v>8</v>
      </c>
      <c r="CI81" s="1">
        <v>9</v>
      </c>
      <c r="CJ81" s="1">
        <v>10</v>
      </c>
      <c r="CK81" s="1">
        <v>11</v>
      </c>
      <c r="CL81" s="1">
        <v>12</v>
      </c>
      <c r="CM81" s="1">
        <v>13</v>
      </c>
      <c r="CN81" s="1">
        <v>14</v>
      </c>
      <c r="CO81" s="1">
        <v>15</v>
      </c>
      <c r="CP81" s="1">
        <v>16</v>
      </c>
      <c r="CQ81" s="1">
        <v>17</v>
      </c>
      <c r="CR81" s="1">
        <v>18</v>
      </c>
      <c r="CS81" s="1">
        <v>19</v>
      </c>
      <c r="CT81" s="1">
        <v>20</v>
      </c>
      <c r="CU81" s="1">
        <v>21</v>
      </c>
      <c r="CV81" s="1">
        <v>22</v>
      </c>
      <c r="CW81" s="1">
        <v>23</v>
      </c>
      <c r="CX81" s="1">
        <v>24</v>
      </c>
      <c r="CY81" s="1">
        <v>25</v>
      </c>
      <c r="CZ81" s="1">
        <v>26</v>
      </c>
      <c r="DA81" s="1">
        <v>27</v>
      </c>
      <c r="DB81" s="1">
        <v>28</v>
      </c>
      <c r="DC81" s="1">
        <v>29</v>
      </c>
      <c r="DD81" s="1">
        <v>30</v>
      </c>
      <c r="DE81" s="1">
        <v>31</v>
      </c>
      <c r="DF81" s="1">
        <v>32</v>
      </c>
    </row>
    <row r="82" spans="1:110" x14ac:dyDescent="0.25">
      <c r="A82" s="10"/>
      <c r="B82" s="10"/>
      <c r="C82" s="10"/>
      <c r="D82" s="10"/>
      <c r="G82" s="1">
        <v>0.16191776390674623</v>
      </c>
      <c r="H82">
        <v>22</v>
      </c>
      <c r="I82" s="1">
        <v>0.16191776390674623</v>
      </c>
      <c r="K82" s="1">
        <f t="shared" si="53"/>
        <v>0.31749711547825066</v>
      </c>
      <c r="M82" s="1">
        <f t="shared" si="54"/>
        <v>0.31749711547825066</v>
      </c>
      <c r="O82" s="1">
        <f t="shared" si="55"/>
        <v>0.15874855773912533</v>
      </c>
      <c r="Q82" s="1">
        <f t="shared" si="56"/>
        <v>0.15874855773912533</v>
      </c>
      <c r="S82" s="1">
        <f t="shared" si="57"/>
        <v>-0.15874855773912533</v>
      </c>
      <c r="U82" s="1">
        <f t="shared" si="58"/>
        <v>-0.15874855773912533</v>
      </c>
      <c r="W82" s="1">
        <f t="shared" si="51"/>
        <v>-0.21331837446194965</v>
      </c>
      <c r="Y82" s="1">
        <f t="shared" si="52"/>
        <v>-0.21331837446194965</v>
      </c>
      <c r="AL82" s="6" t="s">
        <v>22</v>
      </c>
      <c r="AN82" s="3">
        <v>1</v>
      </c>
      <c r="AO82" s="3">
        <v>-1</v>
      </c>
      <c r="AP82" s="3">
        <f t="shared" ref="AP82:BT82" si="59">-(Y16/0.03125)*LN(Y16/X16)-1</f>
        <v>0.64791843300216456</v>
      </c>
      <c r="AQ82" s="3">
        <f t="shared" si="59"/>
        <v>0.27706405941497669</v>
      </c>
      <c r="AR82" s="3">
        <f t="shared" si="59"/>
        <v>0.1776528281742451</v>
      </c>
      <c r="AS82" s="3">
        <f t="shared" si="59"/>
        <v>0.13091492726407772</v>
      </c>
      <c r="AT82" s="3">
        <f t="shared" si="59"/>
        <v>0.10368882504183174</v>
      </c>
      <c r="AU82" s="3">
        <f t="shared" si="59"/>
        <v>8.585155031058056E-2</v>
      </c>
      <c r="AV82" s="3">
        <f t="shared" si="59"/>
        <v>7.3256327305049274E-2</v>
      </c>
      <c r="AW82" s="3">
        <f t="shared" si="59"/>
        <v>6.3886715109050973E-2</v>
      </c>
      <c r="AX82" s="3">
        <f t="shared" si="59"/>
        <v>5.6643533547131808E-2</v>
      </c>
      <c r="AY82" s="3">
        <f t="shared" si="59"/>
        <v>5.0876314848317561E-2</v>
      </c>
      <c r="AZ82" s="3">
        <f t="shared" si="59"/>
        <v>4.6175449365857935E-2</v>
      </c>
      <c r="BA82" s="3">
        <f t="shared" si="59"/>
        <v>4.2270111738137439E-2</v>
      </c>
      <c r="BB82" s="3">
        <f t="shared" si="59"/>
        <v>3.8974055337733349E-2</v>
      </c>
      <c r="BC82" s="3">
        <f t="shared" si="59"/>
        <v>3.6154977741103211E-2</v>
      </c>
      <c r="BD82" s="3">
        <f t="shared" si="59"/>
        <v>3.3716304729418223E-2</v>
      </c>
      <c r="BE82" s="3">
        <f t="shared" si="59"/>
        <v>3.1585890192009858E-2</v>
      </c>
      <c r="BF82" s="3">
        <f t="shared" si="59"/>
        <v>2.9708750401334472E-2</v>
      </c>
      <c r="BG82" s="3">
        <f t="shared" si="59"/>
        <v>2.8042246363999546E-2</v>
      </c>
      <c r="BH82" s="3">
        <f t="shared" si="59"/>
        <v>2.6552802965726707E-2</v>
      </c>
      <c r="BI82" s="3">
        <f t="shared" si="59"/>
        <v>2.521362178055897E-2</v>
      </c>
      <c r="BJ82" s="3">
        <f t="shared" si="59"/>
        <v>2.4003053268975227E-2</v>
      </c>
      <c r="BK82" s="3">
        <f t="shared" si="59"/>
        <v>2.2903416727041881E-2</v>
      </c>
      <c r="BL82" s="3">
        <f t="shared" si="59"/>
        <v>2.1900130583863975E-2</v>
      </c>
      <c r="BM82" s="3">
        <f t="shared" si="59"/>
        <v>2.0981061813917901E-2</v>
      </c>
      <c r="BN82" s="3">
        <f t="shared" si="59"/>
        <v>2.0136032649329838E-2</v>
      </c>
      <c r="BO82" s="3">
        <f t="shared" si="59"/>
        <v>1.935644193659769E-2</v>
      </c>
      <c r="BP82" s="3">
        <f t="shared" si="59"/>
        <v>1.8634971209599671E-2</v>
      </c>
      <c r="BQ82" s="3">
        <f t="shared" si="59"/>
        <v>1.7965354159258595E-2</v>
      </c>
      <c r="BR82" s="3">
        <f t="shared" si="59"/>
        <v>1.7342194099497332E-2</v>
      </c>
      <c r="BS82" s="3">
        <f t="shared" si="59"/>
        <v>1.6760818161547286E-2</v>
      </c>
      <c r="BT82" s="3">
        <f t="shared" si="59"/>
        <v>1.6217159873976428E-2</v>
      </c>
      <c r="BU82" s="12"/>
      <c r="BV82" s="12"/>
      <c r="BW82" s="1">
        <v>1</v>
      </c>
      <c r="BX82" s="1"/>
      <c r="BY82" s="1"/>
      <c r="BZ82" s="1">
        <v>0</v>
      </c>
      <c r="CA82" s="1">
        <v>1</v>
      </c>
      <c r="CB82" s="1">
        <f t="shared" ref="CB82:DE82" si="60">(1+(X16/0.03125)*LN(Y16/X16))</f>
        <v>0.45069385566594511</v>
      </c>
      <c r="CC82" s="1">
        <f t="shared" si="60"/>
        <v>0.23376156435101392</v>
      </c>
      <c r="CD82" s="1">
        <f t="shared" si="60"/>
        <v>0.15881940844696774</v>
      </c>
      <c r="CE82" s="1">
        <f t="shared" si="60"/>
        <v>0.12039950101682839</v>
      </c>
      <c r="CF82" s="1">
        <f t="shared" si="60"/>
        <v>9.698187042031936E-2</v>
      </c>
      <c r="CG82" s="1">
        <f t="shared" si="60"/>
        <v>8.1202534352585731E-2</v>
      </c>
      <c r="CH82" s="1">
        <f t="shared" si="60"/>
        <v>6.9844516335623941E-2</v>
      </c>
      <c r="CI82" s="1">
        <f t="shared" si="60"/>
        <v>6.1276427844955128E-2</v>
      </c>
      <c r="CJ82" s="1">
        <f t="shared" si="60"/>
        <v>5.4582101563092622E-2</v>
      </c>
      <c r="CK82" s="1">
        <f t="shared" si="60"/>
        <v>4.920714370866508E-2</v>
      </c>
      <c r="CL82" s="1">
        <f t="shared" si="60"/>
        <v>4.4796328839868726E-2</v>
      </c>
      <c r="CM82" s="1">
        <f t="shared" si="60"/>
        <v>4.1111497200913449E-2</v>
      </c>
      <c r="CN82" s="1">
        <f t="shared" si="60"/>
        <v>3.7986985798395101E-2</v>
      </c>
      <c r="CO82" s="1">
        <f t="shared" si="60"/>
        <v>3.5303986241041918E-2</v>
      </c>
      <c r="CP82" s="1">
        <f t="shared" si="60"/>
        <v>3.2975069769253906E-2</v>
      </c>
      <c r="CQ82" s="1">
        <f t="shared" si="60"/>
        <v>3.09344667893241E-2</v>
      </c>
      <c r="CR82" s="1">
        <f t="shared" si="60"/>
        <v>2.9131749621599035E-2</v>
      </c>
      <c r="CS82" s="1">
        <f t="shared" si="60"/>
        <v>2.7527604790811289E-2</v>
      </c>
      <c r="CT82" s="1">
        <f t="shared" si="60"/>
        <v>2.6090930519695243E-2</v>
      </c>
      <c r="CU82" s="1">
        <f t="shared" si="60"/>
        <v>2.4796798794102348E-2</v>
      </c>
      <c r="CV82" s="1">
        <f t="shared" si="60"/>
        <v>2.3624995720279429E-2</v>
      </c>
      <c r="CW82" s="1">
        <f t="shared" si="60"/>
        <v>2.255895734971558E-2</v>
      </c>
      <c r="CX82" s="1">
        <f t="shared" si="60"/>
        <v>2.1584981355874944E-2</v>
      </c>
      <c r="CY82" s="1">
        <f t="shared" si="60"/>
        <v>2.0691634586650132E-2</v>
      </c>
      <c r="CZ82" s="1">
        <f t="shared" si="60"/>
        <v>1.9869301964369424E-2</v>
      </c>
      <c r="DA82" s="1">
        <f t="shared" si="60"/>
        <v>1.9109838891198327E-2</v>
      </c>
      <c r="DB82" s="1">
        <f t="shared" si="60"/>
        <v>1.8406300470749426E-2</v>
      </c>
      <c r="DC82" s="1">
        <f t="shared" si="60"/>
        <v>1.775272844282072E-2</v>
      </c>
      <c r="DD82" s="1">
        <f t="shared" si="60"/>
        <v>1.7143981971671995E-2</v>
      </c>
      <c r="DE82" s="1">
        <f t="shared" si="60"/>
        <v>1.6575602106044474E-2</v>
      </c>
      <c r="DF82" s="1" t="e">
        <f t="shared" ref="DF82:DF112" si="61">(1+(BB16/0.03125)*LN(BE16/BB16))</f>
        <v>#NUM!</v>
      </c>
    </row>
    <row r="83" spans="1:110" x14ac:dyDescent="0.25">
      <c r="A83" s="10"/>
      <c r="B83" s="10"/>
      <c r="C83" s="10"/>
      <c r="D83" s="10"/>
      <c r="G83" s="1">
        <v>0.15557935157150443</v>
      </c>
      <c r="H83">
        <v>23</v>
      </c>
      <c r="I83" s="1">
        <v>0.15557935157150443</v>
      </c>
      <c r="K83" s="1">
        <f t="shared" si="53"/>
        <v>0.30433716426405477</v>
      </c>
      <c r="M83" s="1">
        <f t="shared" si="54"/>
        <v>0.30433716426405477</v>
      </c>
      <c r="O83" s="1">
        <f t="shared" si="55"/>
        <v>0.15216858213202739</v>
      </c>
      <c r="Q83" s="1">
        <f t="shared" si="56"/>
        <v>0.15216858213202739</v>
      </c>
      <c r="S83" s="1">
        <f t="shared" si="57"/>
        <v>-0.15216858213202739</v>
      </c>
      <c r="U83" s="1">
        <f t="shared" si="58"/>
        <v>-0.15216858213202739</v>
      </c>
      <c r="W83" s="1">
        <f t="shared" si="51"/>
        <v>-0.21398706862316352</v>
      </c>
      <c r="Y83" s="1">
        <f t="shared" si="52"/>
        <v>-0.21398706862316352</v>
      </c>
      <c r="AL83" s="6" t="s">
        <v>23</v>
      </c>
      <c r="AN83" s="3">
        <v>2</v>
      </c>
      <c r="AO83" s="3">
        <f t="shared" ref="AO83:AO113" si="62">-(X17/0.03125)*LN(X17/W17)-1</f>
        <v>-0.45069385566594511</v>
      </c>
      <c r="AP83" s="3">
        <v>-1</v>
      </c>
      <c r="AQ83" s="3">
        <f t="shared" ref="AQ83:BT83" si="63">-(Z17/0.03125)*LN(Z17/Y17)-1</f>
        <v>0.64791843300216456</v>
      </c>
      <c r="AR83" s="3">
        <f t="shared" si="63"/>
        <v>0.27706405941497669</v>
      </c>
      <c r="AS83" s="3">
        <f t="shared" si="63"/>
        <v>0.1776528281742451</v>
      </c>
      <c r="AT83" s="3">
        <f t="shared" si="63"/>
        <v>0.13091492726407772</v>
      </c>
      <c r="AU83" s="3">
        <f t="shared" si="63"/>
        <v>0.10368882504183174</v>
      </c>
      <c r="AV83" s="3">
        <f t="shared" si="63"/>
        <v>8.585155031058056E-2</v>
      </c>
      <c r="AW83" s="3">
        <f t="shared" si="63"/>
        <v>7.3256327305049274E-2</v>
      </c>
      <c r="AX83" s="3">
        <f t="shared" si="63"/>
        <v>6.3886715109050973E-2</v>
      </c>
      <c r="AY83" s="3">
        <f t="shared" si="63"/>
        <v>5.6643533547131808E-2</v>
      </c>
      <c r="AZ83" s="3">
        <f t="shared" si="63"/>
        <v>5.0876314848317561E-2</v>
      </c>
      <c r="BA83" s="3">
        <f t="shared" si="63"/>
        <v>4.6175449365857935E-2</v>
      </c>
      <c r="BB83" s="3">
        <f t="shared" si="63"/>
        <v>4.2270111738137439E-2</v>
      </c>
      <c r="BC83" s="3">
        <f t="shared" si="63"/>
        <v>3.8974055337733349E-2</v>
      </c>
      <c r="BD83" s="3">
        <f t="shared" si="63"/>
        <v>3.6154977741103211E-2</v>
      </c>
      <c r="BE83" s="3">
        <f t="shared" si="63"/>
        <v>3.3716304729418223E-2</v>
      </c>
      <c r="BF83" s="3">
        <f t="shared" si="63"/>
        <v>3.1585890192009858E-2</v>
      </c>
      <c r="BG83" s="3">
        <f t="shared" si="63"/>
        <v>2.9708750401334472E-2</v>
      </c>
      <c r="BH83" s="3">
        <f t="shared" si="63"/>
        <v>2.8042246363999546E-2</v>
      </c>
      <c r="BI83" s="3">
        <f t="shared" si="63"/>
        <v>2.6552802965726707E-2</v>
      </c>
      <c r="BJ83" s="3">
        <f t="shared" si="63"/>
        <v>2.521362178055897E-2</v>
      </c>
      <c r="BK83" s="3">
        <f t="shared" si="63"/>
        <v>2.4003053268975227E-2</v>
      </c>
      <c r="BL83" s="3">
        <f t="shared" si="63"/>
        <v>2.2903416727041881E-2</v>
      </c>
      <c r="BM83" s="3">
        <f t="shared" si="63"/>
        <v>2.1900130583863975E-2</v>
      </c>
      <c r="BN83" s="3">
        <f t="shared" si="63"/>
        <v>2.0981061813917901E-2</v>
      </c>
      <c r="BO83" s="3">
        <f t="shared" si="63"/>
        <v>2.0136032649329838E-2</v>
      </c>
      <c r="BP83" s="3">
        <f t="shared" si="63"/>
        <v>1.935644193659769E-2</v>
      </c>
      <c r="BQ83" s="3">
        <f t="shared" si="63"/>
        <v>1.8634971209599671E-2</v>
      </c>
      <c r="BR83" s="3">
        <f t="shared" si="63"/>
        <v>1.7965354159258595E-2</v>
      </c>
      <c r="BS83" s="3">
        <f t="shared" si="63"/>
        <v>1.7342194099497332E-2</v>
      </c>
      <c r="BT83" s="3">
        <f t="shared" si="63"/>
        <v>1.6760818161547286E-2</v>
      </c>
      <c r="BU83" s="12" t="s">
        <v>52</v>
      </c>
      <c r="BV83" s="12"/>
      <c r="BW83" s="1">
        <v>2</v>
      </c>
      <c r="BX83" s="1"/>
      <c r="BY83" s="1"/>
      <c r="BZ83" s="1">
        <v>0</v>
      </c>
      <c r="CA83" s="1">
        <f t="shared" ref="CA83:CA113" si="64">(1+(W17/0.03125)*LN(X17/W17))</f>
        <v>-0.64791843300216456</v>
      </c>
      <c r="CB83" s="1">
        <v>1</v>
      </c>
      <c r="CC83" s="1">
        <f t="shared" ref="CC83:DE83" si="65">(1+(Y17/0.03125)*LN(Z17/Y17))</f>
        <v>0.45069385566594511</v>
      </c>
      <c r="CD83" s="1">
        <f t="shared" si="65"/>
        <v>0.23376156435101392</v>
      </c>
      <c r="CE83" s="1">
        <f t="shared" si="65"/>
        <v>0.15881940844696774</v>
      </c>
      <c r="CF83" s="1">
        <f t="shared" si="65"/>
        <v>0.12039950101682839</v>
      </c>
      <c r="CG83" s="1">
        <f t="shared" si="65"/>
        <v>9.698187042031936E-2</v>
      </c>
      <c r="CH83" s="1">
        <f t="shared" si="65"/>
        <v>8.1202534352585731E-2</v>
      </c>
      <c r="CI83" s="1">
        <f t="shared" si="65"/>
        <v>6.9844516335623941E-2</v>
      </c>
      <c r="CJ83" s="1">
        <f t="shared" si="65"/>
        <v>6.1276427844955128E-2</v>
      </c>
      <c r="CK83" s="1">
        <f t="shared" si="65"/>
        <v>5.4582101563092622E-2</v>
      </c>
      <c r="CL83" s="1">
        <f t="shared" si="65"/>
        <v>4.920714370866508E-2</v>
      </c>
      <c r="CM83" s="1">
        <f t="shared" si="65"/>
        <v>4.4796328839868726E-2</v>
      </c>
      <c r="CN83" s="1">
        <f t="shared" si="65"/>
        <v>4.1111497200913449E-2</v>
      </c>
      <c r="CO83" s="1">
        <f t="shared" si="65"/>
        <v>3.7986985798395101E-2</v>
      </c>
      <c r="CP83" s="1">
        <f t="shared" si="65"/>
        <v>3.5303986241041918E-2</v>
      </c>
      <c r="CQ83" s="1">
        <f t="shared" si="65"/>
        <v>3.2975069769253906E-2</v>
      </c>
      <c r="CR83" s="1">
        <f t="shared" si="65"/>
        <v>3.09344667893241E-2</v>
      </c>
      <c r="CS83" s="1">
        <f t="shared" si="65"/>
        <v>2.9131749621599035E-2</v>
      </c>
      <c r="CT83" s="1">
        <f t="shared" si="65"/>
        <v>2.7527604790811289E-2</v>
      </c>
      <c r="CU83" s="1">
        <f t="shared" si="65"/>
        <v>2.6090930519695243E-2</v>
      </c>
      <c r="CV83" s="1">
        <f t="shared" si="65"/>
        <v>2.4796798794102348E-2</v>
      </c>
      <c r="CW83" s="1">
        <f t="shared" si="65"/>
        <v>2.3624995720279429E-2</v>
      </c>
      <c r="CX83" s="1">
        <f t="shared" si="65"/>
        <v>2.255895734971558E-2</v>
      </c>
      <c r="CY83" s="1">
        <f t="shared" si="65"/>
        <v>2.1584981355874944E-2</v>
      </c>
      <c r="CZ83" s="1">
        <f t="shared" si="65"/>
        <v>2.0691634586650132E-2</v>
      </c>
      <c r="DA83" s="1">
        <f t="shared" si="65"/>
        <v>1.9869301964369424E-2</v>
      </c>
      <c r="DB83" s="1">
        <f t="shared" si="65"/>
        <v>1.9109838891198327E-2</v>
      </c>
      <c r="DC83" s="1">
        <f t="shared" si="65"/>
        <v>1.8406300470749426E-2</v>
      </c>
      <c r="DD83" s="1">
        <f t="shared" si="65"/>
        <v>1.775272844282072E-2</v>
      </c>
      <c r="DE83" s="1">
        <f t="shared" si="65"/>
        <v>1.7143981971671995E-2</v>
      </c>
      <c r="DF83" s="1" t="e">
        <f t="shared" si="61"/>
        <v>#NUM!</v>
      </c>
    </row>
    <row r="84" spans="1:110" x14ac:dyDescent="0.25">
      <c r="A84" s="10"/>
      <c r="B84" s="10"/>
      <c r="C84" s="10"/>
      <c r="D84" s="10"/>
      <c r="G84" s="1">
        <v>0.14875781269255037</v>
      </c>
      <c r="H84">
        <v>24</v>
      </c>
      <c r="I84" s="1">
        <v>0.14875781269255037</v>
      </c>
      <c r="K84" s="1">
        <f t="shared" si="53"/>
        <v>0.2901098439440053</v>
      </c>
      <c r="M84" s="1">
        <f t="shared" si="54"/>
        <v>0.2901098439440053</v>
      </c>
      <c r="O84" s="1">
        <f t="shared" si="55"/>
        <v>0.14505492197200265</v>
      </c>
      <c r="Q84" s="1">
        <f t="shared" si="56"/>
        <v>0.14505492197200265</v>
      </c>
      <c r="S84" s="1">
        <f t="shared" si="57"/>
        <v>-0.14505492197200265</v>
      </c>
      <c r="U84" s="1">
        <f t="shared" si="58"/>
        <v>-0.14505492197200265</v>
      </c>
      <c r="W84" s="1">
        <f t="shared" si="51"/>
        <v>-0.21304941664637889</v>
      </c>
      <c r="Y84" s="1">
        <f t="shared" si="52"/>
        <v>-0.21304941664637889</v>
      </c>
      <c r="AL84" s="6" t="s">
        <v>24</v>
      </c>
      <c r="AN84" s="3">
        <v>3</v>
      </c>
      <c r="AO84" s="3">
        <f t="shared" si="62"/>
        <v>-0.23376156435101392</v>
      </c>
      <c r="AP84" s="3">
        <f t="shared" ref="AP84:AP113" si="66">-(Y18/0.03125)*LN(Y18/X18)-1</f>
        <v>-0.45069385566594511</v>
      </c>
      <c r="AQ84" s="3">
        <v>-1</v>
      </c>
      <c r="AR84" s="3">
        <f t="shared" ref="AR84:BT84" si="67">-(AA18/0.03125)*LN(AA18/Z18)-1</f>
        <v>0.64791843300216456</v>
      </c>
      <c r="AS84" s="3">
        <f t="shared" si="67"/>
        <v>0.27706405941497669</v>
      </c>
      <c r="AT84" s="3">
        <f t="shared" si="67"/>
        <v>0.1776528281742451</v>
      </c>
      <c r="AU84" s="3">
        <f t="shared" si="67"/>
        <v>0.13091492726407772</v>
      </c>
      <c r="AV84" s="3">
        <f t="shared" si="67"/>
        <v>0.10368882504183174</v>
      </c>
      <c r="AW84" s="3">
        <f t="shared" si="67"/>
        <v>8.585155031058056E-2</v>
      </c>
      <c r="AX84" s="3">
        <f t="shared" si="67"/>
        <v>7.3256327305049274E-2</v>
      </c>
      <c r="AY84" s="3">
        <f t="shared" si="67"/>
        <v>6.3886715109050973E-2</v>
      </c>
      <c r="AZ84" s="3">
        <f t="shared" si="67"/>
        <v>5.6643533547131808E-2</v>
      </c>
      <c r="BA84" s="3">
        <f t="shared" si="67"/>
        <v>5.0876314848317561E-2</v>
      </c>
      <c r="BB84" s="3">
        <f t="shared" si="67"/>
        <v>4.6175449365857935E-2</v>
      </c>
      <c r="BC84" s="3">
        <f t="shared" si="67"/>
        <v>4.2270111738137439E-2</v>
      </c>
      <c r="BD84" s="3">
        <f t="shared" si="67"/>
        <v>3.8974055337733349E-2</v>
      </c>
      <c r="BE84" s="3">
        <f t="shared" si="67"/>
        <v>3.6154977741103211E-2</v>
      </c>
      <c r="BF84" s="3">
        <f t="shared" si="67"/>
        <v>3.3716304729418223E-2</v>
      </c>
      <c r="BG84" s="3">
        <f t="shared" si="67"/>
        <v>3.1585890192009858E-2</v>
      </c>
      <c r="BH84" s="3">
        <f t="shared" si="67"/>
        <v>2.9708750401334472E-2</v>
      </c>
      <c r="BI84" s="3">
        <f t="shared" si="67"/>
        <v>2.8042246363999546E-2</v>
      </c>
      <c r="BJ84" s="3">
        <f t="shared" si="67"/>
        <v>2.6552802965726707E-2</v>
      </c>
      <c r="BK84" s="3">
        <f t="shared" si="67"/>
        <v>2.521362178055897E-2</v>
      </c>
      <c r="BL84" s="3">
        <f t="shared" si="67"/>
        <v>2.4003053268975227E-2</v>
      </c>
      <c r="BM84" s="3">
        <f t="shared" si="67"/>
        <v>2.2903416727041881E-2</v>
      </c>
      <c r="BN84" s="3">
        <f t="shared" si="67"/>
        <v>2.1900130583863975E-2</v>
      </c>
      <c r="BO84" s="3">
        <f t="shared" si="67"/>
        <v>2.0981061813917901E-2</v>
      </c>
      <c r="BP84" s="3">
        <f t="shared" si="67"/>
        <v>2.0136032649329838E-2</v>
      </c>
      <c r="BQ84" s="3">
        <f t="shared" si="67"/>
        <v>1.935644193659769E-2</v>
      </c>
      <c r="BR84" s="3">
        <f t="shared" si="67"/>
        <v>1.8634971209599671E-2</v>
      </c>
      <c r="BS84" s="3">
        <f t="shared" si="67"/>
        <v>1.7965354159258595E-2</v>
      </c>
      <c r="BT84" s="3">
        <f t="shared" si="67"/>
        <v>1.7342194099497332E-2</v>
      </c>
      <c r="BU84" s="12" t="s">
        <v>53</v>
      </c>
      <c r="BV84" s="12"/>
      <c r="BW84" s="1">
        <v>3</v>
      </c>
      <c r="BX84" s="1"/>
      <c r="BY84" s="1"/>
      <c r="BZ84" s="1">
        <v>0</v>
      </c>
      <c r="CA84" s="1">
        <f t="shared" si="64"/>
        <v>-0.27706405941497669</v>
      </c>
      <c r="CB84" s="1">
        <f t="shared" ref="CB84:CB113" si="68">(1+(X18/0.03125)*LN(Y18/X18))</f>
        <v>-0.64791843300216456</v>
      </c>
      <c r="CC84" s="1">
        <v>1</v>
      </c>
      <c r="CD84" s="1">
        <f t="shared" ref="CD84:DE84" si="69">(1+(Z18/0.03125)*LN(AA18/Z18))</f>
        <v>0.45069385566594511</v>
      </c>
      <c r="CE84" s="1">
        <f t="shared" si="69"/>
        <v>0.23376156435101392</v>
      </c>
      <c r="CF84" s="1">
        <f t="shared" si="69"/>
        <v>0.15881940844696774</v>
      </c>
      <c r="CG84" s="1">
        <f t="shared" si="69"/>
        <v>0.12039950101682839</v>
      </c>
      <c r="CH84" s="1">
        <f t="shared" si="69"/>
        <v>9.698187042031936E-2</v>
      </c>
      <c r="CI84" s="1">
        <f t="shared" si="69"/>
        <v>8.1202534352585731E-2</v>
      </c>
      <c r="CJ84" s="1">
        <f t="shared" si="69"/>
        <v>6.9844516335623941E-2</v>
      </c>
      <c r="CK84" s="1">
        <f t="shared" si="69"/>
        <v>6.1276427844955128E-2</v>
      </c>
      <c r="CL84" s="1">
        <f t="shared" si="69"/>
        <v>5.4582101563092622E-2</v>
      </c>
      <c r="CM84" s="1">
        <f t="shared" si="69"/>
        <v>4.920714370866508E-2</v>
      </c>
      <c r="CN84" s="1">
        <f t="shared" si="69"/>
        <v>4.4796328839868726E-2</v>
      </c>
      <c r="CO84" s="1">
        <f t="shared" si="69"/>
        <v>4.1111497200913449E-2</v>
      </c>
      <c r="CP84" s="1">
        <f t="shared" si="69"/>
        <v>3.7986985798395101E-2</v>
      </c>
      <c r="CQ84" s="1">
        <f t="shared" si="69"/>
        <v>3.5303986241041918E-2</v>
      </c>
      <c r="CR84" s="1">
        <f t="shared" si="69"/>
        <v>3.2975069769253906E-2</v>
      </c>
      <c r="CS84" s="1">
        <f t="shared" si="69"/>
        <v>3.09344667893241E-2</v>
      </c>
      <c r="CT84" s="1">
        <f t="shared" si="69"/>
        <v>2.9131749621599035E-2</v>
      </c>
      <c r="CU84" s="1">
        <f t="shared" si="69"/>
        <v>2.7527604790811289E-2</v>
      </c>
      <c r="CV84" s="1">
        <f t="shared" si="69"/>
        <v>2.6090930519695243E-2</v>
      </c>
      <c r="CW84" s="1">
        <f t="shared" si="69"/>
        <v>2.4796798794102348E-2</v>
      </c>
      <c r="CX84" s="1">
        <f t="shared" si="69"/>
        <v>2.3624995720279429E-2</v>
      </c>
      <c r="CY84" s="1">
        <f t="shared" si="69"/>
        <v>2.255895734971558E-2</v>
      </c>
      <c r="CZ84" s="1">
        <f t="shared" si="69"/>
        <v>2.1584981355874944E-2</v>
      </c>
      <c r="DA84" s="1">
        <f t="shared" si="69"/>
        <v>2.0691634586650132E-2</v>
      </c>
      <c r="DB84" s="1">
        <f t="shared" si="69"/>
        <v>1.9869301964369424E-2</v>
      </c>
      <c r="DC84" s="1">
        <f t="shared" si="69"/>
        <v>1.9109838891198327E-2</v>
      </c>
      <c r="DD84" s="1">
        <f t="shared" si="69"/>
        <v>1.8406300470749426E-2</v>
      </c>
      <c r="DE84" s="1">
        <f t="shared" si="69"/>
        <v>1.775272844282072E-2</v>
      </c>
      <c r="DF84" s="1" t="e">
        <f t="shared" si="61"/>
        <v>#NUM!</v>
      </c>
    </row>
    <row r="85" spans="1:110" x14ac:dyDescent="0.25">
      <c r="A85" s="10"/>
      <c r="B85" s="10"/>
      <c r="C85" s="10"/>
      <c r="D85" s="10"/>
      <c r="G85" s="1">
        <v>0.1413520312514549</v>
      </c>
      <c r="H85">
        <v>25</v>
      </c>
      <c r="I85" s="1">
        <v>0.1413520312514549</v>
      </c>
      <c r="K85" s="1">
        <f t="shared" si="53"/>
        <v>0.27459041339928209</v>
      </c>
      <c r="M85" s="1">
        <f t="shared" si="54"/>
        <v>0.27459041339928209</v>
      </c>
      <c r="O85" s="1">
        <f t="shared" si="55"/>
        <v>0.13729520669964104</v>
      </c>
      <c r="Q85" s="1">
        <f t="shared" si="56"/>
        <v>0.13729520669964104</v>
      </c>
      <c r="S85" s="1">
        <f t="shared" si="57"/>
        <v>-0.13729520669964104</v>
      </c>
      <c r="U85" s="1">
        <f t="shared" si="58"/>
        <v>-0.13729520669964104</v>
      </c>
      <c r="W85" s="1">
        <f t="shared" si="51"/>
        <v>-0.21023328525882534</v>
      </c>
      <c r="Y85" s="1">
        <f t="shared" si="52"/>
        <v>-0.21023328525882534</v>
      </c>
      <c r="AN85" s="3">
        <v>4</v>
      </c>
      <c r="AO85" s="3">
        <f t="shared" si="62"/>
        <v>-0.15881940844696774</v>
      </c>
      <c r="AP85" s="3">
        <f t="shared" si="66"/>
        <v>-0.23376156435101392</v>
      </c>
      <c r="AQ85" s="3">
        <f t="shared" ref="AQ85:AQ113" si="70">-(Z19/0.03125)*LN(Z19/Y19)-1</f>
        <v>-0.45069385566594511</v>
      </c>
      <c r="AR85" s="3">
        <v>-1</v>
      </c>
      <c r="AS85" s="3">
        <f t="shared" ref="AS85:BT85" si="71">-(AB19/0.03125)*LN(AB19/AA19)-1</f>
        <v>0.64791843300216456</v>
      </c>
      <c r="AT85" s="3">
        <f t="shared" si="71"/>
        <v>0.27706405941497669</v>
      </c>
      <c r="AU85" s="3">
        <f t="shared" si="71"/>
        <v>0.1776528281742451</v>
      </c>
      <c r="AV85" s="3">
        <f t="shared" si="71"/>
        <v>0.13091492726407772</v>
      </c>
      <c r="AW85" s="3">
        <f t="shared" si="71"/>
        <v>0.10368882504183174</v>
      </c>
      <c r="AX85" s="3">
        <f t="shared" si="71"/>
        <v>8.585155031058056E-2</v>
      </c>
      <c r="AY85" s="3">
        <f t="shared" si="71"/>
        <v>7.3256327305049274E-2</v>
      </c>
      <c r="AZ85" s="3">
        <f t="shared" si="71"/>
        <v>6.3886715109050973E-2</v>
      </c>
      <c r="BA85" s="3">
        <f t="shared" si="71"/>
        <v>5.6643533547131808E-2</v>
      </c>
      <c r="BB85" s="3">
        <f t="shared" si="71"/>
        <v>5.0876314848317561E-2</v>
      </c>
      <c r="BC85" s="3">
        <f t="shared" si="71"/>
        <v>4.6175449365857935E-2</v>
      </c>
      <c r="BD85" s="3">
        <f t="shared" si="71"/>
        <v>4.2270111738137439E-2</v>
      </c>
      <c r="BE85" s="3">
        <f t="shared" si="71"/>
        <v>3.8974055337733349E-2</v>
      </c>
      <c r="BF85" s="3">
        <f t="shared" si="71"/>
        <v>3.6154977741103211E-2</v>
      </c>
      <c r="BG85" s="3">
        <f t="shared" si="71"/>
        <v>3.3716304729418223E-2</v>
      </c>
      <c r="BH85" s="3">
        <f t="shared" si="71"/>
        <v>3.1585890192009858E-2</v>
      </c>
      <c r="BI85" s="3">
        <f t="shared" si="71"/>
        <v>2.9708750401334472E-2</v>
      </c>
      <c r="BJ85" s="3">
        <f t="shared" si="71"/>
        <v>2.8042246363999546E-2</v>
      </c>
      <c r="BK85" s="3">
        <f t="shared" si="71"/>
        <v>2.6552802965726707E-2</v>
      </c>
      <c r="BL85" s="3">
        <f t="shared" si="71"/>
        <v>2.521362178055897E-2</v>
      </c>
      <c r="BM85" s="3">
        <f t="shared" si="71"/>
        <v>2.4003053268975227E-2</v>
      </c>
      <c r="BN85" s="3">
        <f t="shared" si="71"/>
        <v>2.2903416727041881E-2</v>
      </c>
      <c r="BO85" s="3">
        <f t="shared" si="71"/>
        <v>2.1900130583863975E-2</v>
      </c>
      <c r="BP85" s="3">
        <f t="shared" si="71"/>
        <v>2.0981061813917901E-2</v>
      </c>
      <c r="BQ85" s="3">
        <f t="shared" si="71"/>
        <v>2.0136032649329838E-2</v>
      </c>
      <c r="BR85" s="3">
        <f t="shared" si="71"/>
        <v>1.935644193659769E-2</v>
      </c>
      <c r="BS85" s="3">
        <f t="shared" si="71"/>
        <v>1.8634971209599671E-2</v>
      </c>
      <c r="BT85" s="3">
        <f t="shared" si="71"/>
        <v>1.7965354159258595E-2</v>
      </c>
      <c r="BW85" s="1">
        <v>4</v>
      </c>
      <c r="BX85" s="1"/>
      <c r="BY85" s="1"/>
      <c r="BZ85" s="1">
        <v>0</v>
      </c>
      <c r="CA85" s="1">
        <f t="shared" si="64"/>
        <v>-0.1776528281742451</v>
      </c>
      <c r="CB85" s="1">
        <f t="shared" si="68"/>
        <v>-0.27706405941497669</v>
      </c>
      <c r="CC85" s="1">
        <f t="shared" ref="CC85:CC113" si="72">(1+(Y19/0.03125)*LN(Z19/Y19))</f>
        <v>-0.64791843300216456</v>
      </c>
      <c r="CD85" s="1">
        <v>1</v>
      </c>
      <c r="CE85" s="1">
        <f t="shared" ref="CE85:DE85" si="73">(1+(AA19/0.03125)*LN(AB19/AA19))</f>
        <v>0.45069385566594511</v>
      </c>
      <c r="CF85" s="1">
        <f t="shared" si="73"/>
        <v>0.23376156435101392</v>
      </c>
      <c r="CG85" s="1">
        <f t="shared" si="73"/>
        <v>0.15881940844696774</v>
      </c>
      <c r="CH85" s="1">
        <f t="shared" si="73"/>
        <v>0.12039950101682839</v>
      </c>
      <c r="CI85" s="1">
        <f t="shared" si="73"/>
        <v>9.698187042031936E-2</v>
      </c>
      <c r="CJ85" s="1">
        <f t="shared" si="73"/>
        <v>8.1202534352585731E-2</v>
      </c>
      <c r="CK85" s="1">
        <f t="shared" si="73"/>
        <v>6.9844516335623941E-2</v>
      </c>
      <c r="CL85" s="1">
        <f t="shared" si="73"/>
        <v>6.1276427844955128E-2</v>
      </c>
      <c r="CM85" s="1">
        <f t="shared" si="73"/>
        <v>5.4582101563092622E-2</v>
      </c>
      <c r="CN85" s="1">
        <f t="shared" si="73"/>
        <v>4.920714370866508E-2</v>
      </c>
      <c r="CO85" s="1">
        <f t="shared" si="73"/>
        <v>4.4796328839868726E-2</v>
      </c>
      <c r="CP85" s="1">
        <f t="shared" si="73"/>
        <v>4.1111497200913449E-2</v>
      </c>
      <c r="CQ85" s="1">
        <f t="shared" si="73"/>
        <v>3.7986985798395101E-2</v>
      </c>
      <c r="CR85" s="1">
        <f t="shared" si="73"/>
        <v>3.5303986241041918E-2</v>
      </c>
      <c r="CS85" s="1">
        <f t="shared" si="73"/>
        <v>3.2975069769253906E-2</v>
      </c>
      <c r="CT85" s="1">
        <f t="shared" si="73"/>
        <v>3.09344667893241E-2</v>
      </c>
      <c r="CU85" s="1">
        <f t="shared" si="73"/>
        <v>2.9131749621599035E-2</v>
      </c>
      <c r="CV85" s="1">
        <f t="shared" si="73"/>
        <v>2.7527604790811289E-2</v>
      </c>
      <c r="CW85" s="1">
        <f t="shared" si="73"/>
        <v>2.6090930519695243E-2</v>
      </c>
      <c r="CX85" s="1">
        <f t="shared" si="73"/>
        <v>2.4796798794102348E-2</v>
      </c>
      <c r="CY85" s="1">
        <f t="shared" si="73"/>
        <v>2.3624995720279429E-2</v>
      </c>
      <c r="CZ85" s="1">
        <f t="shared" si="73"/>
        <v>2.255895734971558E-2</v>
      </c>
      <c r="DA85" s="1">
        <f t="shared" si="73"/>
        <v>2.1584981355874944E-2</v>
      </c>
      <c r="DB85" s="1">
        <f t="shared" si="73"/>
        <v>2.0691634586650132E-2</v>
      </c>
      <c r="DC85" s="1">
        <f t="shared" si="73"/>
        <v>1.9869301964369424E-2</v>
      </c>
      <c r="DD85" s="1">
        <f t="shared" si="73"/>
        <v>1.9109838891198327E-2</v>
      </c>
      <c r="DE85" s="1">
        <f t="shared" si="73"/>
        <v>1.8406300470749426E-2</v>
      </c>
      <c r="DF85" s="1" t="e">
        <f t="shared" si="61"/>
        <v>#NUM!</v>
      </c>
    </row>
    <row r="86" spans="1:110" x14ac:dyDescent="0.25">
      <c r="A86" s="10"/>
      <c r="B86" s="10"/>
      <c r="C86" s="10"/>
      <c r="D86" s="10"/>
      <c r="G86" s="1">
        <v>0.13323838214782718</v>
      </c>
      <c r="H86">
        <v>26</v>
      </c>
      <c r="I86" s="1">
        <v>0.13323838214782718</v>
      </c>
      <c r="K86" s="1">
        <f t="shared" si="53"/>
        <v>0.25749450518725281</v>
      </c>
      <c r="M86" s="1">
        <f t="shared" si="54"/>
        <v>0.25749450518725281</v>
      </c>
      <c r="O86" s="1">
        <f t="shared" si="55"/>
        <v>0.1287472525936264</v>
      </c>
      <c r="Q86" s="1">
        <f t="shared" si="56"/>
        <v>0.1287472525936264</v>
      </c>
      <c r="S86" s="1">
        <f t="shared" si="57"/>
        <v>-0.1287472525936264</v>
      </c>
      <c r="U86" s="1">
        <f t="shared" si="58"/>
        <v>-0.1287472525936264</v>
      </c>
      <c r="W86" s="1">
        <f t="shared" si="51"/>
        <v>-0.20519093382109208</v>
      </c>
      <c r="Y86" s="1">
        <f t="shared" si="52"/>
        <v>-0.20519093382109208</v>
      </c>
      <c r="AN86" s="3">
        <v>5</v>
      </c>
      <c r="AO86" s="3">
        <f t="shared" si="62"/>
        <v>-0.12039950101682884</v>
      </c>
      <c r="AP86" s="3">
        <f t="shared" si="66"/>
        <v>-0.15881940844696774</v>
      </c>
      <c r="AQ86" s="3">
        <f t="shared" si="70"/>
        <v>-0.23376156435101392</v>
      </c>
      <c r="AR86" s="3">
        <f t="shared" ref="AR86:AR113" si="74">-(AA20/0.03125)*LN(AA20/Z20)-1</f>
        <v>-0.45069385566594511</v>
      </c>
      <c r="AS86" s="3">
        <v>-1</v>
      </c>
      <c r="AT86" s="3">
        <f t="shared" ref="AT86:BT86" si="75">-(AC20/0.03125)*LN(AC20/AB20)-1</f>
        <v>0.64791843300216456</v>
      </c>
      <c r="AU86" s="3">
        <f t="shared" si="75"/>
        <v>0.27706405941497669</v>
      </c>
      <c r="AV86" s="3">
        <f t="shared" si="75"/>
        <v>0.1776528281742451</v>
      </c>
      <c r="AW86" s="3">
        <f t="shared" si="75"/>
        <v>0.13091492726407772</v>
      </c>
      <c r="AX86" s="3">
        <f t="shared" si="75"/>
        <v>0.10368882504183174</v>
      </c>
      <c r="AY86" s="3">
        <f t="shared" si="75"/>
        <v>8.585155031058056E-2</v>
      </c>
      <c r="AZ86" s="3">
        <f t="shared" si="75"/>
        <v>7.3256327305049274E-2</v>
      </c>
      <c r="BA86" s="3">
        <f t="shared" si="75"/>
        <v>6.3886715109050973E-2</v>
      </c>
      <c r="BB86" s="3">
        <f t="shared" si="75"/>
        <v>5.6643533547131808E-2</v>
      </c>
      <c r="BC86" s="3">
        <f t="shared" si="75"/>
        <v>5.0876314848317561E-2</v>
      </c>
      <c r="BD86" s="3">
        <f t="shared" si="75"/>
        <v>4.6175449365857935E-2</v>
      </c>
      <c r="BE86" s="3">
        <f t="shared" si="75"/>
        <v>4.2270111738137439E-2</v>
      </c>
      <c r="BF86" s="3">
        <f t="shared" si="75"/>
        <v>3.8974055337733349E-2</v>
      </c>
      <c r="BG86" s="3">
        <f t="shared" si="75"/>
        <v>3.6154977741103211E-2</v>
      </c>
      <c r="BH86" s="3">
        <f t="shared" si="75"/>
        <v>3.3716304729418223E-2</v>
      </c>
      <c r="BI86" s="3">
        <f t="shared" si="75"/>
        <v>3.1585890192009858E-2</v>
      </c>
      <c r="BJ86" s="3">
        <f t="shared" si="75"/>
        <v>2.9708750401334472E-2</v>
      </c>
      <c r="BK86" s="3">
        <f t="shared" si="75"/>
        <v>2.8042246363999546E-2</v>
      </c>
      <c r="BL86" s="3">
        <f t="shared" si="75"/>
        <v>2.6552802965726707E-2</v>
      </c>
      <c r="BM86" s="3">
        <f t="shared" si="75"/>
        <v>2.521362178055897E-2</v>
      </c>
      <c r="BN86" s="3">
        <f t="shared" si="75"/>
        <v>2.4003053268975227E-2</v>
      </c>
      <c r="BO86" s="3">
        <f t="shared" si="75"/>
        <v>2.2903416727041881E-2</v>
      </c>
      <c r="BP86" s="3">
        <f t="shared" si="75"/>
        <v>2.1900130583863975E-2</v>
      </c>
      <c r="BQ86" s="3">
        <f t="shared" si="75"/>
        <v>2.0981061813917901E-2</v>
      </c>
      <c r="BR86" s="3">
        <f t="shared" si="75"/>
        <v>2.0136032649329838E-2</v>
      </c>
      <c r="BS86" s="3">
        <f t="shared" si="75"/>
        <v>1.935644193659769E-2</v>
      </c>
      <c r="BT86" s="3">
        <f t="shared" si="75"/>
        <v>1.8634971209599671E-2</v>
      </c>
      <c r="BW86" s="1">
        <v>5</v>
      </c>
      <c r="BX86" s="1"/>
      <c r="BY86" s="1"/>
      <c r="BZ86" s="1">
        <v>0</v>
      </c>
      <c r="CA86" s="1">
        <f t="shared" si="64"/>
        <v>-0.13091492726407727</v>
      </c>
      <c r="CB86" s="1">
        <f t="shared" si="68"/>
        <v>-0.1776528281742451</v>
      </c>
      <c r="CC86" s="1">
        <f t="shared" si="72"/>
        <v>-0.27706405941497669</v>
      </c>
      <c r="CD86" s="1">
        <f t="shared" ref="CD86:CD113" si="76">(1+(Z20/0.03125)*LN(AA20/Z20))</f>
        <v>-0.64791843300216456</v>
      </c>
      <c r="CE86" s="1">
        <v>1</v>
      </c>
      <c r="CF86" s="1">
        <f t="shared" ref="CF86:DE86" si="77">(1+(AB20/0.03125)*LN(AC20/AB20))</f>
        <v>0.45069385566594511</v>
      </c>
      <c r="CG86" s="1">
        <f t="shared" si="77"/>
        <v>0.23376156435101392</v>
      </c>
      <c r="CH86" s="1">
        <f t="shared" si="77"/>
        <v>0.15881940844696774</v>
      </c>
      <c r="CI86" s="1">
        <f t="shared" si="77"/>
        <v>0.12039950101682839</v>
      </c>
      <c r="CJ86" s="1">
        <f t="shared" si="77"/>
        <v>9.698187042031936E-2</v>
      </c>
      <c r="CK86" s="1">
        <f t="shared" si="77"/>
        <v>8.1202534352585731E-2</v>
      </c>
      <c r="CL86" s="1">
        <f t="shared" si="77"/>
        <v>6.9844516335623941E-2</v>
      </c>
      <c r="CM86" s="1">
        <f t="shared" si="77"/>
        <v>6.1276427844955128E-2</v>
      </c>
      <c r="CN86" s="1">
        <f t="shared" si="77"/>
        <v>5.4582101563092622E-2</v>
      </c>
      <c r="CO86" s="1">
        <f t="shared" si="77"/>
        <v>4.920714370866508E-2</v>
      </c>
      <c r="CP86" s="1">
        <f t="shared" si="77"/>
        <v>4.4796328839868726E-2</v>
      </c>
      <c r="CQ86" s="1">
        <f t="shared" si="77"/>
        <v>4.1111497200913449E-2</v>
      </c>
      <c r="CR86" s="1">
        <f t="shared" si="77"/>
        <v>3.7986985798395101E-2</v>
      </c>
      <c r="CS86" s="1">
        <f t="shared" si="77"/>
        <v>3.5303986241041918E-2</v>
      </c>
      <c r="CT86" s="1">
        <f t="shared" si="77"/>
        <v>3.2975069769253906E-2</v>
      </c>
      <c r="CU86" s="1">
        <f t="shared" si="77"/>
        <v>3.09344667893241E-2</v>
      </c>
      <c r="CV86" s="1">
        <f t="shared" si="77"/>
        <v>2.9131749621599035E-2</v>
      </c>
      <c r="CW86" s="1">
        <f t="shared" si="77"/>
        <v>2.7527604790811289E-2</v>
      </c>
      <c r="CX86" s="1">
        <f t="shared" si="77"/>
        <v>2.6090930519695243E-2</v>
      </c>
      <c r="CY86" s="1">
        <f t="shared" si="77"/>
        <v>2.4796798794102348E-2</v>
      </c>
      <c r="CZ86" s="1">
        <f t="shared" si="77"/>
        <v>2.3624995720279429E-2</v>
      </c>
      <c r="DA86" s="1">
        <f t="shared" si="77"/>
        <v>2.255895734971558E-2</v>
      </c>
      <c r="DB86" s="1">
        <f t="shared" si="77"/>
        <v>2.1584981355874944E-2</v>
      </c>
      <c r="DC86" s="1">
        <f t="shared" si="77"/>
        <v>2.0691634586650132E-2</v>
      </c>
      <c r="DD86" s="1">
        <f t="shared" si="77"/>
        <v>1.9869301964369424E-2</v>
      </c>
      <c r="DE86" s="1">
        <f t="shared" si="77"/>
        <v>1.9109838891198327E-2</v>
      </c>
      <c r="DF86" s="1" t="e">
        <f t="shared" si="61"/>
        <v>#NUM!</v>
      </c>
    </row>
    <row r="87" spans="1:110" x14ac:dyDescent="0.25">
      <c r="G87" s="1">
        <v>0.12425612303942563</v>
      </c>
      <c r="H87">
        <v>27</v>
      </c>
      <c r="I87" s="1">
        <v>0.12425612303942563</v>
      </c>
      <c r="K87" s="1">
        <f t="shared" si="53"/>
        <v>0.23843833405819331</v>
      </c>
      <c r="M87" s="1">
        <f t="shared" si="54"/>
        <v>0.23843833405819331</v>
      </c>
      <c r="O87" s="1">
        <f t="shared" si="55"/>
        <v>0.11921916702909666</v>
      </c>
      <c r="Q87" s="1">
        <f t="shared" si="56"/>
        <v>0.11921916702909666</v>
      </c>
      <c r="S87" s="1">
        <f t="shared" si="57"/>
        <v>-0.11921916702909666</v>
      </c>
      <c r="U87" s="1">
        <f t="shared" si="58"/>
        <v>-0.11921916702909666</v>
      </c>
      <c r="W87" s="1">
        <f t="shared" si="51"/>
        <v>-0.19745674539194133</v>
      </c>
      <c r="Y87" s="1">
        <f t="shared" si="52"/>
        <v>-0.19745674539194133</v>
      </c>
      <c r="AN87" s="3">
        <v>6</v>
      </c>
      <c r="AO87" s="3">
        <f t="shared" si="62"/>
        <v>-9.6981870420320027E-2</v>
      </c>
      <c r="AP87" s="3">
        <f t="shared" si="66"/>
        <v>-0.12039950101682884</v>
      </c>
      <c r="AQ87" s="3">
        <f t="shared" si="70"/>
        <v>-0.15881940844696774</v>
      </c>
      <c r="AR87" s="3">
        <f t="shared" si="74"/>
        <v>-0.23376156435101392</v>
      </c>
      <c r="AS87" s="3">
        <f t="shared" ref="AS87:AS113" si="78">-(AB21/0.03125)*LN(AB21/AA21)-1</f>
        <v>-0.45069385566594511</v>
      </c>
      <c r="AT87" s="3">
        <v>-1</v>
      </c>
      <c r="AU87" s="3">
        <f t="shared" ref="AU87:BT87" si="79">-(AD21/0.03125)*LN(AD21/AC21)-1</f>
        <v>0.64791843300216456</v>
      </c>
      <c r="AV87" s="3">
        <f t="shared" si="79"/>
        <v>0.27706405941497669</v>
      </c>
      <c r="AW87" s="3">
        <f t="shared" si="79"/>
        <v>0.1776528281742451</v>
      </c>
      <c r="AX87" s="3">
        <f t="shared" si="79"/>
        <v>0.13091492726407772</v>
      </c>
      <c r="AY87" s="3">
        <f t="shared" si="79"/>
        <v>0.10368882504183174</v>
      </c>
      <c r="AZ87" s="3">
        <f t="shared" si="79"/>
        <v>8.585155031058056E-2</v>
      </c>
      <c r="BA87" s="3">
        <f t="shared" si="79"/>
        <v>7.3256327305049274E-2</v>
      </c>
      <c r="BB87" s="3">
        <f t="shared" si="79"/>
        <v>6.3886715109050973E-2</v>
      </c>
      <c r="BC87" s="3">
        <f t="shared" si="79"/>
        <v>5.6643533547131808E-2</v>
      </c>
      <c r="BD87" s="3">
        <f t="shared" si="79"/>
        <v>5.0876314848317561E-2</v>
      </c>
      <c r="BE87" s="3">
        <f t="shared" si="79"/>
        <v>4.6175449365857935E-2</v>
      </c>
      <c r="BF87" s="3">
        <f t="shared" si="79"/>
        <v>4.2270111738137439E-2</v>
      </c>
      <c r="BG87" s="3">
        <f t="shared" si="79"/>
        <v>3.8974055337733349E-2</v>
      </c>
      <c r="BH87" s="3">
        <f t="shared" si="79"/>
        <v>3.6154977741103211E-2</v>
      </c>
      <c r="BI87" s="3">
        <f t="shared" si="79"/>
        <v>3.3716304729418223E-2</v>
      </c>
      <c r="BJ87" s="3">
        <f t="shared" si="79"/>
        <v>3.1585890192009858E-2</v>
      </c>
      <c r="BK87" s="3">
        <f t="shared" si="79"/>
        <v>2.9708750401334472E-2</v>
      </c>
      <c r="BL87" s="3">
        <f t="shared" si="79"/>
        <v>2.8042246363999546E-2</v>
      </c>
      <c r="BM87" s="3">
        <f t="shared" si="79"/>
        <v>2.6552802965726707E-2</v>
      </c>
      <c r="BN87" s="3">
        <f t="shared" si="79"/>
        <v>2.521362178055897E-2</v>
      </c>
      <c r="BO87" s="3">
        <f t="shared" si="79"/>
        <v>2.4003053268975227E-2</v>
      </c>
      <c r="BP87" s="3">
        <f t="shared" si="79"/>
        <v>2.2903416727041881E-2</v>
      </c>
      <c r="BQ87" s="3">
        <f t="shared" si="79"/>
        <v>2.1900130583863975E-2</v>
      </c>
      <c r="BR87" s="3">
        <f t="shared" si="79"/>
        <v>2.0981061813917901E-2</v>
      </c>
      <c r="BS87" s="3">
        <f t="shared" si="79"/>
        <v>2.0136032649329838E-2</v>
      </c>
      <c r="BT87" s="3">
        <f t="shared" si="79"/>
        <v>1.935644193659769E-2</v>
      </c>
      <c r="BW87" s="1">
        <v>6</v>
      </c>
      <c r="BX87" s="1"/>
      <c r="BY87" s="1"/>
      <c r="BZ87" s="1">
        <v>0</v>
      </c>
      <c r="CA87" s="1">
        <f t="shared" si="64"/>
        <v>-0.10368882504183108</v>
      </c>
      <c r="CB87" s="1">
        <f t="shared" si="68"/>
        <v>-0.13091492726407727</v>
      </c>
      <c r="CC87" s="1">
        <f t="shared" si="72"/>
        <v>-0.1776528281742451</v>
      </c>
      <c r="CD87" s="1">
        <f t="shared" si="76"/>
        <v>-0.27706405941497669</v>
      </c>
      <c r="CE87" s="1">
        <f t="shared" ref="CE87:CE113" si="80">(1+(AA21/0.03125)*LN(AB21/AA21))</f>
        <v>-0.64791843300216456</v>
      </c>
      <c r="CF87" s="1">
        <v>1</v>
      </c>
      <c r="CG87" s="1">
        <f t="shared" ref="CG87:DE87" si="81">(1+(AC21/0.03125)*LN(AD21/AC21))</f>
        <v>0.45069385566594511</v>
      </c>
      <c r="CH87" s="1">
        <f t="shared" si="81"/>
        <v>0.23376156435101392</v>
      </c>
      <c r="CI87" s="1">
        <f t="shared" si="81"/>
        <v>0.15881940844696774</v>
      </c>
      <c r="CJ87" s="1">
        <f t="shared" si="81"/>
        <v>0.12039950101682839</v>
      </c>
      <c r="CK87" s="1">
        <f t="shared" si="81"/>
        <v>9.698187042031936E-2</v>
      </c>
      <c r="CL87" s="1">
        <f t="shared" si="81"/>
        <v>8.1202534352585731E-2</v>
      </c>
      <c r="CM87" s="1">
        <f t="shared" si="81"/>
        <v>6.9844516335623941E-2</v>
      </c>
      <c r="CN87" s="1">
        <f t="shared" si="81"/>
        <v>6.1276427844955128E-2</v>
      </c>
      <c r="CO87" s="1">
        <f t="shared" si="81"/>
        <v>5.4582101563092622E-2</v>
      </c>
      <c r="CP87" s="1">
        <f t="shared" si="81"/>
        <v>4.920714370866508E-2</v>
      </c>
      <c r="CQ87" s="1">
        <f t="shared" si="81"/>
        <v>4.4796328839868726E-2</v>
      </c>
      <c r="CR87" s="1">
        <f t="shared" si="81"/>
        <v>4.1111497200913449E-2</v>
      </c>
      <c r="CS87" s="1">
        <f t="shared" si="81"/>
        <v>3.7986985798395101E-2</v>
      </c>
      <c r="CT87" s="1">
        <f t="shared" si="81"/>
        <v>3.5303986241041918E-2</v>
      </c>
      <c r="CU87" s="1">
        <f t="shared" si="81"/>
        <v>3.2975069769253906E-2</v>
      </c>
      <c r="CV87" s="1">
        <f t="shared" si="81"/>
        <v>3.09344667893241E-2</v>
      </c>
      <c r="CW87" s="1">
        <f t="shared" si="81"/>
        <v>2.9131749621599035E-2</v>
      </c>
      <c r="CX87" s="1">
        <f t="shared" si="81"/>
        <v>2.7527604790811289E-2</v>
      </c>
      <c r="CY87" s="1">
        <f t="shared" si="81"/>
        <v>2.6090930519695243E-2</v>
      </c>
      <c r="CZ87" s="1">
        <f t="shared" si="81"/>
        <v>2.4796798794102348E-2</v>
      </c>
      <c r="DA87" s="1">
        <f t="shared" si="81"/>
        <v>2.3624995720279429E-2</v>
      </c>
      <c r="DB87" s="1">
        <f t="shared" si="81"/>
        <v>2.255895734971558E-2</v>
      </c>
      <c r="DC87" s="1">
        <f t="shared" si="81"/>
        <v>2.1584981355874944E-2</v>
      </c>
      <c r="DD87" s="1">
        <f t="shared" si="81"/>
        <v>2.0691634586650132E-2</v>
      </c>
      <c r="DE87" s="1">
        <f t="shared" si="81"/>
        <v>1.9869301964369424E-2</v>
      </c>
      <c r="DF87" s="1" t="e">
        <f t="shared" si="61"/>
        <v>#NUM!</v>
      </c>
    </row>
    <row r="88" spans="1:110" x14ac:dyDescent="0.25">
      <c r="G88" s="1">
        <v>0.11418221101876769</v>
      </c>
      <c r="H88">
        <v>28</v>
      </c>
      <c r="I88" s="1">
        <v>0.11418221101876769</v>
      </c>
      <c r="K88" s="1">
        <f t="shared" si="53"/>
        <v>0.2168647972645335</v>
      </c>
      <c r="M88" s="1">
        <f t="shared" si="54"/>
        <v>0.2168647972645335</v>
      </c>
      <c r="O88" s="1">
        <f t="shared" si="55"/>
        <v>0.10843239863226675</v>
      </c>
      <c r="Q88" s="1">
        <f t="shared" si="56"/>
        <v>0.10843239863226675</v>
      </c>
      <c r="S88" s="1">
        <f t="shared" si="57"/>
        <v>-0.10843239863226675</v>
      </c>
      <c r="U88" s="1">
        <f t="shared" si="58"/>
        <v>-0.10843239863226675</v>
      </c>
      <c r="W88" s="1">
        <f t="shared" si="51"/>
        <v>-0.18636818514920847</v>
      </c>
      <c r="Y88" s="1">
        <f t="shared" si="52"/>
        <v>-0.18636818514920847</v>
      </c>
      <c r="AN88" s="3">
        <v>7</v>
      </c>
      <c r="AO88" s="3">
        <f t="shared" si="62"/>
        <v>-8.1202534352585842E-2</v>
      </c>
      <c r="AP88" s="3">
        <f t="shared" si="66"/>
        <v>-9.6981870420320027E-2</v>
      </c>
      <c r="AQ88" s="3">
        <f t="shared" si="70"/>
        <v>-0.12039950101682884</v>
      </c>
      <c r="AR88" s="3">
        <f t="shared" si="74"/>
        <v>-0.15881940844696774</v>
      </c>
      <c r="AS88" s="3">
        <f t="shared" si="78"/>
        <v>-0.23376156435101392</v>
      </c>
      <c r="AT88" s="3">
        <f t="shared" ref="AT88:AT113" si="82">-(AC22/0.03125)*LN(AC22/AB22)-1</f>
        <v>-0.45069385566594511</v>
      </c>
      <c r="AU88" s="3">
        <v>-1</v>
      </c>
      <c r="AV88" s="3">
        <f t="shared" ref="AV88:BT88" si="83">-(AE22/0.03125)*LN(AE22/AD22)-1</f>
        <v>0.64791843300216456</v>
      </c>
      <c r="AW88" s="3">
        <f t="shared" si="83"/>
        <v>0.27706405941497669</v>
      </c>
      <c r="AX88" s="3">
        <f t="shared" si="83"/>
        <v>0.1776528281742451</v>
      </c>
      <c r="AY88" s="3">
        <f t="shared" si="83"/>
        <v>0.13091492726407772</v>
      </c>
      <c r="AZ88" s="3">
        <f t="shared" si="83"/>
        <v>0.10368882504183174</v>
      </c>
      <c r="BA88" s="3">
        <f t="shared" si="83"/>
        <v>8.585155031058056E-2</v>
      </c>
      <c r="BB88" s="3">
        <f t="shared" si="83"/>
        <v>7.3256327305049274E-2</v>
      </c>
      <c r="BC88" s="3">
        <f t="shared" si="83"/>
        <v>6.3886715109050973E-2</v>
      </c>
      <c r="BD88" s="3">
        <f t="shared" si="83"/>
        <v>5.6643533547131808E-2</v>
      </c>
      <c r="BE88" s="3">
        <f t="shared" si="83"/>
        <v>5.0876314848317561E-2</v>
      </c>
      <c r="BF88" s="3">
        <f t="shared" si="83"/>
        <v>4.6175449365857935E-2</v>
      </c>
      <c r="BG88" s="3">
        <f t="shared" si="83"/>
        <v>4.2270111738137439E-2</v>
      </c>
      <c r="BH88" s="3">
        <f t="shared" si="83"/>
        <v>3.8974055337733349E-2</v>
      </c>
      <c r="BI88" s="3">
        <f t="shared" si="83"/>
        <v>3.6154977741103211E-2</v>
      </c>
      <c r="BJ88" s="3">
        <f t="shared" si="83"/>
        <v>3.3716304729418223E-2</v>
      </c>
      <c r="BK88" s="3">
        <f t="shared" si="83"/>
        <v>3.1585890192009858E-2</v>
      </c>
      <c r="BL88" s="3">
        <f t="shared" si="83"/>
        <v>2.9708750401334472E-2</v>
      </c>
      <c r="BM88" s="3">
        <f t="shared" si="83"/>
        <v>2.8042246363999546E-2</v>
      </c>
      <c r="BN88" s="3">
        <f t="shared" si="83"/>
        <v>2.6552802965726707E-2</v>
      </c>
      <c r="BO88" s="3">
        <f t="shared" si="83"/>
        <v>2.521362178055897E-2</v>
      </c>
      <c r="BP88" s="3">
        <f t="shared" si="83"/>
        <v>2.4003053268975227E-2</v>
      </c>
      <c r="BQ88" s="3">
        <f t="shared" si="83"/>
        <v>2.2903416727041881E-2</v>
      </c>
      <c r="BR88" s="3">
        <f t="shared" si="83"/>
        <v>2.1900130583863975E-2</v>
      </c>
      <c r="BS88" s="3">
        <f t="shared" si="83"/>
        <v>2.0981061813917901E-2</v>
      </c>
      <c r="BT88" s="3">
        <f t="shared" si="83"/>
        <v>2.0136032649329838E-2</v>
      </c>
      <c r="BW88" s="1">
        <v>7</v>
      </c>
      <c r="BX88" s="1"/>
      <c r="BY88" s="1"/>
      <c r="BZ88" s="1">
        <v>0</v>
      </c>
      <c r="CA88" s="1">
        <f t="shared" si="64"/>
        <v>-8.5851550310580338E-2</v>
      </c>
      <c r="CB88" s="1">
        <f t="shared" si="68"/>
        <v>-0.10368882504183108</v>
      </c>
      <c r="CC88" s="1">
        <f t="shared" si="72"/>
        <v>-0.13091492726407727</v>
      </c>
      <c r="CD88" s="1">
        <f t="shared" si="76"/>
        <v>-0.1776528281742451</v>
      </c>
      <c r="CE88" s="1">
        <f t="shared" si="80"/>
        <v>-0.27706405941497669</v>
      </c>
      <c r="CF88" s="1">
        <f t="shared" ref="CF88:CF113" si="84">(1+(AB22/0.03125)*LN(AC22/AB22))</f>
        <v>-0.64791843300216456</v>
      </c>
      <c r="CG88" s="1">
        <v>1</v>
      </c>
      <c r="CH88" s="1">
        <f t="shared" ref="CH88:DE88" si="85">(1+(AD22/0.03125)*LN(AE22/AD22))</f>
        <v>0.45069385566594511</v>
      </c>
      <c r="CI88" s="1">
        <f t="shared" si="85"/>
        <v>0.23376156435101392</v>
      </c>
      <c r="CJ88" s="1">
        <f t="shared" si="85"/>
        <v>0.15881940844696774</v>
      </c>
      <c r="CK88" s="1">
        <f t="shared" si="85"/>
        <v>0.12039950101682839</v>
      </c>
      <c r="CL88" s="1">
        <f t="shared" si="85"/>
        <v>9.698187042031936E-2</v>
      </c>
      <c r="CM88" s="1">
        <f t="shared" si="85"/>
        <v>8.1202534352585731E-2</v>
      </c>
      <c r="CN88" s="1">
        <f t="shared" si="85"/>
        <v>6.9844516335623941E-2</v>
      </c>
      <c r="CO88" s="1">
        <f t="shared" si="85"/>
        <v>6.1276427844955128E-2</v>
      </c>
      <c r="CP88" s="1">
        <f t="shared" si="85"/>
        <v>5.4582101563092622E-2</v>
      </c>
      <c r="CQ88" s="1">
        <f t="shared" si="85"/>
        <v>4.920714370866508E-2</v>
      </c>
      <c r="CR88" s="1">
        <f t="shared" si="85"/>
        <v>4.4796328839868726E-2</v>
      </c>
      <c r="CS88" s="1">
        <f t="shared" si="85"/>
        <v>4.1111497200913449E-2</v>
      </c>
      <c r="CT88" s="1">
        <f t="shared" si="85"/>
        <v>3.7986985798395101E-2</v>
      </c>
      <c r="CU88" s="1">
        <f t="shared" si="85"/>
        <v>3.5303986241041918E-2</v>
      </c>
      <c r="CV88" s="1">
        <f t="shared" si="85"/>
        <v>3.2975069769253906E-2</v>
      </c>
      <c r="CW88" s="1">
        <f t="shared" si="85"/>
        <v>3.09344667893241E-2</v>
      </c>
      <c r="CX88" s="1">
        <f t="shared" si="85"/>
        <v>2.9131749621599035E-2</v>
      </c>
      <c r="CY88" s="1">
        <f t="shared" si="85"/>
        <v>2.7527604790811289E-2</v>
      </c>
      <c r="CZ88" s="1">
        <f t="shared" si="85"/>
        <v>2.6090930519695243E-2</v>
      </c>
      <c r="DA88" s="1">
        <f t="shared" si="85"/>
        <v>2.4796798794102348E-2</v>
      </c>
      <c r="DB88" s="1">
        <f t="shared" si="85"/>
        <v>2.3624995720279429E-2</v>
      </c>
      <c r="DC88" s="1">
        <f t="shared" si="85"/>
        <v>2.255895734971558E-2</v>
      </c>
      <c r="DD88" s="1">
        <f t="shared" si="85"/>
        <v>2.1584981355874944E-2</v>
      </c>
      <c r="DE88" s="1">
        <f t="shared" si="85"/>
        <v>2.0691634586650132E-2</v>
      </c>
      <c r="DF88" s="1" t="e">
        <f t="shared" si="61"/>
        <v>#NUM!</v>
      </c>
    </row>
    <row r="89" spans="1:110" x14ac:dyDescent="0.25">
      <c r="G89" s="1">
        <v>0.1026825862457658</v>
      </c>
      <c r="H89">
        <v>29</v>
      </c>
      <c r="I89" s="1">
        <v>0.1026825862457658</v>
      </c>
      <c r="K89" s="1">
        <f t="shared" si="53"/>
        <v>0.1918921590755101</v>
      </c>
      <c r="M89" s="1">
        <f t="shared" si="54"/>
        <v>0.1918921590755101</v>
      </c>
      <c r="O89" s="1">
        <f t="shared" si="55"/>
        <v>9.5946079537755052E-2</v>
      </c>
      <c r="Q89" s="1">
        <f t="shared" si="56"/>
        <v>9.5946079537755052E-2</v>
      </c>
      <c r="S89" s="1">
        <f t="shared" si="57"/>
        <v>-9.5946079537755052E-2</v>
      </c>
      <c r="U89" s="1">
        <f t="shared" si="58"/>
        <v>-9.5946079537755052E-2</v>
      </c>
      <c r="W89" s="1">
        <f t="shared" si="51"/>
        <v>-0.17090395417662618</v>
      </c>
      <c r="Y89" s="1">
        <f t="shared" si="52"/>
        <v>-0.17090395417662618</v>
      </c>
      <c r="AN89" s="3">
        <v>8</v>
      </c>
      <c r="AO89" s="3">
        <f t="shared" si="62"/>
        <v>-6.9844516335623608E-2</v>
      </c>
      <c r="AP89" s="3">
        <f t="shared" si="66"/>
        <v>-8.1202534352585842E-2</v>
      </c>
      <c r="AQ89" s="3">
        <f t="shared" si="70"/>
        <v>-9.6981870420320027E-2</v>
      </c>
      <c r="AR89" s="3">
        <f t="shared" si="74"/>
        <v>-0.12039950101682884</v>
      </c>
      <c r="AS89" s="3">
        <f t="shared" si="78"/>
        <v>-0.15881940844696774</v>
      </c>
      <c r="AT89" s="3">
        <f t="shared" si="82"/>
        <v>-0.23376156435101392</v>
      </c>
      <c r="AU89" s="3">
        <f t="shared" ref="AU89:AU113" si="86">-(AD23/0.03125)*LN(AD23/AC23)-1</f>
        <v>-0.45069385566594511</v>
      </c>
      <c r="AV89" s="3">
        <v>-1</v>
      </c>
      <c r="AW89" s="3">
        <f t="shared" ref="AW89:BT89" si="87">-(AF23/0.03125)*LN(AF23/AE23)-1</f>
        <v>0.64791843300216456</v>
      </c>
      <c r="AX89" s="3">
        <f t="shared" si="87"/>
        <v>0.27706405941497669</v>
      </c>
      <c r="AY89" s="3">
        <f t="shared" si="87"/>
        <v>0.1776528281742451</v>
      </c>
      <c r="AZ89" s="3">
        <f t="shared" si="87"/>
        <v>0.13091492726407772</v>
      </c>
      <c r="BA89" s="3">
        <f t="shared" si="87"/>
        <v>0.10368882504183174</v>
      </c>
      <c r="BB89" s="3">
        <f t="shared" si="87"/>
        <v>8.585155031058056E-2</v>
      </c>
      <c r="BC89" s="3">
        <f t="shared" si="87"/>
        <v>7.3256327305049274E-2</v>
      </c>
      <c r="BD89" s="3">
        <f t="shared" si="87"/>
        <v>6.3886715109050973E-2</v>
      </c>
      <c r="BE89" s="3">
        <f t="shared" si="87"/>
        <v>5.6643533547131808E-2</v>
      </c>
      <c r="BF89" s="3">
        <f t="shared" si="87"/>
        <v>5.0876314848317561E-2</v>
      </c>
      <c r="BG89" s="3">
        <f t="shared" si="87"/>
        <v>4.6175449365857935E-2</v>
      </c>
      <c r="BH89" s="3">
        <f t="shared" si="87"/>
        <v>4.2270111738137439E-2</v>
      </c>
      <c r="BI89" s="3">
        <f t="shared" si="87"/>
        <v>3.8974055337733349E-2</v>
      </c>
      <c r="BJ89" s="3">
        <f t="shared" si="87"/>
        <v>3.6154977741103211E-2</v>
      </c>
      <c r="BK89" s="3">
        <f t="shared" si="87"/>
        <v>3.3716304729418223E-2</v>
      </c>
      <c r="BL89" s="3">
        <f t="shared" si="87"/>
        <v>3.1585890192009858E-2</v>
      </c>
      <c r="BM89" s="3">
        <f t="shared" si="87"/>
        <v>2.9708750401334472E-2</v>
      </c>
      <c r="BN89" s="3">
        <f t="shared" si="87"/>
        <v>2.8042246363999546E-2</v>
      </c>
      <c r="BO89" s="3">
        <f t="shared" si="87"/>
        <v>2.6552802965726707E-2</v>
      </c>
      <c r="BP89" s="3">
        <f t="shared" si="87"/>
        <v>2.521362178055897E-2</v>
      </c>
      <c r="BQ89" s="3">
        <f t="shared" si="87"/>
        <v>2.4003053268975227E-2</v>
      </c>
      <c r="BR89" s="3">
        <f t="shared" si="87"/>
        <v>2.2903416727041881E-2</v>
      </c>
      <c r="BS89" s="3">
        <f t="shared" si="87"/>
        <v>2.1900130583863975E-2</v>
      </c>
      <c r="BT89" s="3">
        <f t="shared" si="87"/>
        <v>2.0981061813917901E-2</v>
      </c>
      <c r="BW89" s="1">
        <v>8</v>
      </c>
      <c r="BX89" s="1"/>
      <c r="BY89" s="1"/>
      <c r="BZ89" s="1">
        <v>0</v>
      </c>
      <c r="CA89" s="1">
        <f t="shared" si="64"/>
        <v>-7.3256327305049718E-2</v>
      </c>
      <c r="CB89" s="1">
        <f t="shared" si="68"/>
        <v>-8.5851550310580338E-2</v>
      </c>
      <c r="CC89" s="1">
        <f t="shared" si="72"/>
        <v>-0.10368882504183108</v>
      </c>
      <c r="CD89" s="1">
        <f t="shared" si="76"/>
        <v>-0.13091492726407727</v>
      </c>
      <c r="CE89" s="1">
        <f t="shared" si="80"/>
        <v>-0.1776528281742451</v>
      </c>
      <c r="CF89" s="1">
        <f t="shared" si="84"/>
        <v>-0.27706405941497669</v>
      </c>
      <c r="CG89" s="1">
        <f t="shared" ref="CG89:CG113" si="88">(1+(AC23/0.03125)*LN(AD23/AC23))</f>
        <v>-0.64791843300216456</v>
      </c>
      <c r="CH89" s="1">
        <v>1</v>
      </c>
      <c r="CI89" s="1">
        <f t="shared" ref="CI89:DE89" si="89">(1+(AE23/0.03125)*LN(AF23/AE23))</f>
        <v>0.45069385566594511</v>
      </c>
      <c r="CJ89" s="1">
        <f t="shared" si="89"/>
        <v>0.23376156435101392</v>
      </c>
      <c r="CK89" s="1">
        <f t="shared" si="89"/>
        <v>0.15881940844696774</v>
      </c>
      <c r="CL89" s="1">
        <f t="shared" si="89"/>
        <v>0.12039950101682839</v>
      </c>
      <c r="CM89" s="1">
        <f t="shared" si="89"/>
        <v>9.698187042031936E-2</v>
      </c>
      <c r="CN89" s="1">
        <f t="shared" si="89"/>
        <v>8.1202534352585731E-2</v>
      </c>
      <c r="CO89" s="1">
        <f t="shared" si="89"/>
        <v>6.9844516335623941E-2</v>
      </c>
      <c r="CP89" s="1">
        <f t="shared" si="89"/>
        <v>6.1276427844955128E-2</v>
      </c>
      <c r="CQ89" s="1">
        <f t="shared" si="89"/>
        <v>5.4582101563092622E-2</v>
      </c>
      <c r="CR89" s="1">
        <f t="shared" si="89"/>
        <v>4.920714370866508E-2</v>
      </c>
      <c r="CS89" s="1">
        <f t="shared" si="89"/>
        <v>4.4796328839868726E-2</v>
      </c>
      <c r="CT89" s="1">
        <f t="shared" si="89"/>
        <v>4.1111497200913449E-2</v>
      </c>
      <c r="CU89" s="1">
        <f t="shared" si="89"/>
        <v>3.7986985798395101E-2</v>
      </c>
      <c r="CV89" s="1">
        <f t="shared" si="89"/>
        <v>3.5303986241041918E-2</v>
      </c>
      <c r="CW89" s="1">
        <f t="shared" si="89"/>
        <v>3.2975069769253906E-2</v>
      </c>
      <c r="CX89" s="1">
        <f t="shared" si="89"/>
        <v>3.09344667893241E-2</v>
      </c>
      <c r="CY89" s="1">
        <f t="shared" si="89"/>
        <v>2.9131749621599035E-2</v>
      </c>
      <c r="CZ89" s="1">
        <f t="shared" si="89"/>
        <v>2.7527604790811289E-2</v>
      </c>
      <c r="DA89" s="1">
        <f t="shared" si="89"/>
        <v>2.6090930519695243E-2</v>
      </c>
      <c r="DB89" s="1">
        <f t="shared" si="89"/>
        <v>2.4796798794102348E-2</v>
      </c>
      <c r="DC89" s="1">
        <f t="shared" si="89"/>
        <v>2.3624995720279429E-2</v>
      </c>
      <c r="DD89" s="1">
        <f t="shared" si="89"/>
        <v>2.255895734971558E-2</v>
      </c>
      <c r="DE89" s="1">
        <f t="shared" si="89"/>
        <v>2.1584981355874944E-2</v>
      </c>
      <c r="DF89" s="1" t="e">
        <f t="shared" si="61"/>
        <v>#NUM!</v>
      </c>
    </row>
    <row r="90" spans="1:110" x14ac:dyDescent="0.25">
      <c r="G90" s="1">
        <v>8.9209572829744316E-2</v>
      </c>
      <c r="H90">
        <v>30</v>
      </c>
      <c r="I90" s="1">
        <v>8.9209572829744316E-2</v>
      </c>
      <c r="K90" s="1">
        <f t="shared" si="53"/>
        <v>0.1618674094960193</v>
      </c>
      <c r="M90" s="1">
        <f t="shared" si="54"/>
        <v>0.1618674094960193</v>
      </c>
      <c r="O90" s="1">
        <f t="shared" si="55"/>
        <v>8.0933704748009649E-2</v>
      </c>
      <c r="Q90" s="1">
        <f t="shared" si="56"/>
        <v>8.0933704748009649E-2</v>
      </c>
      <c r="S90" s="1">
        <f t="shared" si="57"/>
        <v>-8.0933704748009649E-2</v>
      </c>
      <c r="U90" s="1">
        <f t="shared" si="58"/>
        <v>-8.0933704748009649E-2</v>
      </c>
      <c r="W90" s="1">
        <f t="shared" si="51"/>
        <v>-0.1492215181291428</v>
      </c>
      <c r="Y90" s="1">
        <f t="shared" si="52"/>
        <v>-0.1492215181291428</v>
      </c>
      <c r="AN90" s="3">
        <v>9</v>
      </c>
      <c r="AO90" s="3">
        <f t="shared" si="62"/>
        <v>-6.1276427844954684E-2</v>
      </c>
      <c r="AP90" s="3">
        <f t="shared" si="66"/>
        <v>-6.9844516335623608E-2</v>
      </c>
      <c r="AQ90" s="3">
        <f t="shared" si="70"/>
        <v>-8.1202534352585842E-2</v>
      </c>
      <c r="AR90" s="3">
        <f t="shared" si="74"/>
        <v>-9.6981870420320027E-2</v>
      </c>
      <c r="AS90" s="3">
        <f t="shared" si="78"/>
        <v>-0.12039950101682884</v>
      </c>
      <c r="AT90" s="3">
        <f t="shared" si="82"/>
        <v>-0.15881940844696774</v>
      </c>
      <c r="AU90" s="3">
        <f t="shared" si="86"/>
        <v>-0.23376156435101392</v>
      </c>
      <c r="AV90" s="3">
        <f t="shared" ref="AV90:AV113" si="90">-(AE24/0.03125)*LN(AE24/AD24)-1</f>
        <v>-0.45069385566594511</v>
      </c>
      <c r="AW90" s="3">
        <v>-1</v>
      </c>
      <c r="AX90" s="3">
        <f t="shared" ref="AX90:BT90" si="91">-(AG24/0.03125)*LN(AG24/AF24)-1</f>
        <v>0.64791843300216456</v>
      </c>
      <c r="AY90" s="3">
        <f t="shared" si="91"/>
        <v>0.27706405941497669</v>
      </c>
      <c r="AZ90" s="3">
        <f t="shared" si="91"/>
        <v>0.1776528281742451</v>
      </c>
      <c r="BA90" s="3">
        <f t="shared" si="91"/>
        <v>0.13091492726407772</v>
      </c>
      <c r="BB90" s="3">
        <f t="shared" si="91"/>
        <v>0.10368882504183174</v>
      </c>
      <c r="BC90" s="3">
        <f t="shared" si="91"/>
        <v>8.585155031058056E-2</v>
      </c>
      <c r="BD90" s="3">
        <f t="shared" si="91"/>
        <v>7.3256327305049274E-2</v>
      </c>
      <c r="BE90" s="3">
        <f t="shared" si="91"/>
        <v>6.3886715109050973E-2</v>
      </c>
      <c r="BF90" s="3">
        <f t="shared" si="91"/>
        <v>5.6643533547131808E-2</v>
      </c>
      <c r="BG90" s="3">
        <f t="shared" si="91"/>
        <v>5.0876314848317561E-2</v>
      </c>
      <c r="BH90" s="3">
        <f t="shared" si="91"/>
        <v>4.6175449365857935E-2</v>
      </c>
      <c r="BI90" s="3">
        <f t="shared" si="91"/>
        <v>4.2270111738137439E-2</v>
      </c>
      <c r="BJ90" s="3">
        <f t="shared" si="91"/>
        <v>3.8974055337733349E-2</v>
      </c>
      <c r="BK90" s="3">
        <f t="shared" si="91"/>
        <v>3.6154977741103211E-2</v>
      </c>
      <c r="BL90" s="3">
        <f t="shared" si="91"/>
        <v>3.3716304729418223E-2</v>
      </c>
      <c r="BM90" s="3">
        <f t="shared" si="91"/>
        <v>3.1585890192009858E-2</v>
      </c>
      <c r="BN90" s="3">
        <f t="shared" si="91"/>
        <v>2.9708750401334472E-2</v>
      </c>
      <c r="BO90" s="3">
        <f t="shared" si="91"/>
        <v>2.8042246363999546E-2</v>
      </c>
      <c r="BP90" s="3">
        <f t="shared" si="91"/>
        <v>2.6552802965726707E-2</v>
      </c>
      <c r="BQ90" s="3">
        <f t="shared" si="91"/>
        <v>2.521362178055897E-2</v>
      </c>
      <c r="BR90" s="3">
        <f t="shared" si="91"/>
        <v>2.4003053268975227E-2</v>
      </c>
      <c r="BS90" s="3">
        <f t="shared" si="91"/>
        <v>2.2903416727041881E-2</v>
      </c>
      <c r="BT90" s="3">
        <f t="shared" si="91"/>
        <v>2.1900130583863975E-2</v>
      </c>
      <c r="BW90" s="1">
        <v>9</v>
      </c>
      <c r="BX90" s="1"/>
      <c r="BY90" s="1"/>
      <c r="BZ90" s="1">
        <v>0</v>
      </c>
      <c r="CA90" s="1">
        <f t="shared" si="64"/>
        <v>-6.3886715109051417E-2</v>
      </c>
      <c r="CB90" s="1">
        <f t="shared" si="68"/>
        <v>-7.3256327305049718E-2</v>
      </c>
      <c r="CC90" s="1">
        <f t="shared" si="72"/>
        <v>-8.5851550310580338E-2</v>
      </c>
      <c r="CD90" s="1">
        <f t="shared" si="76"/>
        <v>-0.10368882504183108</v>
      </c>
      <c r="CE90" s="1">
        <f t="shared" si="80"/>
        <v>-0.13091492726407727</v>
      </c>
      <c r="CF90" s="1">
        <f t="shared" si="84"/>
        <v>-0.1776528281742451</v>
      </c>
      <c r="CG90" s="1">
        <f t="shared" si="88"/>
        <v>-0.27706405941497669</v>
      </c>
      <c r="CH90" s="1">
        <f t="shared" ref="CH90:CH113" si="92">(1+(AD24/0.03125)*LN(AE24/AD24))</f>
        <v>-0.64791843300216456</v>
      </c>
      <c r="CI90" s="1">
        <v>1</v>
      </c>
      <c r="CJ90" s="1">
        <f t="shared" ref="CJ90:DE90" si="93">(1+(AF24/0.03125)*LN(AG24/AF24))</f>
        <v>0.45069385566594511</v>
      </c>
      <c r="CK90" s="1">
        <f t="shared" si="93"/>
        <v>0.23376156435101392</v>
      </c>
      <c r="CL90" s="1">
        <f t="shared" si="93"/>
        <v>0.15881940844696774</v>
      </c>
      <c r="CM90" s="1">
        <f t="shared" si="93"/>
        <v>0.12039950101682839</v>
      </c>
      <c r="CN90" s="1">
        <f t="shared" si="93"/>
        <v>9.698187042031936E-2</v>
      </c>
      <c r="CO90" s="1">
        <f t="shared" si="93"/>
        <v>8.1202534352585731E-2</v>
      </c>
      <c r="CP90" s="1">
        <f t="shared" si="93"/>
        <v>6.9844516335623941E-2</v>
      </c>
      <c r="CQ90" s="1">
        <f t="shared" si="93"/>
        <v>6.1276427844955128E-2</v>
      </c>
      <c r="CR90" s="1">
        <f t="shared" si="93"/>
        <v>5.4582101563092622E-2</v>
      </c>
      <c r="CS90" s="1">
        <f t="shared" si="93"/>
        <v>4.920714370866508E-2</v>
      </c>
      <c r="CT90" s="1">
        <f t="shared" si="93"/>
        <v>4.4796328839868726E-2</v>
      </c>
      <c r="CU90" s="1">
        <f t="shared" si="93"/>
        <v>4.1111497200913449E-2</v>
      </c>
      <c r="CV90" s="1">
        <f t="shared" si="93"/>
        <v>3.7986985798395101E-2</v>
      </c>
      <c r="CW90" s="1">
        <f t="shared" si="93"/>
        <v>3.5303986241041918E-2</v>
      </c>
      <c r="CX90" s="1">
        <f t="shared" si="93"/>
        <v>3.2975069769253906E-2</v>
      </c>
      <c r="CY90" s="1">
        <f t="shared" si="93"/>
        <v>3.09344667893241E-2</v>
      </c>
      <c r="CZ90" s="1">
        <f t="shared" si="93"/>
        <v>2.9131749621599035E-2</v>
      </c>
      <c r="DA90" s="1">
        <f t="shared" si="93"/>
        <v>2.7527604790811289E-2</v>
      </c>
      <c r="DB90" s="1">
        <f t="shared" si="93"/>
        <v>2.6090930519695243E-2</v>
      </c>
      <c r="DC90" s="1">
        <f t="shared" si="93"/>
        <v>2.4796798794102348E-2</v>
      </c>
      <c r="DD90" s="1">
        <f t="shared" si="93"/>
        <v>2.3624995720279429E-2</v>
      </c>
      <c r="DE90" s="1">
        <f t="shared" si="93"/>
        <v>2.255895734971558E-2</v>
      </c>
      <c r="DF90" s="1" t="e">
        <f t="shared" si="61"/>
        <v>#NUM!</v>
      </c>
    </row>
    <row r="91" spans="1:110" x14ac:dyDescent="0.25">
      <c r="G91" s="1">
        <v>7.2657836666274997E-2</v>
      </c>
      <c r="H91">
        <v>31</v>
      </c>
      <c r="I91" s="1">
        <v>7.2657836666274997E-2</v>
      </c>
      <c r="K91" s="1">
        <f t="shared" si="53"/>
        <v>0.12410346542528765</v>
      </c>
      <c r="M91" s="1">
        <f t="shared" si="54"/>
        <v>0.12410346542528765</v>
      </c>
      <c r="O91" s="1">
        <f t="shared" si="55"/>
        <v>6.2051732712643824E-2</v>
      </c>
      <c r="Q91" s="1">
        <f t="shared" si="56"/>
        <v>6.2051732712643824E-2</v>
      </c>
      <c r="S91" s="1">
        <f t="shared" si="57"/>
        <v>-6.2051732712643824E-2</v>
      </c>
      <c r="U91" s="1">
        <f t="shared" si="58"/>
        <v>-6.2051732712643824E-2</v>
      </c>
      <c r="W91" s="1">
        <f t="shared" si="51"/>
        <v>-0.11828611548347728</v>
      </c>
      <c r="Y91" s="1">
        <f t="shared" si="52"/>
        <v>-0.11828611548347728</v>
      </c>
      <c r="AN91" s="3">
        <v>10</v>
      </c>
      <c r="AO91" s="3">
        <f t="shared" si="62"/>
        <v>-5.4582101563092844E-2</v>
      </c>
      <c r="AP91" s="3">
        <f t="shared" si="66"/>
        <v>-6.1276427844954684E-2</v>
      </c>
      <c r="AQ91" s="3">
        <f t="shared" si="70"/>
        <v>-6.9844516335623608E-2</v>
      </c>
      <c r="AR91" s="3">
        <f t="shared" si="74"/>
        <v>-8.1202534352585842E-2</v>
      </c>
      <c r="AS91" s="3">
        <f t="shared" si="78"/>
        <v>-9.6981870420320027E-2</v>
      </c>
      <c r="AT91" s="3">
        <f t="shared" si="82"/>
        <v>-0.12039950101682884</v>
      </c>
      <c r="AU91" s="3">
        <f t="shared" si="86"/>
        <v>-0.15881940844696774</v>
      </c>
      <c r="AV91" s="3">
        <f t="shared" si="90"/>
        <v>-0.23376156435101392</v>
      </c>
      <c r="AW91" s="3">
        <f t="shared" ref="AW91:AW113" si="94">-(AF25/0.03125)*LN(AF25/AE25)-1</f>
        <v>-0.45069385566594511</v>
      </c>
      <c r="AX91" s="3">
        <v>-1</v>
      </c>
      <c r="AY91" s="3">
        <f t="shared" ref="AY91:BT91" si="95">-(AH25/0.03125)*LN(AH25/AG25)-1</f>
        <v>0.64791843300216456</v>
      </c>
      <c r="AZ91" s="3">
        <f t="shared" si="95"/>
        <v>0.27706405941497669</v>
      </c>
      <c r="BA91" s="3">
        <f t="shared" si="95"/>
        <v>0.1776528281742451</v>
      </c>
      <c r="BB91" s="3">
        <f t="shared" si="95"/>
        <v>0.13091492726407772</v>
      </c>
      <c r="BC91" s="3">
        <f t="shared" si="95"/>
        <v>0.10368882504183174</v>
      </c>
      <c r="BD91" s="3">
        <f t="shared" si="95"/>
        <v>8.585155031058056E-2</v>
      </c>
      <c r="BE91" s="3">
        <f t="shared" si="95"/>
        <v>7.3256327305049274E-2</v>
      </c>
      <c r="BF91" s="3">
        <f t="shared" si="95"/>
        <v>6.3886715109050973E-2</v>
      </c>
      <c r="BG91" s="3">
        <f t="shared" si="95"/>
        <v>5.6643533547131808E-2</v>
      </c>
      <c r="BH91" s="3">
        <f t="shared" si="95"/>
        <v>5.0876314848317561E-2</v>
      </c>
      <c r="BI91" s="3">
        <f t="shared" si="95"/>
        <v>4.6175449365857935E-2</v>
      </c>
      <c r="BJ91" s="3">
        <f t="shared" si="95"/>
        <v>4.2270111738137439E-2</v>
      </c>
      <c r="BK91" s="3">
        <f t="shared" si="95"/>
        <v>3.8974055337733349E-2</v>
      </c>
      <c r="BL91" s="3">
        <f t="shared" si="95"/>
        <v>3.6154977741103211E-2</v>
      </c>
      <c r="BM91" s="3">
        <f t="shared" si="95"/>
        <v>3.3716304729418223E-2</v>
      </c>
      <c r="BN91" s="3">
        <f t="shared" si="95"/>
        <v>3.1585890192009858E-2</v>
      </c>
      <c r="BO91" s="3">
        <f t="shared" si="95"/>
        <v>2.9708750401334472E-2</v>
      </c>
      <c r="BP91" s="3">
        <f t="shared" si="95"/>
        <v>2.8042246363999546E-2</v>
      </c>
      <c r="BQ91" s="3">
        <f t="shared" si="95"/>
        <v>2.6552802965726707E-2</v>
      </c>
      <c r="BR91" s="3">
        <f t="shared" si="95"/>
        <v>2.521362178055897E-2</v>
      </c>
      <c r="BS91" s="3">
        <f t="shared" si="95"/>
        <v>2.4003053268975227E-2</v>
      </c>
      <c r="BT91" s="3">
        <f t="shared" si="95"/>
        <v>2.2903416727041881E-2</v>
      </c>
      <c r="BW91" s="1">
        <v>10</v>
      </c>
      <c r="BX91" s="1"/>
      <c r="BY91" s="1"/>
      <c r="BZ91" s="1">
        <v>0</v>
      </c>
      <c r="CA91" s="1">
        <f t="shared" si="64"/>
        <v>-5.6643533547131586E-2</v>
      </c>
      <c r="CB91" s="1">
        <f t="shared" si="68"/>
        <v>-6.3886715109051417E-2</v>
      </c>
      <c r="CC91" s="1">
        <f t="shared" si="72"/>
        <v>-7.3256327305049718E-2</v>
      </c>
      <c r="CD91" s="1">
        <f t="shared" si="76"/>
        <v>-8.5851550310580338E-2</v>
      </c>
      <c r="CE91" s="1">
        <f t="shared" si="80"/>
        <v>-0.10368882504183108</v>
      </c>
      <c r="CF91" s="1">
        <f t="shared" si="84"/>
        <v>-0.13091492726407727</v>
      </c>
      <c r="CG91" s="1">
        <f t="shared" si="88"/>
        <v>-0.1776528281742451</v>
      </c>
      <c r="CH91" s="1">
        <f t="shared" si="92"/>
        <v>-0.27706405941497669</v>
      </c>
      <c r="CI91" s="1">
        <f t="shared" ref="CI91:CI113" si="96">(1+(AE25/0.03125)*LN(AF25/AE25))</f>
        <v>-0.64791843300216456</v>
      </c>
      <c r="CJ91" s="1">
        <v>1</v>
      </c>
      <c r="CK91" s="1">
        <f t="shared" ref="CK91:DE91" si="97">(1+(AG25/0.03125)*LN(AH25/AG25))</f>
        <v>0.45069385566594511</v>
      </c>
      <c r="CL91" s="1">
        <f t="shared" si="97"/>
        <v>0.23376156435101392</v>
      </c>
      <c r="CM91" s="1">
        <f t="shared" si="97"/>
        <v>0.15881940844696774</v>
      </c>
      <c r="CN91" s="1">
        <f t="shared" si="97"/>
        <v>0.12039950101682839</v>
      </c>
      <c r="CO91" s="1">
        <f t="shared" si="97"/>
        <v>9.698187042031936E-2</v>
      </c>
      <c r="CP91" s="1">
        <f t="shared" si="97"/>
        <v>8.1202534352585731E-2</v>
      </c>
      <c r="CQ91" s="1">
        <f t="shared" si="97"/>
        <v>6.9844516335623941E-2</v>
      </c>
      <c r="CR91" s="1">
        <f t="shared" si="97"/>
        <v>6.1276427844955128E-2</v>
      </c>
      <c r="CS91" s="1">
        <f t="shared" si="97"/>
        <v>5.4582101563092622E-2</v>
      </c>
      <c r="CT91" s="1">
        <f t="shared" si="97"/>
        <v>4.920714370866508E-2</v>
      </c>
      <c r="CU91" s="1">
        <f t="shared" si="97"/>
        <v>4.4796328839868726E-2</v>
      </c>
      <c r="CV91" s="1">
        <f t="shared" si="97"/>
        <v>4.1111497200913449E-2</v>
      </c>
      <c r="CW91" s="1">
        <f t="shared" si="97"/>
        <v>3.7986985798395101E-2</v>
      </c>
      <c r="CX91" s="1">
        <f t="shared" si="97"/>
        <v>3.5303986241041918E-2</v>
      </c>
      <c r="CY91" s="1">
        <f t="shared" si="97"/>
        <v>3.2975069769253906E-2</v>
      </c>
      <c r="CZ91" s="1">
        <f t="shared" si="97"/>
        <v>3.09344667893241E-2</v>
      </c>
      <c r="DA91" s="1">
        <f t="shared" si="97"/>
        <v>2.9131749621599035E-2</v>
      </c>
      <c r="DB91" s="1">
        <f t="shared" si="97"/>
        <v>2.7527604790811289E-2</v>
      </c>
      <c r="DC91" s="1">
        <f t="shared" si="97"/>
        <v>2.6090930519695243E-2</v>
      </c>
      <c r="DD91" s="1">
        <f t="shared" si="97"/>
        <v>2.4796798794102348E-2</v>
      </c>
      <c r="DE91" s="1">
        <f t="shared" si="97"/>
        <v>2.3624995720279429E-2</v>
      </c>
      <c r="DF91" s="1" t="e">
        <f t="shared" si="61"/>
        <v>#NUM!</v>
      </c>
    </row>
    <row r="92" spans="1:110" x14ac:dyDescent="0.25">
      <c r="G92" s="1">
        <v>5.1445628759012652E-2</v>
      </c>
      <c r="H92">
        <v>32</v>
      </c>
      <c r="I92" s="1">
        <v>5.1445628759012652E-2</v>
      </c>
      <c r="K92" s="1">
        <f t="shared" si="53"/>
        <v>5.1445628759012652E-2</v>
      </c>
      <c r="M92" s="1">
        <f t="shared" si="54"/>
        <v>5.1445628759012652E-2</v>
      </c>
      <c r="O92" s="1">
        <f t="shared" si="55"/>
        <v>2.5722814379506326E-2</v>
      </c>
      <c r="Q92" s="1">
        <f t="shared" si="56"/>
        <v>2.5722814379506326E-2</v>
      </c>
      <c r="S92" s="1">
        <f t="shared" si="57"/>
        <v>-2.5722814379506326E-2</v>
      </c>
      <c r="U92" s="1">
        <f t="shared" si="58"/>
        <v>-2.5722814379506326E-2</v>
      </c>
      <c r="W92" s="1">
        <f t="shared" si="51"/>
        <v>-5.064179080965308E-2</v>
      </c>
      <c r="Y92" s="1">
        <f t="shared" si="52"/>
        <v>-5.064179080965308E-2</v>
      </c>
      <c r="AN92" s="3">
        <v>11</v>
      </c>
      <c r="AO92" s="3">
        <f t="shared" si="62"/>
        <v>-4.9207143708665968E-2</v>
      </c>
      <c r="AP92" s="3">
        <f t="shared" si="66"/>
        <v>-5.4582101563092844E-2</v>
      </c>
      <c r="AQ92" s="3">
        <f t="shared" si="70"/>
        <v>-6.1276427844954684E-2</v>
      </c>
      <c r="AR92" s="3">
        <f t="shared" si="74"/>
        <v>-6.9844516335623608E-2</v>
      </c>
      <c r="AS92" s="3">
        <f t="shared" si="78"/>
        <v>-8.1202534352585842E-2</v>
      </c>
      <c r="AT92" s="3">
        <f t="shared" si="82"/>
        <v>-9.6981870420320027E-2</v>
      </c>
      <c r="AU92" s="3">
        <f t="shared" si="86"/>
        <v>-0.12039950101682884</v>
      </c>
      <c r="AV92" s="3">
        <f t="shared" si="90"/>
        <v>-0.15881940844696774</v>
      </c>
      <c r="AW92" s="3">
        <f t="shared" si="94"/>
        <v>-0.23376156435101392</v>
      </c>
      <c r="AX92" s="3">
        <f t="shared" ref="AX92:AX113" si="98">-(AG26/0.03125)*LN(AG26/AF26)-1</f>
        <v>-0.45069385566594511</v>
      </c>
      <c r="AY92" s="3">
        <v>-1</v>
      </c>
      <c r="AZ92" s="3">
        <f t="shared" ref="AZ92:BT92" si="99">-(AI26/0.03125)*LN(AI26/AH26)-1</f>
        <v>0.64791843300216456</v>
      </c>
      <c r="BA92" s="3">
        <f t="shared" si="99"/>
        <v>0.27706405941497669</v>
      </c>
      <c r="BB92" s="3">
        <f t="shared" si="99"/>
        <v>0.1776528281742451</v>
      </c>
      <c r="BC92" s="3">
        <f t="shared" si="99"/>
        <v>0.13091492726407772</v>
      </c>
      <c r="BD92" s="3">
        <f t="shared" si="99"/>
        <v>0.10368882504183174</v>
      </c>
      <c r="BE92" s="3">
        <f t="shared" si="99"/>
        <v>8.585155031058056E-2</v>
      </c>
      <c r="BF92" s="3">
        <f t="shared" si="99"/>
        <v>7.3256327305049274E-2</v>
      </c>
      <c r="BG92" s="3">
        <f t="shared" si="99"/>
        <v>6.3886715109050973E-2</v>
      </c>
      <c r="BH92" s="3">
        <f t="shared" si="99"/>
        <v>5.6643533547131808E-2</v>
      </c>
      <c r="BI92" s="3">
        <f t="shared" si="99"/>
        <v>5.0876314848317561E-2</v>
      </c>
      <c r="BJ92" s="3">
        <f t="shared" si="99"/>
        <v>4.6175449365857935E-2</v>
      </c>
      <c r="BK92" s="3">
        <f t="shared" si="99"/>
        <v>4.2270111738137439E-2</v>
      </c>
      <c r="BL92" s="3">
        <f t="shared" si="99"/>
        <v>3.8974055337733349E-2</v>
      </c>
      <c r="BM92" s="3">
        <f t="shared" si="99"/>
        <v>3.6154977741103211E-2</v>
      </c>
      <c r="BN92" s="3">
        <f t="shared" si="99"/>
        <v>3.3716304729418223E-2</v>
      </c>
      <c r="BO92" s="3">
        <f t="shared" si="99"/>
        <v>3.1585890192009858E-2</v>
      </c>
      <c r="BP92" s="3">
        <f t="shared" si="99"/>
        <v>2.9708750401334472E-2</v>
      </c>
      <c r="BQ92" s="3">
        <f t="shared" si="99"/>
        <v>2.8042246363999546E-2</v>
      </c>
      <c r="BR92" s="3">
        <f t="shared" si="99"/>
        <v>2.6552802965726707E-2</v>
      </c>
      <c r="BS92" s="3">
        <f t="shared" si="99"/>
        <v>2.521362178055897E-2</v>
      </c>
      <c r="BT92" s="3">
        <f t="shared" si="99"/>
        <v>2.4003053268975227E-2</v>
      </c>
      <c r="BW92" s="1">
        <v>11</v>
      </c>
      <c r="BX92" s="1"/>
      <c r="BY92" s="1"/>
      <c r="BZ92" s="1">
        <v>0</v>
      </c>
      <c r="CA92" s="1">
        <f t="shared" si="64"/>
        <v>-5.0876314848316451E-2</v>
      </c>
      <c r="CB92" s="1">
        <f t="shared" si="68"/>
        <v>-5.6643533547131586E-2</v>
      </c>
      <c r="CC92" s="1">
        <f t="shared" si="72"/>
        <v>-6.3886715109051417E-2</v>
      </c>
      <c r="CD92" s="1">
        <f t="shared" si="76"/>
        <v>-7.3256327305049718E-2</v>
      </c>
      <c r="CE92" s="1">
        <f t="shared" si="80"/>
        <v>-8.5851550310580338E-2</v>
      </c>
      <c r="CF92" s="1">
        <f t="shared" si="84"/>
        <v>-0.10368882504183108</v>
      </c>
      <c r="CG92" s="1">
        <f t="shared" si="88"/>
        <v>-0.13091492726407727</v>
      </c>
      <c r="CH92" s="1">
        <f t="shared" si="92"/>
        <v>-0.1776528281742451</v>
      </c>
      <c r="CI92" s="1">
        <f t="shared" si="96"/>
        <v>-0.27706405941497669</v>
      </c>
      <c r="CJ92" s="1">
        <f t="shared" ref="CJ92:CJ113" si="100">(1+(AF26/0.03125)*LN(AG26/AF26))</f>
        <v>-0.64791843300216456</v>
      </c>
      <c r="CK92" s="1">
        <v>1</v>
      </c>
      <c r="CL92" s="1">
        <f t="shared" ref="CL92:DE92" si="101">(1+(AH26/0.03125)*LN(AI26/AH26))</f>
        <v>0.45069385566594511</v>
      </c>
      <c r="CM92" s="1">
        <f t="shared" si="101"/>
        <v>0.23376156435101392</v>
      </c>
      <c r="CN92" s="1">
        <f t="shared" si="101"/>
        <v>0.15881940844696774</v>
      </c>
      <c r="CO92" s="1">
        <f t="shared" si="101"/>
        <v>0.12039950101682839</v>
      </c>
      <c r="CP92" s="1">
        <f t="shared" si="101"/>
        <v>9.698187042031936E-2</v>
      </c>
      <c r="CQ92" s="1">
        <f t="shared" si="101"/>
        <v>8.1202534352585731E-2</v>
      </c>
      <c r="CR92" s="1">
        <f t="shared" si="101"/>
        <v>6.9844516335623941E-2</v>
      </c>
      <c r="CS92" s="1">
        <f t="shared" si="101"/>
        <v>6.1276427844955128E-2</v>
      </c>
      <c r="CT92" s="1">
        <f t="shared" si="101"/>
        <v>5.4582101563092622E-2</v>
      </c>
      <c r="CU92" s="1">
        <f t="shared" si="101"/>
        <v>4.920714370866508E-2</v>
      </c>
      <c r="CV92" s="1">
        <f t="shared" si="101"/>
        <v>4.4796328839868726E-2</v>
      </c>
      <c r="CW92" s="1">
        <f t="shared" si="101"/>
        <v>4.1111497200913449E-2</v>
      </c>
      <c r="CX92" s="1">
        <f t="shared" si="101"/>
        <v>3.7986985798395101E-2</v>
      </c>
      <c r="CY92" s="1">
        <f t="shared" si="101"/>
        <v>3.5303986241041918E-2</v>
      </c>
      <c r="CZ92" s="1">
        <f t="shared" si="101"/>
        <v>3.2975069769253906E-2</v>
      </c>
      <c r="DA92" s="1">
        <f t="shared" si="101"/>
        <v>3.09344667893241E-2</v>
      </c>
      <c r="DB92" s="1">
        <f t="shared" si="101"/>
        <v>2.9131749621599035E-2</v>
      </c>
      <c r="DC92" s="1">
        <f t="shared" si="101"/>
        <v>2.7527604790811289E-2</v>
      </c>
      <c r="DD92" s="1">
        <f t="shared" si="101"/>
        <v>2.6090930519695243E-2</v>
      </c>
      <c r="DE92" s="1">
        <f t="shared" si="101"/>
        <v>2.4796798794102348E-2</v>
      </c>
      <c r="DF92" s="1" t="e">
        <f t="shared" si="61"/>
        <v>#NUM!</v>
      </c>
    </row>
    <row r="93" spans="1:110" x14ac:dyDescent="0.25">
      <c r="AN93" s="3">
        <v>12</v>
      </c>
      <c r="AO93" s="3">
        <f t="shared" si="62"/>
        <v>-4.479632883986906E-2</v>
      </c>
      <c r="AP93" s="3">
        <f t="shared" si="66"/>
        <v>-4.9207143708665968E-2</v>
      </c>
      <c r="AQ93" s="3">
        <f t="shared" si="70"/>
        <v>-5.4582101563092844E-2</v>
      </c>
      <c r="AR93" s="3">
        <f t="shared" si="74"/>
        <v>-6.1276427844954684E-2</v>
      </c>
      <c r="AS93" s="3">
        <f t="shared" si="78"/>
        <v>-6.9844516335623608E-2</v>
      </c>
      <c r="AT93" s="3">
        <f t="shared" si="82"/>
        <v>-8.1202534352585842E-2</v>
      </c>
      <c r="AU93" s="3">
        <f t="shared" si="86"/>
        <v>-9.6981870420320027E-2</v>
      </c>
      <c r="AV93" s="3">
        <f t="shared" si="90"/>
        <v>-0.12039950101682884</v>
      </c>
      <c r="AW93" s="3">
        <f t="shared" si="94"/>
        <v>-0.15881940844696774</v>
      </c>
      <c r="AX93" s="3">
        <f t="shared" si="98"/>
        <v>-0.23376156435101392</v>
      </c>
      <c r="AY93" s="3">
        <f t="shared" ref="AY93:AY113" si="102">-(AH27/0.03125)*LN(AH27/AG27)-1</f>
        <v>-0.45069385566594511</v>
      </c>
      <c r="AZ93" s="3">
        <v>-1</v>
      </c>
      <c r="BA93" s="3">
        <f t="shared" ref="BA93:BT93" si="103">-(AJ27/0.03125)*LN(AJ27/AI27)-1</f>
        <v>0.64791843300216456</v>
      </c>
      <c r="BB93" s="3">
        <f t="shared" si="103"/>
        <v>0.27706405941497669</v>
      </c>
      <c r="BC93" s="3">
        <f t="shared" si="103"/>
        <v>0.1776528281742451</v>
      </c>
      <c r="BD93" s="3">
        <f t="shared" si="103"/>
        <v>0.13091492726407772</v>
      </c>
      <c r="BE93" s="3">
        <f t="shared" si="103"/>
        <v>0.10368882504183174</v>
      </c>
      <c r="BF93" s="3">
        <f t="shared" si="103"/>
        <v>8.585155031058056E-2</v>
      </c>
      <c r="BG93" s="3">
        <f t="shared" si="103"/>
        <v>7.3256327305049274E-2</v>
      </c>
      <c r="BH93" s="3">
        <f t="shared" si="103"/>
        <v>6.3886715109050973E-2</v>
      </c>
      <c r="BI93" s="3">
        <f t="shared" si="103"/>
        <v>5.6643533547131808E-2</v>
      </c>
      <c r="BJ93" s="3">
        <f t="shared" si="103"/>
        <v>5.0876314848317561E-2</v>
      </c>
      <c r="BK93" s="3">
        <f t="shared" si="103"/>
        <v>4.6175449365857935E-2</v>
      </c>
      <c r="BL93" s="3">
        <f t="shared" si="103"/>
        <v>4.2270111738137439E-2</v>
      </c>
      <c r="BM93" s="3">
        <f t="shared" si="103"/>
        <v>3.8974055337733349E-2</v>
      </c>
      <c r="BN93" s="3">
        <f t="shared" si="103"/>
        <v>3.6154977741103211E-2</v>
      </c>
      <c r="BO93" s="3">
        <f t="shared" si="103"/>
        <v>3.3716304729418223E-2</v>
      </c>
      <c r="BP93" s="3">
        <f t="shared" si="103"/>
        <v>3.1585890192009858E-2</v>
      </c>
      <c r="BQ93" s="3">
        <f t="shared" si="103"/>
        <v>2.9708750401334472E-2</v>
      </c>
      <c r="BR93" s="3">
        <f t="shared" si="103"/>
        <v>2.8042246363999546E-2</v>
      </c>
      <c r="BS93" s="3">
        <f t="shared" si="103"/>
        <v>2.6552802965726707E-2</v>
      </c>
      <c r="BT93" s="3">
        <f t="shared" si="103"/>
        <v>2.521362178055897E-2</v>
      </c>
      <c r="BW93" s="1">
        <v>12</v>
      </c>
      <c r="BX93" s="1"/>
      <c r="BY93" s="1"/>
      <c r="BZ93" s="1">
        <v>0</v>
      </c>
      <c r="CA93" s="1">
        <f t="shared" si="64"/>
        <v>-4.6175449365857713E-2</v>
      </c>
      <c r="CB93" s="1">
        <f t="shared" si="68"/>
        <v>-5.0876314848316451E-2</v>
      </c>
      <c r="CC93" s="1">
        <f t="shared" si="72"/>
        <v>-5.6643533547131586E-2</v>
      </c>
      <c r="CD93" s="1">
        <f t="shared" si="76"/>
        <v>-6.3886715109051417E-2</v>
      </c>
      <c r="CE93" s="1">
        <f t="shared" si="80"/>
        <v>-7.3256327305049718E-2</v>
      </c>
      <c r="CF93" s="1">
        <f t="shared" si="84"/>
        <v>-8.5851550310580338E-2</v>
      </c>
      <c r="CG93" s="1">
        <f t="shared" si="88"/>
        <v>-0.10368882504183108</v>
      </c>
      <c r="CH93" s="1">
        <f t="shared" si="92"/>
        <v>-0.13091492726407727</v>
      </c>
      <c r="CI93" s="1">
        <f t="shared" si="96"/>
        <v>-0.1776528281742451</v>
      </c>
      <c r="CJ93" s="1">
        <f t="shared" si="100"/>
        <v>-0.27706405941497669</v>
      </c>
      <c r="CK93" s="1">
        <f t="shared" ref="CK93:CK113" si="104">(1+(AG27/0.03125)*LN(AH27/AG27))</f>
        <v>-0.64791843300216456</v>
      </c>
      <c r="CL93" s="1">
        <v>1</v>
      </c>
      <c r="CM93" s="1">
        <f t="shared" ref="CM93:DE93" si="105">(1+(AI27/0.03125)*LN(AJ27/AI27))</f>
        <v>0.45069385566594511</v>
      </c>
      <c r="CN93" s="1">
        <f t="shared" si="105"/>
        <v>0.23376156435101392</v>
      </c>
      <c r="CO93" s="1">
        <f t="shared" si="105"/>
        <v>0.15881940844696774</v>
      </c>
      <c r="CP93" s="1">
        <f t="shared" si="105"/>
        <v>0.12039950101682839</v>
      </c>
      <c r="CQ93" s="1">
        <f t="shared" si="105"/>
        <v>9.698187042031936E-2</v>
      </c>
      <c r="CR93" s="1">
        <f t="shared" si="105"/>
        <v>8.1202534352585731E-2</v>
      </c>
      <c r="CS93" s="1">
        <f t="shared" si="105"/>
        <v>6.9844516335623941E-2</v>
      </c>
      <c r="CT93" s="1">
        <f t="shared" si="105"/>
        <v>6.1276427844955128E-2</v>
      </c>
      <c r="CU93" s="1">
        <f t="shared" si="105"/>
        <v>5.4582101563092622E-2</v>
      </c>
      <c r="CV93" s="1">
        <f t="shared" si="105"/>
        <v>4.920714370866508E-2</v>
      </c>
      <c r="CW93" s="1">
        <f t="shared" si="105"/>
        <v>4.4796328839868726E-2</v>
      </c>
      <c r="CX93" s="1">
        <f t="shared" si="105"/>
        <v>4.1111497200913449E-2</v>
      </c>
      <c r="CY93" s="1">
        <f t="shared" si="105"/>
        <v>3.7986985798395101E-2</v>
      </c>
      <c r="CZ93" s="1">
        <f t="shared" si="105"/>
        <v>3.5303986241041918E-2</v>
      </c>
      <c r="DA93" s="1">
        <f t="shared" si="105"/>
        <v>3.2975069769253906E-2</v>
      </c>
      <c r="DB93" s="1">
        <f t="shared" si="105"/>
        <v>3.09344667893241E-2</v>
      </c>
      <c r="DC93" s="1">
        <f t="shared" si="105"/>
        <v>2.9131749621599035E-2</v>
      </c>
      <c r="DD93" s="1">
        <f t="shared" si="105"/>
        <v>2.7527604790811289E-2</v>
      </c>
      <c r="DE93" s="1">
        <f t="shared" si="105"/>
        <v>2.6090930519695243E-2</v>
      </c>
      <c r="DF93" s="1" t="e">
        <f t="shared" si="61"/>
        <v>#NUM!</v>
      </c>
    </row>
    <row r="94" spans="1:110" x14ac:dyDescent="0.25">
      <c r="AN94" s="3">
        <v>13</v>
      </c>
      <c r="AO94" s="3">
        <f t="shared" si="62"/>
        <v>-4.1111497200913338E-2</v>
      </c>
      <c r="AP94" s="3">
        <f t="shared" si="66"/>
        <v>-4.479632883986906E-2</v>
      </c>
      <c r="AQ94" s="3">
        <f t="shared" si="70"/>
        <v>-4.9207143708665968E-2</v>
      </c>
      <c r="AR94" s="3">
        <f t="shared" si="74"/>
        <v>-5.4582101563092844E-2</v>
      </c>
      <c r="AS94" s="3">
        <f t="shared" si="78"/>
        <v>-6.1276427844954684E-2</v>
      </c>
      <c r="AT94" s="3">
        <f t="shared" si="82"/>
        <v>-6.9844516335623608E-2</v>
      </c>
      <c r="AU94" s="3">
        <f t="shared" si="86"/>
        <v>-8.1202534352585842E-2</v>
      </c>
      <c r="AV94" s="3">
        <f t="shared" si="90"/>
        <v>-9.6981870420320027E-2</v>
      </c>
      <c r="AW94" s="3">
        <f t="shared" si="94"/>
        <v>-0.12039950101682884</v>
      </c>
      <c r="AX94" s="3">
        <f t="shared" si="98"/>
        <v>-0.15881940844696774</v>
      </c>
      <c r="AY94" s="3">
        <f t="shared" si="102"/>
        <v>-0.23376156435101392</v>
      </c>
      <c r="AZ94" s="3">
        <f t="shared" ref="AZ94:AZ113" si="106">-(AI28/0.03125)*LN(AI28/AH28)-1</f>
        <v>-0.45069385566594511</v>
      </c>
      <c r="BA94" s="3">
        <v>-1</v>
      </c>
      <c r="BB94" s="3">
        <f t="shared" ref="BB94:BT94" si="107">-(AK28/0.03125)*LN(AK28/AJ28)-1</f>
        <v>0.64791843300216456</v>
      </c>
      <c r="BC94" s="3">
        <f t="shared" si="107"/>
        <v>0.27706405941497669</v>
      </c>
      <c r="BD94" s="3">
        <f t="shared" si="107"/>
        <v>0.1776528281742451</v>
      </c>
      <c r="BE94" s="3">
        <f t="shared" si="107"/>
        <v>0.13091492726407772</v>
      </c>
      <c r="BF94" s="3">
        <f t="shared" si="107"/>
        <v>0.10368882504183174</v>
      </c>
      <c r="BG94" s="3">
        <f t="shared" si="107"/>
        <v>8.585155031058056E-2</v>
      </c>
      <c r="BH94" s="3">
        <f t="shared" si="107"/>
        <v>7.3256327305049274E-2</v>
      </c>
      <c r="BI94" s="3">
        <f t="shared" si="107"/>
        <v>6.3886715109050973E-2</v>
      </c>
      <c r="BJ94" s="3">
        <f t="shared" si="107"/>
        <v>5.6643533547131808E-2</v>
      </c>
      <c r="BK94" s="3">
        <f t="shared" si="107"/>
        <v>5.0876314848317561E-2</v>
      </c>
      <c r="BL94" s="3">
        <f t="shared" si="107"/>
        <v>4.6175449365857935E-2</v>
      </c>
      <c r="BM94" s="3">
        <f t="shared" si="107"/>
        <v>4.2270111738137439E-2</v>
      </c>
      <c r="BN94" s="3">
        <f t="shared" si="107"/>
        <v>3.8974055337733349E-2</v>
      </c>
      <c r="BO94" s="3">
        <f t="shared" si="107"/>
        <v>3.6154977741103211E-2</v>
      </c>
      <c r="BP94" s="3">
        <f t="shared" si="107"/>
        <v>3.3716304729418223E-2</v>
      </c>
      <c r="BQ94" s="3">
        <f t="shared" si="107"/>
        <v>3.1585890192009858E-2</v>
      </c>
      <c r="BR94" s="3">
        <f t="shared" si="107"/>
        <v>2.9708750401334472E-2</v>
      </c>
      <c r="BS94" s="3">
        <f t="shared" si="107"/>
        <v>2.8042246363999546E-2</v>
      </c>
      <c r="BT94" s="3">
        <f t="shared" si="107"/>
        <v>2.6552802965726707E-2</v>
      </c>
      <c r="BW94" s="1">
        <v>13</v>
      </c>
      <c r="BX94" s="1"/>
      <c r="BY94" s="1"/>
      <c r="BZ94" s="1">
        <v>0</v>
      </c>
      <c r="CA94" s="1">
        <f t="shared" si="64"/>
        <v>-4.2270111738137661E-2</v>
      </c>
      <c r="CB94" s="1">
        <f t="shared" si="68"/>
        <v>-4.6175449365857713E-2</v>
      </c>
      <c r="CC94" s="1">
        <f t="shared" si="72"/>
        <v>-5.0876314848316451E-2</v>
      </c>
      <c r="CD94" s="1">
        <f t="shared" si="76"/>
        <v>-5.6643533547131586E-2</v>
      </c>
      <c r="CE94" s="1">
        <f t="shared" si="80"/>
        <v>-6.3886715109051417E-2</v>
      </c>
      <c r="CF94" s="1">
        <f t="shared" si="84"/>
        <v>-7.3256327305049718E-2</v>
      </c>
      <c r="CG94" s="1">
        <f t="shared" si="88"/>
        <v>-8.5851550310580338E-2</v>
      </c>
      <c r="CH94" s="1">
        <f t="shared" si="92"/>
        <v>-0.10368882504183108</v>
      </c>
      <c r="CI94" s="1">
        <f t="shared" si="96"/>
        <v>-0.13091492726407727</v>
      </c>
      <c r="CJ94" s="1">
        <f t="shared" si="100"/>
        <v>-0.1776528281742451</v>
      </c>
      <c r="CK94" s="1">
        <f t="shared" si="104"/>
        <v>-0.27706405941497669</v>
      </c>
      <c r="CL94" s="1">
        <f t="shared" ref="CL94:CL113" si="108">(1+(AH28/0.03125)*LN(AI28/AH28))</f>
        <v>-0.64791843300216456</v>
      </c>
      <c r="CM94" s="1">
        <v>1</v>
      </c>
      <c r="CN94" s="1">
        <f t="shared" ref="CN94:DE94" si="109">(1+(AJ28/0.03125)*LN(AK28/AJ28))</f>
        <v>0.45069385566594511</v>
      </c>
      <c r="CO94" s="1">
        <f t="shared" si="109"/>
        <v>0.23376156435101392</v>
      </c>
      <c r="CP94" s="1">
        <f t="shared" si="109"/>
        <v>0.15881940844696774</v>
      </c>
      <c r="CQ94" s="1">
        <f t="shared" si="109"/>
        <v>0.12039950101682839</v>
      </c>
      <c r="CR94" s="1">
        <f t="shared" si="109"/>
        <v>9.698187042031936E-2</v>
      </c>
      <c r="CS94" s="1">
        <f t="shared" si="109"/>
        <v>8.1202534352585731E-2</v>
      </c>
      <c r="CT94" s="1">
        <f t="shared" si="109"/>
        <v>6.9844516335623941E-2</v>
      </c>
      <c r="CU94" s="1">
        <f t="shared" si="109"/>
        <v>6.1276427844955128E-2</v>
      </c>
      <c r="CV94" s="1">
        <f t="shared" si="109"/>
        <v>5.4582101563092622E-2</v>
      </c>
      <c r="CW94" s="1">
        <f t="shared" si="109"/>
        <v>4.920714370866508E-2</v>
      </c>
      <c r="CX94" s="1">
        <f t="shared" si="109"/>
        <v>4.4796328839868726E-2</v>
      </c>
      <c r="CY94" s="1">
        <f t="shared" si="109"/>
        <v>4.1111497200913449E-2</v>
      </c>
      <c r="CZ94" s="1">
        <f t="shared" si="109"/>
        <v>3.7986985798395101E-2</v>
      </c>
      <c r="DA94" s="1">
        <f t="shared" si="109"/>
        <v>3.5303986241041918E-2</v>
      </c>
      <c r="DB94" s="1">
        <f t="shared" si="109"/>
        <v>3.2975069769253906E-2</v>
      </c>
      <c r="DC94" s="1">
        <f t="shared" si="109"/>
        <v>3.09344667893241E-2</v>
      </c>
      <c r="DD94" s="1">
        <f t="shared" si="109"/>
        <v>2.9131749621599035E-2</v>
      </c>
      <c r="DE94" s="1">
        <f t="shared" si="109"/>
        <v>2.7527604790811289E-2</v>
      </c>
      <c r="DF94" s="1" t="e">
        <f t="shared" si="61"/>
        <v>#NUM!</v>
      </c>
    </row>
    <row r="95" spans="1:110" x14ac:dyDescent="0.25">
      <c r="AN95" s="3">
        <v>14</v>
      </c>
      <c r="AO95" s="3">
        <f t="shared" si="62"/>
        <v>-3.7986985798395989E-2</v>
      </c>
      <c r="AP95" s="3">
        <f t="shared" si="66"/>
        <v>-4.1111497200913338E-2</v>
      </c>
      <c r="AQ95" s="3">
        <f t="shared" si="70"/>
        <v>-4.479632883986906E-2</v>
      </c>
      <c r="AR95" s="3">
        <f t="shared" si="74"/>
        <v>-4.9207143708665968E-2</v>
      </c>
      <c r="AS95" s="3">
        <f t="shared" si="78"/>
        <v>-5.4582101563092844E-2</v>
      </c>
      <c r="AT95" s="3">
        <f t="shared" si="82"/>
        <v>-6.1276427844954684E-2</v>
      </c>
      <c r="AU95" s="3">
        <f t="shared" si="86"/>
        <v>-6.9844516335623608E-2</v>
      </c>
      <c r="AV95" s="3">
        <f t="shared" si="90"/>
        <v>-8.1202534352585842E-2</v>
      </c>
      <c r="AW95" s="3">
        <f t="shared" si="94"/>
        <v>-9.6981870420320027E-2</v>
      </c>
      <c r="AX95" s="3">
        <f t="shared" si="98"/>
        <v>-0.12039950101682884</v>
      </c>
      <c r="AY95" s="3">
        <f t="shared" si="102"/>
        <v>-0.15881940844696774</v>
      </c>
      <c r="AZ95" s="3">
        <f t="shared" si="106"/>
        <v>-0.23376156435101392</v>
      </c>
      <c r="BA95" s="3">
        <f t="shared" ref="BA95:BA113" si="110">-(AJ29/0.03125)*LN(AJ29/AI29)-1</f>
        <v>-0.45069385566594511</v>
      </c>
      <c r="BB95" s="3">
        <v>-1</v>
      </c>
      <c r="BC95" s="3">
        <f t="shared" ref="BC95:BT95" si="111">-(AL29/0.03125)*LN(AL29/AK29)-1</f>
        <v>0.64791843300216456</v>
      </c>
      <c r="BD95" s="3">
        <f t="shared" si="111"/>
        <v>0.27706405941497669</v>
      </c>
      <c r="BE95" s="3">
        <f t="shared" si="111"/>
        <v>0.1776528281742451</v>
      </c>
      <c r="BF95" s="3">
        <f t="shared" si="111"/>
        <v>0.13091492726407772</v>
      </c>
      <c r="BG95" s="3">
        <f t="shared" si="111"/>
        <v>0.10368882504183174</v>
      </c>
      <c r="BH95" s="3">
        <f t="shared" si="111"/>
        <v>8.585155031058056E-2</v>
      </c>
      <c r="BI95" s="3">
        <f t="shared" si="111"/>
        <v>7.3256327305049274E-2</v>
      </c>
      <c r="BJ95" s="3">
        <f t="shared" si="111"/>
        <v>6.3886715109050973E-2</v>
      </c>
      <c r="BK95" s="3">
        <f t="shared" si="111"/>
        <v>5.6643533547131808E-2</v>
      </c>
      <c r="BL95" s="3">
        <f t="shared" si="111"/>
        <v>5.0876314848317561E-2</v>
      </c>
      <c r="BM95" s="3">
        <f t="shared" si="111"/>
        <v>4.6175449365857935E-2</v>
      </c>
      <c r="BN95" s="3">
        <f t="shared" si="111"/>
        <v>4.2270111738137439E-2</v>
      </c>
      <c r="BO95" s="3">
        <f t="shared" si="111"/>
        <v>3.8974055337733349E-2</v>
      </c>
      <c r="BP95" s="3">
        <f t="shared" si="111"/>
        <v>3.6154977741103211E-2</v>
      </c>
      <c r="BQ95" s="3">
        <f t="shared" si="111"/>
        <v>3.3716304729418223E-2</v>
      </c>
      <c r="BR95" s="3">
        <f t="shared" si="111"/>
        <v>3.1585890192009858E-2</v>
      </c>
      <c r="BS95" s="3">
        <f t="shared" si="111"/>
        <v>2.9708750401334472E-2</v>
      </c>
      <c r="BT95" s="3">
        <f t="shared" si="111"/>
        <v>2.8042246363999546E-2</v>
      </c>
      <c r="BW95" s="1">
        <v>14</v>
      </c>
      <c r="BX95" s="1"/>
      <c r="BY95" s="1"/>
      <c r="BZ95" s="1">
        <v>0</v>
      </c>
      <c r="CA95" s="1">
        <f t="shared" si="64"/>
        <v>-3.8974055337732461E-2</v>
      </c>
      <c r="CB95" s="1">
        <f t="shared" si="68"/>
        <v>-4.2270111738137661E-2</v>
      </c>
      <c r="CC95" s="1">
        <f t="shared" si="72"/>
        <v>-4.6175449365857713E-2</v>
      </c>
      <c r="CD95" s="1">
        <f t="shared" si="76"/>
        <v>-5.0876314848316451E-2</v>
      </c>
      <c r="CE95" s="1">
        <f t="shared" si="80"/>
        <v>-5.6643533547131586E-2</v>
      </c>
      <c r="CF95" s="1">
        <f t="shared" si="84"/>
        <v>-6.3886715109051417E-2</v>
      </c>
      <c r="CG95" s="1">
        <f t="shared" si="88"/>
        <v>-7.3256327305049718E-2</v>
      </c>
      <c r="CH95" s="1">
        <f t="shared" si="92"/>
        <v>-8.5851550310580338E-2</v>
      </c>
      <c r="CI95" s="1">
        <f t="shared" si="96"/>
        <v>-0.10368882504183108</v>
      </c>
      <c r="CJ95" s="1">
        <f t="shared" si="100"/>
        <v>-0.13091492726407727</v>
      </c>
      <c r="CK95" s="1">
        <f t="shared" si="104"/>
        <v>-0.1776528281742451</v>
      </c>
      <c r="CL95" s="1">
        <f t="shared" si="108"/>
        <v>-0.27706405941497669</v>
      </c>
      <c r="CM95" s="1">
        <f t="shared" ref="CM95:CM113" si="112">(1+(AI29/0.03125)*LN(AJ29/AI29))</f>
        <v>-0.64791843300216456</v>
      </c>
      <c r="CN95" s="1">
        <v>1</v>
      </c>
      <c r="CO95" s="1">
        <f t="shared" ref="CO95:DE95" si="113">(1+(AK29/0.03125)*LN(AL29/AK29))</f>
        <v>0.45069385566594511</v>
      </c>
      <c r="CP95" s="1">
        <f t="shared" si="113"/>
        <v>0.23376156435101392</v>
      </c>
      <c r="CQ95" s="1">
        <f t="shared" si="113"/>
        <v>0.15881940844696774</v>
      </c>
      <c r="CR95" s="1">
        <f t="shared" si="113"/>
        <v>0.12039950101682839</v>
      </c>
      <c r="CS95" s="1">
        <f t="shared" si="113"/>
        <v>9.698187042031936E-2</v>
      </c>
      <c r="CT95" s="1">
        <f t="shared" si="113"/>
        <v>8.1202534352585731E-2</v>
      </c>
      <c r="CU95" s="1">
        <f t="shared" si="113"/>
        <v>6.9844516335623941E-2</v>
      </c>
      <c r="CV95" s="1">
        <f t="shared" si="113"/>
        <v>6.1276427844955128E-2</v>
      </c>
      <c r="CW95" s="1">
        <f t="shared" si="113"/>
        <v>5.4582101563092622E-2</v>
      </c>
      <c r="CX95" s="1">
        <f t="shared" si="113"/>
        <v>4.920714370866508E-2</v>
      </c>
      <c r="CY95" s="1">
        <f t="shared" si="113"/>
        <v>4.4796328839868726E-2</v>
      </c>
      <c r="CZ95" s="1">
        <f t="shared" si="113"/>
        <v>4.1111497200913449E-2</v>
      </c>
      <c r="DA95" s="1">
        <f t="shared" si="113"/>
        <v>3.7986985798395101E-2</v>
      </c>
      <c r="DB95" s="1">
        <f t="shared" si="113"/>
        <v>3.5303986241041918E-2</v>
      </c>
      <c r="DC95" s="1">
        <f t="shared" si="113"/>
        <v>3.2975069769253906E-2</v>
      </c>
      <c r="DD95" s="1">
        <f t="shared" si="113"/>
        <v>3.09344667893241E-2</v>
      </c>
      <c r="DE95" s="1">
        <f t="shared" si="113"/>
        <v>2.9131749621599035E-2</v>
      </c>
      <c r="DF95" s="1" t="e">
        <f t="shared" si="61"/>
        <v>#NUM!</v>
      </c>
    </row>
    <row r="96" spans="1:110" x14ac:dyDescent="0.25">
      <c r="A96" t="s">
        <v>58</v>
      </c>
      <c r="I96" s="11" t="s">
        <v>47</v>
      </c>
      <c r="J96" s="11"/>
      <c r="K96" s="11">
        <f>SUM(K61:K92)*0.03125</f>
        <v>0.31681018594113569</v>
      </c>
      <c r="L96" s="11"/>
      <c r="M96" s="11">
        <f>SUM(M61:M92)*0.03125</f>
        <v>0.31681018594113569</v>
      </c>
      <c r="T96" s="11" t="s">
        <v>50</v>
      </c>
      <c r="U96" s="11"/>
      <c r="V96" s="11"/>
      <c r="W96" s="11">
        <f>SUM(W61:W92)*0.03125</f>
        <v>-0.15110365892210603</v>
      </c>
      <c r="X96" s="11"/>
      <c r="Y96" s="11">
        <f t="shared" ref="Y96" si="114">SUM(Y61:Y92)*0.03125</f>
        <v>-0.15110365892210603</v>
      </c>
      <c r="AN96" s="3">
        <v>15</v>
      </c>
      <c r="AO96" s="3">
        <f t="shared" si="62"/>
        <v>-3.5303986241042806E-2</v>
      </c>
      <c r="AP96" s="3">
        <f t="shared" si="66"/>
        <v>-3.7986985798395989E-2</v>
      </c>
      <c r="AQ96" s="3">
        <f t="shared" si="70"/>
        <v>-4.1111497200913338E-2</v>
      </c>
      <c r="AR96" s="3">
        <f t="shared" si="74"/>
        <v>-4.479632883986906E-2</v>
      </c>
      <c r="AS96" s="3">
        <f t="shared" si="78"/>
        <v>-4.9207143708665968E-2</v>
      </c>
      <c r="AT96" s="3">
        <f t="shared" si="82"/>
        <v>-5.4582101563092844E-2</v>
      </c>
      <c r="AU96" s="3">
        <f t="shared" si="86"/>
        <v>-6.1276427844954684E-2</v>
      </c>
      <c r="AV96" s="3">
        <f t="shared" si="90"/>
        <v>-6.9844516335623608E-2</v>
      </c>
      <c r="AW96" s="3">
        <f t="shared" si="94"/>
        <v>-8.1202534352585842E-2</v>
      </c>
      <c r="AX96" s="3">
        <f t="shared" si="98"/>
        <v>-9.6981870420320027E-2</v>
      </c>
      <c r="AY96" s="3">
        <f t="shared" si="102"/>
        <v>-0.12039950101682884</v>
      </c>
      <c r="AZ96" s="3">
        <f t="shared" si="106"/>
        <v>-0.15881940844696774</v>
      </c>
      <c r="BA96" s="3">
        <f t="shared" si="110"/>
        <v>-0.23376156435101392</v>
      </c>
      <c r="BB96" s="3">
        <f t="shared" ref="BB96:BB113" si="115">-(AK30/0.03125)*LN(AK30/AJ30)-1</f>
        <v>-0.45069385566594511</v>
      </c>
      <c r="BC96" s="3">
        <v>-1</v>
      </c>
      <c r="BD96" s="3">
        <f t="shared" ref="BD96:BT96" si="116">-(AM30/0.03125)*LN(AM30/AL30)-1</f>
        <v>0.64791843300216456</v>
      </c>
      <c r="BE96" s="3">
        <f t="shared" si="116"/>
        <v>0.27706405941497669</v>
      </c>
      <c r="BF96" s="3">
        <f t="shared" si="116"/>
        <v>0.1776528281742451</v>
      </c>
      <c r="BG96" s="3">
        <f t="shared" si="116"/>
        <v>0.13091492726407772</v>
      </c>
      <c r="BH96" s="3">
        <f t="shared" si="116"/>
        <v>0.10368882504183174</v>
      </c>
      <c r="BI96" s="3">
        <f t="shared" si="116"/>
        <v>8.585155031058056E-2</v>
      </c>
      <c r="BJ96" s="3">
        <f t="shared" si="116"/>
        <v>7.3256327305049274E-2</v>
      </c>
      <c r="BK96" s="3">
        <f t="shared" si="116"/>
        <v>6.3886715109050973E-2</v>
      </c>
      <c r="BL96" s="3">
        <f t="shared" si="116"/>
        <v>5.6643533547131808E-2</v>
      </c>
      <c r="BM96" s="3">
        <f t="shared" si="116"/>
        <v>5.0876314848317561E-2</v>
      </c>
      <c r="BN96" s="3">
        <f t="shared" si="116"/>
        <v>4.6175449365857935E-2</v>
      </c>
      <c r="BO96" s="3">
        <f t="shared" si="116"/>
        <v>4.2270111738137439E-2</v>
      </c>
      <c r="BP96" s="3">
        <f t="shared" si="116"/>
        <v>3.8974055337733349E-2</v>
      </c>
      <c r="BQ96" s="3">
        <f t="shared" si="116"/>
        <v>3.6154977741103211E-2</v>
      </c>
      <c r="BR96" s="3">
        <f t="shared" si="116"/>
        <v>3.3716304729418223E-2</v>
      </c>
      <c r="BS96" s="3">
        <f t="shared" si="116"/>
        <v>3.1585890192009858E-2</v>
      </c>
      <c r="BT96" s="3">
        <f t="shared" si="116"/>
        <v>2.9708750401334472E-2</v>
      </c>
      <c r="BW96" s="1">
        <v>15</v>
      </c>
      <c r="BX96" s="1"/>
      <c r="BY96" s="1"/>
      <c r="BZ96" s="1">
        <v>0</v>
      </c>
      <c r="CA96" s="1">
        <f t="shared" si="64"/>
        <v>-3.6154977741102101E-2</v>
      </c>
      <c r="CB96" s="1">
        <f t="shared" si="68"/>
        <v>-3.8974055337732461E-2</v>
      </c>
      <c r="CC96" s="1">
        <f t="shared" si="72"/>
        <v>-4.2270111738137661E-2</v>
      </c>
      <c r="CD96" s="1">
        <f t="shared" si="76"/>
        <v>-4.6175449365857713E-2</v>
      </c>
      <c r="CE96" s="1">
        <f t="shared" si="80"/>
        <v>-5.0876314848316451E-2</v>
      </c>
      <c r="CF96" s="1">
        <f t="shared" si="84"/>
        <v>-5.6643533547131586E-2</v>
      </c>
      <c r="CG96" s="1">
        <f t="shared" si="88"/>
        <v>-6.3886715109051417E-2</v>
      </c>
      <c r="CH96" s="1">
        <f t="shared" si="92"/>
        <v>-7.3256327305049718E-2</v>
      </c>
      <c r="CI96" s="1">
        <f t="shared" si="96"/>
        <v>-8.5851550310580338E-2</v>
      </c>
      <c r="CJ96" s="1">
        <f t="shared" si="100"/>
        <v>-0.10368882504183108</v>
      </c>
      <c r="CK96" s="1">
        <f t="shared" si="104"/>
        <v>-0.13091492726407727</v>
      </c>
      <c r="CL96" s="1">
        <f t="shared" si="108"/>
        <v>-0.1776528281742451</v>
      </c>
      <c r="CM96" s="1">
        <f t="shared" si="112"/>
        <v>-0.27706405941497669</v>
      </c>
      <c r="CN96" s="1">
        <f t="shared" ref="CN96:CN113" si="117">(1+(AJ30/0.03125)*LN(AK30/AJ30))</f>
        <v>-0.64791843300216456</v>
      </c>
      <c r="CO96" s="1">
        <v>1</v>
      </c>
      <c r="CP96" s="1">
        <f t="shared" ref="CP96:DE96" si="118">(1+(AL30/0.03125)*LN(AM30/AL30))</f>
        <v>0.45069385566594511</v>
      </c>
      <c r="CQ96" s="1">
        <f t="shared" si="118"/>
        <v>0.23376156435101392</v>
      </c>
      <c r="CR96" s="1">
        <f t="shared" si="118"/>
        <v>0.15881940844696774</v>
      </c>
      <c r="CS96" s="1">
        <f t="shared" si="118"/>
        <v>0.12039950101682839</v>
      </c>
      <c r="CT96" s="1">
        <f t="shared" si="118"/>
        <v>9.698187042031936E-2</v>
      </c>
      <c r="CU96" s="1">
        <f t="shared" si="118"/>
        <v>8.1202534352585731E-2</v>
      </c>
      <c r="CV96" s="1">
        <f t="shared" si="118"/>
        <v>6.9844516335623941E-2</v>
      </c>
      <c r="CW96" s="1">
        <f t="shared" si="118"/>
        <v>6.1276427844955128E-2</v>
      </c>
      <c r="CX96" s="1">
        <f t="shared" si="118"/>
        <v>5.4582101563092622E-2</v>
      </c>
      <c r="CY96" s="1">
        <f t="shared" si="118"/>
        <v>4.920714370866508E-2</v>
      </c>
      <c r="CZ96" s="1">
        <f t="shared" si="118"/>
        <v>4.4796328839868726E-2</v>
      </c>
      <c r="DA96" s="1">
        <f t="shared" si="118"/>
        <v>4.1111497200913449E-2</v>
      </c>
      <c r="DB96" s="1">
        <f t="shared" si="118"/>
        <v>3.7986985798395101E-2</v>
      </c>
      <c r="DC96" s="1">
        <f t="shared" si="118"/>
        <v>3.5303986241041918E-2</v>
      </c>
      <c r="DD96" s="1">
        <f t="shared" si="118"/>
        <v>3.2975069769253906E-2</v>
      </c>
      <c r="DE96" s="1">
        <f t="shared" si="118"/>
        <v>3.09344667893241E-2</v>
      </c>
      <c r="DF96" s="1" t="e">
        <f t="shared" si="61"/>
        <v>#NUM!</v>
      </c>
    </row>
    <row r="97" spans="40:110" x14ac:dyDescent="0.25">
      <c r="AN97" s="3">
        <v>16</v>
      </c>
      <c r="AO97" s="3">
        <f t="shared" si="62"/>
        <v>-3.2975069769251908E-2</v>
      </c>
      <c r="AP97" s="3">
        <f t="shared" si="66"/>
        <v>-3.5303986241042806E-2</v>
      </c>
      <c r="AQ97" s="3">
        <f t="shared" si="70"/>
        <v>-3.7986985798395989E-2</v>
      </c>
      <c r="AR97" s="3">
        <f t="shared" si="74"/>
        <v>-4.1111497200913338E-2</v>
      </c>
      <c r="AS97" s="3">
        <f t="shared" si="78"/>
        <v>-4.479632883986906E-2</v>
      </c>
      <c r="AT97" s="3">
        <f t="shared" si="82"/>
        <v>-4.9207143708665968E-2</v>
      </c>
      <c r="AU97" s="3">
        <f t="shared" si="86"/>
        <v>-5.4582101563092844E-2</v>
      </c>
      <c r="AV97" s="3">
        <f t="shared" si="90"/>
        <v>-6.1276427844954684E-2</v>
      </c>
      <c r="AW97" s="3">
        <f t="shared" si="94"/>
        <v>-6.9844516335623608E-2</v>
      </c>
      <c r="AX97" s="3">
        <f t="shared" si="98"/>
        <v>-8.1202534352585842E-2</v>
      </c>
      <c r="AY97" s="3">
        <f t="shared" si="102"/>
        <v>-9.6981870420320027E-2</v>
      </c>
      <c r="AZ97" s="3">
        <f t="shared" si="106"/>
        <v>-0.12039950101682884</v>
      </c>
      <c r="BA97" s="3">
        <f t="shared" si="110"/>
        <v>-0.15881940844696774</v>
      </c>
      <c r="BB97" s="3">
        <f t="shared" si="115"/>
        <v>-0.23376156435101392</v>
      </c>
      <c r="BC97" s="3">
        <f t="shared" ref="BC97:BC113" si="119">-(AL31/0.03125)*LN(AL31/AK31)-1</f>
        <v>-0.45069385566594511</v>
      </c>
      <c r="BD97" s="3">
        <v>-1</v>
      </c>
      <c r="BE97" s="3">
        <f t="shared" ref="BE97:BT97" si="120">-(AN31/0.03125)*LN(AN31/AM31)-1</f>
        <v>0.64791843300216456</v>
      </c>
      <c r="BF97" s="3">
        <f t="shared" si="120"/>
        <v>0.27706405941497669</v>
      </c>
      <c r="BG97" s="3">
        <f t="shared" si="120"/>
        <v>0.1776528281742451</v>
      </c>
      <c r="BH97" s="3">
        <f t="shared" si="120"/>
        <v>0.13091492726407772</v>
      </c>
      <c r="BI97" s="3">
        <f t="shared" si="120"/>
        <v>0.10368882504183174</v>
      </c>
      <c r="BJ97" s="3">
        <f t="shared" si="120"/>
        <v>8.585155031058056E-2</v>
      </c>
      <c r="BK97" s="3">
        <f t="shared" si="120"/>
        <v>7.3256327305049274E-2</v>
      </c>
      <c r="BL97" s="3">
        <f t="shared" si="120"/>
        <v>6.3886715109050973E-2</v>
      </c>
      <c r="BM97" s="3">
        <f t="shared" si="120"/>
        <v>5.6643533547131808E-2</v>
      </c>
      <c r="BN97" s="3">
        <f t="shared" si="120"/>
        <v>5.0876314848317561E-2</v>
      </c>
      <c r="BO97" s="3">
        <f t="shared" si="120"/>
        <v>4.6175449365857935E-2</v>
      </c>
      <c r="BP97" s="3">
        <f t="shared" si="120"/>
        <v>4.2270111738137439E-2</v>
      </c>
      <c r="BQ97" s="3">
        <f t="shared" si="120"/>
        <v>3.8974055337733349E-2</v>
      </c>
      <c r="BR97" s="3">
        <f t="shared" si="120"/>
        <v>3.6154977741103211E-2</v>
      </c>
      <c r="BS97" s="3">
        <f t="shared" si="120"/>
        <v>3.3716304729418223E-2</v>
      </c>
      <c r="BT97" s="3">
        <f t="shared" si="120"/>
        <v>3.1585890192009858E-2</v>
      </c>
      <c r="BW97" s="1">
        <v>16</v>
      </c>
      <c r="BX97" s="1"/>
      <c r="BY97" s="1"/>
      <c r="BZ97" s="1">
        <v>0</v>
      </c>
      <c r="CA97" s="1">
        <f t="shared" si="64"/>
        <v>-3.3716304729420443E-2</v>
      </c>
      <c r="CB97" s="1">
        <f t="shared" si="68"/>
        <v>-3.6154977741102101E-2</v>
      </c>
      <c r="CC97" s="1">
        <f t="shared" si="72"/>
        <v>-3.8974055337732461E-2</v>
      </c>
      <c r="CD97" s="1">
        <f t="shared" si="76"/>
        <v>-4.2270111738137661E-2</v>
      </c>
      <c r="CE97" s="1">
        <f t="shared" si="80"/>
        <v>-4.6175449365857713E-2</v>
      </c>
      <c r="CF97" s="1">
        <f t="shared" si="84"/>
        <v>-5.0876314848316451E-2</v>
      </c>
      <c r="CG97" s="1">
        <f t="shared" si="88"/>
        <v>-5.6643533547131586E-2</v>
      </c>
      <c r="CH97" s="1">
        <f t="shared" si="92"/>
        <v>-6.3886715109051417E-2</v>
      </c>
      <c r="CI97" s="1">
        <f t="shared" si="96"/>
        <v>-7.3256327305049718E-2</v>
      </c>
      <c r="CJ97" s="1">
        <f t="shared" si="100"/>
        <v>-8.5851550310580338E-2</v>
      </c>
      <c r="CK97" s="1">
        <f t="shared" si="104"/>
        <v>-0.10368882504183108</v>
      </c>
      <c r="CL97" s="1">
        <f t="shared" si="108"/>
        <v>-0.13091492726407727</v>
      </c>
      <c r="CM97" s="1">
        <f t="shared" si="112"/>
        <v>-0.1776528281742451</v>
      </c>
      <c r="CN97" s="1">
        <f t="shared" si="117"/>
        <v>-0.27706405941497669</v>
      </c>
      <c r="CO97" s="1">
        <f t="shared" ref="CO97:CO113" si="121">(1+(AK31/0.03125)*LN(AL31/AK31))</f>
        <v>-0.64791843300216456</v>
      </c>
      <c r="CP97" s="1">
        <v>1</v>
      </c>
      <c r="CQ97" s="1">
        <f t="shared" ref="CQ97:DE97" si="122">(1+(AM31/0.03125)*LN(AN31/AM31))</f>
        <v>0.45069385566594511</v>
      </c>
      <c r="CR97" s="1">
        <f t="shared" si="122"/>
        <v>0.23376156435101392</v>
      </c>
      <c r="CS97" s="1">
        <f t="shared" si="122"/>
        <v>0.15881940844696774</v>
      </c>
      <c r="CT97" s="1">
        <f t="shared" si="122"/>
        <v>0.12039950101682839</v>
      </c>
      <c r="CU97" s="1">
        <f t="shared" si="122"/>
        <v>9.698187042031936E-2</v>
      </c>
      <c r="CV97" s="1">
        <f t="shared" si="122"/>
        <v>8.1202534352585731E-2</v>
      </c>
      <c r="CW97" s="1">
        <f t="shared" si="122"/>
        <v>6.9844516335623941E-2</v>
      </c>
      <c r="CX97" s="1">
        <f t="shared" si="122"/>
        <v>6.1276427844955128E-2</v>
      </c>
      <c r="CY97" s="1">
        <f t="shared" si="122"/>
        <v>5.4582101563092622E-2</v>
      </c>
      <c r="CZ97" s="1">
        <f t="shared" si="122"/>
        <v>4.920714370866508E-2</v>
      </c>
      <c r="DA97" s="1">
        <f t="shared" si="122"/>
        <v>4.4796328839868726E-2</v>
      </c>
      <c r="DB97" s="1">
        <f t="shared" si="122"/>
        <v>4.1111497200913449E-2</v>
      </c>
      <c r="DC97" s="1">
        <f t="shared" si="122"/>
        <v>3.7986985798395101E-2</v>
      </c>
      <c r="DD97" s="1">
        <f t="shared" si="122"/>
        <v>3.5303986241041918E-2</v>
      </c>
      <c r="DE97" s="1">
        <f t="shared" si="122"/>
        <v>3.2975069769253906E-2</v>
      </c>
      <c r="DF97" s="1" t="e">
        <f t="shared" si="61"/>
        <v>#NUM!</v>
      </c>
    </row>
    <row r="98" spans="40:110" x14ac:dyDescent="0.25">
      <c r="AN98" s="3">
        <v>17</v>
      </c>
      <c r="AO98" s="3">
        <f t="shared" si="62"/>
        <v>-3.09344667893241E-2</v>
      </c>
      <c r="AP98" s="3">
        <f t="shared" si="66"/>
        <v>-3.2975069769251908E-2</v>
      </c>
      <c r="AQ98" s="3">
        <f t="shared" si="70"/>
        <v>-3.5303986241042806E-2</v>
      </c>
      <c r="AR98" s="3">
        <f t="shared" si="74"/>
        <v>-3.7986985798395989E-2</v>
      </c>
      <c r="AS98" s="3">
        <f t="shared" si="78"/>
        <v>-4.1111497200913338E-2</v>
      </c>
      <c r="AT98" s="3">
        <f t="shared" si="82"/>
        <v>-4.479632883986906E-2</v>
      </c>
      <c r="AU98" s="3">
        <f t="shared" si="86"/>
        <v>-4.9207143708665968E-2</v>
      </c>
      <c r="AV98" s="3">
        <f t="shared" si="90"/>
        <v>-5.4582101563092844E-2</v>
      </c>
      <c r="AW98" s="3">
        <f t="shared" si="94"/>
        <v>-6.1276427844954684E-2</v>
      </c>
      <c r="AX98" s="3">
        <f t="shared" si="98"/>
        <v>-6.9844516335623608E-2</v>
      </c>
      <c r="AY98" s="3">
        <f t="shared" si="102"/>
        <v>-8.1202534352585842E-2</v>
      </c>
      <c r="AZ98" s="3">
        <f t="shared" si="106"/>
        <v>-9.6981870420320027E-2</v>
      </c>
      <c r="BA98" s="3">
        <f t="shared" si="110"/>
        <v>-0.12039950101682884</v>
      </c>
      <c r="BB98" s="3">
        <f t="shared" si="115"/>
        <v>-0.15881940844696774</v>
      </c>
      <c r="BC98" s="3">
        <f t="shared" si="119"/>
        <v>-0.23376156435101392</v>
      </c>
      <c r="BD98" s="3">
        <f t="shared" ref="BD98:BD113" si="123">-(AM32/0.03125)*LN(AM32/AL32)-1</f>
        <v>-0.45069385566594511</v>
      </c>
      <c r="BE98" s="3">
        <v>-1</v>
      </c>
      <c r="BF98" s="3">
        <f t="shared" ref="BF98:BT98" si="124">-(AO32/0.03125)*LN(AO32/AN32)-1</f>
        <v>0.64791843300216456</v>
      </c>
      <c r="BG98" s="3">
        <f t="shared" si="124"/>
        <v>0.27706405941497669</v>
      </c>
      <c r="BH98" s="3">
        <f t="shared" si="124"/>
        <v>0.1776528281742451</v>
      </c>
      <c r="BI98" s="3">
        <f t="shared" si="124"/>
        <v>0.13091492726407772</v>
      </c>
      <c r="BJ98" s="3">
        <f t="shared" si="124"/>
        <v>0.10368882504183174</v>
      </c>
      <c r="BK98" s="3">
        <f t="shared" si="124"/>
        <v>8.585155031058056E-2</v>
      </c>
      <c r="BL98" s="3">
        <f t="shared" si="124"/>
        <v>7.3256327305049274E-2</v>
      </c>
      <c r="BM98" s="3">
        <f t="shared" si="124"/>
        <v>6.3886715109050973E-2</v>
      </c>
      <c r="BN98" s="3">
        <f t="shared" si="124"/>
        <v>5.6643533547131808E-2</v>
      </c>
      <c r="BO98" s="3">
        <f t="shared" si="124"/>
        <v>5.0876314848317561E-2</v>
      </c>
      <c r="BP98" s="3">
        <f t="shared" si="124"/>
        <v>4.6175449365857935E-2</v>
      </c>
      <c r="BQ98" s="3">
        <f t="shared" si="124"/>
        <v>4.2270111738137439E-2</v>
      </c>
      <c r="BR98" s="3">
        <f t="shared" si="124"/>
        <v>3.8974055337733349E-2</v>
      </c>
      <c r="BS98" s="3">
        <f t="shared" si="124"/>
        <v>3.6154977741103211E-2</v>
      </c>
      <c r="BT98" s="3">
        <f t="shared" si="124"/>
        <v>3.3716304729418223E-2</v>
      </c>
      <c r="BW98" s="1">
        <v>17</v>
      </c>
      <c r="BX98" s="1"/>
      <c r="BY98" s="1"/>
      <c r="BZ98" s="1">
        <v>0</v>
      </c>
      <c r="CA98" s="1">
        <f t="shared" si="64"/>
        <v>-3.1585890192009858E-2</v>
      </c>
      <c r="CB98" s="1">
        <f t="shared" si="68"/>
        <v>-3.3716304729420443E-2</v>
      </c>
      <c r="CC98" s="1">
        <f t="shared" si="72"/>
        <v>-3.6154977741102101E-2</v>
      </c>
      <c r="CD98" s="1">
        <f t="shared" si="76"/>
        <v>-3.8974055337732461E-2</v>
      </c>
      <c r="CE98" s="1">
        <f t="shared" si="80"/>
        <v>-4.2270111738137661E-2</v>
      </c>
      <c r="CF98" s="1">
        <f t="shared" si="84"/>
        <v>-4.6175449365857713E-2</v>
      </c>
      <c r="CG98" s="1">
        <f t="shared" si="88"/>
        <v>-5.0876314848316451E-2</v>
      </c>
      <c r="CH98" s="1">
        <f t="shared" si="92"/>
        <v>-5.6643533547131586E-2</v>
      </c>
      <c r="CI98" s="1">
        <f t="shared" si="96"/>
        <v>-6.3886715109051417E-2</v>
      </c>
      <c r="CJ98" s="1">
        <f t="shared" si="100"/>
        <v>-7.3256327305049718E-2</v>
      </c>
      <c r="CK98" s="1">
        <f t="shared" si="104"/>
        <v>-8.5851550310580338E-2</v>
      </c>
      <c r="CL98" s="1">
        <f t="shared" si="108"/>
        <v>-0.10368882504183108</v>
      </c>
      <c r="CM98" s="1">
        <f t="shared" si="112"/>
        <v>-0.13091492726407727</v>
      </c>
      <c r="CN98" s="1">
        <f t="shared" si="117"/>
        <v>-0.1776528281742451</v>
      </c>
      <c r="CO98" s="1">
        <f t="shared" si="121"/>
        <v>-0.27706405941497669</v>
      </c>
      <c r="CP98" s="1">
        <f t="shared" ref="CP98:CP113" si="125">(1+(AL32/0.03125)*LN(AM32/AL32))</f>
        <v>-0.64791843300216456</v>
      </c>
      <c r="CQ98" s="1">
        <v>1</v>
      </c>
      <c r="CR98" s="1">
        <f t="shared" ref="CR98:DE98" si="126">(1+(AN32/0.03125)*LN(AO32/AN32))</f>
        <v>0.45069385566594511</v>
      </c>
      <c r="CS98" s="1">
        <f t="shared" si="126"/>
        <v>0.23376156435101392</v>
      </c>
      <c r="CT98" s="1">
        <f t="shared" si="126"/>
        <v>0.15881940844696774</v>
      </c>
      <c r="CU98" s="1">
        <f t="shared" si="126"/>
        <v>0.12039950101682839</v>
      </c>
      <c r="CV98" s="1">
        <f t="shared" si="126"/>
        <v>9.698187042031936E-2</v>
      </c>
      <c r="CW98" s="1">
        <f t="shared" si="126"/>
        <v>8.1202534352585731E-2</v>
      </c>
      <c r="CX98" s="1">
        <f t="shared" si="126"/>
        <v>6.9844516335623941E-2</v>
      </c>
      <c r="CY98" s="1">
        <f t="shared" si="126"/>
        <v>6.1276427844955128E-2</v>
      </c>
      <c r="CZ98" s="1">
        <f t="shared" si="126"/>
        <v>5.4582101563092622E-2</v>
      </c>
      <c r="DA98" s="1">
        <f t="shared" si="126"/>
        <v>4.920714370866508E-2</v>
      </c>
      <c r="DB98" s="1">
        <f t="shared" si="126"/>
        <v>4.4796328839868726E-2</v>
      </c>
      <c r="DC98" s="1">
        <f t="shared" si="126"/>
        <v>4.1111497200913449E-2</v>
      </c>
      <c r="DD98" s="1">
        <f t="shared" si="126"/>
        <v>3.7986985798395101E-2</v>
      </c>
      <c r="DE98" s="1">
        <f t="shared" si="126"/>
        <v>3.5303986241041918E-2</v>
      </c>
      <c r="DF98" s="1" t="e">
        <f t="shared" si="61"/>
        <v>#NUM!</v>
      </c>
    </row>
    <row r="99" spans="40:110" x14ac:dyDescent="0.25">
      <c r="AN99" s="3">
        <v>18</v>
      </c>
      <c r="AO99" s="3">
        <f t="shared" si="62"/>
        <v>-2.9131749621597813E-2</v>
      </c>
      <c r="AP99" s="3">
        <f t="shared" si="66"/>
        <v>-3.09344667893241E-2</v>
      </c>
      <c r="AQ99" s="3">
        <f t="shared" si="70"/>
        <v>-3.2975069769251908E-2</v>
      </c>
      <c r="AR99" s="3">
        <f t="shared" si="74"/>
        <v>-3.5303986241042806E-2</v>
      </c>
      <c r="AS99" s="3">
        <f t="shared" si="78"/>
        <v>-3.7986985798395989E-2</v>
      </c>
      <c r="AT99" s="3">
        <f t="shared" si="82"/>
        <v>-4.1111497200913338E-2</v>
      </c>
      <c r="AU99" s="3">
        <f t="shared" si="86"/>
        <v>-4.479632883986906E-2</v>
      </c>
      <c r="AV99" s="3">
        <f t="shared" si="90"/>
        <v>-4.9207143708665968E-2</v>
      </c>
      <c r="AW99" s="3">
        <f t="shared" si="94"/>
        <v>-5.4582101563092844E-2</v>
      </c>
      <c r="AX99" s="3">
        <f t="shared" si="98"/>
        <v>-6.1276427844954684E-2</v>
      </c>
      <c r="AY99" s="3">
        <f t="shared" si="102"/>
        <v>-6.9844516335623608E-2</v>
      </c>
      <c r="AZ99" s="3">
        <f t="shared" si="106"/>
        <v>-8.1202534352585842E-2</v>
      </c>
      <c r="BA99" s="3">
        <f t="shared" si="110"/>
        <v>-9.6981870420320027E-2</v>
      </c>
      <c r="BB99" s="3">
        <f t="shared" si="115"/>
        <v>-0.12039950101682884</v>
      </c>
      <c r="BC99" s="3">
        <f t="shared" si="119"/>
        <v>-0.15881940844696774</v>
      </c>
      <c r="BD99" s="3">
        <f t="shared" si="123"/>
        <v>-0.23376156435101392</v>
      </c>
      <c r="BE99" s="3">
        <f t="shared" ref="BE99:BE113" si="127">-(AN33/0.03125)*LN(AN33/AM33)-1</f>
        <v>-0.45069385566594511</v>
      </c>
      <c r="BF99" s="3">
        <v>-1</v>
      </c>
      <c r="BG99" s="3">
        <f t="shared" ref="BG99:BT99" si="128">-(AP33/0.03125)*LN(AP33/AO33)-1</f>
        <v>0.64791843300216456</v>
      </c>
      <c r="BH99" s="3">
        <f t="shared" si="128"/>
        <v>0.27706405941497669</v>
      </c>
      <c r="BI99" s="3">
        <f t="shared" si="128"/>
        <v>0.1776528281742451</v>
      </c>
      <c r="BJ99" s="3">
        <f t="shared" si="128"/>
        <v>0.13091492726407772</v>
      </c>
      <c r="BK99" s="3">
        <f t="shared" si="128"/>
        <v>0.10368882504183174</v>
      </c>
      <c r="BL99" s="3">
        <f t="shared" si="128"/>
        <v>8.585155031058056E-2</v>
      </c>
      <c r="BM99" s="3">
        <f t="shared" si="128"/>
        <v>7.3256327305049274E-2</v>
      </c>
      <c r="BN99" s="3">
        <f t="shared" si="128"/>
        <v>6.3886715109050973E-2</v>
      </c>
      <c r="BO99" s="3">
        <f t="shared" si="128"/>
        <v>5.6643533547131808E-2</v>
      </c>
      <c r="BP99" s="3">
        <f t="shared" si="128"/>
        <v>5.0876314848317561E-2</v>
      </c>
      <c r="BQ99" s="3">
        <f t="shared" si="128"/>
        <v>4.6175449365857935E-2</v>
      </c>
      <c r="BR99" s="3">
        <f t="shared" si="128"/>
        <v>4.2270111738137439E-2</v>
      </c>
      <c r="BS99" s="3">
        <f t="shared" si="128"/>
        <v>3.8974055337733349E-2</v>
      </c>
      <c r="BT99" s="3">
        <f t="shared" si="128"/>
        <v>3.6154977741103211E-2</v>
      </c>
      <c r="BW99" s="1">
        <v>18</v>
      </c>
      <c r="BX99" s="1"/>
      <c r="BY99" s="1"/>
      <c r="BZ99" s="1">
        <v>0</v>
      </c>
      <c r="CA99" s="1">
        <f t="shared" si="64"/>
        <v>-2.9708750401335582E-2</v>
      </c>
      <c r="CB99" s="1">
        <f t="shared" si="68"/>
        <v>-3.1585890192009858E-2</v>
      </c>
      <c r="CC99" s="1">
        <f t="shared" si="72"/>
        <v>-3.3716304729420443E-2</v>
      </c>
      <c r="CD99" s="1">
        <f t="shared" si="76"/>
        <v>-3.6154977741102101E-2</v>
      </c>
      <c r="CE99" s="1">
        <f t="shared" si="80"/>
        <v>-3.8974055337732461E-2</v>
      </c>
      <c r="CF99" s="1">
        <f t="shared" si="84"/>
        <v>-4.2270111738137661E-2</v>
      </c>
      <c r="CG99" s="1">
        <f t="shared" si="88"/>
        <v>-4.6175449365857713E-2</v>
      </c>
      <c r="CH99" s="1">
        <f t="shared" si="92"/>
        <v>-5.0876314848316451E-2</v>
      </c>
      <c r="CI99" s="1">
        <f t="shared" si="96"/>
        <v>-5.6643533547131586E-2</v>
      </c>
      <c r="CJ99" s="1">
        <f t="shared" si="100"/>
        <v>-6.3886715109051417E-2</v>
      </c>
      <c r="CK99" s="1">
        <f t="shared" si="104"/>
        <v>-7.3256327305049718E-2</v>
      </c>
      <c r="CL99" s="1">
        <f t="shared" si="108"/>
        <v>-8.5851550310580338E-2</v>
      </c>
      <c r="CM99" s="1">
        <f t="shared" si="112"/>
        <v>-0.10368882504183108</v>
      </c>
      <c r="CN99" s="1">
        <f t="shared" si="117"/>
        <v>-0.13091492726407727</v>
      </c>
      <c r="CO99" s="1">
        <f t="shared" si="121"/>
        <v>-0.1776528281742451</v>
      </c>
      <c r="CP99" s="1">
        <f t="shared" si="125"/>
        <v>-0.27706405941497669</v>
      </c>
      <c r="CQ99" s="1">
        <f t="shared" ref="CQ99:CQ113" si="129">(1+(AM33/0.03125)*LN(AN33/AM33))</f>
        <v>-0.64791843300216456</v>
      </c>
      <c r="CR99" s="1">
        <v>1</v>
      </c>
      <c r="CS99" s="1">
        <f t="shared" ref="CS99:DE99" si="130">(1+(AO33/0.03125)*LN(AP33/AO33))</f>
        <v>0.45069385566594511</v>
      </c>
      <c r="CT99" s="1">
        <f t="shared" si="130"/>
        <v>0.23376156435101392</v>
      </c>
      <c r="CU99" s="1">
        <f t="shared" si="130"/>
        <v>0.15881940844696774</v>
      </c>
      <c r="CV99" s="1">
        <f t="shared" si="130"/>
        <v>0.12039950101682839</v>
      </c>
      <c r="CW99" s="1">
        <f t="shared" si="130"/>
        <v>9.698187042031936E-2</v>
      </c>
      <c r="CX99" s="1">
        <f t="shared" si="130"/>
        <v>8.1202534352585731E-2</v>
      </c>
      <c r="CY99" s="1">
        <f t="shared" si="130"/>
        <v>6.9844516335623941E-2</v>
      </c>
      <c r="CZ99" s="1">
        <f t="shared" si="130"/>
        <v>6.1276427844955128E-2</v>
      </c>
      <c r="DA99" s="1">
        <f t="shared" si="130"/>
        <v>5.4582101563092622E-2</v>
      </c>
      <c r="DB99" s="1">
        <f t="shared" si="130"/>
        <v>4.920714370866508E-2</v>
      </c>
      <c r="DC99" s="1">
        <f t="shared" si="130"/>
        <v>4.4796328839868726E-2</v>
      </c>
      <c r="DD99" s="1">
        <f t="shared" si="130"/>
        <v>4.1111497200913449E-2</v>
      </c>
      <c r="DE99" s="1">
        <f t="shared" si="130"/>
        <v>3.7986985798395101E-2</v>
      </c>
      <c r="DF99" s="1" t="e">
        <f t="shared" si="61"/>
        <v>#NUM!</v>
      </c>
    </row>
    <row r="100" spans="40:110" x14ac:dyDescent="0.25">
      <c r="AN100" s="3">
        <v>19</v>
      </c>
      <c r="AO100" s="3">
        <f t="shared" si="62"/>
        <v>-2.7527604790811622E-2</v>
      </c>
      <c r="AP100" s="3">
        <f t="shared" si="66"/>
        <v>-2.9131749621597813E-2</v>
      </c>
      <c r="AQ100" s="3">
        <f t="shared" si="70"/>
        <v>-3.09344667893241E-2</v>
      </c>
      <c r="AR100" s="3">
        <f t="shared" si="74"/>
        <v>-3.2975069769251908E-2</v>
      </c>
      <c r="AS100" s="3">
        <f t="shared" si="78"/>
        <v>-3.5303986241042806E-2</v>
      </c>
      <c r="AT100" s="3">
        <f t="shared" si="82"/>
        <v>-3.7986985798395989E-2</v>
      </c>
      <c r="AU100" s="3">
        <f t="shared" si="86"/>
        <v>-4.1111497200913338E-2</v>
      </c>
      <c r="AV100" s="3">
        <f t="shared" si="90"/>
        <v>-4.479632883986906E-2</v>
      </c>
      <c r="AW100" s="3">
        <f t="shared" si="94"/>
        <v>-4.9207143708665968E-2</v>
      </c>
      <c r="AX100" s="3">
        <f t="shared" si="98"/>
        <v>-5.4582101563092844E-2</v>
      </c>
      <c r="AY100" s="3">
        <f t="shared" si="102"/>
        <v>-6.1276427844954684E-2</v>
      </c>
      <c r="AZ100" s="3">
        <f t="shared" si="106"/>
        <v>-6.9844516335623608E-2</v>
      </c>
      <c r="BA100" s="3">
        <f t="shared" si="110"/>
        <v>-8.1202534352585842E-2</v>
      </c>
      <c r="BB100" s="3">
        <f t="shared" si="115"/>
        <v>-9.6981870420320027E-2</v>
      </c>
      <c r="BC100" s="3">
        <f t="shared" si="119"/>
        <v>-0.12039950101682884</v>
      </c>
      <c r="BD100" s="3">
        <f t="shared" si="123"/>
        <v>-0.15881940844696774</v>
      </c>
      <c r="BE100" s="3">
        <f t="shared" si="127"/>
        <v>-0.23376156435101392</v>
      </c>
      <c r="BF100" s="3">
        <f t="shared" ref="BF100:BF113" si="131">-(AO34/0.03125)*LN(AO34/AN34)-1</f>
        <v>-0.45069385566594511</v>
      </c>
      <c r="BG100" s="3">
        <v>-1</v>
      </c>
      <c r="BH100" s="3">
        <f t="shared" ref="BH100:BT100" si="132">-(AQ34/0.03125)*LN(AQ34/AP34)-1</f>
        <v>0.64791843300216456</v>
      </c>
      <c r="BI100" s="3">
        <f t="shared" si="132"/>
        <v>0.27706405941497669</v>
      </c>
      <c r="BJ100" s="3">
        <f t="shared" si="132"/>
        <v>0.1776528281742451</v>
      </c>
      <c r="BK100" s="3">
        <f t="shared" si="132"/>
        <v>0.13091492726407772</v>
      </c>
      <c r="BL100" s="3">
        <f t="shared" si="132"/>
        <v>0.10368882504183174</v>
      </c>
      <c r="BM100" s="3">
        <f t="shared" si="132"/>
        <v>8.585155031058056E-2</v>
      </c>
      <c r="BN100" s="3">
        <f t="shared" si="132"/>
        <v>7.3256327305049274E-2</v>
      </c>
      <c r="BO100" s="3">
        <f t="shared" si="132"/>
        <v>6.3886715109050973E-2</v>
      </c>
      <c r="BP100" s="3">
        <f t="shared" si="132"/>
        <v>5.6643533547131808E-2</v>
      </c>
      <c r="BQ100" s="3">
        <f t="shared" si="132"/>
        <v>5.0876314848317561E-2</v>
      </c>
      <c r="BR100" s="3">
        <f t="shared" si="132"/>
        <v>4.6175449365857935E-2</v>
      </c>
      <c r="BS100" s="3">
        <f t="shared" si="132"/>
        <v>4.2270111738137439E-2</v>
      </c>
      <c r="BT100" s="3">
        <f t="shared" si="132"/>
        <v>3.8974055337733349E-2</v>
      </c>
      <c r="BW100" s="1">
        <v>19</v>
      </c>
      <c r="BX100" s="1"/>
      <c r="BY100" s="1"/>
      <c r="BZ100" s="1">
        <v>0</v>
      </c>
      <c r="CA100" s="1">
        <f t="shared" si="64"/>
        <v>-2.8042246363999102E-2</v>
      </c>
      <c r="CB100" s="1">
        <f t="shared" si="68"/>
        <v>-2.9708750401335582E-2</v>
      </c>
      <c r="CC100" s="1">
        <f t="shared" si="72"/>
        <v>-3.1585890192009858E-2</v>
      </c>
      <c r="CD100" s="1">
        <f t="shared" si="76"/>
        <v>-3.3716304729420443E-2</v>
      </c>
      <c r="CE100" s="1">
        <f t="shared" si="80"/>
        <v>-3.6154977741102101E-2</v>
      </c>
      <c r="CF100" s="1">
        <f t="shared" si="84"/>
        <v>-3.8974055337732461E-2</v>
      </c>
      <c r="CG100" s="1">
        <f t="shared" si="88"/>
        <v>-4.2270111738137661E-2</v>
      </c>
      <c r="CH100" s="1">
        <f t="shared" si="92"/>
        <v>-4.6175449365857713E-2</v>
      </c>
      <c r="CI100" s="1">
        <f t="shared" si="96"/>
        <v>-5.0876314848316451E-2</v>
      </c>
      <c r="CJ100" s="1">
        <f t="shared" si="100"/>
        <v>-5.6643533547131586E-2</v>
      </c>
      <c r="CK100" s="1">
        <f t="shared" si="104"/>
        <v>-6.3886715109051417E-2</v>
      </c>
      <c r="CL100" s="1">
        <f t="shared" si="108"/>
        <v>-7.3256327305049718E-2</v>
      </c>
      <c r="CM100" s="1">
        <f t="shared" si="112"/>
        <v>-8.5851550310580338E-2</v>
      </c>
      <c r="CN100" s="1">
        <f t="shared" si="117"/>
        <v>-0.10368882504183108</v>
      </c>
      <c r="CO100" s="1">
        <f t="shared" si="121"/>
        <v>-0.13091492726407727</v>
      </c>
      <c r="CP100" s="1">
        <f t="shared" si="125"/>
        <v>-0.1776528281742451</v>
      </c>
      <c r="CQ100" s="1">
        <f t="shared" si="129"/>
        <v>-0.27706405941497669</v>
      </c>
      <c r="CR100" s="1">
        <f t="shared" ref="CR100:CR113" si="133">(1+(AN34/0.03125)*LN(AO34/AN34))</f>
        <v>-0.64791843300216456</v>
      </c>
      <c r="CS100" s="1">
        <v>1</v>
      </c>
      <c r="CT100" s="1">
        <f t="shared" ref="CT100:DE100" si="134">(1+(AP34/0.03125)*LN(AQ34/AP34))</f>
        <v>0.45069385566594511</v>
      </c>
      <c r="CU100" s="1">
        <f t="shared" si="134"/>
        <v>0.23376156435101392</v>
      </c>
      <c r="CV100" s="1">
        <f t="shared" si="134"/>
        <v>0.15881940844696774</v>
      </c>
      <c r="CW100" s="1">
        <f t="shared" si="134"/>
        <v>0.12039950101682839</v>
      </c>
      <c r="CX100" s="1">
        <f t="shared" si="134"/>
        <v>9.698187042031936E-2</v>
      </c>
      <c r="CY100" s="1">
        <f t="shared" si="134"/>
        <v>8.1202534352585731E-2</v>
      </c>
      <c r="CZ100" s="1">
        <f t="shared" si="134"/>
        <v>6.9844516335623941E-2</v>
      </c>
      <c r="DA100" s="1">
        <f t="shared" si="134"/>
        <v>6.1276427844955128E-2</v>
      </c>
      <c r="DB100" s="1">
        <f t="shared" si="134"/>
        <v>5.4582101563092622E-2</v>
      </c>
      <c r="DC100" s="1">
        <f t="shared" si="134"/>
        <v>4.920714370866508E-2</v>
      </c>
      <c r="DD100" s="1">
        <f t="shared" si="134"/>
        <v>4.4796328839868726E-2</v>
      </c>
      <c r="DE100" s="1">
        <f t="shared" si="134"/>
        <v>4.1111497200913449E-2</v>
      </c>
      <c r="DF100" s="1" t="e">
        <f t="shared" si="61"/>
        <v>#NUM!</v>
      </c>
    </row>
    <row r="101" spans="40:110" x14ac:dyDescent="0.25">
      <c r="AN101" s="3">
        <v>20</v>
      </c>
      <c r="AO101" s="3">
        <f t="shared" si="62"/>
        <v>-2.6090930519692468E-2</v>
      </c>
      <c r="AP101" s="3">
        <f t="shared" si="66"/>
        <v>-2.7527604790811622E-2</v>
      </c>
      <c r="AQ101" s="3">
        <f t="shared" si="70"/>
        <v>-2.9131749621597813E-2</v>
      </c>
      <c r="AR101" s="3">
        <f t="shared" si="74"/>
        <v>-3.09344667893241E-2</v>
      </c>
      <c r="AS101" s="3">
        <f t="shared" si="78"/>
        <v>-3.2975069769251908E-2</v>
      </c>
      <c r="AT101" s="3">
        <f t="shared" si="82"/>
        <v>-3.5303986241042806E-2</v>
      </c>
      <c r="AU101" s="3">
        <f t="shared" si="86"/>
        <v>-3.7986985798395989E-2</v>
      </c>
      <c r="AV101" s="3">
        <f t="shared" si="90"/>
        <v>-4.1111497200913338E-2</v>
      </c>
      <c r="AW101" s="3">
        <f t="shared" si="94"/>
        <v>-4.479632883986906E-2</v>
      </c>
      <c r="AX101" s="3">
        <f t="shared" si="98"/>
        <v>-4.9207143708665968E-2</v>
      </c>
      <c r="AY101" s="3">
        <f t="shared" si="102"/>
        <v>-5.4582101563092844E-2</v>
      </c>
      <c r="AZ101" s="3">
        <f t="shared" si="106"/>
        <v>-6.1276427844954684E-2</v>
      </c>
      <c r="BA101" s="3">
        <f t="shared" si="110"/>
        <v>-6.9844516335623608E-2</v>
      </c>
      <c r="BB101" s="3">
        <f t="shared" si="115"/>
        <v>-8.1202534352585842E-2</v>
      </c>
      <c r="BC101" s="3">
        <f t="shared" si="119"/>
        <v>-9.6981870420320027E-2</v>
      </c>
      <c r="BD101" s="3">
        <f t="shared" si="123"/>
        <v>-0.12039950101682884</v>
      </c>
      <c r="BE101" s="3">
        <f t="shared" si="127"/>
        <v>-0.15881940844696774</v>
      </c>
      <c r="BF101" s="3">
        <f t="shared" si="131"/>
        <v>-0.23376156435101392</v>
      </c>
      <c r="BG101" s="3">
        <f t="shared" ref="BG101:BG113" si="135">-(AP35/0.03125)*LN(AP35/AO35)-1</f>
        <v>-0.45069385566594511</v>
      </c>
      <c r="BH101" s="3">
        <v>-1</v>
      </c>
      <c r="BI101" s="3">
        <f t="shared" ref="BI101:BT101" si="136">-(AR35/0.03125)*LN(AR35/AQ35)-1</f>
        <v>0.64791843300216456</v>
      </c>
      <c r="BJ101" s="3">
        <f t="shared" si="136"/>
        <v>0.27706405941497669</v>
      </c>
      <c r="BK101" s="3">
        <f t="shared" si="136"/>
        <v>0.1776528281742451</v>
      </c>
      <c r="BL101" s="3">
        <f t="shared" si="136"/>
        <v>0.13091492726407772</v>
      </c>
      <c r="BM101" s="3">
        <f t="shared" si="136"/>
        <v>0.10368882504183174</v>
      </c>
      <c r="BN101" s="3">
        <f t="shared" si="136"/>
        <v>8.585155031058056E-2</v>
      </c>
      <c r="BO101" s="3">
        <f t="shared" si="136"/>
        <v>7.3256327305049274E-2</v>
      </c>
      <c r="BP101" s="3">
        <f t="shared" si="136"/>
        <v>6.3886715109050973E-2</v>
      </c>
      <c r="BQ101" s="3">
        <f t="shared" si="136"/>
        <v>5.6643533547131808E-2</v>
      </c>
      <c r="BR101" s="3">
        <f t="shared" si="136"/>
        <v>5.0876314848317561E-2</v>
      </c>
      <c r="BS101" s="3">
        <f t="shared" si="136"/>
        <v>4.6175449365857935E-2</v>
      </c>
      <c r="BT101" s="3">
        <f t="shared" si="136"/>
        <v>4.2270111738137439E-2</v>
      </c>
      <c r="BW101" s="1">
        <v>20</v>
      </c>
      <c r="BX101" s="1"/>
      <c r="BY101" s="1"/>
      <c r="BZ101" s="1">
        <v>0</v>
      </c>
      <c r="CA101" s="1">
        <f t="shared" si="64"/>
        <v>-2.6552802965729594E-2</v>
      </c>
      <c r="CB101" s="1">
        <f t="shared" si="68"/>
        <v>-2.8042246363999102E-2</v>
      </c>
      <c r="CC101" s="1">
        <f t="shared" si="72"/>
        <v>-2.9708750401335582E-2</v>
      </c>
      <c r="CD101" s="1">
        <f t="shared" si="76"/>
        <v>-3.1585890192009858E-2</v>
      </c>
      <c r="CE101" s="1">
        <f t="shared" si="80"/>
        <v>-3.3716304729420443E-2</v>
      </c>
      <c r="CF101" s="1">
        <f t="shared" si="84"/>
        <v>-3.6154977741102101E-2</v>
      </c>
      <c r="CG101" s="1">
        <f t="shared" si="88"/>
        <v>-3.8974055337732461E-2</v>
      </c>
      <c r="CH101" s="1">
        <f t="shared" si="92"/>
        <v>-4.2270111738137661E-2</v>
      </c>
      <c r="CI101" s="1">
        <f t="shared" si="96"/>
        <v>-4.6175449365857713E-2</v>
      </c>
      <c r="CJ101" s="1">
        <f t="shared" si="100"/>
        <v>-5.0876314848316451E-2</v>
      </c>
      <c r="CK101" s="1">
        <f t="shared" si="104"/>
        <v>-5.6643533547131586E-2</v>
      </c>
      <c r="CL101" s="1">
        <f t="shared" si="108"/>
        <v>-6.3886715109051417E-2</v>
      </c>
      <c r="CM101" s="1">
        <f t="shared" si="112"/>
        <v>-7.3256327305049718E-2</v>
      </c>
      <c r="CN101" s="1">
        <f t="shared" si="117"/>
        <v>-8.5851550310580338E-2</v>
      </c>
      <c r="CO101" s="1">
        <f t="shared" si="121"/>
        <v>-0.10368882504183108</v>
      </c>
      <c r="CP101" s="1">
        <f t="shared" si="125"/>
        <v>-0.13091492726407727</v>
      </c>
      <c r="CQ101" s="1">
        <f t="shared" si="129"/>
        <v>-0.1776528281742451</v>
      </c>
      <c r="CR101" s="1">
        <f t="shared" si="133"/>
        <v>-0.27706405941497669</v>
      </c>
      <c r="CS101" s="1">
        <f t="shared" ref="CS101:CS113" si="137">(1+(AO35/0.03125)*LN(AP35/AO35))</f>
        <v>-0.64791843300216456</v>
      </c>
      <c r="CT101" s="1">
        <v>1</v>
      </c>
      <c r="CU101" s="1">
        <f t="shared" ref="CU101:DE101" si="138">(1+(AQ35/0.03125)*LN(AR35/AQ35))</f>
        <v>0.45069385566594511</v>
      </c>
      <c r="CV101" s="1">
        <f t="shared" si="138"/>
        <v>0.23376156435101392</v>
      </c>
      <c r="CW101" s="1">
        <f t="shared" si="138"/>
        <v>0.15881940844696774</v>
      </c>
      <c r="CX101" s="1">
        <f t="shared" si="138"/>
        <v>0.12039950101682839</v>
      </c>
      <c r="CY101" s="1">
        <f t="shared" si="138"/>
        <v>9.698187042031936E-2</v>
      </c>
      <c r="CZ101" s="1">
        <f t="shared" si="138"/>
        <v>8.1202534352585731E-2</v>
      </c>
      <c r="DA101" s="1">
        <f t="shared" si="138"/>
        <v>6.9844516335623941E-2</v>
      </c>
      <c r="DB101" s="1">
        <f t="shared" si="138"/>
        <v>6.1276427844955128E-2</v>
      </c>
      <c r="DC101" s="1">
        <f t="shared" si="138"/>
        <v>5.4582101563092622E-2</v>
      </c>
      <c r="DD101" s="1">
        <f t="shared" si="138"/>
        <v>4.920714370866508E-2</v>
      </c>
      <c r="DE101" s="1">
        <f t="shared" si="138"/>
        <v>4.4796328839868726E-2</v>
      </c>
      <c r="DF101" s="1" t="e">
        <f t="shared" si="61"/>
        <v>#NUM!</v>
      </c>
    </row>
    <row r="102" spans="40:110" x14ac:dyDescent="0.25">
      <c r="AN102" s="3">
        <v>21</v>
      </c>
      <c r="AO102" s="3">
        <f t="shared" si="62"/>
        <v>-2.4796798794102237E-2</v>
      </c>
      <c r="AP102" s="3">
        <f t="shared" si="66"/>
        <v>-2.6090930519692468E-2</v>
      </c>
      <c r="AQ102" s="3">
        <f t="shared" si="70"/>
        <v>-2.7527604790811622E-2</v>
      </c>
      <c r="AR102" s="3">
        <f t="shared" si="74"/>
        <v>-2.9131749621597813E-2</v>
      </c>
      <c r="AS102" s="3">
        <f t="shared" si="78"/>
        <v>-3.09344667893241E-2</v>
      </c>
      <c r="AT102" s="3">
        <f t="shared" si="82"/>
        <v>-3.2975069769251908E-2</v>
      </c>
      <c r="AU102" s="3">
        <f t="shared" si="86"/>
        <v>-3.5303986241042806E-2</v>
      </c>
      <c r="AV102" s="3">
        <f t="shared" si="90"/>
        <v>-3.7986985798395989E-2</v>
      </c>
      <c r="AW102" s="3">
        <f t="shared" si="94"/>
        <v>-4.1111497200913338E-2</v>
      </c>
      <c r="AX102" s="3">
        <f t="shared" si="98"/>
        <v>-4.479632883986906E-2</v>
      </c>
      <c r="AY102" s="3">
        <f t="shared" si="102"/>
        <v>-4.9207143708665968E-2</v>
      </c>
      <c r="AZ102" s="3">
        <f t="shared" si="106"/>
        <v>-5.4582101563092844E-2</v>
      </c>
      <c r="BA102" s="3">
        <f t="shared" si="110"/>
        <v>-6.1276427844954684E-2</v>
      </c>
      <c r="BB102" s="3">
        <f t="shared" si="115"/>
        <v>-6.9844516335623608E-2</v>
      </c>
      <c r="BC102" s="3">
        <f t="shared" si="119"/>
        <v>-8.1202534352585842E-2</v>
      </c>
      <c r="BD102" s="3">
        <f t="shared" si="123"/>
        <v>-9.6981870420320027E-2</v>
      </c>
      <c r="BE102" s="3">
        <f t="shared" si="127"/>
        <v>-0.12039950101682884</v>
      </c>
      <c r="BF102" s="3">
        <f t="shared" si="131"/>
        <v>-0.15881940844696774</v>
      </c>
      <c r="BG102" s="3">
        <f t="shared" si="135"/>
        <v>-0.23376156435101392</v>
      </c>
      <c r="BH102" s="3">
        <f t="shared" ref="BH102:BH113" si="139">-(AQ36/0.03125)*LN(AQ36/AP36)-1</f>
        <v>-0.45069385566594511</v>
      </c>
      <c r="BI102" s="3">
        <v>-1</v>
      </c>
      <c r="BJ102" s="3">
        <f t="shared" ref="BJ102:BT102" si="140">-(AS36/0.03125)*LN(AS36/AR36)-1</f>
        <v>0.64791843300216456</v>
      </c>
      <c r="BK102" s="3">
        <f t="shared" si="140"/>
        <v>0.27706405941497669</v>
      </c>
      <c r="BL102" s="3">
        <f t="shared" si="140"/>
        <v>0.1776528281742451</v>
      </c>
      <c r="BM102" s="3">
        <f t="shared" si="140"/>
        <v>0.13091492726407772</v>
      </c>
      <c r="BN102" s="3">
        <f t="shared" si="140"/>
        <v>0.10368882504183174</v>
      </c>
      <c r="BO102" s="3">
        <f t="shared" si="140"/>
        <v>8.585155031058056E-2</v>
      </c>
      <c r="BP102" s="3">
        <f t="shared" si="140"/>
        <v>7.3256327305049274E-2</v>
      </c>
      <c r="BQ102" s="3">
        <f t="shared" si="140"/>
        <v>6.3886715109050973E-2</v>
      </c>
      <c r="BR102" s="3">
        <f t="shared" si="140"/>
        <v>5.6643533547131808E-2</v>
      </c>
      <c r="BS102" s="3">
        <f t="shared" si="140"/>
        <v>5.0876314848317561E-2</v>
      </c>
      <c r="BT102" s="3">
        <f t="shared" si="140"/>
        <v>4.6175449365857935E-2</v>
      </c>
      <c r="BW102" s="1">
        <v>21</v>
      </c>
      <c r="BX102" s="1"/>
      <c r="BY102" s="1"/>
      <c r="BZ102" s="1">
        <v>0</v>
      </c>
      <c r="CA102" s="1">
        <f t="shared" si="64"/>
        <v>-2.5213621780559192E-2</v>
      </c>
      <c r="CB102" s="1">
        <f t="shared" si="68"/>
        <v>-2.6552802965729594E-2</v>
      </c>
      <c r="CC102" s="1">
        <f t="shared" si="72"/>
        <v>-2.8042246363999102E-2</v>
      </c>
      <c r="CD102" s="1">
        <f t="shared" si="76"/>
        <v>-2.9708750401335582E-2</v>
      </c>
      <c r="CE102" s="1">
        <f t="shared" si="80"/>
        <v>-3.1585890192009858E-2</v>
      </c>
      <c r="CF102" s="1">
        <f t="shared" si="84"/>
        <v>-3.3716304729420443E-2</v>
      </c>
      <c r="CG102" s="1">
        <f t="shared" si="88"/>
        <v>-3.6154977741102101E-2</v>
      </c>
      <c r="CH102" s="1">
        <f t="shared" si="92"/>
        <v>-3.8974055337732461E-2</v>
      </c>
      <c r="CI102" s="1">
        <f t="shared" si="96"/>
        <v>-4.2270111738137661E-2</v>
      </c>
      <c r="CJ102" s="1">
        <f t="shared" si="100"/>
        <v>-4.6175449365857713E-2</v>
      </c>
      <c r="CK102" s="1">
        <f t="shared" si="104"/>
        <v>-5.0876314848316451E-2</v>
      </c>
      <c r="CL102" s="1">
        <f t="shared" si="108"/>
        <v>-5.6643533547131586E-2</v>
      </c>
      <c r="CM102" s="1">
        <f t="shared" si="112"/>
        <v>-6.3886715109051417E-2</v>
      </c>
      <c r="CN102" s="1">
        <f t="shared" si="117"/>
        <v>-7.3256327305049718E-2</v>
      </c>
      <c r="CO102" s="1">
        <f t="shared" si="121"/>
        <v>-8.5851550310580338E-2</v>
      </c>
      <c r="CP102" s="1">
        <f t="shared" si="125"/>
        <v>-0.10368882504183108</v>
      </c>
      <c r="CQ102" s="1">
        <f t="shared" si="129"/>
        <v>-0.13091492726407727</v>
      </c>
      <c r="CR102" s="1">
        <f t="shared" si="133"/>
        <v>-0.1776528281742451</v>
      </c>
      <c r="CS102" s="1">
        <f t="shared" si="137"/>
        <v>-0.27706405941497669</v>
      </c>
      <c r="CT102" s="1">
        <f t="shared" ref="CT102:CT113" si="141">(1+(AP36/0.03125)*LN(AQ36/AP36))</f>
        <v>-0.64791843300216456</v>
      </c>
      <c r="CU102" s="1">
        <v>1</v>
      </c>
      <c r="CV102" s="1">
        <f t="shared" ref="CV102:DE102" si="142">(1+(AR36/0.03125)*LN(AS36/AR36))</f>
        <v>0.45069385566594511</v>
      </c>
      <c r="CW102" s="1">
        <f t="shared" si="142"/>
        <v>0.23376156435101392</v>
      </c>
      <c r="CX102" s="1">
        <f t="shared" si="142"/>
        <v>0.15881940844696774</v>
      </c>
      <c r="CY102" s="1">
        <f t="shared" si="142"/>
        <v>0.12039950101682839</v>
      </c>
      <c r="CZ102" s="1">
        <f t="shared" si="142"/>
        <v>9.698187042031936E-2</v>
      </c>
      <c r="DA102" s="1">
        <f t="shared" si="142"/>
        <v>8.1202534352585731E-2</v>
      </c>
      <c r="DB102" s="1">
        <f t="shared" si="142"/>
        <v>6.9844516335623941E-2</v>
      </c>
      <c r="DC102" s="1">
        <f t="shared" si="142"/>
        <v>6.1276427844955128E-2</v>
      </c>
      <c r="DD102" s="1">
        <f t="shared" si="142"/>
        <v>5.4582101563092622E-2</v>
      </c>
      <c r="DE102" s="1">
        <f t="shared" si="142"/>
        <v>4.920714370866508E-2</v>
      </c>
      <c r="DF102" s="1" t="e">
        <f t="shared" si="61"/>
        <v>#NUM!</v>
      </c>
    </row>
    <row r="103" spans="40:110" x14ac:dyDescent="0.25">
      <c r="AN103" s="3">
        <v>22</v>
      </c>
      <c r="AO103" s="3">
        <f t="shared" si="62"/>
        <v>-2.3624995720280983E-2</v>
      </c>
      <c r="AP103" s="3">
        <f t="shared" si="66"/>
        <v>-2.4796798794102237E-2</v>
      </c>
      <c r="AQ103" s="3">
        <f t="shared" si="70"/>
        <v>-2.6090930519692468E-2</v>
      </c>
      <c r="AR103" s="3">
        <f t="shared" si="74"/>
        <v>-2.7527604790811622E-2</v>
      </c>
      <c r="AS103" s="3">
        <f t="shared" si="78"/>
        <v>-2.9131749621597813E-2</v>
      </c>
      <c r="AT103" s="3">
        <f t="shared" si="82"/>
        <v>-3.09344667893241E-2</v>
      </c>
      <c r="AU103" s="3">
        <f t="shared" si="86"/>
        <v>-3.2975069769251908E-2</v>
      </c>
      <c r="AV103" s="3">
        <f t="shared" si="90"/>
        <v>-3.5303986241042806E-2</v>
      </c>
      <c r="AW103" s="3">
        <f t="shared" si="94"/>
        <v>-3.7986985798395989E-2</v>
      </c>
      <c r="AX103" s="3">
        <f t="shared" si="98"/>
        <v>-4.1111497200913338E-2</v>
      </c>
      <c r="AY103" s="3">
        <f t="shared" si="102"/>
        <v>-4.479632883986906E-2</v>
      </c>
      <c r="AZ103" s="3">
        <f t="shared" si="106"/>
        <v>-4.9207143708665968E-2</v>
      </c>
      <c r="BA103" s="3">
        <f t="shared" si="110"/>
        <v>-5.4582101563092844E-2</v>
      </c>
      <c r="BB103" s="3">
        <f t="shared" si="115"/>
        <v>-6.1276427844954684E-2</v>
      </c>
      <c r="BC103" s="3">
        <f t="shared" si="119"/>
        <v>-6.9844516335623608E-2</v>
      </c>
      <c r="BD103" s="3">
        <f t="shared" si="123"/>
        <v>-8.1202534352585842E-2</v>
      </c>
      <c r="BE103" s="3">
        <f t="shared" si="127"/>
        <v>-9.6981870420320027E-2</v>
      </c>
      <c r="BF103" s="3">
        <f t="shared" si="131"/>
        <v>-0.12039950101682884</v>
      </c>
      <c r="BG103" s="3">
        <f t="shared" si="135"/>
        <v>-0.15881940844696774</v>
      </c>
      <c r="BH103" s="3">
        <f t="shared" si="139"/>
        <v>-0.23376156435101392</v>
      </c>
      <c r="BI103" s="3">
        <f t="shared" ref="BI103:BI113" si="143">-(AR37/0.03125)*LN(AR37/AQ37)-1</f>
        <v>-0.45069385566594511</v>
      </c>
      <c r="BJ103" s="3">
        <v>-1</v>
      </c>
      <c r="BK103" s="3">
        <f t="shared" ref="BK103:BT103" si="144">-(AT37/0.03125)*LN(AT37/AS37)-1</f>
        <v>0.64791843300216456</v>
      </c>
      <c r="BL103" s="3">
        <f t="shared" si="144"/>
        <v>0.27706405941497669</v>
      </c>
      <c r="BM103" s="3">
        <f t="shared" si="144"/>
        <v>0.1776528281742451</v>
      </c>
      <c r="BN103" s="3">
        <f t="shared" si="144"/>
        <v>0.13091492726407772</v>
      </c>
      <c r="BO103" s="3">
        <f t="shared" si="144"/>
        <v>0.10368882504183174</v>
      </c>
      <c r="BP103" s="3">
        <f t="shared" si="144"/>
        <v>8.585155031058056E-2</v>
      </c>
      <c r="BQ103" s="3">
        <f t="shared" si="144"/>
        <v>7.3256327305049274E-2</v>
      </c>
      <c r="BR103" s="3">
        <f t="shared" si="144"/>
        <v>6.3886715109050973E-2</v>
      </c>
      <c r="BS103" s="3">
        <f t="shared" si="144"/>
        <v>5.6643533547131808E-2</v>
      </c>
      <c r="BT103" s="3">
        <f t="shared" si="144"/>
        <v>5.0876314848317561E-2</v>
      </c>
      <c r="BW103" s="1">
        <v>22</v>
      </c>
      <c r="BX103" s="1"/>
      <c r="BY103" s="1"/>
      <c r="BZ103" s="1">
        <v>0</v>
      </c>
      <c r="CA103" s="1">
        <f t="shared" si="64"/>
        <v>-2.4003053268973673E-2</v>
      </c>
      <c r="CB103" s="1">
        <f t="shared" si="68"/>
        <v>-2.5213621780559192E-2</v>
      </c>
      <c r="CC103" s="1">
        <f t="shared" si="72"/>
        <v>-2.6552802965729594E-2</v>
      </c>
      <c r="CD103" s="1">
        <f t="shared" si="76"/>
        <v>-2.8042246363999102E-2</v>
      </c>
      <c r="CE103" s="1">
        <f t="shared" si="80"/>
        <v>-2.9708750401335582E-2</v>
      </c>
      <c r="CF103" s="1">
        <f t="shared" si="84"/>
        <v>-3.1585890192009858E-2</v>
      </c>
      <c r="CG103" s="1">
        <f t="shared" si="88"/>
        <v>-3.3716304729420443E-2</v>
      </c>
      <c r="CH103" s="1">
        <f t="shared" si="92"/>
        <v>-3.6154977741102101E-2</v>
      </c>
      <c r="CI103" s="1">
        <f t="shared" si="96"/>
        <v>-3.8974055337732461E-2</v>
      </c>
      <c r="CJ103" s="1">
        <f t="shared" si="100"/>
        <v>-4.2270111738137661E-2</v>
      </c>
      <c r="CK103" s="1">
        <f t="shared" si="104"/>
        <v>-4.6175449365857713E-2</v>
      </c>
      <c r="CL103" s="1">
        <f t="shared" si="108"/>
        <v>-5.0876314848316451E-2</v>
      </c>
      <c r="CM103" s="1">
        <f t="shared" si="112"/>
        <v>-5.6643533547131586E-2</v>
      </c>
      <c r="CN103" s="1">
        <f t="shared" si="117"/>
        <v>-6.3886715109051417E-2</v>
      </c>
      <c r="CO103" s="1">
        <f t="shared" si="121"/>
        <v>-7.3256327305049718E-2</v>
      </c>
      <c r="CP103" s="1">
        <f t="shared" si="125"/>
        <v>-8.5851550310580338E-2</v>
      </c>
      <c r="CQ103" s="1">
        <f t="shared" si="129"/>
        <v>-0.10368882504183108</v>
      </c>
      <c r="CR103" s="1">
        <f t="shared" si="133"/>
        <v>-0.13091492726407727</v>
      </c>
      <c r="CS103" s="1">
        <f t="shared" si="137"/>
        <v>-0.1776528281742451</v>
      </c>
      <c r="CT103" s="1">
        <f t="shared" si="141"/>
        <v>-0.27706405941497669</v>
      </c>
      <c r="CU103" s="1">
        <f t="shared" ref="CU103:CU113" si="145">(1+(AQ37/0.03125)*LN(AR37/AQ37))</f>
        <v>-0.64791843300216456</v>
      </c>
      <c r="CV103" s="1">
        <v>1</v>
      </c>
      <c r="CW103" s="1">
        <f t="shared" ref="CW103:DE103" si="146">(1+(AS37/0.03125)*LN(AT37/AS37))</f>
        <v>0.45069385566594511</v>
      </c>
      <c r="CX103" s="1">
        <f t="shared" si="146"/>
        <v>0.23376156435101392</v>
      </c>
      <c r="CY103" s="1">
        <f t="shared" si="146"/>
        <v>0.15881940844696774</v>
      </c>
      <c r="CZ103" s="1">
        <f t="shared" si="146"/>
        <v>0.12039950101682839</v>
      </c>
      <c r="DA103" s="1">
        <f t="shared" si="146"/>
        <v>9.698187042031936E-2</v>
      </c>
      <c r="DB103" s="1">
        <f t="shared" si="146"/>
        <v>8.1202534352585731E-2</v>
      </c>
      <c r="DC103" s="1">
        <f t="shared" si="146"/>
        <v>6.9844516335623941E-2</v>
      </c>
      <c r="DD103" s="1">
        <f t="shared" si="146"/>
        <v>6.1276427844955128E-2</v>
      </c>
      <c r="DE103" s="1">
        <f t="shared" si="146"/>
        <v>5.4582101563092622E-2</v>
      </c>
      <c r="DF103" s="1" t="e">
        <f t="shared" si="61"/>
        <v>#NUM!</v>
      </c>
    </row>
    <row r="104" spans="40:110" x14ac:dyDescent="0.25">
      <c r="AN104" s="3">
        <v>23</v>
      </c>
      <c r="AO104" s="3">
        <f t="shared" si="62"/>
        <v>-2.2558957349718356E-2</v>
      </c>
      <c r="AP104" s="3">
        <f t="shared" si="66"/>
        <v>-2.3624995720280983E-2</v>
      </c>
      <c r="AQ104" s="3">
        <f t="shared" si="70"/>
        <v>-2.4796798794102237E-2</v>
      </c>
      <c r="AR104" s="3">
        <f t="shared" si="74"/>
        <v>-2.6090930519692468E-2</v>
      </c>
      <c r="AS104" s="3">
        <f t="shared" si="78"/>
        <v>-2.7527604790811622E-2</v>
      </c>
      <c r="AT104" s="3">
        <f t="shared" si="82"/>
        <v>-2.9131749621597813E-2</v>
      </c>
      <c r="AU104" s="3">
        <f t="shared" si="86"/>
        <v>-3.09344667893241E-2</v>
      </c>
      <c r="AV104" s="3">
        <f t="shared" si="90"/>
        <v>-3.2975069769251908E-2</v>
      </c>
      <c r="AW104" s="3">
        <f t="shared" si="94"/>
        <v>-3.5303986241042806E-2</v>
      </c>
      <c r="AX104" s="3">
        <f t="shared" si="98"/>
        <v>-3.7986985798395989E-2</v>
      </c>
      <c r="AY104" s="3">
        <f t="shared" si="102"/>
        <v>-4.1111497200913338E-2</v>
      </c>
      <c r="AZ104" s="3">
        <f t="shared" si="106"/>
        <v>-4.479632883986906E-2</v>
      </c>
      <c r="BA104" s="3">
        <f t="shared" si="110"/>
        <v>-4.9207143708665968E-2</v>
      </c>
      <c r="BB104" s="3">
        <f t="shared" si="115"/>
        <v>-5.4582101563092844E-2</v>
      </c>
      <c r="BC104" s="3">
        <f t="shared" si="119"/>
        <v>-6.1276427844954684E-2</v>
      </c>
      <c r="BD104" s="3">
        <f t="shared" si="123"/>
        <v>-6.9844516335623608E-2</v>
      </c>
      <c r="BE104" s="3">
        <f t="shared" si="127"/>
        <v>-8.1202534352585842E-2</v>
      </c>
      <c r="BF104" s="3">
        <f t="shared" si="131"/>
        <v>-9.6981870420320027E-2</v>
      </c>
      <c r="BG104" s="3">
        <f t="shared" si="135"/>
        <v>-0.12039950101682884</v>
      </c>
      <c r="BH104" s="3">
        <f t="shared" si="139"/>
        <v>-0.15881940844696774</v>
      </c>
      <c r="BI104" s="3">
        <f t="shared" si="143"/>
        <v>-0.23376156435101392</v>
      </c>
      <c r="BJ104" s="3">
        <f t="shared" ref="BJ104:BJ113" si="147">-(AS38/0.03125)*LN(AS38/AR38)-1</f>
        <v>-0.45069385566594511</v>
      </c>
      <c r="BK104" s="3">
        <v>-1</v>
      </c>
      <c r="BL104" s="3">
        <f t="shared" ref="BL104:BT104" si="148">-(AU38/0.03125)*LN(AU38/AT38)-1</f>
        <v>0.64791843300216456</v>
      </c>
      <c r="BM104" s="3">
        <f t="shared" si="148"/>
        <v>0.27706405941497669</v>
      </c>
      <c r="BN104" s="3">
        <f t="shared" si="148"/>
        <v>0.1776528281742451</v>
      </c>
      <c r="BO104" s="3">
        <f t="shared" si="148"/>
        <v>0.13091492726407772</v>
      </c>
      <c r="BP104" s="3">
        <f t="shared" si="148"/>
        <v>0.10368882504183174</v>
      </c>
      <c r="BQ104" s="3">
        <f t="shared" si="148"/>
        <v>8.585155031058056E-2</v>
      </c>
      <c r="BR104" s="3">
        <f t="shared" si="148"/>
        <v>7.3256327305049274E-2</v>
      </c>
      <c r="BS104" s="3">
        <f t="shared" si="148"/>
        <v>6.3886715109050973E-2</v>
      </c>
      <c r="BT104" s="3">
        <f t="shared" si="148"/>
        <v>5.6643533547131808E-2</v>
      </c>
      <c r="BW104" s="1">
        <v>23</v>
      </c>
      <c r="BX104" s="1"/>
      <c r="BY104" s="1"/>
      <c r="BZ104" s="1">
        <v>0</v>
      </c>
      <c r="CA104" s="1">
        <f t="shared" si="64"/>
        <v>-2.2903416727038994E-2</v>
      </c>
      <c r="CB104" s="1">
        <f t="shared" si="68"/>
        <v>-2.4003053268973673E-2</v>
      </c>
      <c r="CC104" s="1">
        <f t="shared" si="72"/>
        <v>-2.5213621780559192E-2</v>
      </c>
      <c r="CD104" s="1">
        <f t="shared" si="76"/>
        <v>-2.6552802965729594E-2</v>
      </c>
      <c r="CE104" s="1">
        <f t="shared" si="80"/>
        <v>-2.8042246363999102E-2</v>
      </c>
      <c r="CF104" s="1">
        <f t="shared" si="84"/>
        <v>-2.9708750401335582E-2</v>
      </c>
      <c r="CG104" s="1">
        <f t="shared" si="88"/>
        <v>-3.1585890192009858E-2</v>
      </c>
      <c r="CH104" s="1">
        <f t="shared" si="92"/>
        <v>-3.3716304729420443E-2</v>
      </c>
      <c r="CI104" s="1">
        <f t="shared" si="96"/>
        <v>-3.6154977741102101E-2</v>
      </c>
      <c r="CJ104" s="1">
        <f t="shared" si="100"/>
        <v>-3.8974055337732461E-2</v>
      </c>
      <c r="CK104" s="1">
        <f t="shared" si="104"/>
        <v>-4.2270111738137661E-2</v>
      </c>
      <c r="CL104" s="1">
        <f t="shared" si="108"/>
        <v>-4.6175449365857713E-2</v>
      </c>
      <c r="CM104" s="1">
        <f t="shared" si="112"/>
        <v>-5.0876314848316451E-2</v>
      </c>
      <c r="CN104" s="1">
        <f t="shared" si="117"/>
        <v>-5.6643533547131586E-2</v>
      </c>
      <c r="CO104" s="1">
        <f t="shared" si="121"/>
        <v>-6.3886715109051417E-2</v>
      </c>
      <c r="CP104" s="1">
        <f t="shared" si="125"/>
        <v>-7.3256327305049718E-2</v>
      </c>
      <c r="CQ104" s="1">
        <f t="shared" si="129"/>
        <v>-8.5851550310580338E-2</v>
      </c>
      <c r="CR104" s="1">
        <f t="shared" si="133"/>
        <v>-0.10368882504183108</v>
      </c>
      <c r="CS104" s="1">
        <f t="shared" si="137"/>
        <v>-0.13091492726407727</v>
      </c>
      <c r="CT104" s="1">
        <f t="shared" si="141"/>
        <v>-0.1776528281742451</v>
      </c>
      <c r="CU104" s="1">
        <f t="shared" si="145"/>
        <v>-0.27706405941497669</v>
      </c>
      <c r="CV104" s="1">
        <f t="shared" ref="CV104:CV113" si="149">(1+(AR38/0.03125)*LN(AS38/AR38))</f>
        <v>-0.64791843300216456</v>
      </c>
      <c r="CW104" s="1">
        <v>1</v>
      </c>
      <c r="CX104" s="1">
        <f t="shared" ref="CX104:DE104" si="150">(1+(AT38/0.03125)*LN(AU38/AT38))</f>
        <v>0.45069385566594511</v>
      </c>
      <c r="CY104" s="1">
        <f t="shared" si="150"/>
        <v>0.23376156435101392</v>
      </c>
      <c r="CZ104" s="1">
        <f t="shared" si="150"/>
        <v>0.15881940844696774</v>
      </c>
      <c r="DA104" s="1">
        <f t="shared" si="150"/>
        <v>0.12039950101682839</v>
      </c>
      <c r="DB104" s="1">
        <f t="shared" si="150"/>
        <v>9.698187042031936E-2</v>
      </c>
      <c r="DC104" s="1">
        <f t="shared" si="150"/>
        <v>8.1202534352585731E-2</v>
      </c>
      <c r="DD104" s="1">
        <f t="shared" si="150"/>
        <v>6.9844516335623941E-2</v>
      </c>
      <c r="DE104" s="1">
        <f t="shared" si="150"/>
        <v>6.1276427844955128E-2</v>
      </c>
      <c r="DF104" s="1" t="e">
        <f t="shared" si="61"/>
        <v>#NUM!</v>
      </c>
    </row>
    <row r="105" spans="40:110" x14ac:dyDescent="0.25">
      <c r="AN105" s="3">
        <v>24</v>
      </c>
      <c r="AO105" s="3">
        <f t="shared" si="62"/>
        <v>-2.1584981355877497E-2</v>
      </c>
      <c r="AP105" s="3">
        <f t="shared" si="66"/>
        <v>-2.2558957349718356E-2</v>
      </c>
      <c r="AQ105" s="3">
        <f t="shared" si="70"/>
        <v>-2.3624995720280983E-2</v>
      </c>
      <c r="AR105" s="3">
        <f t="shared" si="74"/>
        <v>-2.4796798794102237E-2</v>
      </c>
      <c r="AS105" s="3">
        <f t="shared" si="78"/>
        <v>-2.6090930519692468E-2</v>
      </c>
      <c r="AT105" s="3">
        <f t="shared" si="82"/>
        <v>-2.7527604790811622E-2</v>
      </c>
      <c r="AU105" s="3">
        <f t="shared" si="86"/>
        <v>-2.9131749621597813E-2</v>
      </c>
      <c r="AV105" s="3">
        <f t="shared" si="90"/>
        <v>-3.09344667893241E-2</v>
      </c>
      <c r="AW105" s="3">
        <f t="shared" si="94"/>
        <v>-3.2975069769251908E-2</v>
      </c>
      <c r="AX105" s="3">
        <f t="shared" si="98"/>
        <v>-3.5303986241042806E-2</v>
      </c>
      <c r="AY105" s="3">
        <f t="shared" si="102"/>
        <v>-3.7986985798395989E-2</v>
      </c>
      <c r="AZ105" s="3">
        <f t="shared" si="106"/>
        <v>-4.1111497200913338E-2</v>
      </c>
      <c r="BA105" s="3">
        <f t="shared" si="110"/>
        <v>-4.479632883986906E-2</v>
      </c>
      <c r="BB105" s="3">
        <f t="shared" si="115"/>
        <v>-4.9207143708665968E-2</v>
      </c>
      <c r="BC105" s="3">
        <f t="shared" si="119"/>
        <v>-5.4582101563092844E-2</v>
      </c>
      <c r="BD105" s="3">
        <f t="shared" si="123"/>
        <v>-6.1276427844954684E-2</v>
      </c>
      <c r="BE105" s="3">
        <f t="shared" si="127"/>
        <v>-6.9844516335623608E-2</v>
      </c>
      <c r="BF105" s="3">
        <f t="shared" si="131"/>
        <v>-8.1202534352585842E-2</v>
      </c>
      <c r="BG105" s="3">
        <f t="shared" si="135"/>
        <v>-9.6981870420320027E-2</v>
      </c>
      <c r="BH105" s="3">
        <f t="shared" si="139"/>
        <v>-0.12039950101682884</v>
      </c>
      <c r="BI105" s="3">
        <f t="shared" si="143"/>
        <v>-0.15881940844696774</v>
      </c>
      <c r="BJ105" s="3">
        <f t="shared" si="147"/>
        <v>-0.23376156435101392</v>
      </c>
      <c r="BK105" s="3">
        <f t="shared" ref="BK105:BK113" si="151">-(AT39/0.03125)*LN(AT39/AS39)-1</f>
        <v>-0.45069385566594511</v>
      </c>
      <c r="BL105" s="3">
        <v>-1</v>
      </c>
      <c r="BM105" s="3">
        <f t="shared" ref="BM105:BT105" si="152">-(AV39/0.03125)*LN(AV39/AU39)-1</f>
        <v>0.64791843300216456</v>
      </c>
      <c r="BN105" s="3">
        <f t="shared" si="152"/>
        <v>0.27706405941497669</v>
      </c>
      <c r="BO105" s="3">
        <f t="shared" si="152"/>
        <v>0.1776528281742451</v>
      </c>
      <c r="BP105" s="3">
        <f t="shared" si="152"/>
        <v>0.13091492726407772</v>
      </c>
      <c r="BQ105" s="3">
        <f t="shared" si="152"/>
        <v>0.10368882504183174</v>
      </c>
      <c r="BR105" s="3">
        <f t="shared" si="152"/>
        <v>8.585155031058056E-2</v>
      </c>
      <c r="BS105" s="3">
        <f t="shared" si="152"/>
        <v>7.3256327305049274E-2</v>
      </c>
      <c r="BT105" s="3">
        <f t="shared" si="152"/>
        <v>6.3886715109050973E-2</v>
      </c>
      <c r="BW105" s="1">
        <v>24</v>
      </c>
      <c r="BX105" s="1"/>
      <c r="BY105" s="1"/>
      <c r="BZ105" s="1">
        <v>0</v>
      </c>
      <c r="CA105" s="1">
        <f t="shared" si="64"/>
        <v>-2.190013058386131E-2</v>
      </c>
      <c r="CB105" s="1">
        <f t="shared" si="68"/>
        <v>-2.2903416727038994E-2</v>
      </c>
      <c r="CC105" s="1">
        <f t="shared" si="72"/>
        <v>-2.4003053268973673E-2</v>
      </c>
      <c r="CD105" s="1">
        <f t="shared" si="76"/>
        <v>-2.5213621780559192E-2</v>
      </c>
      <c r="CE105" s="1">
        <f t="shared" si="80"/>
        <v>-2.6552802965729594E-2</v>
      </c>
      <c r="CF105" s="1">
        <f t="shared" si="84"/>
        <v>-2.8042246363999102E-2</v>
      </c>
      <c r="CG105" s="1">
        <f t="shared" si="88"/>
        <v>-2.9708750401335582E-2</v>
      </c>
      <c r="CH105" s="1">
        <f t="shared" si="92"/>
        <v>-3.1585890192009858E-2</v>
      </c>
      <c r="CI105" s="1">
        <f t="shared" si="96"/>
        <v>-3.3716304729420443E-2</v>
      </c>
      <c r="CJ105" s="1">
        <f t="shared" si="100"/>
        <v>-3.6154977741102101E-2</v>
      </c>
      <c r="CK105" s="1">
        <f t="shared" si="104"/>
        <v>-3.8974055337732461E-2</v>
      </c>
      <c r="CL105" s="1">
        <f t="shared" si="108"/>
        <v>-4.2270111738137661E-2</v>
      </c>
      <c r="CM105" s="1">
        <f t="shared" si="112"/>
        <v>-4.6175449365857713E-2</v>
      </c>
      <c r="CN105" s="1">
        <f t="shared" si="117"/>
        <v>-5.0876314848316451E-2</v>
      </c>
      <c r="CO105" s="1">
        <f t="shared" si="121"/>
        <v>-5.6643533547131586E-2</v>
      </c>
      <c r="CP105" s="1">
        <f t="shared" si="125"/>
        <v>-6.3886715109051417E-2</v>
      </c>
      <c r="CQ105" s="1">
        <f t="shared" si="129"/>
        <v>-7.3256327305049718E-2</v>
      </c>
      <c r="CR105" s="1">
        <f t="shared" si="133"/>
        <v>-8.5851550310580338E-2</v>
      </c>
      <c r="CS105" s="1">
        <f t="shared" si="137"/>
        <v>-0.10368882504183108</v>
      </c>
      <c r="CT105" s="1">
        <f t="shared" si="141"/>
        <v>-0.13091492726407727</v>
      </c>
      <c r="CU105" s="1">
        <f t="shared" si="145"/>
        <v>-0.1776528281742451</v>
      </c>
      <c r="CV105" s="1">
        <f t="shared" si="149"/>
        <v>-0.27706405941497669</v>
      </c>
      <c r="CW105" s="1">
        <f t="shared" ref="CW105:CW113" si="153">(1+(AS39/0.03125)*LN(AT39/AS39))</f>
        <v>-0.64791843300216456</v>
      </c>
      <c r="CX105" s="1">
        <v>1</v>
      </c>
      <c r="CY105" s="1">
        <f t="shared" ref="CY105:DE105" si="154">(1+(AU39/0.03125)*LN(AV39/AU39))</f>
        <v>0.45069385566594511</v>
      </c>
      <c r="CZ105" s="1">
        <f t="shared" si="154"/>
        <v>0.23376156435101392</v>
      </c>
      <c r="DA105" s="1">
        <f t="shared" si="154"/>
        <v>0.15881940844696774</v>
      </c>
      <c r="DB105" s="1">
        <f t="shared" si="154"/>
        <v>0.12039950101682839</v>
      </c>
      <c r="DC105" s="1">
        <f t="shared" si="154"/>
        <v>9.698187042031936E-2</v>
      </c>
      <c r="DD105" s="1">
        <f t="shared" si="154"/>
        <v>8.1202534352585731E-2</v>
      </c>
      <c r="DE105" s="1">
        <f t="shared" si="154"/>
        <v>6.9844516335623941E-2</v>
      </c>
      <c r="DF105" s="1" t="e">
        <f t="shared" si="61"/>
        <v>#NUM!</v>
      </c>
    </row>
    <row r="106" spans="40:110" x14ac:dyDescent="0.25">
      <c r="AN106" s="3">
        <v>25</v>
      </c>
      <c r="AO106" s="3">
        <f t="shared" si="62"/>
        <v>-2.0691634586650243E-2</v>
      </c>
      <c r="AP106" s="3">
        <f t="shared" si="66"/>
        <v>-2.1584981355877497E-2</v>
      </c>
      <c r="AQ106" s="3">
        <f t="shared" si="70"/>
        <v>-2.2558957349718356E-2</v>
      </c>
      <c r="AR106" s="3">
        <f t="shared" si="74"/>
        <v>-2.3624995720280983E-2</v>
      </c>
      <c r="AS106" s="3">
        <f t="shared" si="78"/>
        <v>-2.4796798794102237E-2</v>
      </c>
      <c r="AT106" s="3">
        <f t="shared" si="82"/>
        <v>-2.6090930519692468E-2</v>
      </c>
      <c r="AU106" s="3">
        <f t="shared" si="86"/>
        <v>-2.7527604790811622E-2</v>
      </c>
      <c r="AV106" s="3">
        <f t="shared" si="90"/>
        <v>-2.9131749621597813E-2</v>
      </c>
      <c r="AW106" s="3">
        <f t="shared" si="94"/>
        <v>-3.09344667893241E-2</v>
      </c>
      <c r="AX106" s="3">
        <f t="shared" si="98"/>
        <v>-3.2975069769251908E-2</v>
      </c>
      <c r="AY106" s="3">
        <f t="shared" si="102"/>
        <v>-3.5303986241042806E-2</v>
      </c>
      <c r="AZ106" s="3">
        <f t="shared" si="106"/>
        <v>-3.7986985798395989E-2</v>
      </c>
      <c r="BA106" s="3">
        <f t="shared" si="110"/>
        <v>-4.1111497200913338E-2</v>
      </c>
      <c r="BB106" s="3">
        <f t="shared" si="115"/>
        <v>-4.479632883986906E-2</v>
      </c>
      <c r="BC106" s="3">
        <f t="shared" si="119"/>
        <v>-4.9207143708665968E-2</v>
      </c>
      <c r="BD106" s="3">
        <f t="shared" si="123"/>
        <v>-5.4582101563092844E-2</v>
      </c>
      <c r="BE106" s="3">
        <f t="shared" si="127"/>
        <v>-6.1276427844954684E-2</v>
      </c>
      <c r="BF106" s="3">
        <f t="shared" si="131"/>
        <v>-6.9844516335623608E-2</v>
      </c>
      <c r="BG106" s="3">
        <f t="shared" si="135"/>
        <v>-8.1202534352585842E-2</v>
      </c>
      <c r="BH106" s="3">
        <f t="shared" si="139"/>
        <v>-9.6981870420320027E-2</v>
      </c>
      <c r="BI106" s="3">
        <f t="shared" si="143"/>
        <v>-0.12039950101682884</v>
      </c>
      <c r="BJ106" s="3">
        <f t="shared" si="147"/>
        <v>-0.15881940844696774</v>
      </c>
      <c r="BK106" s="3">
        <f t="shared" si="151"/>
        <v>-0.23376156435101392</v>
      </c>
      <c r="BL106" s="3">
        <f t="shared" ref="BL106:BL113" si="155">-(AU40/0.03125)*LN(AU40/AT40)-1</f>
        <v>-0.45069385566594511</v>
      </c>
      <c r="BM106" s="3">
        <v>-1</v>
      </c>
      <c r="BN106" s="3">
        <f t="shared" ref="BN106:BT106" si="156">-(AW40/0.03125)*LN(AW40/AV40)-1</f>
        <v>0.64791843300216456</v>
      </c>
      <c r="BO106" s="3">
        <f t="shared" si="156"/>
        <v>0.27706405941497669</v>
      </c>
      <c r="BP106" s="3">
        <f t="shared" si="156"/>
        <v>0.1776528281742451</v>
      </c>
      <c r="BQ106" s="3">
        <f t="shared" si="156"/>
        <v>0.13091492726407772</v>
      </c>
      <c r="BR106" s="3">
        <f t="shared" si="156"/>
        <v>0.10368882504183174</v>
      </c>
      <c r="BS106" s="3">
        <f t="shared" si="156"/>
        <v>8.585155031058056E-2</v>
      </c>
      <c r="BT106" s="3">
        <f t="shared" si="156"/>
        <v>7.3256327305049274E-2</v>
      </c>
      <c r="BW106" s="1">
        <v>25</v>
      </c>
      <c r="BX106" s="1"/>
      <c r="BY106" s="1"/>
      <c r="BZ106" s="1">
        <v>0</v>
      </c>
      <c r="CA106" s="1">
        <f t="shared" si="64"/>
        <v>-2.0981061813917901E-2</v>
      </c>
      <c r="CB106" s="1">
        <f t="shared" si="68"/>
        <v>-2.190013058386131E-2</v>
      </c>
      <c r="CC106" s="1">
        <f t="shared" si="72"/>
        <v>-2.2903416727038994E-2</v>
      </c>
      <c r="CD106" s="1">
        <f t="shared" si="76"/>
        <v>-2.4003053268973673E-2</v>
      </c>
      <c r="CE106" s="1">
        <f t="shared" si="80"/>
        <v>-2.5213621780559192E-2</v>
      </c>
      <c r="CF106" s="1">
        <f t="shared" si="84"/>
        <v>-2.6552802965729594E-2</v>
      </c>
      <c r="CG106" s="1">
        <f t="shared" si="88"/>
        <v>-2.8042246363999102E-2</v>
      </c>
      <c r="CH106" s="1">
        <f t="shared" si="92"/>
        <v>-2.9708750401335582E-2</v>
      </c>
      <c r="CI106" s="1">
        <f t="shared" si="96"/>
        <v>-3.1585890192009858E-2</v>
      </c>
      <c r="CJ106" s="1">
        <f t="shared" si="100"/>
        <v>-3.3716304729420443E-2</v>
      </c>
      <c r="CK106" s="1">
        <f t="shared" si="104"/>
        <v>-3.6154977741102101E-2</v>
      </c>
      <c r="CL106" s="1">
        <f t="shared" si="108"/>
        <v>-3.8974055337732461E-2</v>
      </c>
      <c r="CM106" s="1">
        <f t="shared" si="112"/>
        <v>-4.2270111738137661E-2</v>
      </c>
      <c r="CN106" s="1">
        <f t="shared" si="117"/>
        <v>-4.6175449365857713E-2</v>
      </c>
      <c r="CO106" s="1">
        <f t="shared" si="121"/>
        <v>-5.0876314848316451E-2</v>
      </c>
      <c r="CP106" s="1">
        <f t="shared" si="125"/>
        <v>-5.6643533547131586E-2</v>
      </c>
      <c r="CQ106" s="1">
        <f t="shared" si="129"/>
        <v>-6.3886715109051417E-2</v>
      </c>
      <c r="CR106" s="1">
        <f t="shared" si="133"/>
        <v>-7.3256327305049718E-2</v>
      </c>
      <c r="CS106" s="1">
        <f t="shared" si="137"/>
        <v>-8.5851550310580338E-2</v>
      </c>
      <c r="CT106" s="1">
        <f t="shared" si="141"/>
        <v>-0.10368882504183108</v>
      </c>
      <c r="CU106" s="1">
        <f t="shared" si="145"/>
        <v>-0.13091492726407727</v>
      </c>
      <c r="CV106" s="1">
        <f t="shared" si="149"/>
        <v>-0.1776528281742451</v>
      </c>
      <c r="CW106" s="1">
        <f t="shared" si="153"/>
        <v>-0.27706405941497669</v>
      </c>
      <c r="CX106" s="1">
        <f t="shared" ref="CX106:CX113" si="157">(1+(AT40/0.03125)*LN(AU40/AT40))</f>
        <v>-0.64791843300216456</v>
      </c>
      <c r="CY106" s="1">
        <v>1</v>
      </c>
      <c r="CZ106" s="1">
        <f t="shared" ref="CZ106:DE106" si="158">(1+(AV40/0.03125)*LN(AW40/AV40))</f>
        <v>0.45069385566594511</v>
      </c>
      <c r="DA106" s="1">
        <f t="shared" si="158"/>
        <v>0.23376156435101392</v>
      </c>
      <c r="DB106" s="1">
        <f t="shared" si="158"/>
        <v>0.15881940844696774</v>
      </c>
      <c r="DC106" s="1">
        <f t="shared" si="158"/>
        <v>0.12039950101682839</v>
      </c>
      <c r="DD106" s="1">
        <f t="shared" si="158"/>
        <v>9.698187042031936E-2</v>
      </c>
      <c r="DE106" s="1">
        <f t="shared" si="158"/>
        <v>8.1202534352585731E-2</v>
      </c>
      <c r="DF106" s="1" t="e">
        <f t="shared" si="61"/>
        <v>#NUM!</v>
      </c>
    </row>
    <row r="107" spans="40:110" x14ac:dyDescent="0.25">
      <c r="AN107" s="3">
        <v>26</v>
      </c>
      <c r="AO107" s="3">
        <f t="shared" si="62"/>
        <v>-1.9869301964371311E-2</v>
      </c>
      <c r="AP107" s="3">
        <f t="shared" si="66"/>
        <v>-2.0691634586650243E-2</v>
      </c>
      <c r="AQ107" s="3">
        <f t="shared" si="70"/>
        <v>-2.1584981355877497E-2</v>
      </c>
      <c r="AR107" s="3">
        <f t="shared" si="74"/>
        <v>-2.2558957349718356E-2</v>
      </c>
      <c r="AS107" s="3">
        <f t="shared" si="78"/>
        <v>-2.3624995720280983E-2</v>
      </c>
      <c r="AT107" s="3">
        <f t="shared" si="82"/>
        <v>-2.4796798794102237E-2</v>
      </c>
      <c r="AU107" s="3">
        <f t="shared" si="86"/>
        <v>-2.6090930519692468E-2</v>
      </c>
      <c r="AV107" s="3">
        <f t="shared" si="90"/>
        <v>-2.7527604790811622E-2</v>
      </c>
      <c r="AW107" s="3">
        <f t="shared" si="94"/>
        <v>-2.9131749621597813E-2</v>
      </c>
      <c r="AX107" s="3">
        <f t="shared" si="98"/>
        <v>-3.09344667893241E-2</v>
      </c>
      <c r="AY107" s="3">
        <f t="shared" si="102"/>
        <v>-3.2975069769251908E-2</v>
      </c>
      <c r="AZ107" s="3">
        <f t="shared" si="106"/>
        <v>-3.5303986241042806E-2</v>
      </c>
      <c r="BA107" s="3">
        <f t="shared" si="110"/>
        <v>-3.7986985798395989E-2</v>
      </c>
      <c r="BB107" s="3">
        <f t="shared" si="115"/>
        <v>-4.1111497200913338E-2</v>
      </c>
      <c r="BC107" s="3">
        <f t="shared" si="119"/>
        <v>-4.479632883986906E-2</v>
      </c>
      <c r="BD107" s="3">
        <f t="shared" si="123"/>
        <v>-4.9207143708665968E-2</v>
      </c>
      <c r="BE107" s="3">
        <f t="shared" si="127"/>
        <v>-5.4582101563092844E-2</v>
      </c>
      <c r="BF107" s="3">
        <f t="shared" si="131"/>
        <v>-6.1276427844954684E-2</v>
      </c>
      <c r="BG107" s="3">
        <f t="shared" si="135"/>
        <v>-6.9844516335623608E-2</v>
      </c>
      <c r="BH107" s="3">
        <f t="shared" si="139"/>
        <v>-8.1202534352585842E-2</v>
      </c>
      <c r="BI107" s="3">
        <f t="shared" si="143"/>
        <v>-9.6981870420320027E-2</v>
      </c>
      <c r="BJ107" s="3">
        <f t="shared" si="147"/>
        <v>-0.12039950101682884</v>
      </c>
      <c r="BK107" s="3">
        <f t="shared" si="151"/>
        <v>-0.15881940844696774</v>
      </c>
      <c r="BL107" s="3">
        <f t="shared" si="155"/>
        <v>-0.23376156435101392</v>
      </c>
      <c r="BM107" s="3">
        <f t="shared" ref="BM107:BM113" si="159">-(AV41/0.03125)*LN(AV41/AU41)-1</f>
        <v>-0.45069385566594511</v>
      </c>
      <c r="BN107" s="3">
        <v>-1</v>
      </c>
      <c r="BO107" s="3">
        <f t="shared" ref="BO107:BT107" si="160">-(AX41/0.03125)*LN(AX41/AW41)-1</f>
        <v>0.64791843300216456</v>
      </c>
      <c r="BP107" s="3">
        <f t="shared" si="160"/>
        <v>0.27706405941497669</v>
      </c>
      <c r="BQ107" s="3">
        <f t="shared" si="160"/>
        <v>0.1776528281742451</v>
      </c>
      <c r="BR107" s="3">
        <f t="shared" si="160"/>
        <v>0.13091492726407772</v>
      </c>
      <c r="BS107" s="3">
        <f t="shared" si="160"/>
        <v>0.10368882504183174</v>
      </c>
      <c r="BT107" s="3">
        <f t="shared" si="160"/>
        <v>8.585155031058056E-2</v>
      </c>
      <c r="BW107" s="1">
        <v>26</v>
      </c>
      <c r="BX107" s="1"/>
      <c r="BY107" s="1"/>
      <c r="BZ107" s="1">
        <v>0</v>
      </c>
      <c r="CA107" s="1">
        <f t="shared" si="64"/>
        <v>-2.013603264932784E-2</v>
      </c>
      <c r="CB107" s="1">
        <f t="shared" si="68"/>
        <v>-2.0981061813917901E-2</v>
      </c>
      <c r="CC107" s="1">
        <f t="shared" si="72"/>
        <v>-2.190013058386131E-2</v>
      </c>
      <c r="CD107" s="1">
        <f t="shared" si="76"/>
        <v>-2.2903416727038994E-2</v>
      </c>
      <c r="CE107" s="1">
        <f t="shared" si="80"/>
        <v>-2.4003053268973673E-2</v>
      </c>
      <c r="CF107" s="1">
        <f t="shared" si="84"/>
        <v>-2.5213621780559192E-2</v>
      </c>
      <c r="CG107" s="1">
        <f t="shared" si="88"/>
        <v>-2.6552802965729594E-2</v>
      </c>
      <c r="CH107" s="1">
        <f t="shared" si="92"/>
        <v>-2.8042246363999102E-2</v>
      </c>
      <c r="CI107" s="1">
        <f t="shared" si="96"/>
        <v>-2.9708750401335582E-2</v>
      </c>
      <c r="CJ107" s="1">
        <f t="shared" si="100"/>
        <v>-3.1585890192009858E-2</v>
      </c>
      <c r="CK107" s="1">
        <f t="shared" si="104"/>
        <v>-3.3716304729420443E-2</v>
      </c>
      <c r="CL107" s="1">
        <f t="shared" si="108"/>
        <v>-3.6154977741102101E-2</v>
      </c>
      <c r="CM107" s="1">
        <f t="shared" si="112"/>
        <v>-3.8974055337732461E-2</v>
      </c>
      <c r="CN107" s="1">
        <f t="shared" si="117"/>
        <v>-4.2270111738137661E-2</v>
      </c>
      <c r="CO107" s="1">
        <f t="shared" si="121"/>
        <v>-4.6175449365857713E-2</v>
      </c>
      <c r="CP107" s="1">
        <f t="shared" si="125"/>
        <v>-5.0876314848316451E-2</v>
      </c>
      <c r="CQ107" s="1">
        <f t="shared" si="129"/>
        <v>-5.6643533547131586E-2</v>
      </c>
      <c r="CR107" s="1">
        <f t="shared" si="133"/>
        <v>-6.3886715109051417E-2</v>
      </c>
      <c r="CS107" s="1">
        <f t="shared" si="137"/>
        <v>-7.3256327305049718E-2</v>
      </c>
      <c r="CT107" s="1">
        <f t="shared" si="141"/>
        <v>-8.5851550310580338E-2</v>
      </c>
      <c r="CU107" s="1">
        <f t="shared" si="145"/>
        <v>-0.10368882504183108</v>
      </c>
      <c r="CV107" s="1">
        <f t="shared" si="149"/>
        <v>-0.13091492726407727</v>
      </c>
      <c r="CW107" s="1">
        <f t="shared" si="153"/>
        <v>-0.1776528281742451</v>
      </c>
      <c r="CX107" s="1">
        <f t="shared" si="157"/>
        <v>-0.27706405941497669</v>
      </c>
      <c r="CY107" s="1">
        <f t="shared" ref="CY107:CY113" si="161">(1+(AU41/0.03125)*LN(AV41/AU41))</f>
        <v>-0.64791843300216456</v>
      </c>
      <c r="CZ107" s="1">
        <v>1</v>
      </c>
      <c r="DA107" s="1">
        <f>(1+(AW41/0.03125)*LN(AX41/AW41))</f>
        <v>0.45069385566594511</v>
      </c>
      <c r="DB107" s="1">
        <f>(1+(AX41/0.03125)*LN(AY41/AX41))</f>
        <v>0.23376156435101392</v>
      </c>
      <c r="DC107" s="1">
        <f>(1+(AY41/0.03125)*LN(AZ41/AY41))</f>
        <v>0.15881940844696774</v>
      </c>
      <c r="DD107" s="1">
        <f>(1+(AZ41/0.03125)*LN(BA41/AZ41))</f>
        <v>0.12039950101682839</v>
      </c>
      <c r="DE107" s="1">
        <f>(1+(BA41/0.03125)*LN(BB41/BA41))</f>
        <v>9.698187042031936E-2</v>
      </c>
      <c r="DF107" s="1" t="e">
        <f t="shared" si="61"/>
        <v>#NUM!</v>
      </c>
    </row>
    <row r="108" spans="40:110" x14ac:dyDescent="0.25">
      <c r="AN108" s="3">
        <v>27</v>
      </c>
      <c r="AO108" s="3">
        <f t="shared" si="62"/>
        <v>-1.9109838891200659E-2</v>
      </c>
      <c r="AP108" s="3">
        <f t="shared" si="66"/>
        <v>-1.9869301964371311E-2</v>
      </c>
      <c r="AQ108" s="3">
        <f t="shared" si="70"/>
        <v>-2.0691634586650243E-2</v>
      </c>
      <c r="AR108" s="3">
        <f t="shared" si="74"/>
        <v>-2.1584981355877497E-2</v>
      </c>
      <c r="AS108" s="3">
        <f t="shared" si="78"/>
        <v>-2.2558957349718356E-2</v>
      </c>
      <c r="AT108" s="3">
        <f t="shared" si="82"/>
        <v>-2.3624995720280983E-2</v>
      </c>
      <c r="AU108" s="3">
        <f t="shared" si="86"/>
        <v>-2.4796798794102237E-2</v>
      </c>
      <c r="AV108" s="3">
        <f t="shared" si="90"/>
        <v>-2.6090930519692468E-2</v>
      </c>
      <c r="AW108" s="3">
        <f t="shared" si="94"/>
        <v>-2.7527604790811622E-2</v>
      </c>
      <c r="AX108" s="3">
        <f t="shared" si="98"/>
        <v>-2.9131749621597813E-2</v>
      </c>
      <c r="AY108" s="3">
        <f t="shared" si="102"/>
        <v>-3.09344667893241E-2</v>
      </c>
      <c r="AZ108" s="3">
        <f t="shared" si="106"/>
        <v>-3.2975069769251908E-2</v>
      </c>
      <c r="BA108" s="3">
        <f t="shared" si="110"/>
        <v>-3.5303986241042806E-2</v>
      </c>
      <c r="BB108" s="3">
        <f t="shared" si="115"/>
        <v>-3.7986985798395989E-2</v>
      </c>
      <c r="BC108" s="3">
        <f t="shared" si="119"/>
        <v>-4.1111497200913338E-2</v>
      </c>
      <c r="BD108" s="3">
        <f t="shared" si="123"/>
        <v>-4.479632883986906E-2</v>
      </c>
      <c r="BE108" s="3">
        <f t="shared" si="127"/>
        <v>-4.9207143708665968E-2</v>
      </c>
      <c r="BF108" s="3">
        <f t="shared" si="131"/>
        <v>-5.4582101563092844E-2</v>
      </c>
      <c r="BG108" s="3">
        <f t="shared" si="135"/>
        <v>-6.1276427844954684E-2</v>
      </c>
      <c r="BH108" s="3">
        <f t="shared" si="139"/>
        <v>-6.9844516335623608E-2</v>
      </c>
      <c r="BI108" s="3">
        <f t="shared" si="143"/>
        <v>-8.1202534352585842E-2</v>
      </c>
      <c r="BJ108" s="3">
        <f t="shared" si="147"/>
        <v>-9.6981870420320027E-2</v>
      </c>
      <c r="BK108" s="3">
        <f t="shared" si="151"/>
        <v>-0.12039950101682884</v>
      </c>
      <c r="BL108" s="3">
        <f t="shared" si="155"/>
        <v>-0.15881940844696774</v>
      </c>
      <c r="BM108" s="3">
        <f t="shared" si="159"/>
        <v>-0.23376156435101392</v>
      </c>
      <c r="BN108" s="3">
        <f t="shared" ref="BN108:BN113" si="162">-(AW42/0.03125)*LN(AW42/AV42)-1</f>
        <v>-0.45069385566594511</v>
      </c>
      <c r="BO108" s="3">
        <v>-1</v>
      </c>
      <c r="BP108" s="3">
        <f>-(AY42/0.03125)*LN(AY42/AX42)-1</f>
        <v>0.64791843300216456</v>
      </c>
      <c r="BQ108" s="3">
        <f>-(AZ42/0.03125)*LN(AZ42/AY42)-1</f>
        <v>0.27706405941497669</v>
      </c>
      <c r="BR108" s="3">
        <f>-(BA42/0.03125)*LN(BA42/AZ42)-1</f>
        <v>0.1776528281742451</v>
      </c>
      <c r="BS108" s="3">
        <f>-(BB42/0.03125)*LN(BB42/BA42)-1</f>
        <v>0.13091492726407772</v>
      </c>
      <c r="BT108" s="3">
        <f>-(BC42/0.03125)*LN(BC42/BB42)-1</f>
        <v>0.10368882504183174</v>
      </c>
      <c r="BW108" s="1">
        <v>27</v>
      </c>
      <c r="BX108" s="1"/>
      <c r="BY108" s="1"/>
      <c r="BZ108" s="1">
        <v>0</v>
      </c>
      <c r="CA108" s="1">
        <f t="shared" si="64"/>
        <v>-1.935644193659547E-2</v>
      </c>
      <c r="CB108" s="1">
        <f t="shared" si="68"/>
        <v>-2.013603264932784E-2</v>
      </c>
      <c r="CC108" s="1">
        <f t="shared" si="72"/>
        <v>-2.0981061813917901E-2</v>
      </c>
      <c r="CD108" s="1">
        <f t="shared" si="76"/>
        <v>-2.190013058386131E-2</v>
      </c>
      <c r="CE108" s="1">
        <f t="shared" si="80"/>
        <v>-2.2903416727038994E-2</v>
      </c>
      <c r="CF108" s="1">
        <f t="shared" si="84"/>
        <v>-2.4003053268973673E-2</v>
      </c>
      <c r="CG108" s="1">
        <f t="shared" si="88"/>
        <v>-2.5213621780559192E-2</v>
      </c>
      <c r="CH108" s="1">
        <f t="shared" si="92"/>
        <v>-2.6552802965729594E-2</v>
      </c>
      <c r="CI108" s="1">
        <f t="shared" si="96"/>
        <v>-2.8042246363999102E-2</v>
      </c>
      <c r="CJ108" s="1">
        <f t="shared" si="100"/>
        <v>-2.9708750401335582E-2</v>
      </c>
      <c r="CK108" s="1">
        <f t="shared" si="104"/>
        <v>-3.1585890192009858E-2</v>
      </c>
      <c r="CL108" s="1">
        <f t="shared" si="108"/>
        <v>-3.3716304729420443E-2</v>
      </c>
      <c r="CM108" s="1">
        <f t="shared" si="112"/>
        <v>-3.6154977741102101E-2</v>
      </c>
      <c r="CN108" s="1">
        <f t="shared" si="117"/>
        <v>-3.8974055337732461E-2</v>
      </c>
      <c r="CO108" s="1">
        <f t="shared" si="121"/>
        <v>-4.2270111738137661E-2</v>
      </c>
      <c r="CP108" s="1">
        <f t="shared" si="125"/>
        <v>-4.6175449365857713E-2</v>
      </c>
      <c r="CQ108" s="1">
        <f t="shared" si="129"/>
        <v>-5.0876314848316451E-2</v>
      </c>
      <c r="CR108" s="1">
        <f t="shared" si="133"/>
        <v>-5.6643533547131586E-2</v>
      </c>
      <c r="CS108" s="1">
        <f t="shared" si="137"/>
        <v>-6.3886715109051417E-2</v>
      </c>
      <c r="CT108" s="1">
        <f t="shared" si="141"/>
        <v>-7.3256327305049718E-2</v>
      </c>
      <c r="CU108" s="1">
        <f t="shared" si="145"/>
        <v>-8.5851550310580338E-2</v>
      </c>
      <c r="CV108" s="1">
        <f t="shared" si="149"/>
        <v>-0.10368882504183108</v>
      </c>
      <c r="CW108" s="1">
        <f t="shared" si="153"/>
        <v>-0.13091492726407727</v>
      </c>
      <c r="CX108" s="1">
        <f t="shared" si="157"/>
        <v>-0.1776528281742451</v>
      </c>
      <c r="CY108" s="1">
        <f t="shared" si="161"/>
        <v>-0.27706405941497669</v>
      </c>
      <c r="CZ108" s="1">
        <f t="shared" ref="CZ108:CZ113" si="163">(1+(AV42/0.03125)*LN(AW42/AV42))</f>
        <v>-0.64791843300216456</v>
      </c>
      <c r="DA108" s="1">
        <v>1</v>
      </c>
      <c r="DB108" s="1">
        <f>(1+(AX42/0.03125)*LN(AY42/AX42))</f>
        <v>0.45069385566594511</v>
      </c>
      <c r="DC108" s="1">
        <f>(1+(AY42/0.03125)*LN(AZ42/AY42))</f>
        <v>0.23376156435101392</v>
      </c>
      <c r="DD108" s="1">
        <f>(1+(AZ42/0.03125)*LN(BA42/AZ42))</f>
        <v>0.15881940844696774</v>
      </c>
      <c r="DE108" s="1">
        <f>(1+(BA42/0.03125)*LN(BB42/BA42))</f>
        <v>0.12039950101682839</v>
      </c>
      <c r="DF108" s="1" t="e">
        <f t="shared" si="61"/>
        <v>#NUM!</v>
      </c>
    </row>
    <row r="109" spans="40:110" x14ac:dyDescent="0.25">
      <c r="AN109" s="3">
        <v>28</v>
      </c>
      <c r="AO109" s="3">
        <f t="shared" si="62"/>
        <v>-1.8406300470748871E-2</v>
      </c>
      <c r="AP109" s="3">
        <f t="shared" si="66"/>
        <v>-1.9109838891200659E-2</v>
      </c>
      <c r="AQ109" s="3">
        <f t="shared" si="70"/>
        <v>-1.9869301964371311E-2</v>
      </c>
      <c r="AR109" s="3">
        <f t="shared" si="74"/>
        <v>-2.0691634586650243E-2</v>
      </c>
      <c r="AS109" s="3">
        <f t="shared" si="78"/>
        <v>-2.1584981355877497E-2</v>
      </c>
      <c r="AT109" s="3">
        <f t="shared" si="82"/>
        <v>-2.2558957349718356E-2</v>
      </c>
      <c r="AU109" s="3">
        <f t="shared" si="86"/>
        <v>-2.3624995720280983E-2</v>
      </c>
      <c r="AV109" s="3">
        <f t="shared" si="90"/>
        <v>-2.4796798794102237E-2</v>
      </c>
      <c r="AW109" s="3">
        <f t="shared" si="94"/>
        <v>-2.6090930519692468E-2</v>
      </c>
      <c r="AX109" s="3">
        <f t="shared" si="98"/>
        <v>-2.7527604790811622E-2</v>
      </c>
      <c r="AY109" s="3">
        <f t="shared" si="102"/>
        <v>-2.9131749621597813E-2</v>
      </c>
      <c r="AZ109" s="3">
        <f t="shared" si="106"/>
        <v>-3.09344667893241E-2</v>
      </c>
      <c r="BA109" s="3">
        <f t="shared" si="110"/>
        <v>-3.2975069769251908E-2</v>
      </c>
      <c r="BB109" s="3">
        <f t="shared" si="115"/>
        <v>-3.5303986241042806E-2</v>
      </c>
      <c r="BC109" s="3">
        <f t="shared" si="119"/>
        <v>-3.7986985798395989E-2</v>
      </c>
      <c r="BD109" s="3">
        <f t="shared" si="123"/>
        <v>-4.1111497200913338E-2</v>
      </c>
      <c r="BE109" s="3">
        <f t="shared" si="127"/>
        <v>-4.479632883986906E-2</v>
      </c>
      <c r="BF109" s="3">
        <f t="shared" si="131"/>
        <v>-4.9207143708665968E-2</v>
      </c>
      <c r="BG109" s="3">
        <f t="shared" si="135"/>
        <v>-5.4582101563092844E-2</v>
      </c>
      <c r="BH109" s="3">
        <f t="shared" si="139"/>
        <v>-6.1276427844954684E-2</v>
      </c>
      <c r="BI109" s="3">
        <f t="shared" si="143"/>
        <v>-6.9844516335623608E-2</v>
      </c>
      <c r="BJ109" s="3">
        <f t="shared" si="147"/>
        <v>-8.1202534352585842E-2</v>
      </c>
      <c r="BK109" s="3">
        <f t="shared" si="151"/>
        <v>-9.6981870420320027E-2</v>
      </c>
      <c r="BL109" s="3">
        <f t="shared" si="155"/>
        <v>-0.12039950101682884</v>
      </c>
      <c r="BM109" s="3">
        <f t="shared" si="159"/>
        <v>-0.15881940844696774</v>
      </c>
      <c r="BN109" s="3">
        <f t="shared" si="162"/>
        <v>-0.23376156435101392</v>
      </c>
      <c r="BO109" s="3">
        <f>-(AX43/0.03125)*LN(AX43/AW43)-1</f>
        <v>-0.45069385566594511</v>
      </c>
      <c r="BP109" s="3">
        <v>-1</v>
      </c>
      <c r="BQ109" s="3">
        <f>-(AZ43/0.03125)*LN(AZ43/AY43)-1</f>
        <v>0.64791843300216456</v>
      </c>
      <c r="BR109" s="3">
        <f>-(BA43/0.03125)*LN(BA43/AZ43)-1</f>
        <v>0.27706405941497669</v>
      </c>
      <c r="BS109" s="3">
        <f>-(BB43/0.03125)*LN(BB43/BA43)-1</f>
        <v>0.1776528281742451</v>
      </c>
      <c r="BT109" s="3">
        <f>-(BC43/0.03125)*LN(BC43/BB43)-1</f>
        <v>0.13091492726407772</v>
      </c>
      <c r="BW109" s="1">
        <v>28</v>
      </c>
      <c r="BX109" s="1"/>
      <c r="BY109" s="1"/>
      <c r="BZ109" s="1">
        <v>0</v>
      </c>
      <c r="CA109" s="1">
        <f t="shared" si="64"/>
        <v>-1.8634971209600115E-2</v>
      </c>
      <c r="CB109" s="1">
        <f t="shared" si="68"/>
        <v>-1.935644193659547E-2</v>
      </c>
      <c r="CC109" s="1">
        <f t="shared" si="72"/>
        <v>-2.013603264932784E-2</v>
      </c>
      <c r="CD109" s="1">
        <f t="shared" si="76"/>
        <v>-2.0981061813917901E-2</v>
      </c>
      <c r="CE109" s="1">
        <f t="shared" si="80"/>
        <v>-2.190013058386131E-2</v>
      </c>
      <c r="CF109" s="1">
        <f t="shared" si="84"/>
        <v>-2.2903416727038994E-2</v>
      </c>
      <c r="CG109" s="1">
        <f t="shared" si="88"/>
        <v>-2.4003053268973673E-2</v>
      </c>
      <c r="CH109" s="1">
        <f t="shared" si="92"/>
        <v>-2.5213621780559192E-2</v>
      </c>
      <c r="CI109" s="1">
        <f t="shared" si="96"/>
        <v>-2.6552802965729594E-2</v>
      </c>
      <c r="CJ109" s="1">
        <f t="shared" si="100"/>
        <v>-2.8042246363999102E-2</v>
      </c>
      <c r="CK109" s="1">
        <f t="shared" si="104"/>
        <v>-2.9708750401335582E-2</v>
      </c>
      <c r="CL109" s="1">
        <f t="shared" si="108"/>
        <v>-3.1585890192009858E-2</v>
      </c>
      <c r="CM109" s="1">
        <f t="shared" si="112"/>
        <v>-3.3716304729420443E-2</v>
      </c>
      <c r="CN109" s="1">
        <f t="shared" si="117"/>
        <v>-3.6154977741102101E-2</v>
      </c>
      <c r="CO109" s="1">
        <f t="shared" si="121"/>
        <v>-3.8974055337732461E-2</v>
      </c>
      <c r="CP109" s="1">
        <f t="shared" si="125"/>
        <v>-4.2270111738137661E-2</v>
      </c>
      <c r="CQ109" s="1">
        <f t="shared" si="129"/>
        <v>-4.6175449365857713E-2</v>
      </c>
      <c r="CR109" s="1">
        <f t="shared" si="133"/>
        <v>-5.0876314848316451E-2</v>
      </c>
      <c r="CS109" s="1">
        <f t="shared" si="137"/>
        <v>-5.6643533547131586E-2</v>
      </c>
      <c r="CT109" s="1">
        <f t="shared" si="141"/>
        <v>-6.3886715109051417E-2</v>
      </c>
      <c r="CU109" s="1">
        <f t="shared" si="145"/>
        <v>-7.3256327305049718E-2</v>
      </c>
      <c r="CV109" s="1">
        <f t="shared" si="149"/>
        <v>-8.5851550310580338E-2</v>
      </c>
      <c r="CW109" s="1">
        <f t="shared" si="153"/>
        <v>-0.10368882504183108</v>
      </c>
      <c r="CX109" s="1">
        <f t="shared" si="157"/>
        <v>-0.13091492726407727</v>
      </c>
      <c r="CY109" s="1">
        <f t="shared" si="161"/>
        <v>-0.1776528281742451</v>
      </c>
      <c r="CZ109" s="1">
        <f t="shared" si="163"/>
        <v>-0.27706405941497669</v>
      </c>
      <c r="DA109" s="1">
        <f>(1+(AW43/0.03125)*LN(AX43/AW43))</f>
        <v>-0.64791843300216456</v>
      </c>
      <c r="DB109" s="1">
        <v>1</v>
      </c>
      <c r="DC109" s="1">
        <f>(1+(AY43/0.03125)*LN(AZ43/AY43))</f>
        <v>0.45069385566594511</v>
      </c>
      <c r="DD109" s="1">
        <f>(1+(AZ43/0.03125)*LN(BA43/AZ43))</f>
        <v>0.23376156435101392</v>
      </c>
      <c r="DE109" s="1">
        <f>(1+(BA43/0.03125)*LN(BB43/BA43))</f>
        <v>0.15881940844696774</v>
      </c>
      <c r="DF109" s="1" t="e">
        <f t="shared" si="61"/>
        <v>#NUM!</v>
      </c>
    </row>
    <row r="110" spans="40:110" x14ac:dyDescent="0.25">
      <c r="AN110" s="3">
        <v>29</v>
      </c>
      <c r="AO110" s="3">
        <f t="shared" si="62"/>
        <v>-1.7752728442821164E-2</v>
      </c>
      <c r="AP110" s="3">
        <f t="shared" si="66"/>
        <v>-1.8406300470748871E-2</v>
      </c>
      <c r="AQ110" s="3">
        <f t="shared" si="70"/>
        <v>-1.9109838891200659E-2</v>
      </c>
      <c r="AR110" s="3">
        <f t="shared" si="74"/>
        <v>-1.9869301964371311E-2</v>
      </c>
      <c r="AS110" s="3">
        <f t="shared" si="78"/>
        <v>-2.0691634586650243E-2</v>
      </c>
      <c r="AT110" s="3">
        <f t="shared" si="82"/>
        <v>-2.1584981355877497E-2</v>
      </c>
      <c r="AU110" s="3">
        <f t="shared" si="86"/>
        <v>-2.2558957349718356E-2</v>
      </c>
      <c r="AV110" s="3">
        <f t="shared" si="90"/>
        <v>-2.3624995720280983E-2</v>
      </c>
      <c r="AW110" s="3">
        <f t="shared" si="94"/>
        <v>-2.4796798794102237E-2</v>
      </c>
      <c r="AX110" s="3">
        <f t="shared" si="98"/>
        <v>-2.6090930519692468E-2</v>
      </c>
      <c r="AY110" s="3">
        <f t="shared" si="102"/>
        <v>-2.7527604790811622E-2</v>
      </c>
      <c r="AZ110" s="3">
        <f t="shared" si="106"/>
        <v>-2.9131749621597813E-2</v>
      </c>
      <c r="BA110" s="3">
        <f t="shared" si="110"/>
        <v>-3.09344667893241E-2</v>
      </c>
      <c r="BB110" s="3">
        <f t="shared" si="115"/>
        <v>-3.2975069769251908E-2</v>
      </c>
      <c r="BC110" s="3">
        <f t="shared" si="119"/>
        <v>-3.5303986241042806E-2</v>
      </c>
      <c r="BD110" s="3">
        <f t="shared" si="123"/>
        <v>-3.7986985798395989E-2</v>
      </c>
      <c r="BE110" s="3">
        <f t="shared" si="127"/>
        <v>-4.1111497200913338E-2</v>
      </c>
      <c r="BF110" s="3">
        <f t="shared" si="131"/>
        <v>-4.479632883986906E-2</v>
      </c>
      <c r="BG110" s="3">
        <f t="shared" si="135"/>
        <v>-4.9207143708665968E-2</v>
      </c>
      <c r="BH110" s="3">
        <f t="shared" si="139"/>
        <v>-5.4582101563092844E-2</v>
      </c>
      <c r="BI110" s="3">
        <f t="shared" si="143"/>
        <v>-6.1276427844954684E-2</v>
      </c>
      <c r="BJ110" s="3">
        <f t="shared" si="147"/>
        <v>-6.9844516335623608E-2</v>
      </c>
      <c r="BK110" s="3">
        <f t="shared" si="151"/>
        <v>-8.1202534352585842E-2</v>
      </c>
      <c r="BL110" s="3">
        <f t="shared" si="155"/>
        <v>-9.6981870420320027E-2</v>
      </c>
      <c r="BM110" s="3">
        <f t="shared" si="159"/>
        <v>-0.12039950101682884</v>
      </c>
      <c r="BN110" s="3">
        <f t="shared" si="162"/>
        <v>-0.15881940844696774</v>
      </c>
      <c r="BO110" s="3">
        <f>-(AX44/0.03125)*LN(AX44/AW44)-1</f>
        <v>-0.23376156435101392</v>
      </c>
      <c r="BP110" s="3">
        <f>-(AY44/0.03125)*LN(AY44/AX44)-1</f>
        <v>-0.45069385566594511</v>
      </c>
      <c r="BQ110" s="3">
        <v>-1</v>
      </c>
      <c r="BR110" s="3">
        <f>-(BA44/0.03125)*LN(BA44/AZ44)-1</f>
        <v>0.64791843300216456</v>
      </c>
      <c r="BS110" s="3">
        <f>-(BB44/0.03125)*LN(BB44/BA44)-1</f>
        <v>0.27706405941497669</v>
      </c>
      <c r="BT110" s="3">
        <f>-(BC44/0.03125)*LN(BC44/BB44)-1</f>
        <v>0.1776528281742451</v>
      </c>
      <c r="BW110" s="1">
        <v>29</v>
      </c>
      <c r="BX110" s="1"/>
      <c r="BY110" s="1"/>
      <c r="BZ110" s="1">
        <v>0</v>
      </c>
      <c r="CA110" s="1">
        <f t="shared" si="64"/>
        <v>-1.7965354159258151E-2</v>
      </c>
      <c r="CB110" s="1">
        <f t="shared" si="68"/>
        <v>-1.8634971209600115E-2</v>
      </c>
      <c r="CC110" s="1">
        <f t="shared" si="72"/>
        <v>-1.935644193659547E-2</v>
      </c>
      <c r="CD110" s="1">
        <f t="shared" si="76"/>
        <v>-2.013603264932784E-2</v>
      </c>
      <c r="CE110" s="1">
        <f t="shared" si="80"/>
        <v>-2.0981061813917901E-2</v>
      </c>
      <c r="CF110" s="1">
        <f t="shared" si="84"/>
        <v>-2.190013058386131E-2</v>
      </c>
      <c r="CG110" s="1">
        <f t="shared" si="88"/>
        <v>-2.2903416727038994E-2</v>
      </c>
      <c r="CH110" s="1">
        <f t="shared" si="92"/>
        <v>-2.4003053268973673E-2</v>
      </c>
      <c r="CI110" s="1">
        <f t="shared" si="96"/>
        <v>-2.5213621780559192E-2</v>
      </c>
      <c r="CJ110" s="1">
        <f t="shared" si="100"/>
        <v>-2.6552802965729594E-2</v>
      </c>
      <c r="CK110" s="1">
        <f t="shared" si="104"/>
        <v>-2.8042246363999102E-2</v>
      </c>
      <c r="CL110" s="1">
        <f t="shared" si="108"/>
        <v>-2.9708750401335582E-2</v>
      </c>
      <c r="CM110" s="1">
        <f t="shared" si="112"/>
        <v>-3.1585890192009858E-2</v>
      </c>
      <c r="CN110" s="1">
        <f t="shared" si="117"/>
        <v>-3.3716304729420443E-2</v>
      </c>
      <c r="CO110" s="1">
        <f t="shared" si="121"/>
        <v>-3.6154977741102101E-2</v>
      </c>
      <c r="CP110" s="1">
        <f t="shared" si="125"/>
        <v>-3.8974055337732461E-2</v>
      </c>
      <c r="CQ110" s="1">
        <f t="shared" si="129"/>
        <v>-4.2270111738137661E-2</v>
      </c>
      <c r="CR110" s="1">
        <f t="shared" si="133"/>
        <v>-4.6175449365857713E-2</v>
      </c>
      <c r="CS110" s="1">
        <f t="shared" si="137"/>
        <v>-5.0876314848316451E-2</v>
      </c>
      <c r="CT110" s="1">
        <f t="shared" si="141"/>
        <v>-5.6643533547131586E-2</v>
      </c>
      <c r="CU110" s="1">
        <f t="shared" si="145"/>
        <v>-6.3886715109051417E-2</v>
      </c>
      <c r="CV110" s="1">
        <f t="shared" si="149"/>
        <v>-7.3256327305049718E-2</v>
      </c>
      <c r="CW110" s="1">
        <f t="shared" si="153"/>
        <v>-8.5851550310580338E-2</v>
      </c>
      <c r="CX110" s="1">
        <f t="shared" si="157"/>
        <v>-0.10368882504183108</v>
      </c>
      <c r="CY110" s="1">
        <f t="shared" si="161"/>
        <v>-0.13091492726407727</v>
      </c>
      <c r="CZ110" s="1">
        <f t="shared" si="163"/>
        <v>-0.1776528281742451</v>
      </c>
      <c r="DA110" s="1">
        <f>(1+(AW44/0.03125)*LN(AX44/AW44))</f>
        <v>-0.27706405941497669</v>
      </c>
      <c r="DB110" s="1">
        <f>(1+(AX44/0.03125)*LN(AY44/AX44))</f>
        <v>-0.64791843300216456</v>
      </c>
      <c r="DC110" s="1">
        <v>1</v>
      </c>
      <c r="DD110" s="1">
        <f>(1+(AZ44/0.03125)*LN(BA44/AZ44))</f>
        <v>0.45069385566594511</v>
      </c>
      <c r="DE110" s="1">
        <f>(1+(BA44/0.03125)*LN(BB44/BA44))</f>
        <v>0.23376156435101392</v>
      </c>
      <c r="DF110" s="1" t="e">
        <f t="shared" si="61"/>
        <v>#NUM!</v>
      </c>
    </row>
    <row r="111" spans="40:110" x14ac:dyDescent="0.25">
      <c r="AN111" s="3">
        <v>30</v>
      </c>
      <c r="AO111" s="3">
        <f t="shared" si="62"/>
        <v>-1.7143981971674327E-2</v>
      </c>
      <c r="AP111" s="3">
        <f t="shared" si="66"/>
        <v>-1.7752728442821164E-2</v>
      </c>
      <c r="AQ111" s="3">
        <f t="shared" si="70"/>
        <v>-1.8406300470748871E-2</v>
      </c>
      <c r="AR111" s="3">
        <f t="shared" si="74"/>
        <v>-1.9109838891200659E-2</v>
      </c>
      <c r="AS111" s="3">
        <f t="shared" si="78"/>
        <v>-1.9869301964371311E-2</v>
      </c>
      <c r="AT111" s="3">
        <f t="shared" si="82"/>
        <v>-2.0691634586650243E-2</v>
      </c>
      <c r="AU111" s="3">
        <f t="shared" si="86"/>
        <v>-2.1584981355877497E-2</v>
      </c>
      <c r="AV111" s="3">
        <f t="shared" si="90"/>
        <v>-2.2558957349718356E-2</v>
      </c>
      <c r="AW111" s="3">
        <f t="shared" si="94"/>
        <v>-2.3624995720280983E-2</v>
      </c>
      <c r="AX111" s="3">
        <f t="shared" si="98"/>
        <v>-2.4796798794102237E-2</v>
      </c>
      <c r="AY111" s="3">
        <f t="shared" si="102"/>
        <v>-2.6090930519692468E-2</v>
      </c>
      <c r="AZ111" s="3">
        <f t="shared" si="106"/>
        <v>-2.7527604790811622E-2</v>
      </c>
      <c r="BA111" s="3">
        <f t="shared" si="110"/>
        <v>-2.9131749621597813E-2</v>
      </c>
      <c r="BB111" s="3">
        <f t="shared" si="115"/>
        <v>-3.09344667893241E-2</v>
      </c>
      <c r="BC111" s="3">
        <f t="shared" si="119"/>
        <v>-3.2975069769251908E-2</v>
      </c>
      <c r="BD111" s="3">
        <f t="shared" si="123"/>
        <v>-3.5303986241042806E-2</v>
      </c>
      <c r="BE111" s="3">
        <f t="shared" si="127"/>
        <v>-3.7986985798395989E-2</v>
      </c>
      <c r="BF111" s="3">
        <f t="shared" si="131"/>
        <v>-4.1111497200913338E-2</v>
      </c>
      <c r="BG111" s="3">
        <f t="shared" si="135"/>
        <v>-4.479632883986906E-2</v>
      </c>
      <c r="BH111" s="3">
        <f t="shared" si="139"/>
        <v>-4.9207143708665968E-2</v>
      </c>
      <c r="BI111" s="3">
        <f t="shared" si="143"/>
        <v>-5.4582101563092844E-2</v>
      </c>
      <c r="BJ111" s="3">
        <f t="shared" si="147"/>
        <v>-6.1276427844954684E-2</v>
      </c>
      <c r="BK111" s="3">
        <f t="shared" si="151"/>
        <v>-6.9844516335623608E-2</v>
      </c>
      <c r="BL111" s="3">
        <f t="shared" si="155"/>
        <v>-8.1202534352585842E-2</v>
      </c>
      <c r="BM111" s="3">
        <f t="shared" si="159"/>
        <v>-9.6981870420320027E-2</v>
      </c>
      <c r="BN111" s="3">
        <f t="shared" si="162"/>
        <v>-0.12039950101682884</v>
      </c>
      <c r="BO111" s="3">
        <f>-(AX45/0.03125)*LN(AX45/AW45)-1</f>
        <v>-0.15881940844696774</v>
      </c>
      <c r="BP111" s="3">
        <f>-(AY45/0.03125)*LN(AY45/AX45)-1</f>
        <v>-0.23376156435101392</v>
      </c>
      <c r="BQ111" s="3">
        <f>-(AZ45/0.03125)*LN(AZ45/AY45)-1</f>
        <v>-0.45069385566594511</v>
      </c>
      <c r="BR111" s="3">
        <v>-1</v>
      </c>
      <c r="BS111" s="3">
        <f>-(BB45/0.03125)*LN(BB45/BA45)-1</f>
        <v>0.64791843300216456</v>
      </c>
      <c r="BT111" s="3">
        <f>-(BC45/0.03125)*LN(BC45/BB45)-1</f>
        <v>0.27706405941497669</v>
      </c>
      <c r="BW111" s="1">
        <v>30</v>
      </c>
      <c r="BX111" s="1"/>
      <c r="BY111" s="1"/>
      <c r="BZ111" s="1">
        <v>0</v>
      </c>
      <c r="CA111" s="1">
        <f t="shared" si="64"/>
        <v>-1.734219409949489E-2</v>
      </c>
      <c r="CB111" s="1">
        <f t="shared" si="68"/>
        <v>-1.7965354159258151E-2</v>
      </c>
      <c r="CC111" s="1">
        <f t="shared" si="72"/>
        <v>-1.8634971209600115E-2</v>
      </c>
      <c r="CD111" s="1">
        <f t="shared" si="76"/>
        <v>-1.935644193659547E-2</v>
      </c>
      <c r="CE111" s="1">
        <f t="shared" si="80"/>
        <v>-2.013603264932784E-2</v>
      </c>
      <c r="CF111" s="1">
        <f t="shared" si="84"/>
        <v>-2.0981061813917901E-2</v>
      </c>
      <c r="CG111" s="1">
        <f t="shared" si="88"/>
        <v>-2.190013058386131E-2</v>
      </c>
      <c r="CH111" s="1">
        <f t="shared" si="92"/>
        <v>-2.2903416727038994E-2</v>
      </c>
      <c r="CI111" s="1">
        <f t="shared" si="96"/>
        <v>-2.4003053268973673E-2</v>
      </c>
      <c r="CJ111" s="1">
        <f t="shared" si="100"/>
        <v>-2.5213621780559192E-2</v>
      </c>
      <c r="CK111" s="1">
        <f t="shared" si="104"/>
        <v>-2.6552802965729594E-2</v>
      </c>
      <c r="CL111" s="1">
        <f t="shared" si="108"/>
        <v>-2.8042246363999102E-2</v>
      </c>
      <c r="CM111" s="1">
        <f t="shared" si="112"/>
        <v>-2.9708750401335582E-2</v>
      </c>
      <c r="CN111" s="1">
        <f t="shared" si="117"/>
        <v>-3.1585890192009858E-2</v>
      </c>
      <c r="CO111" s="1">
        <f t="shared" si="121"/>
        <v>-3.3716304729420443E-2</v>
      </c>
      <c r="CP111" s="1">
        <f t="shared" si="125"/>
        <v>-3.6154977741102101E-2</v>
      </c>
      <c r="CQ111" s="1">
        <f t="shared" si="129"/>
        <v>-3.8974055337732461E-2</v>
      </c>
      <c r="CR111" s="1">
        <f t="shared" si="133"/>
        <v>-4.2270111738137661E-2</v>
      </c>
      <c r="CS111" s="1">
        <f t="shared" si="137"/>
        <v>-4.6175449365857713E-2</v>
      </c>
      <c r="CT111" s="1">
        <f t="shared" si="141"/>
        <v>-5.0876314848316451E-2</v>
      </c>
      <c r="CU111" s="1">
        <f t="shared" si="145"/>
        <v>-5.6643533547131586E-2</v>
      </c>
      <c r="CV111" s="1">
        <f t="shared" si="149"/>
        <v>-6.3886715109051417E-2</v>
      </c>
      <c r="CW111" s="1">
        <f t="shared" si="153"/>
        <v>-7.3256327305049718E-2</v>
      </c>
      <c r="CX111" s="1">
        <f t="shared" si="157"/>
        <v>-8.5851550310580338E-2</v>
      </c>
      <c r="CY111" s="1">
        <f t="shared" si="161"/>
        <v>-0.10368882504183108</v>
      </c>
      <c r="CZ111" s="1">
        <f t="shared" si="163"/>
        <v>-0.13091492726407727</v>
      </c>
      <c r="DA111" s="1">
        <f>(1+(AW45/0.03125)*LN(AX45/AW45))</f>
        <v>-0.1776528281742451</v>
      </c>
      <c r="DB111" s="1">
        <f>(1+(AX45/0.03125)*LN(AY45/AX45))</f>
        <v>-0.27706405941497669</v>
      </c>
      <c r="DC111" s="1">
        <f>(1+(AY45/0.03125)*LN(AZ45/AY45))</f>
        <v>-0.64791843300216456</v>
      </c>
      <c r="DD111" s="1">
        <v>1</v>
      </c>
      <c r="DE111" s="1">
        <f>(1+(BA45/0.03125)*LN(BB45/BA45))</f>
        <v>0.45069385566594511</v>
      </c>
      <c r="DF111" s="1" t="e">
        <f t="shared" si="61"/>
        <v>#NUM!</v>
      </c>
    </row>
    <row r="112" spans="40:110" x14ac:dyDescent="0.25">
      <c r="AN112" s="3">
        <v>31</v>
      </c>
      <c r="AO112" s="3">
        <f t="shared" si="62"/>
        <v>-1.657560210604081E-2</v>
      </c>
      <c r="AP112" s="3">
        <f t="shared" si="66"/>
        <v>-1.7143981971674327E-2</v>
      </c>
      <c r="AQ112" s="3">
        <f t="shared" si="70"/>
        <v>-1.7752728442821164E-2</v>
      </c>
      <c r="AR112" s="3">
        <f t="shared" si="74"/>
        <v>-1.8406300470748871E-2</v>
      </c>
      <c r="AS112" s="3">
        <f t="shared" si="78"/>
        <v>-1.9109838891200659E-2</v>
      </c>
      <c r="AT112" s="3">
        <f t="shared" si="82"/>
        <v>-1.9869301964371311E-2</v>
      </c>
      <c r="AU112" s="3">
        <f t="shared" si="86"/>
        <v>-2.0691634586650243E-2</v>
      </c>
      <c r="AV112" s="3">
        <f t="shared" si="90"/>
        <v>-2.1584981355877497E-2</v>
      </c>
      <c r="AW112" s="3">
        <f t="shared" si="94"/>
        <v>-2.2558957349718356E-2</v>
      </c>
      <c r="AX112" s="3">
        <f t="shared" si="98"/>
        <v>-2.3624995720280983E-2</v>
      </c>
      <c r="AY112" s="3">
        <f t="shared" si="102"/>
        <v>-2.4796798794102237E-2</v>
      </c>
      <c r="AZ112" s="3">
        <f t="shared" si="106"/>
        <v>-2.6090930519692468E-2</v>
      </c>
      <c r="BA112" s="3">
        <f t="shared" si="110"/>
        <v>-2.7527604790811622E-2</v>
      </c>
      <c r="BB112" s="3">
        <f t="shared" si="115"/>
        <v>-2.9131749621597813E-2</v>
      </c>
      <c r="BC112" s="3">
        <f t="shared" si="119"/>
        <v>-3.09344667893241E-2</v>
      </c>
      <c r="BD112" s="3">
        <f t="shared" si="123"/>
        <v>-3.2975069769251908E-2</v>
      </c>
      <c r="BE112" s="3">
        <f t="shared" si="127"/>
        <v>-3.5303986241042806E-2</v>
      </c>
      <c r="BF112" s="3">
        <f t="shared" si="131"/>
        <v>-3.7986985798395989E-2</v>
      </c>
      <c r="BG112" s="3">
        <f t="shared" si="135"/>
        <v>-4.1111497200913338E-2</v>
      </c>
      <c r="BH112" s="3">
        <f t="shared" si="139"/>
        <v>-4.479632883986906E-2</v>
      </c>
      <c r="BI112" s="3">
        <f t="shared" si="143"/>
        <v>-4.9207143708665968E-2</v>
      </c>
      <c r="BJ112" s="3">
        <f t="shared" si="147"/>
        <v>-5.4582101563092844E-2</v>
      </c>
      <c r="BK112" s="3">
        <f t="shared" si="151"/>
        <v>-6.1276427844954684E-2</v>
      </c>
      <c r="BL112" s="3">
        <f t="shared" si="155"/>
        <v>-6.9844516335623608E-2</v>
      </c>
      <c r="BM112" s="3">
        <f t="shared" si="159"/>
        <v>-8.1202534352585842E-2</v>
      </c>
      <c r="BN112" s="3">
        <f t="shared" si="162"/>
        <v>-9.6981870420320027E-2</v>
      </c>
      <c r="BO112" s="3">
        <f>-(AX46/0.03125)*LN(AX46/AW46)-1</f>
        <v>-0.12039950101682884</v>
      </c>
      <c r="BP112" s="3">
        <f>-(AY46/0.03125)*LN(AY46/AX46)-1</f>
        <v>-0.15881940844696774</v>
      </c>
      <c r="BQ112" s="3">
        <f>-(AZ46/0.03125)*LN(AZ46/AY46)-1</f>
        <v>-0.23376156435101392</v>
      </c>
      <c r="BR112" s="3">
        <f>-(BA46/0.03125)*LN(BA46/AZ46)-1</f>
        <v>-0.45069385566594511</v>
      </c>
      <c r="BS112" s="3">
        <v>-1</v>
      </c>
      <c r="BT112" s="3">
        <f>-(BC46/0.03125)*LN(BC46/BB46)-1</f>
        <v>0.64791843300216456</v>
      </c>
      <c r="BW112" s="1">
        <v>31</v>
      </c>
      <c r="BX112" s="1"/>
      <c r="BY112" s="1"/>
      <c r="BZ112" s="1">
        <v>0</v>
      </c>
      <c r="CA112" s="1">
        <f t="shared" si="64"/>
        <v>-1.6760818161551061E-2</v>
      </c>
      <c r="CB112" s="1">
        <f t="shared" si="68"/>
        <v>-1.734219409949489E-2</v>
      </c>
      <c r="CC112" s="1">
        <f t="shared" si="72"/>
        <v>-1.7965354159258151E-2</v>
      </c>
      <c r="CD112" s="1">
        <f t="shared" si="76"/>
        <v>-1.8634971209600115E-2</v>
      </c>
      <c r="CE112" s="1">
        <f t="shared" si="80"/>
        <v>-1.935644193659547E-2</v>
      </c>
      <c r="CF112" s="1">
        <f t="shared" si="84"/>
        <v>-2.013603264932784E-2</v>
      </c>
      <c r="CG112" s="1">
        <f t="shared" si="88"/>
        <v>-2.0981061813917901E-2</v>
      </c>
      <c r="CH112" s="1">
        <f t="shared" si="92"/>
        <v>-2.190013058386131E-2</v>
      </c>
      <c r="CI112" s="1">
        <f t="shared" si="96"/>
        <v>-2.2903416727038994E-2</v>
      </c>
      <c r="CJ112" s="1">
        <f t="shared" si="100"/>
        <v>-2.4003053268973673E-2</v>
      </c>
      <c r="CK112" s="1">
        <f t="shared" si="104"/>
        <v>-2.5213621780559192E-2</v>
      </c>
      <c r="CL112" s="1">
        <f t="shared" si="108"/>
        <v>-2.6552802965729594E-2</v>
      </c>
      <c r="CM112" s="1">
        <f t="shared" si="112"/>
        <v>-2.8042246363999102E-2</v>
      </c>
      <c r="CN112" s="1">
        <f t="shared" si="117"/>
        <v>-2.9708750401335582E-2</v>
      </c>
      <c r="CO112" s="1">
        <f t="shared" si="121"/>
        <v>-3.1585890192009858E-2</v>
      </c>
      <c r="CP112" s="1">
        <f t="shared" si="125"/>
        <v>-3.3716304729420443E-2</v>
      </c>
      <c r="CQ112" s="1">
        <f t="shared" si="129"/>
        <v>-3.6154977741102101E-2</v>
      </c>
      <c r="CR112" s="1">
        <f t="shared" si="133"/>
        <v>-3.8974055337732461E-2</v>
      </c>
      <c r="CS112" s="1">
        <f t="shared" si="137"/>
        <v>-4.2270111738137661E-2</v>
      </c>
      <c r="CT112" s="1">
        <f t="shared" si="141"/>
        <v>-4.6175449365857713E-2</v>
      </c>
      <c r="CU112" s="1">
        <f t="shared" si="145"/>
        <v>-5.0876314848316451E-2</v>
      </c>
      <c r="CV112" s="1">
        <f t="shared" si="149"/>
        <v>-5.6643533547131586E-2</v>
      </c>
      <c r="CW112" s="1">
        <f t="shared" si="153"/>
        <v>-6.3886715109051417E-2</v>
      </c>
      <c r="CX112" s="1">
        <f t="shared" si="157"/>
        <v>-7.3256327305049718E-2</v>
      </c>
      <c r="CY112" s="1">
        <f t="shared" si="161"/>
        <v>-8.5851550310580338E-2</v>
      </c>
      <c r="CZ112" s="1">
        <f t="shared" si="163"/>
        <v>-0.10368882504183108</v>
      </c>
      <c r="DA112" s="1">
        <f>(1+(AW46/0.03125)*LN(AX46/AW46))</f>
        <v>-0.13091492726407727</v>
      </c>
      <c r="DB112" s="1">
        <f>(1+(AX46/0.03125)*LN(AY46/AX46))</f>
        <v>-0.1776528281742451</v>
      </c>
      <c r="DC112" s="1">
        <f>(1+(AY46/0.03125)*LN(AZ46/AY46))</f>
        <v>-0.27706405941497669</v>
      </c>
      <c r="DD112" s="1">
        <f>(1+(AZ46/0.03125)*LN(BA46/AZ46))</f>
        <v>-0.64791843300216456</v>
      </c>
      <c r="DE112" s="1">
        <v>1</v>
      </c>
      <c r="DF112" s="1" t="e">
        <f t="shared" si="61"/>
        <v>#NUM!</v>
      </c>
    </row>
    <row r="113" spans="40:110" x14ac:dyDescent="0.25">
      <c r="AN113" s="3">
        <v>32</v>
      </c>
      <c r="AO113" s="3">
        <f t="shared" si="62"/>
        <v>-1.6043702344246236E-2</v>
      </c>
      <c r="AP113" s="3">
        <f t="shared" si="66"/>
        <v>-1.657560210604081E-2</v>
      </c>
      <c r="AQ113" s="3">
        <f t="shared" si="70"/>
        <v>-1.7143981971674327E-2</v>
      </c>
      <c r="AR113" s="3">
        <f t="shared" si="74"/>
        <v>-1.7752728442821164E-2</v>
      </c>
      <c r="AS113" s="3">
        <f t="shared" si="78"/>
        <v>-1.8406300470748871E-2</v>
      </c>
      <c r="AT113" s="3">
        <f t="shared" si="82"/>
        <v>-1.9109838891200659E-2</v>
      </c>
      <c r="AU113" s="3">
        <f t="shared" si="86"/>
        <v>-1.9869301964371311E-2</v>
      </c>
      <c r="AV113" s="3">
        <f t="shared" si="90"/>
        <v>-2.0691634586650243E-2</v>
      </c>
      <c r="AW113" s="3">
        <f t="shared" si="94"/>
        <v>-2.1584981355877497E-2</v>
      </c>
      <c r="AX113" s="3">
        <f t="shared" si="98"/>
        <v>-2.2558957349718356E-2</v>
      </c>
      <c r="AY113" s="3">
        <f t="shared" si="102"/>
        <v>-2.3624995720280983E-2</v>
      </c>
      <c r="AZ113" s="3">
        <f t="shared" si="106"/>
        <v>-2.4796798794102237E-2</v>
      </c>
      <c r="BA113" s="3">
        <f t="shared" si="110"/>
        <v>-2.6090930519692468E-2</v>
      </c>
      <c r="BB113" s="3">
        <f t="shared" si="115"/>
        <v>-2.7527604790811622E-2</v>
      </c>
      <c r="BC113" s="3">
        <f t="shared" si="119"/>
        <v>-2.9131749621597813E-2</v>
      </c>
      <c r="BD113" s="3">
        <f t="shared" si="123"/>
        <v>-3.09344667893241E-2</v>
      </c>
      <c r="BE113" s="3">
        <f t="shared" si="127"/>
        <v>-3.2975069769251908E-2</v>
      </c>
      <c r="BF113" s="3">
        <f t="shared" si="131"/>
        <v>-3.5303986241042806E-2</v>
      </c>
      <c r="BG113" s="3">
        <f t="shared" si="135"/>
        <v>-3.7986985798395989E-2</v>
      </c>
      <c r="BH113" s="3">
        <f t="shared" si="139"/>
        <v>-4.1111497200913338E-2</v>
      </c>
      <c r="BI113" s="3">
        <f t="shared" si="143"/>
        <v>-4.479632883986906E-2</v>
      </c>
      <c r="BJ113" s="3">
        <f t="shared" si="147"/>
        <v>-4.9207143708665968E-2</v>
      </c>
      <c r="BK113" s="3">
        <f t="shared" si="151"/>
        <v>-5.4582101563092844E-2</v>
      </c>
      <c r="BL113" s="3">
        <f t="shared" si="155"/>
        <v>-6.1276427844954684E-2</v>
      </c>
      <c r="BM113" s="3">
        <f t="shared" si="159"/>
        <v>-6.9844516335623608E-2</v>
      </c>
      <c r="BN113" s="3">
        <f t="shared" si="162"/>
        <v>-8.1202534352585842E-2</v>
      </c>
      <c r="BO113" s="3">
        <f>-(AX47/0.03125)*LN(AX47/AW47)-1</f>
        <v>-9.6981870420320027E-2</v>
      </c>
      <c r="BP113" s="3">
        <f>-(AY47/0.03125)*LN(AY47/AX47)-1</f>
        <v>-0.12039950101682884</v>
      </c>
      <c r="BQ113" s="3">
        <f>-(AZ47/0.03125)*LN(AZ47/AY47)-1</f>
        <v>-0.15881940844696774</v>
      </c>
      <c r="BR113" s="3">
        <f>-(BA47/0.03125)*LN(BA47/AZ47)-1</f>
        <v>-0.23376156435101392</v>
      </c>
      <c r="BS113" s="3">
        <f>-(BB47/0.03125)*LN(BB47/BA47)-1</f>
        <v>-0.45069385566594511</v>
      </c>
      <c r="BT113" s="3">
        <v>-1</v>
      </c>
      <c r="BW113" s="1">
        <v>32</v>
      </c>
      <c r="BX113" s="1"/>
      <c r="BY113" s="1"/>
      <c r="BZ113" s="1">
        <v>0</v>
      </c>
      <c r="CA113" s="1">
        <f t="shared" si="64"/>
        <v>-1.6217159873975318E-2</v>
      </c>
      <c r="CB113" s="1">
        <f t="shared" si="68"/>
        <v>-1.6760818161551061E-2</v>
      </c>
      <c r="CC113" s="1">
        <f t="shared" si="72"/>
        <v>-1.734219409949489E-2</v>
      </c>
      <c r="CD113" s="1">
        <f t="shared" si="76"/>
        <v>-1.7965354159258151E-2</v>
      </c>
      <c r="CE113" s="1">
        <f t="shared" si="80"/>
        <v>-1.8634971209600115E-2</v>
      </c>
      <c r="CF113" s="1">
        <f t="shared" si="84"/>
        <v>-1.935644193659547E-2</v>
      </c>
      <c r="CG113" s="1">
        <f t="shared" si="88"/>
        <v>-2.013603264932784E-2</v>
      </c>
      <c r="CH113" s="1">
        <f t="shared" si="92"/>
        <v>-2.0981061813917901E-2</v>
      </c>
      <c r="CI113" s="1">
        <f t="shared" si="96"/>
        <v>-2.190013058386131E-2</v>
      </c>
      <c r="CJ113" s="1">
        <f t="shared" si="100"/>
        <v>-2.2903416727038994E-2</v>
      </c>
      <c r="CK113" s="1">
        <f t="shared" si="104"/>
        <v>-2.4003053268973673E-2</v>
      </c>
      <c r="CL113" s="1">
        <f t="shared" si="108"/>
        <v>-2.5213621780559192E-2</v>
      </c>
      <c r="CM113" s="1">
        <f t="shared" si="112"/>
        <v>-2.6552802965729594E-2</v>
      </c>
      <c r="CN113" s="1">
        <f t="shared" si="117"/>
        <v>-2.8042246363999102E-2</v>
      </c>
      <c r="CO113" s="1">
        <f t="shared" si="121"/>
        <v>-2.9708750401335582E-2</v>
      </c>
      <c r="CP113" s="1">
        <f t="shared" si="125"/>
        <v>-3.1585890192009858E-2</v>
      </c>
      <c r="CQ113" s="1">
        <f t="shared" si="129"/>
        <v>-3.3716304729420443E-2</v>
      </c>
      <c r="CR113" s="1">
        <f t="shared" si="133"/>
        <v>-3.6154977741102101E-2</v>
      </c>
      <c r="CS113" s="1">
        <f t="shared" si="137"/>
        <v>-3.8974055337732461E-2</v>
      </c>
      <c r="CT113" s="1">
        <f t="shared" si="141"/>
        <v>-4.2270111738137661E-2</v>
      </c>
      <c r="CU113" s="1">
        <f t="shared" si="145"/>
        <v>-4.6175449365857713E-2</v>
      </c>
      <c r="CV113" s="1">
        <f t="shared" si="149"/>
        <v>-5.0876314848316451E-2</v>
      </c>
      <c r="CW113" s="1">
        <f t="shared" si="153"/>
        <v>-5.6643533547131586E-2</v>
      </c>
      <c r="CX113" s="1">
        <f t="shared" si="157"/>
        <v>-6.3886715109051417E-2</v>
      </c>
      <c r="CY113" s="1">
        <f t="shared" si="161"/>
        <v>-7.3256327305049718E-2</v>
      </c>
      <c r="CZ113" s="1">
        <f t="shared" si="163"/>
        <v>-8.5851550310580338E-2</v>
      </c>
      <c r="DA113" s="1">
        <f>(1+(AW47/0.03125)*LN(AX47/AW47))</f>
        <v>-0.10368882504183108</v>
      </c>
      <c r="DB113" s="1">
        <f>(1+(AX47/0.03125)*LN(AY47/AX47))</f>
        <v>-0.13091492726407727</v>
      </c>
      <c r="DC113" s="1">
        <f>(1+(AY47/0.03125)*LN(AZ47/AY47))</f>
        <v>-0.1776528281742451</v>
      </c>
      <c r="DD113" s="1">
        <f>(1+(AZ47/0.03125)*LN(BA47/AZ47))</f>
        <v>-0.27706405941497669</v>
      </c>
      <c r="DE113" s="1">
        <f>(1+(BA47/0.03125)*LN(BB47/BA47))</f>
        <v>-0.64791843300216456</v>
      </c>
      <c r="DF113" s="1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V133"/>
  <sheetViews>
    <sheetView tabSelected="1" zoomScale="55" zoomScaleNormal="55" workbookViewId="0">
      <selection activeCell="G11" sqref="G11"/>
    </sheetView>
  </sheetViews>
  <sheetFormatPr baseColWidth="10" defaultRowHeight="15" x14ac:dyDescent="0.25"/>
  <cols>
    <col min="1" max="1" width="45.140625" bestFit="1" customWidth="1"/>
    <col min="2" max="2" width="20.5703125" customWidth="1"/>
    <col min="3" max="3" width="17.85546875" customWidth="1"/>
    <col min="4" max="4" width="23.28515625" bestFit="1" customWidth="1"/>
    <col min="5" max="6" width="17.42578125" bestFit="1" customWidth="1"/>
    <col min="7" max="7" width="18.5703125" bestFit="1" customWidth="1"/>
    <col min="8" max="8" width="16.7109375" bestFit="1" customWidth="1"/>
    <col min="9" max="9" width="15" bestFit="1" customWidth="1"/>
    <col min="10" max="10" width="14.85546875" bestFit="1" customWidth="1"/>
    <col min="11" max="11" width="15" bestFit="1" customWidth="1"/>
    <col min="12" max="12" width="18.140625" bestFit="1" customWidth="1"/>
    <col min="13" max="13" width="19.140625" bestFit="1" customWidth="1"/>
    <col min="14" max="14" width="16.5703125" bestFit="1" customWidth="1"/>
    <col min="15" max="15" width="19" customWidth="1"/>
    <col min="16" max="17" width="15.85546875" bestFit="1" customWidth="1"/>
    <col min="18" max="18" width="13.5703125" bestFit="1" customWidth="1"/>
    <col min="19" max="19" width="20.5703125" bestFit="1" customWidth="1"/>
    <col min="20" max="20" width="13.42578125" bestFit="1" customWidth="1"/>
    <col min="21" max="21" width="21.5703125" bestFit="1" customWidth="1"/>
    <col min="22" max="22" width="18.28515625" bestFit="1" customWidth="1"/>
    <col min="23" max="23" width="15.85546875" bestFit="1" customWidth="1"/>
    <col min="25" max="25" width="17.5703125" customWidth="1"/>
    <col min="26" max="26" width="12.85546875" bestFit="1" customWidth="1"/>
    <col min="27" max="27" width="17.42578125" bestFit="1" customWidth="1"/>
    <col min="28" max="28" width="20" bestFit="1" customWidth="1"/>
    <col min="29" max="29" width="20" customWidth="1"/>
    <col min="31" max="31" width="16.85546875" bestFit="1" customWidth="1"/>
    <col min="33" max="33" width="17.85546875" bestFit="1" customWidth="1"/>
    <col min="35" max="35" width="17.28515625" bestFit="1" customWidth="1"/>
    <col min="37" max="37" width="18.28515625" bestFit="1" customWidth="1"/>
    <col min="40" max="40" width="19.28515625" bestFit="1" customWidth="1"/>
    <col min="43" max="43" width="19.5703125" bestFit="1" customWidth="1"/>
    <col min="45" max="45" width="14.85546875" bestFit="1" customWidth="1"/>
    <col min="47" max="47" width="15.7109375" bestFit="1" customWidth="1"/>
    <col min="57" max="57" width="14.42578125" customWidth="1"/>
    <col min="185" max="188" width="12.28515625" bestFit="1" customWidth="1"/>
    <col min="189" max="189" width="11.5703125" bestFit="1" customWidth="1"/>
    <col min="190" max="190" width="12.28515625" bestFit="1" customWidth="1"/>
    <col min="191" max="191" width="11.5703125" bestFit="1" customWidth="1"/>
    <col min="192" max="202" width="12.28515625" bestFit="1" customWidth="1"/>
    <col min="203" max="203" width="11.5703125" bestFit="1" customWidth="1"/>
    <col min="204" max="204" width="12.28515625" bestFit="1" customWidth="1"/>
    <col min="205" max="207" width="11.5703125" bestFit="1" customWidth="1"/>
    <col min="208" max="210" width="12.28515625" bestFit="1" customWidth="1"/>
    <col min="211" max="211" width="15.85546875" bestFit="1" customWidth="1"/>
    <col min="212" max="223" width="12.28515625" bestFit="1" customWidth="1"/>
    <col min="224" max="224" width="11.5703125" bestFit="1" customWidth="1"/>
    <col min="225" max="230" width="12.28515625" bestFit="1" customWidth="1"/>
    <col min="231" max="231" width="11.5703125" bestFit="1" customWidth="1"/>
    <col min="232" max="235" width="12.28515625" bestFit="1" customWidth="1"/>
    <col min="236" max="237" width="11.5703125" bestFit="1" customWidth="1"/>
    <col min="238" max="239" width="12.28515625" bestFit="1" customWidth="1"/>
    <col min="240" max="240" width="11.5703125" bestFit="1" customWidth="1"/>
    <col min="241" max="245" width="12.28515625" bestFit="1" customWidth="1"/>
    <col min="246" max="251" width="11.5703125" bestFit="1" customWidth="1"/>
    <col min="252" max="252" width="12.28515625" bestFit="1" customWidth="1"/>
    <col min="253" max="254" width="11.5703125" bestFit="1" customWidth="1"/>
  </cols>
  <sheetData>
    <row r="1" spans="1:44" x14ac:dyDescent="0.25">
      <c r="A1" s="8" t="s">
        <v>14</v>
      </c>
      <c r="B1" s="4"/>
      <c r="C1" s="4"/>
    </row>
    <row r="2" spans="1:44" x14ac:dyDescent="0.25">
      <c r="A2" s="4" t="s">
        <v>28</v>
      </c>
      <c r="B2" s="4">
        <v>0</v>
      </c>
      <c r="C2" s="4" t="s">
        <v>16</v>
      </c>
      <c r="D2" s="9" t="s">
        <v>64</v>
      </c>
    </row>
    <row r="3" spans="1:44" x14ac:dyDescent="0.25">
      <c r="A3" t="s">
        <v>29</v>
      </c>
      <c r="B3">
        <f>(B2*PI())/180</f>
        <v>0</v>
      </c>
      <c r="D3" s="9" t="s">
        <v>34</v>
      </c>
    </row>
    <row r="4" spans="1:44" x14ac:dyDescent="0.25">
      <c r="A4" s="10" t="s">
        <v>13</v>
      </c>
      <c r="B4" s="10">
        <v>1</v>
      </c>
      <c r="C4" s="10"/>
      <c r="D4" s="9" t="s">
        <v>35</v>
      </c>
    </row>
    <row r="5" spans="1:44" x14ac:dyDescent="0.25">
      <c r="A5" s="10" t="s">
        <v>25</v>
      </c>
      <c r="B5" s="10">
        <v>70</v>
      </c>
      <c r="C5" s="10"/>
      <c r="D5" s="9" t="s">
        <v>65</v>
      </c>
    </row>
    <row r="6" spans="1:44" x14ac:dyDescent="0.25">
      <c r="A6" t="s">
        <v>30</v>
      </c>
      <c r="B6">
        <f>B4/B5</f>
        <v>1.4285714285714285E-2</v>
      </c>
      <c r="AL6" s="10"/>
    </row>
    <row r="7" spans="1:44" x14ac:dyDescent="0.25">
      <c r="A7" s="4" t="s">
        <v>3</v>
      </c>
      <c r="B7" s="4">
        <v>0.3</v>
      </c>
      <c r="C7" s="4" t="s">
        <v>16</v>
      </c>
      <c r="AL7" s="10"/>
    </row>
    <row r="8" spans="1:44" x14ac:dyDescent="0.25">
      <c r="A8" s="4" t="s">
        <v>2</v>
      </c>
      <c r="B8" s="4">
        <v>0.2</v>
      </c>
      <c r="C8" s="4" t="s">
        <v>16</v>
      </c>
      <c r="AJ8" s="10"/>
      <c r="AL8" s="10"/>
    </row>
    <row r="9" spans="1:44" x14ac:dyDescent="0.25">
      <c r="A9" s="4" t="s">
        <v>26</v>
      </c>
      <c r="B9" s="4">
        <v>10</v>
      </c>
      <c r="C9" s="4" t="s">
        <v>16</v>
      </c>
      <c r="T9" s="10"/>
      <c r="X9" s="10"/>
      <c r="Z9" s="10"/>
      <c r="AH9" s="10"/>
      <c r="AJ9" s="10"/>
      <c r="AL9" s="10"/>
    </row>
    <row r="10" spans="1:44" x14ac:dyDescent="0.25">
      <c r="A10" t="s">
        <v>27</v>
      </c>
      <c r="B10">
        <f>(B9*PI())/180</f>
        <v>0.17453292519943295</v>
      </c>
      <c r="T10" s="10"/>
      <c r="V10" s="10"/>
      <c r="X10" s="10"/>
      <c r="Z10" s="10"/>
      <c r="AD10" s="10"/>
      <c r="AF10" s="10"/>
      <c r="AH10" s="10"/>
      <c r="AJ10" s="10"/>
      <c r="AL10" s="10"/>
      <c r="AR10" s="10"/>
    </row>
    <row r="11" spans="1:44" x14ac:dyDescent="0.25">
      <c r="A11" s="4" t="s">
        <v>0</v>
      </c>
      <c r="B11" s="4">
        <v>0.04</v>
      </c>
      <c r="C11" s="4" t="s">
        <v>16</v>
      </c>
      <c r="T11" s="10"/>
      <c r="V11" s="10"/>
      <c r="X11" s="10"/>
      <c r="Z11" s="10"/>
      <c r="AB11" s="10"/>
      <c r="AD11" s="10"/>
      <c r="AF11" s="10"/>
      <c r="AH11" s="10"/>
      <c r="AJ11" s="10"/>
      <c r="AL11" s="10"/>
      <c r="AO11" s="10"/>
      <c r="AR11" s="10"/>
    </row>
    <row r="12" spans="1:44" x14ac:dyDescent="0.25">
      <c r="A12" s="7" t="s">
        <v>31</v>
      </c>
      <c r="S12" s="1" t="s">
        <v>39</v>
      </c>
      <c r="T12" s="10"/>
      <c r="U12" s="1" t="s">
        <v>40</v>
      </c>
      <c r="V12" s="10"/>
      <c r="W12" s="1" t="s">
        <v>41</v>
      </c>
      <c r="X12" s="10"/>
      <c r="Y12" s="1" t="s">
        <v>42</v>
      </c>
      <c r="Z12" s="10"/>
      <c r="AA12" s="1" t="s">
        <v>43</v>
      </c>
      <c r="AB12" s="10"/>
      <c r="AC12" s="1" t="s">
        <v>44</v>
      </c>
      <c r="AD12" s="10"/>
      <c r="AE12" s="1" t="s">
        <v>45</v>
      </c>
      <c r="AF12" s="10"/>
      <c r="AG12" s="1" t="s">
        <v>46</v>
      </c>
      <c r="AH12" s="10"/>
      <c r="AI12" s="1" t="s">
        <v>48</v>
      </c>
      <c r="AJ12" s="10"/>
      <c r="AK12" s="1" t="s">
        <v>49</v>
      </c>
      <c r="AL12" s="10"/>
      <c r="AN12" s="1" t="s">
        <v>60</v>
      </c>
      <c r="AO12" s="10"/>
      <c r="AQ12" s="1" t="s">
        <v>61</v>
      </c>
      <c r="AR12" s="10"/>
    </row>
    <row r="13" spans="1:44" x14ac:dyDescent="0.25">
      <c r="T13" s="10"/>
      <c r="V13" s="10"/>
      <c r="X13" s="10"/>
      <c r="Z13" s="10"/>
      <c r="AB13" s="10"/>
      <c r="AD13" s="10"/>
      <c r="AF13" s="10"/>
      <c r="AH13" s="10"/>
      <c r="AJ13" s="10"/>
      <c r="AL13" s="10"/>
      <c r="AO13" s="10"/>
      <c r="AR13" s="10"/>
    </row>
    <row r="14" spans="1:44" x14ac:dyDescent="0.25">
      <c r="A14" s="7" t="s">
        <v>32</v>
      </c>
      <c r="E14" t="s">
        <v>71</v>
      </c>
      <c r="F14" t="s">
        <v>68</v>
      </c>
      <c r="G14" t="s">
        <v>69</v>
      </c>
      <c r="L14" t="s">
        <v>70</v>
      </c>
      <c r="M14" s="10" t="s">
        <v>70</v>
      </c>
      <c r="V14" s="10"/>
      <c r="X14" s="10"/>
      <c r="Z14" s="10"/>
      <c r="AB14" s="10"/>
      <c r="AD14" s="10"/>
      <c r="AF14" s="10"/>
      <c r="AH14" s="10"/>
      <c r="AL14" s="10"/>
      <c r="AO14" s="10"/>
    </row>
    <row r="15" spans="1:44" x14ac:dyDescent="0.25">
      <c r="A15" s="10"/>
      <c r="B15" s="1" t="s">
        <v>1</v>
      </c>
      <c r="C15" s="1" t="s">
        <v>12</v>
      </c>
      <c r="D15" s="10"/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15</v>
      </c>
      <c r="M15" s="2" t="s">
        <v>11</v>
      </c>
      <c r="P15" s="4" t="s">
        <v>17</v>
      </c>
      <c r="Q15" s="4" t="s">
        <v>18</v>
      </c>
      <c r="S15" s="1">
        <f t="array" ref="S15:S84">MMULT(N70_DESARROLLO!FD10:HU79,P16:P85)</f>
        <v>-1.614681834050554</v>
      </c>
      <c r="T15">
        <v>1</v>
      </c>
      <c r="U15" s="1">
        <f t="array" ref="U15:U84">MMULT(N70_DESARROLLO!FD10:HU79,Q16:Q85)</f>
        <v>2.2174476561919723</v>
      </c>
      <c r="W15" s="1">
        <f>(S15+S16)</f>
        <v>-1.7689201796188876</v>
      </c>
      <c r="X15" s="10"/>
      <c r="Y15" s="1">
        <f>U15+U16</f>
        <v>3.0635625768101593</v>
      </c>
      <c r="Z15" s="10"/>
      <c r="AA15" s="1">
        <f>W15/2</f>
        <v>-0.88446008980944379</v>
      </c>
      <c r="AC15" s="1">
        <f>Y15*0.5</f>
        <v>1.5317812884050797</v>
      </c>
      <c r="AD15" s="10"/>
      <c r="AE15" s="1">
        <f>-AA15</f>
        <v>0.88446008980944379</v>
      </c>
      <c r="AF15" s="10"/>
      <c r="AG15" s="1">
        <f>-AC15</f>
        <v>-1.5317812884050797</v>
      </c>
      <c r="AH15" s="10"/>
      <c r="AI15" s="1">
        <f t="shared" ref="AI15:AI46" si="0">-W15*H16</f>
        <v>1.2635144140134912E-2</v>
      </c>
      <c r="AK15" s="1">
        <f t="shared" ref="AK15:AK46" si="1">-Y15*I16</f>
        <v>-2.1882589834358281E-2</v>
      </c>
      <c r="AL15" s="10"/>
      <c r="AN15" s="1">
        <f>AI15+0.25*W15</f>
        <v>-0.42959490076458701</v>
      </c>
      <c r="AQ15" s="1">
        <f>AK15+0.25*Y15</f>
        <v>0.74400805436818152</v>
      </c>
    </row>
    <row r="16" spans="1:44" x14ac:dyDescent="0.25">
      <c r="A16" s="10"/>
      <c r="B16" s="1">
        <v>1</v>
      </c>
      <c r="C16" s="1">
        <v>1</v>
      </c>
      <c r="D16" s="10"/>
      <c r="E16" s="2">
        <v>0</v>
      </c>
      <c r="F16" s="2">
        <f t="shared" ref="F16:F29" si="2">($B$11/$B$8^2)*(2*E16*$B$8-E16^2)</f>
        <v>0</v>
      </c>
      <c r="G16" s="2">
        <f t="shared" ref="G16:G29" si="3">($B$11/$B$8^2)*(2*E16*$B$8-E16^2)</f>
        <v>0</v>
      </c>
      <c r="H16" s="2">
        <f t="shared" ref="H16:H47" si="4">(E17+E16)/2</f>
        <v>7.1428571428571426E-3</v>
      </c>
      <c r="I16" s="2">
        <f t="shared" ref="I16:I47" si="5">(E17+E16)/2</f>
        <v>7.1428571428571426E-3</v>
      </c>
      <c r="J16" s="2">
        <f t="shared" ref="J16:J47" si="6">(F17+F16)/2</f>
        <v>2.7551020408163262E-3</v>
      </c>
      <c r="K16" s="2">
        <f t="shared" ref="K16:K47" si="7">(G17+G16)/2</f>
        <v>2.7551020408163262E-3</v>
      </c>
      <c r="L16" s="2">
        <f t="shared" ref="L16:L29" si="8">((2*$B$11)/$B$8)-(2*$B$11*H16)/$B$8^2</f>
        <v>0.38571428571428568</v>
      </c>
      <c r="M16" s="14">
        <f t="shared" ref="M16:M29" si="9">((2*$B$11)/$B$8)-(2*$B$11*H16)/$B$8^2</f>
        <v>0.38571428571428568</v>
      </c>
      <c r="O16">
        <v>1</v>
      </c>
      <c r="P16" s="4">
        <f>-2*PI()*($B$3-L16)</f>
        <v>2.4235143327692685</v>
      </c>
      <c r="Q16" s="4">
        <f>-2*PI()*($B$3-M16)</f>
        <v>2.4235143327692685</v>
      </c>
      <c r="S16" s="1">
        <v>-0.15423834556833355</v>
      </c>
      <c r="T16">
        <v>2</v>
      </c>
      <c r="U16" s="1">
        <v>0.84611492061818705</v>
      </c>
      <c r="W16" s="1">
        <f t="shared" ref="W16:W79" si="10">(S16+S17)</f>
        <v>-0.13653104503959934</v>
      </c>
      <c r="Y16" s="1">
        <f t="shared" ref="Y16:Y79" si="11">U16+U17</f>
        <v>1.7041327310336385</v>
      </c>
      <c r="AA16" s="1">
        <f t="shared" ref="AA16:AA79" si="12">W16/2</f>
        <v>-6.8265522519799671E-2</v>
      </c>
      <c r="AC16" s="1">
        <f t="shared" ref="AC16:AC79" si="13">Y16*0.5</f>
        <v>0.85206636551681925</v>
      </c>
      <c r="AD16" s="10"/>
      <c r="AE16" s="1">
        <f t="shared" ref="AE16:AE79" si="14">-AA16</f>
        <v>6.8265522519799671E-2</v>
      </c>
      <c r="AG16" s="1">
        <f t="shared" ref="AG16:AG79" si="15">-AC16</f>
        <v>-0.85206636551681925</v>
      </c>
      <c r="AI16" s="1">
        <f t="shared" si="0"/>
        <v>2.9256652508485572E-3</v>
      </c>
      <c r="AK16" s="1">
        <f t="shared" si="1"/>
        <v>-3.6517129950720824E-2</v>
      </c>
      <c r="AL16" s="10"/>
      <c r="AN16" s="1">
        <f t="shared" ref="AN16:AN79" si="16">AI16+0.25*W16</f>
        <v>-3.1207096009051277E-2</v>
      </c>
      <c r="AQ16" s="1">
        <f t="shared" ref="AQ16:AQ79" si="17">AK16+0.25*Y16</f>
        <v>0.38951605280768881</v>
      </c>
    </row>
    <row r="17" spans="1:43" x14ac:dyDescent="0.25">
      <c r="A17" s="10"/>
      <c r="B17" s="1">
        <v>2</v>
      </c>
      <c r="C17" s="1">
        <v>2</v>
      </c>
      <c r="D17" s="10"/>
      <c r="E17" s="2">
        <f t="shared" ref="E17:E48" si="18">$B$6*B16</f>
        <v>1.4285714285714285E-2</v>
      </c>
      <c r="F17" s="2">
        <f t="shared" si="2"/>
        <v>5.5102040816326523E-3</v>
      </c>
      <c r="G17" s="2">
        <f t="shared" si="3"/>
        <v>5.5102040816326523E-3</v>
      </c>
      <c r="H17" s="2">
        <f t="shared" si="4"/>
        <v>2.1428571428571429E-2</v>
      </c>
      <c r="I17" s="2">
        <f t="shared" si="5"/>
        <v>2.1428571428571429E-2</v>
      </c>
      <c r="J17" s="2">
        <f t="shared" si="6"/>
        <v>8.0612244897959179E-3</v>
      </c>
      <c r="K17" s="2">
        <f t="shared" si="7"/>
        <v>8.0612244897959179E-3</v>
      </c>
      <c r="L17" s="2">
        <f t="shared" si="8"/>
        <v>0.3571428571428571</v>
      </c>
      <c r="M17" s="14">
        <f t="shared" si="9"/>
        <v>0.3571428571428571</v>
      </c>
      <c r="O17">
        <v>2</v>
      </c>
      <c r="P17" s="4">
        <f t="shared" ref="P17:P80" si="19">-2*PI()*($B$3-L17)</f>
        <v>2.2439947525641375</v>
      </c>
      <c r="Q17" s="4">
        <f t="shared" ref="Q17:Q80" si="20">-2*PI()*($B$3-M17)</f>
        <v>2.2439947525641375</v>
      </c>
      <c r="S17" s="1">
        <v>1.7707300528734204E-2</v>
      </c>
      <c r="T17">
        <v>3</v>
      </c>
      <c r="U17" s="1">
        <v>0.85801781041545133</v>
      </c>
      <c r="W17" s="1">
        <f t="shared" si="10"/>
        <v>0.17438775258605813</v>
      </c>
      <c r="Y17" s="1">
        <f t="shared" si="11"/>
        <v>1.7090714252340002</v>
      </c>
      <c r="AA17" s="1">
        <f t="shared" si="12"/>
        <v>8.7193876293029063E-2</v>
      </c>
      <c r="AC17" s="1">
        <f t="shared" si="13"/>
        <v>0.85453571261700012</v>
      </c>
      <c r="AE17" s="1">
        <f t="shared" si="14"/>
        <v>-8.7193876293029063E-2</v>
      </c>
      <c r="AG17" s="1">
        <f t="shared" si="15"/>
        <v>-0.85453571261700012</v>
      </c>
      <c r="AI17" s="1">
        <f t="shared" si="0"/>
        <v>-6.2281340209306467E-3</v>
      </c>
      <c r="AK17" s="1">
        <f t="shared" si="1"/>
        <v>-6.1038265186928578E-2</v>
      </c>
      <c r="AL17" s="10"/>
      <c r="AN17" s="1">
        <f t="shared" si="16"/>
        <v>3.7368804125583882E-2</v>
      </c>
      <c r="AQ17" s="1">
        <f t="shared" si="17"/>
        <v>0.3662295911215715</v>
      </c>
    </row>
    <row r="18" spans="1:43" x14ac:dyDescent="0.25">
      <c r="A18" s="10"/>
      <c r="B18" s="1">
        <v>3</v>
      </c>
      <c r="C18" s="1">
        <v>3</v>
      </c>
      <c r="D18" s="10"/>
      <c r="E18" s="2">
        <f t="shared" si="18"/>
        <v>2.8571428571428571E-2</v>
      </c>
      <c r="F18" s="2">
        <f t="shared" si="2"/>
        <v>1.0612244897959183E-2</v>
      </c>
      <c r="G18" s="2">
        <f t="shared" si="3"/>
        <v>1.0612244897959183E-2</v>
      </c>
      <c r="H18" s="2">
        <f t="shared" si="4"/>
        <v>3.5714285714285712E-2</v>
      </c>
      <c r="I18" s="2">
        <f t="shared" si="5"/>
        <v>3.5714285714285712E-2</v>
      </c>
      <c r="J18" s="2">
        <f t="shared" si="6"/>
        <v>1.2959183673469387E-2</v>
      </c>
      <c r="K18" s="2">
        <f t="shared" si="7"/>
        <v>1.2959183673469387E-2</v>
      </c>
      <c r="L18" s="2">
        <f t="shared" si="8"/>
        <v>0.32857142857142857</v>
      </c>
      <c r="M18" s="14">
        <f t="shared" si="9"/>
        <v>0.32857142857142857</v>
      </c>
      <c r="O18">
        <v>3</v>
      </c>
      <c r="P18" s="4">
        <f t="shared" si="19"/>
        <v>2.0644751723590069</v>
      </c>
      <c r="Q18" s="4">
        <f t="shared" si="20"/>
        <v>2.0644751723590069</v>
      </c>
      <c r="S18" s="1">
        <v>0.15668045205732392</v>
      </c>
      <c r="T18">
        <v>4</v>
      </c>
      <c r="U18" s="1">
        <v>0.8510536148185488</v>
      </c>
      <c r="W18" s="1">
        <f t="shared" si="10"/>
        <v>0.40781238998386193</v>
      </c>
      <c r="Y18" s="1">
        <f t="shared" si="11"/>
        <v>1.7122409881324272</v>
      </c>
      <c r="AA18" s="1">
        <f t="shared" si="12"/>
        <v>0.20390619499193097</v>
      </c>
      <c r="AC18" s="1">
        <f t="shared" si="13"/>
        <v>0.8561204940662136</v>
      </c>
      <c r="AE18" s="1">
        <f t="shared" si="14"/>
        <v>-0.20390619499193097</v>
      </c>
      <c r="AG18" s="1">
        <f t="shared" si="15"/>
        <v>-0.8561204940662136</v>
      </c>
      <c r="AI18" s="1">
        <f t="shared" si="0"/>
        <v>-2.0390619499193099E-2</v>
      </c>
      <c r="AK18" s="1">
        <f t="shared" si="1"/>
        <v>-8.5612049406621371E-2</v>
      </c>
      <c r="AN18" s="1">
        <f t="shared" si="16"/>
        <v>8.1562477996772381E-2</v>
      </c>
      <c r="AQ18" s="1">
        <f t="shared" si="17"/>
        <v>0.34244819762648543</v>
      </c>
    </row>
    <row r="19" spans="1:43" x14ac:dyDescent="0.25">
      <c r="A19" s="10"/>
      <c r="B19" s="1">
        <v>4</v>
      </c>
      <c r="C19" s="1">
        <v>4</v>
      </c>
      <c r="D19" s="10"/>
      <c r="E19" s="2">
        <f t="shared" si="18"/>
        <v>4.2857142857142858E-2</v>
      </c>
      <c r="F19" s="2">
        <f t="shared" si="2"/>
        <v>1.530612244897959E-2</v>
      </c>
      <c r="G19" s="2">
        <f t="shared" si="3"/>
        <v>1.530612244897959E-2</v>
      </c>
      <c r="H19" s="2">
        <f t="shared" si="4"/>
        <v>0.05</v>
      </c>
      <c r="I19" s="2">
        <f t="shared" si="5"/>
        <v>0.05</v>
      </c>
      <c r="J19" s="2">
        <f t="shared" si="6"/>
        <v>1.7448979591836732E-2</v>
      </c>
      <c r="K19" s="2">
        <f t="shared" si="7"/>
        <v>1.7448979591836732E-2</v>
      </c>
      <c r="L19" s="2">
        <f t="shared" si="8"/>
        <v>0.3</v>
      </c>
      <c r="M19" s="14">
        <f t="shared" si="9"/>
        <v>0.3</v>
      </c>
      <c r="O19">
        <v>4</v>
      </c>
      <c r="P19" s="4">
        <f t="shared" si="19"/>
        <v>1.8849555921538759</v>
      </c>
      <c r="Q19" s="4">
        <f t="shared" si="20"/>
        <v>1.8849555921538759</v>
      </c>
      <c r="S19" s="1">
        <v>0.25113193792653804</v>
      </c>
      <c r="T19">
        <v>5</v>
      </c>
      <c r="U19" s="1">
        <v>0.8611873733138784</v>
      </c>
      <c r="W19" s="1">
        <f t="shared" si="10"/>
        <v>0.57285738818724941</v>
      </c>
      <c r="Y19" s="1">
        <f t="shared" si="11"/>
        <v>1.73504355702422</v>
      </c>
      <c r="AA19" s="1">
        <f t="shared" si="12"/>
        <v>0.2864286940936247</v>
      </c>
      <c r="AC19" s="1">
        <f t="shared" si="13"/>
        <v>0.86752177851210999</v>
      </c>
      <c r="AE19" s="1">
        <f t="shared" si="14"/>
        <v>-0.2864286940936247</v>
      </c>
      <c r="AG19" s="1">
        <f t="shared" si="15"/>
        <v>-0.86752177851210999</v>
      </c>
      <c r="AI19" s="1">
        <f t="shared" si="0"/>
        <v>-3.6826546383466031E-2</v>
      </c>
      <c r="AK19" s="1">
        <f t="shared" si="1"/>
        <v>-0.11153851438012842</v>
      </c>
      <c r="AN19" s="1">
        <f t="shared" si="16"/>
        <v>0.10638780066334633</v>
      </c>
      <c r="AQ19" s="1">
        <f t="shared" si="17"/>
        <v>0.32222237487592659</v>
      </c>
    </row>
    <row r="20" spans="1:43" x14ac:dyDescent="0.25">
      <c r="A20" s="10"/>
      <c r="B20" s="1">
        <v>5</v>
      </c>
      <c r="C20" s="1">
        <v>5</v>
      </c>
      <c r="D20" s="10"/>
      <c r="E20" s="2">
        <f t="shared" si="18"/>
        <v>5.7142857142857141E-2</v>
      </c>
      <c r="F20" s="2">
        <f t="shared" si="2"/>
        <v>1.9591836734693873E-2</v>
      </c>
      <c r="G20" s="2">
        <f t="shared" si="3"/>
        <v>1.9591836734693873E-2</v>
      </c>
      <c r="H20" s="2">
        <f t="shared" si="4"/>
        <v>6.4285714285714279E-2</v>
      </c>
      <c r="I20" s="2">
        <f t="shared" si="5"/>
        <v>6.4285714285714279E-2</v>
      </c>
      <c r="J20" s="2">
        <f t="shared" si="6"/>
        <v>2.1530612244897954E-2</v>
      </c>
      <c r="K20" s="2">
        <f>(G21+G20)/2</f>
        <v>2.1530612244897954E-2</v>
      </c>
      <c r="L20" s="2">
        <f t="shared" si="8"/>
        <v>0.27142857142857146</v>
      </c>
      <c r="M20" s="14">
        <f t="shared" si="9"/>
        <v>0.27142857142857146</v>
      </c>
      <c r="O20">
        <v>5</v>
      </c>
      <c r="P20" s="4">
        <f t="shared" si="19"/>
        <v>1.7054360119487451</v>
      </c>
      <c r="Q20" s="4">
        <f t="shared" si="20"/>
        <v>1.7054360119487451</v>
      </c>
      <c r="S20" s="1">
        <v>0.32172545026071137</v>
      </c>
      <c r="T20">
        <v>6</v>
      </c>
      <c r="U20" s="1">
        <v>0.87385618371034157</v>
      </c>
      <c r="W20" s="1">
        <f t="shared" si="10"/>
        <v>0.69755383788798231</v>
      </c>
      <c r="Y20" s="1">
        <f t="shared" si="11"/>
        <v>1.7593977067654687</v>
      </c>
      <c r="AA20" s="1">
        <f t="shared" si="12"/>
        <v>0.34877691894399115</v>
      </c>
      <c r="AC20" s="1">
        <f t="shared" si="13"/>
        <v>0.87969885338273435</v>
      </c>
      <c r="AE20" s="1">
        <f t="shared" si="14"/>
        <v>-0.34877691894399115</v>
      </c>
      <c r="AG20" s="1">
        <f t="shared" si="15"/>
        <v>-0.87969885338273435</v>
      </c>
      <c r="AI20" s="1">
        <f t="shared" si="0"/>
        <v>-5.4807801548341466E-2</v>
      </c>
      <c r="AK20" s="1">
        <f t="shared" si="1"/>
        <v>-0.13823839124585824</v>
      </c>
      <c r="AN20" s="1">
        <f t="shared" si="16"/>
        <v>0.1195806579236541</v>
      </c>
      <c r="AQ20" s="1">
        <f t="shared" si="17"/>
        <v>0.30161103544550893</v>
      </c>
    </row>
    <row r="21" spans="1:43" x14ac:dyDescent="0.25">
      <c r="A21" s="10"/>
      <c r="B21" s="1">
        <v>6</v>
      </c>
      <c r="C21" s="1">
        <v>6</v>
      </c>
      <c r="D21" s="10"/>
      <c r="E21" s="2">
        <f>$B$6*B20</f>
        <v>7.1428571428571425E-2</v>
      </c>
      <c r="F21" s="2">
        <f t="shared" si="2"/>
        <v>2.3469387755102034E-2</v>
      </c>
      <c r="G21" s="2">
        <f>($B$11/$B$8^2)*(2*E21*$B$8-E21^2)</f>
        <v>2.3469387755102034E-2</v>
      </c>
      <c r="H21" s="2">
        <f t="shared" si="4"/>
        <v>7.857142857142857E-2</v>
      </c>
      <c r="I21" s="2">
        <f t="shared" si="5"/>
        <v>7.857142857142857E-2</v>
      </c>
      <c r="J21" s="2">
        <f t="shared" si="6"/>
        <v>2.5204081632653055E-2</v>
      </c>
      <c r="K21" s="2">
        <f t="shared" si="7"/>
        <v>2.5204081632653055E-2</v>
      </c>
      <c r="L21" s="2">
        <f>((2*$B$11)/$B$8)-(2*$B$11*H21)/$B$8^2</f>
        <v>0.24285714285714285</v>
      </c>
      <c r="M21" s="14">
        <f t="shared" si="9"/>
        <v>0.24285714285714285</v>
      </c>
      <c r="O21">
        <v>6</v>
      </c>
      <c r="P21" s="4">
        <f t="shared" si="19"/>
        <v>1.5259164317436138</v>
      </c>
      <c r="Q21" s="4">
        <f t="shared" si="20"/>
        <v>1.5259164317436138</v>
      </c>
      <c r="S21" s="1">
        <v>0.37582838762727094</v>
      </c>
      <c r="T21">
        <v>7</v>
      </c>
      <c r="U21" s="1">
        <v>0.88554152305512701</v>
      </c>
      <c r="W21" s="1">
        <f t="shared" si="10"/>
        <v>0.79322237777551285</v>
      </c>
      <c r="Y21" s="1">
        <f t="shared" si="11"/>
        <v>1.7800750892893547</v>
      </c>
      <c r="AA21" s="1">
        <f t="shared" si="12"/>
        <v>0.39661118888775643</v>
      </c>
      <c r="AC21" s="1">
        <f t="shared" si="13"/>
        <v>0.89003754464467733</v>
      </c>
      <c r="AE21" s="1">
        <f t="shared" si="14"/>
        <v>-0.39661118888775643</v>
      </c>
      <c r="AG21" s="1">
        <f t="shared" si="15"/>
        <v>-0.89003754464467733</v>
      </c>
      <c r="AI21" s="1">
        <f t="shared" si="0"/>
        <v>-7.365636365058334E-2</v>
      </c>
      <c r="AK21" s="1">
        <f t="shared" si="1"/>
        <v>-0.16529268686258294</v>
      </c>
      <c r="AN21" s="1">
        <f t="shared" si="16"/>
        <v>0.12464923079329487</v>
      </c>
      <c r="AQ21" s="1">
        <f t="shared" si="17"/>
        <v>0.27972608545975575</v>
      </c>
    </row>
    <row r="22" spans="1:43" x14ac:dyDescent="0.25">
      <c r="A22" s="10"/>
      <c r="B22" s="1">
        <v>7</v>
      </c>
      <c r="C22" s="1">
        <v>7</v>
      </c>
      <c r="D22" s="10"/>
      <c r="E22" s="2">
        <f t="shared" si="18"/>
        <v>8.5714285714285715E-2</v>
      </c>
      <c r="F22" s="2">
        <f t="shared" si="2"/>
        <v>2.6938775510204075E-2</v>
      </c>
      <c r="G22" s="2">
        <f t="shared" si="3"/>
        <v>2.6938775510204075E-2</v>
      </c>
      <c r="H22" s="2">
        <f t="shared" si="4"/>
        <v>9.285714285714286E-2</v>
      </c>
      <c r="I22" s="2">
        <f>(E23+E22)/2</f>
        <v>9.285714285714286E-2</v>
      </c>
      <c r="J22" s="2">
        <f t="shared" si="6"/>
        <v>2.8469387755102035E-2</v>
      </c>
      <c r="K22" s="2">
        <f t="shared" si="7"/>
        <v>2.8469387755102035E-2</v>
      </c>
      <c r="L22" s="2">
        <f t="shared" si="8"/>
        <v>0.21428571428571427</v>
      </c>
      <c r="M22" s="14">
        <f t="shared" si="9"/>
        <v>0.21428571428571427</v>
      </c>
      <c r="O22">
        <v>7</v>
      </c>
      <c r="P22" s="4">
        <f t="shared" si="19"/>
        <v>1.3463968515384828</v>
      </c>
      <c r="Q22" s="4">
        <f t="shared" si="20"/>
        <v>1.3463968515384828</v>
      </c>
      <c r="S22" s="1">
        <v>0.41739399014824191</v>
      </c>
      <c r="T22">
        <v>8</v>
      </c>
      <c r="U22" s="1">
        <v>0.89453356623422764</v>
      </c>
      <c r="W22" s="1">
        <f t="shared" si="10"/>
        <v>0.86602074251725869</v>
      </c>
      <c r="Y22" s="1">
        <f t="shared" si="11"/>
        <v>1.7944370484550443</v>
      </c>
      <c r="AA22" s="1">
        <f t="shared" si="12"/>
        <v>0.43301037125862935</v>
      </c>
      <c r="AC22" s="1">
        <f t="shared" si="13"/>
        <v>0.89721852422752213</v>
      </c>
      <c r="AE22" s="1">
        <f t="shared" si="14"/>
        <v>-0.43301037125862935</v>
      </c>
      <c r="AG22" s="1">
        <f t="shared" si="15"/>
        <v>-0.89721852422752213</v>
      </c>
      <c r="AI22" s="1">
        <f t="shared" si="0"/>
        <v>-9.2787936698277715E-2</v>
      </c>
      <c r="AK22" s="1">
        <f t="shared" si="1"/>
        <v>-0.19226111233446902</v>
      </c>
      <c r="AN22" s="1">
        <f t="shared" si="16"/>
        <v>0.12371724893103696</v>
      </c>
      <c r="AQ22" s="1">
        <f t="shared" si="17"/>
        <v>0.25634814977929204</v>
      </c>
    </row>
    <row r="23" spans="1:43" x14ac:dyDescent="0.25">
      <c r="A23" s="10"/>
      <c r="B23" s="1">
        <v>8</v>
      </c>
      <c r="C23" s="1">
        <v>8</v>
      </c>
      <c r="D23" s="10"/>
      <c r="E23" s="2">
        <f t="shared" si="18"/>
        <v>9.9999999999999992E-2</v>
      </c>
      <c r="F23" s="2">
        <f t="shared" si="2"/>
        <v>2.9999999999999995E-2</v>
      </c>
      <c r="G23" s="2">
        <f t="shared" si="3"/>
        <v>2.9999999999999995E-2</v>
      </c>
      <c r="H23" s="2">
        <f t="shared" si="4"/>
        <v>0.10714285714285714</v>
      </c>
      <c r="I23" s="2">
        <f t="shared" si="5"/>
        <v>0.10714285714285714</v>
      </c>
      <c r="J23" s="2">
        <f t="shared" si="6"/>
        <v>3.1326530612244892E-2</v>
      </c>
      <c r="K23" s="2">
        <f t="shared" si="7"/>
        <v>3.1326530612244892E-2</v>
      </c>
      <c r="L23" s="2">
        <f t="shared" si="8"/>
        <v>0.18571428571428572</v>
      </c>
      <c r="M23" s="14">
        <f t="shared" si="9"/>
        <v>0.18571428571428572</v>
      </c>
      <c r="O23">
        <v>8</v>
      </c>
      <c r="P23" s="4">
        <f t="shared" si="19"/>
        <v>1.1668772713333517</v>
      </c>
      <c r="Q23" s="4">
        <f t="shared" si="20"/>
        <v>1.1668772713333517</v>
      </c>
      <c r="S23" s="1">
        <v>0.44862675236901678</v>
      </c>
      <c r="T23">
        <v>9</v>
      </c>
      <c r="U23" s="1">
        <v>0.89990348222081673</v>
      </c>
      <c r="W23" s="1">
        <f t="shared" si="10"/>
        <v>0.91938006615988255</v>
      </c>
      <c r="Y23" s="1">
        <f t="shared" si="11"/>
        <v>1.8008859388576535</v>
      </c>
      <c r="AA23" s="1">
        <f t="shared" si="12"/>
        <v>0.45969003307994127</v>
      </c>
      <c r="AC23" s="1">
        <f t="shared" si="13"/>
        <v>0.90044296942882673</v>
      </c>
      <c r="AE23" s="1">
        <f t="shared" si="14"/>
        <v>-0.45969003307994127</v>
      </c>
      <c r="AG23" s="1">
        <f t="shared" si="15"/>
        <v>-0.90044296942882673</v>
      </c>
      <c r="AI23" s="1">
        <f t="shared" si="0"/>
        <v>-0.11163900803370001</v>
      </c>
      <c r="AK23" s="1">
        <f t="shared" si="1"/>
        <v>-0.21867900686128647</v>
      </c>
      <c r="AN23" s="1">
        <f t="shared" si="16"/>
        <v>0.11820600850627062</v>
      </c>
      <c r="AQ23" s="1">
        <f t="shared" si="17"/>
        <v>0.2315424778531269</v>
      </c>
    </row>
    <row r="24" spans="1:43" x14ac:dyDescent="0.25">
      <c r="A24" s="10"/>
      <c r="B24" s="1">
        <v>9</v>
      </c>
      <c r="C24" s="1">
        <v>9</v>
      </c>
      <c r="D24" s="10"/>
      <c r="E24" s="2">
        <f t="shared" si="18"/>
        <v>0.11428571428571428</v>
      </c>
      <c r="F24" s="2">
        <f t="shared" si="2"/>
        <v>3.2653061224489792E-2</v>
      </c>
      <c r="G24" s="2">
        <f t="shared" si="3"/>
        <v>3.2653061224489792E-2</v>
      </c>
      <c r="H24" s="2">
        <f t="shared" si="4"/>
        <v>0.12142857142857141</v>
      </c>
      <c r="I24" s="2">
        <f>(E25+E24)/2</f>
        <v>0.12142857142857141</v>
      </c>
      <c r="J24" s="2">
        <f t="shared" si="6"/>
        <v>3.3775510204081628E-2</v>
      </c>
      <c r="K24" s="2">
        <f t="shared" si="7"/>
        <v>3.3775510204081628E-2</v>
      </c>
      <c r="L24" s="2">
        <f t="shared" si="8"/>
        <v>0.15714285714285717</v>
      </c>
      <c r="M24" s="14">
        <f t="shared" si="9"/>
        <v>0.15714285714285717</v>
      </c>
      <c r="O24">
        <v>9</v>
      </c>
      <c r="P24" s="4">
        <f t="shared" si="19"/>
        <v>0.9873576911282208</v>
      </c>
      <c r="Q24" s="4">
        <f t="shared" si="20"/>
        <v>0.9873576911282208</v>
      </c>
      <c r="S24" s="1">
        <v>0.47075331379086571</v>
      </c>
      <c r="T24">
        <v>10</v>
      </c>
      <c r="U24" s="1">
        <v>0.90098245663683685</v>
      </c>
      <c r="W24" s="1">
        <f t="shared" si="10"/>
        <v>0.95508353443189886</v>
      </c>
      <c r="Y24" s="1">
        <f t="shared" si="11"/>
        <v>1.7980900660507619</v>
      </c>
      <c r="AA24" s="1">
        <f t="shared" si="12"/>
        <v>0.47754176721594943</v>
      </c>
      <c r="AC24" s="1">
        <f t="shared" si="13"/>
        <v>0.89904503302538097</v>
      </c>
      <c r="AE24" s="1">
        <f t="shared" si="14"/>
        <v>-0.47754176721594943</v>
      </c>
      <c r="AG24" s="1">
        <f t="shared" si="15"/>
        <v>-0.89904503302538097</v>
      </c>
      <c r="AI24" s="1">
        <f t="shared" si="0"/>
        <v>-0.12961847967290055</v>
      </c>
      <c r="AK24" s="1">
        <f t="shared" si="1"/>
        <v>-0.24402650896403197</v>
      </c>
      <c r="AN24" s="1">
        <f t="shared" si="16"/>
        <v>0.10915240393507417</v>
      </c>
      <c r="AQ24" s="1">
        <f t="shared" si="17"/>
        <v>0.20549600754865852</v>
      </c>
    </row>
    <row r="25" spans="1:43" x14ac:dyDescent="0.25">
      <c r="A25" s="10"/>
      <c r="B25" s="1">
        <v>10</v>
      </c>
      <c r="C25" s="1">
        <v>10</v>
      </c>
      <c r="D25" s="10"/>
      <c r="E25" s="2">
        <f t="shared" si="18"/>
        <v>0.12857142857142856</v>
      </c>
      <c r="F25" s="2">
        <f t="shared" si="2"/>
        <v>3.4897959183673465E-2</v>
      </c>
      <c r="G25" s="2">
        <f t="shared" si="3"/>
        <v>3.4897959183673465E-2</v>
      </c>
      <c r="H25" s="2">
        <f t="shared" si="4"/>
        <v>0.1357142857142857</v>
      </c>
      <c r="I25" s="2">
        <f t="shared" si="5"/>
        <v>0.1357142857142857</v>
      </c>
      <c r="J25" s="2">
        <f t="shared" si="6"/>
        <v>3.5816326530612237E-2</v>
      </c>
      <c r="K25" s="2">
        <f>(G26+G25)/2</f>
        <v>3.5816326530612237E-2</v>
      </c>
      <c r="L25" s="2">
        <f t="shared" si="8"/>
        <v>0.12857142857142861</v>
      </c>
      <c r="M25" s="14">
        <f t="shared" si="9"/>
        <v>0.12857142857142861</v>
      </c>
      <c r="O25">
        <v>10</v>
      </c>
      <c r="P25" s="4">
        <f t="shared" si="19"/>
        <v>0.80783811092308988</v>
      </c>
      <c r="Q25" s="4">
        <f t="shared" si="20"/>
        <v>0.80783811092308988</v>
      </c>
      <c r="S25" s="1">
        <v>0.48433022064103315</v>
      </c>
      <c r="T25">
        <v>11</v>
      </c>
      <c r="U25" s="1">
        <v>0.89710760941392498</v>
      </c>
      <c r="W25" s="1">
        <f t="shared" si="10"/>
        <v>0.9736440281507176</v>
      </c>
      <c r="Y25" s="1">
        <f t="shared" si="11"/>
        <v>1.7845195311881501</v>
      </c>
      <c r="AA25" s="1">
        <f t="shared" si="12"/>
        <v>0.4868220140753588</v>
      </c>
      <c r="AC25" s="1">
        <f t="shared" si="13"/>
        <v>0.89225976559407505</v>
      </c>
      <c r="AE25" s="1">
        <f t="shared" si="14"/>
        <v>-0.4868220140753588</v>
      </c>
      <c r="AG25" s="1">
        <f t="shared" si="15"/>
        <v>-0.89225976559407505</v>
      </c>
      <c r="AI25" s="1">
        <f t="shared" si="0"/>
        <v>-0.14604660422260762</v>
      </c>
      <c r="AK25" s="1">
        <f t="shared" si="1"/>
        <v>-0.26767792967822251</v>
      </c>
      <c r="AN25" s="1">
        <f t="shared" si="16"/>
        <v>9.7364402815071777E-2</v>
      </c>
      <c r="AQ25" s="1">
        <f t="shared" si="17"/>
        <v>0.17845195311881501</v>
      </c>
    </row>
    <row r="26" spans="1:43" x14ac:dyDescent="0.25">
      <c r="A26" s="10"/>
      <c r="B26" s="1">
        <v>11</v>
      </c>
      <c r="C26" s="1">
        <v>11</v>
      </c>
      <c r="D26" s="10"/>
      <c r="E26" s="2">
        <f t="shared" si="18"/>
        <v>0.14285714285714285</v>
      </c>
      <c r="F26" s="2">
        <f t="shared" si="2"/>
        <v>3.673469387755101E-2</v>
      </c>
      <c r="G26" s="2">
        <f t="shared" si="3"/>
        <v>3.673469387755101E-2</v>
      </c>
      <c r="H26" s="2">
        <f t="shared" si="4"/>
        <v>0.15</v>
      </c>
      <c r="I26" s="2">
        <f t="shared" si="5"/>
        <v>0.15</v>
      </c>
      <c r="J26" s="2">
        <f t="shared" si="6"/>
        <v>3.7448979591836726E-2</v>
      </c>
      <c r="K26" s="2">
        <f t="shared" si="7"/>
        <v>3.7448979591836726E-2</v>
      </c>
      <c r="L26" s="2">
        <f t="shared" si="8"/>
        <v>0.10000000000000003</v>
      </c>
      <c r="M26" s="14">
        <f t="shared" si="9"/>
        <v>0.10000000000000003</v>
      </c>
      <c r="O26">
        <v>11</v>
      </c>
      <c r="P26" s="4">
        <f t="shared" si="19"/>
        <v>0.62831853071795885</v>
      </c>
      <c r="Q26" s="4">
        <f t="shared" si="20"/>
        <v>0.62831853071795885</v>
      </c>
      <c r="S26" s="1">
        <v>0.48931380750968445</v>
      </c>
      <c r="T26">
        <v>12</v>
      </c>
      <c r="U26" s="1">
        <v>0.88741192177422512</v>
      </c>
      <c r="W26" s="1">
        <f t="shared" si="10"/>
        <v>0.97415265513898153</v>
      </c>
      <c r="Y26" s="1">
        <f t="shared" si="11"/>
        <v>1.7578644170003765</v>
      </c>
      <c r="AA26" s="1">
        <f t="shared" si="12"/>
        <v>0.48707632756949076</v>
      </c>
      <c r="AC26" s="1">
        <f t="shared" si="13"/>
        <v>0.87893220850018827</v>
      </c>
      <c r="AE26" s="1">
        <f t="shared" si="14"/>
        <v>-0.48707632756949076</v>
      </c>
      <c r="AG26" s="1">
        <f t="shared" si="15"/>
        <v>-0.87893220850018827</v>
      </c>
      <c r="AI26" s="1">
        <f t="shared" si="0"/>
        <v>-0.16003936477283268</v>
      </c>
      <c r="AK26" s="1">
        <f t="shared" si="1"/>
        <v>-0.28879201136434757</v>
      </c>
      <c r="AN26" s="1">
        <f t="shared" si="16"/>
        <v>8.3498799011912705E-2</v>
      </c>
      <c r="AQ26" s="1">
        <f t="shared" si="17"/>
        <v>0.15067409288574657</v>
      </c>
    </row>
    <row r="27" spans="1:43" x14ac:dyDescent="0.25">
      <c r="A27" s="10"/>
      <c r="B27" s="1">
        <v>12</v>
      </c>
      <c r="C27" s="1">
        <v>12</v>
      </c>
      <c r="D27" s="10"/>
      <c r="E27" s="2">
        <f t="shared" si="18"/>
        <v>0.15714285714285714</v>
      </c>
      <c r="F27" s="2">
        <f t="shared" si="2"/>
        <v>3.8163265306122449E-2</v>
      </c>
      <c r="G27" s="2">
        <f t="shared" si="3"/>
        <v>3.8163265306122449E-2</v>
      </c>
      <c r="H27" s="2">
        <f t="shared" si="4"/>
        <v>0.16428571428571428</v>
      </c>
      <c r="I27" s="2">
        <f t="shared" si="5"/>
        <v>0.16428571428571428</v>
      </c>
      <c r="J27" s="2">
        <f t="shared" si="6"/>
        <v>3.8673469387755094E-2</v>
      </c>
      <c r="K27" s="2">
        <f t="shared" si="7"/>
        <v>3.8673469387755094E-2</v>
      </c>
      <c r="L27" s="2">
        <f t="shared" si="8"/>
        <v>7.1428571428571452E-2</v>
      </c>
      <c r="M27" s="14">
        <f t="shared" si="9"/>
        <v>7.1428571428571452E-2</v>
      </c>
      <c r="O27">
        <v>12</v>
      </c>
      <c r="P27" s="4">
        <f t="shared" si="19"/>
        <v>0.44879895051282775</v>
      </c>
      <c r="Q27" s="4">
        <f t="shared" si="20"/>
        <v>0.44879895051282775</v>
      </c>
      <c r="S27" s="1">
        <v>0.48483884762929708</v>
      </c>
      <c r="T27">
        <v>13</v>
      </c>
      <c r="U27" s="1">
        <v>0.87045249522615142</v>
      </c>
      <c r="W27" s="1">
        <f t="shared" si="10"/>
        <v>0.95380466123320407</v>
      </c>
      <c r="Y27" s="1">
        <f t="shared" si="11"/>
        <v>1.7143242044770162</v>
      </c>
      <c r="AA27" s="1">
        <f t="shared" si="12"/>
        <v>0.47690233061660203</v>
      </c>
      <c r="AC27" s="1">
        <f t="shared" si="13"/>
        <v>0.85716210223850808</v>
      </c>
      <c r="AE27" s="1">
        <f t="shared" si="14"/>
        <v>-0.47690233061660203</v>
      </c>
      <c r="AG27" s="1">
        <f t="shared" si="15"/>
        <v>-0.85716210223850808</v>
      </c>
      <c r="AI27" s="1">
        <f t="shared" si="0"/>
        <v>-0.17032226093450073</v>
      </c>
      <c r="AK27" s="1">
        <f t="shared" si="1"/>
        <v>-0.30612932222803863</v>
      </c>
      <c r="AN27" s="1">
        <f t="shared" si="16"/>
        <v>6.8128904373800286E-2</v>
      </c>
      <c r="AQ27" s="1">
        <f t="shared" si="17"/>
        <v>0.12245172889121542</v>
      </c>
    </row>
    <row r="28" spans="1:43" x14ac:dyDescent="0.25">
      <c r="A28" s="10"/>
      <c r="B28" s="1">
        <v>13</v>
      </c>
      <c r="C28" s="1">
        <v>13</v>
      </c>
      <c r="D28" s="10"/>
      <c r="E28" s="2">
        <f t="shared" si="18"/>
        <v>0.17142857142857143</v>
      </c>
      <c r="F28" s="2">
        <f t="shared" si="2"/>
        <v>3.9183673469387746E-2</v>
      </c>
      <c r="G28" s="2">
        <f t="shared" si="3"/>
        <v>3.9183673469387746E-2</v>
      </c>
      <c r="H28" s="2">
        <f t="shared" si="4"/>
        <v>0.17857142857142858</v>
      </c>
      <c r="I28" s="2">
        <f t="shared" si="5"/>
        <v>0.17857142857142858</v>
      </c>
      <c r="J28" s="2">
        <f t="shared" si="6"/>
        <v>3.9489795918367335E-2</v>
      </c>
      <c r="K28" s="2">
        <f t="shared" si="7"/>
        <v>3.9489795918367335E-2</v>
      </c>
      <c r="L28" s="2">
        <f t="shared" si="8"/>
        <v>4.2857142857142871E-2</v>
      </c>
      <c r="M28" s="14">
        <f t="shared" si="9"/>
        <v>4.2857142857142871E-2</v>
      </c>
      <c r="O28">
        <v>13</v>
      </c>
      <c r="P28" s="4">
        <f t="shared" si="19"/>
        <v>0.26927937030769666</v>
      </c>
      <c r="Q28" s="4">
        <f t="shared" si="20"/>
        <v>0.26927937030769666</v>
      </c>
      <c r="S28" s="1">
        <v>0.46896581360390699</v>
      </c>
      <c r="T28">
        <v>14</v>
      </c>
      <c r="U28" s="1">
        <v>0.84387170925086474</v>
      </c>
      <c r="W28" s="1">
        <f t="shared" si="10"/>
        <v>0.89353402906074875</v>
      </c>
      <c r="Y28" s="1">
        <f t="shared" si="11"/>
        <v>1.6341043778770081</v>
      </c>
      <c r="AA28" s="1">
        <f t="shared" si="12"/>
        <v>0.44676701453037437</v>
      </c>
      <c r="AC28" s="1">
        <f t="shared" si="13"/>
        <v>0.81705218893850406</v>
      </c>
      <c r="AE28" s="1">
        <f t="shared" si="14"/>
        <v>-0.44676701453037437</v>
      </c>
      <c r="AG28" s="1">
        <f t="shared" si="15"/>
        <v>-0.81705218893850406</v>
      </c>
      <c r="AI28" s="1">
        <f t="shared" si="0"/>
        <v>-0.17232441989028724</v>
      </c>
      <c r="AK28" s="1">
        <f t="shared" si="1"/>
        <v>-0.31514870144770868</v>
      </c>
      <c r="AN28" s="1">
        <f t="shared" si="16"/>
        <v>5.1059087374899947E-2</v>
      </c>
      <c r="AQ28" s="1">
        <f t="shared" si="17"/>
        <v>9.3377393021543353E-2</v>
      </c>
    </row>
    <row r="29" spans="1:43" x14ac:dyDescent="0.25">
      <c r="A29" s="10"/>
      <c r="B29" s="1">
        <v>14</v>
      </c>
      <c r="C29" s="1">
        <v>14</v>
      </c>
      <c r="D29" s="10"/>
      <c r="E29" s="2">
        <f t="shared" si="18"/>
        <v>0.18571428571428572</v>
      </c>
      <c r="F29" s="2">
        <f t="shared" si="2"/>
        <v>3.979591836734693E-2</v>
      </c>
      <c r="G29" s="2">
        <f t="shared" si="3"/>
        <v>3.979591836734693E-2</v>
      </c>
      <c r="H29" s="2">
        <f t="shared" si="4"/>
        <v>0.19285714285714284</v>
      </c>
      <c r="I29" s="2">
        <f t="shared" si="5"/>
        <v>0.19285714285714284</v>
      </c>
      <c r="J29" s="2">
        <f t="shared" si="6"/>
        <v>3.9897959183673462E-2</v>
      </c>
      <c r="K29" s="2">
        <f t="shared" si="7"/>
        <v>3.9897959183673462E-2</v>
      </c>
      <c r="L29" s="2">
        <f t="shared" si="8"/>
        <v>1.4285714285714346E-2</v>
      </c>
      <c r="M29" s="14">
        <f t="shared" si="9"/>
        <v>1.4285714285714346E-2</v>
      </c>
      <c r="O29">
        <v>14</v>
      </c>
      <c r="P29" s="4">
        <f t="shared" si="19"/>
        <v>8.9759790102565892E-2</v>
      </c>
      <c r="Q29" s="4">
        <f t="shared" si="20"/>
        <v>8.9759790102565892E-2</v>
      </c>
      <c r="S29" s="1">
        <v>0.42456821545684176</v>
      </c>
      <c r="T29">
        <v>15</v>
      </c>
      <c r="U29" s="1">
        <v>0.7902326686261435</v>
      </c>
      <c r="W29" s="1">
        <f t="shared" si="10"/>
        <v>0.80218941101770547</v>
      </c>
      <c r="Y29" s="1">
        <f t="shared" si="11"/>
        <v>1.525507836688877</v>
      </c>
      <c r="AA29" s="1">
        <f t="shared" si="12"/>
        <v>0.40109470550885273</v>
      </c>
      <c r="AC29" s="1">
        <f t="shared" si="13"/>
        <v>0.76275391834443851</v>
      </c>
      <c r="AE29" s="1">
        <f t="shared" si="14"/>
        <v>-0.40109470550885273</v>
      </c>
      <c r="AG29" s="1">
        <f t="shared" si="15"/>
        <v>-0.76275391834443851</v>
      </c>
      <c r="AI29" s="1">
        <f t="shared" si="0"/>
        <v>-0.16616780656795327</v>
      </c>
      <c r="AK29" s="1">
        <f t="shared" si="1"/>
        <v>-0.31599805188555308</v>
      </c>
      <c r="AN29" s="1">
        <f t="shared" si="16"/>
        <v>3.4379546186473098E-2</v>
      </c>
      <c r="AQ29" s="1">
        <f t="shared" si="17"/>
        <v>6.5378907286666177E-2</v>
      </c>
    </row>
    <row r="30" spans="1:43" x14ac:dyDescent="0.25">
      <c r="A30" s="10"/>
      <c r="B30" s="1">
        <v>15</v>
      </c>
      <c r="C30" s="1">
        <v>15</v>
      </c>
      <c r="D30" s="10"/>
      <c r="E30" s="2">
        <f t="shared" si="18"/>
        <v>0.19999999999999998</v>
      </c>
      <c r="F30" s="2">
        <f t="shared" ref="F30:F61" si="21">($B$11/(1-$B$8)^2)*(1-2*$B$8+2*$B$8*E30-E30^2)</f>
        <v>3.9999999999999987E-2</v>
      </c>
      <c r="G30" s="2">
        <f t="shared" ref="G30:G64" si="22">($B$11/(1-$B$8)^2)*(1-2*$B$8+2*$B$8*E30-E30^2)</f>
        <v>3.9999999999999987E-2</v>
      </c>
      <c r="H30" s="2">
        <f t="shared" si="4"/>
        <v>0.20714285714285713</v>
      </c>
      <c r="I30" s="2">
        <f t="shared" si="5"/>
        <v>0.20714285714285713</v>
      </c>
      <c r="J30" s="2">
        <f t="shared" si="6"/>
        <v>3.9993622448979582E-2</v>
      </c>
      <c r="K30" s="2">
        <f t="shared" si="7"/>
        <v>3.9993622448979582E-2</v>
      </c>
      <c r="L30" s="2">
        <f t="shared" ref="L30:L61" si="23">(2*$B$8*$B$11-2*$B$11*H30)/(1-$B$8)^2</f>
        <v>-8.9285714285714034E-4</v>
      </c>
      <c r="M30" s="2">
        <f t="shared" ref="M30:M64" si="24">(2*$B$8*$B$11-2*$B$11*H30)/(1-$B$8)^2</f>
        <v>-8.9285714285714034E-4</v>
      </c>
      <c r="O30">
        <v>15</v>
      </c>
      <c r="P30" s="4">
        <f t="shared" si="19"/>
        <v>-5.6099868814103292E-3</v>
      </c>
      <c r="Q30" s="4">
        <f t="shared" si="20"/>
        <v>-5.6099868814103292E-3</v>
      </c>
      <c r="S30" s="1">
        <v>0.37762119556086371</v>
      </c>
      <c r="T30">
        <v>16</v>
      </c>
      <c r="U30" s="1">
        <v>0.73527516806273352</v>
      </c>
      <c r="W30" s="1">
        <f t="shared" si="10"/>
        <v>0.73166706997828967</v>
      </c>
      <c r="Y30" s="1">
        <f t="shared" si="11"/>
        <v>1.440013942304204</v>
      </c>
      <c r="AA30" s="1">
        <f t="shared" si="12"/>
        <v>0.36583353498914484</v>
      </c>
      <c r="AC30" s="1">
        <f t="shared" si="13"/>
        <v>0.72000697115210199</v>
      </c>
      <c r="AE30" s="1">
        <f t="shared" si="14"/>
        <v>-0.36583353498914484</v>
      </c>
      <c r="AG30" s="1">
        <f t="shared" si="15"/>
        <v>-0.72000697115210199</v>
      </c>
      <c r="AI30" s="1">
        <f t="shared" si="0"/>
        <v>-0.16201199406662128</v>
      </c>
      <c r="AK30" s="1">
        <f t="shared" si="1"/>
        <v>-0.31886023008164516</v>
      </c>
      <c r="AN30" s="1">
        <f t="shared" si="16"/>
        <v>2.0904773427951134E-2</v>
      </c>
      <c r="AQ30" s="1">
        <f t="shared" si="17"/>
        <v>4.1143255494405839E-2</v>
      </c>
    </row>
    <row r="31" spans="1:43" x14ac:dyDescent="0.25">
      <c r="A31" s="10"/>
      <c r="B31" s="1">
        <v>16</v>
      </c>
      <c r="C31" s="1">
        <v>16</v>
      </c>
      <c r="D31" s="10"/>
      <c r="E31" s="2">
        <f t="shared" si="18"/>
        <v>0.21428571428571427</v>
      </c>
      <c r="F31" s="2">
        <f t="shared" si="21"/>
        <v>3.9987244897959177E-2</v>
      </c>
      <c r="G31" s="2">
        <f t="shared" si="22"/>
        <v>3.9987244897959177E-2</v>
      </c>
      <c r="H31" s="2">
        <f t="shared" si="4"/>
        <v>0.22142857142857142</v>
      </c>
      <c r="I31" s="2">
        <f t="shared" si="5"/>
        <v>0.22142857142857142</v>
      </c>
      <c r="J31" s="2">
        <f t="shared" si="6"/>
        <v>3.9968112244897949E-2</v>
      </c>
      <c r="K31" s="2">
        <f t="shared" si="7"/>
        <v>3.9968112244897949E-2</v>
      </c>
      <c r="L31" s="2">
        <f t="shared" si="23"/>
        <v>-2.6785714285714264E-3</v>
      </c>
      <c r="M31" s="2">
        <f t="shared" si="24"/>
        <v>-2.6785714285714264E-3</v>
      </c>
      <c r="O31">
        <v>16</v>
      </c>
      <c r="P31" s="4">
        <f t="shared" si="19"/>
        <v>-1.6829960644231021E-2</v>
      </c>
      <c r="Q31" s="4">
        <f t="shared" si="20"/>
        <v>-1.6829960644231021E-2</v>
      </c>
      <c r="S31" s="1">
        <v>0.35404587441742591</v>
      </c>
      <c r="T31">
        <v>17</v>
      </c>
      <c r="U31" s="1">
        <v>0.70473877424147047</v>
      </c>
      <c r="W31" s="1">
        <f t="shared" si="10"/>
        <v>0.69059412212020876</v>
      </c>
      <c r="Y31" s="1">
        <f t="shared" si="11"/>
        <v>1.3859262155608154</v>
      </c>
      <c r="AA31" s="1">
        <f t="shared" si="12"/>
        <v>0.34529706106010438</v>
      </c>
      <c r="AC31" s="1">
        <f t="shared" si="13"/>
        <v>0.69296310778040771</v>
      </c>
      <c r="AE31" s="1">
        <f t="shared" si="14"/>
        <v>-0.34529706106010438</v>
      </c>
      <c r="AG31" s="1">
        <f t="shared" si="15"/>
        <v>-0.69296310778040771</v>
      </c>
      <c r="AI31" s="1">
        <f t="shared" si="0"/>
        <v>-0.1627829002140492</v>
      </c>
      <c r="AK31" s="1">
        <f t="shared" si="1"/>
        <v>-0.32668260795362075</v>
      </c>
      <c r="AN31" s="1">
        <f t="shared" si="16"/>
        <v>9.8656303160029879E-3</v>
      </c>
      <c r="AQ31" s="1">
        <f t="shared" si="17"/>
        <v>1.9798945936583101E-2</v>
      </c>
    </row>
    <row r="32" spans="1:43" x14ac:dyDescent="0.25">
      <c r="A32" s="10"/>
      <c r="B32" s="1">
        <v>17</v>
      </c>
      <c r="C32" s="1">
        <v>17</v>
      </c>
      <c r="D32" s="10"/>
      <c r="E32" s="2">
        <f t="shared" si="18"/>
        <v>0.22857142857142856</v>
      </c>
      <c r="F32" s="2">
        <f t="shared" si="21"/>
        <v>3.9948979591836728E-2</v>
      </c>
      <c r="G32" s="2">
        <f t="shared" si="22"/>
        <v>3.9948979591836728E-2</v>
      </c>
      <c r="H32" s="2">
        <f t="shared" si="4"/>
        <v>0.23571428571428571</v>
      </c>
      <c r="I32" s="2">
        <f t="shared" si="5"/>
        <v>0.23571428571428571</v>
      </c>
      <c r="J32" s="2">
        <f t="shared" si="6"/>
        <v>3.9917091836734683E-2</v>
      </c>
      <c r="K32" s="2">
        <f t="shared" si="7"/>
        <v>3.9917091836734683E-2</v>
      </c>
      <c r="L32" s="2">
        <f t="shared" si="23"/>
        <v>-4.4642857142857132E-3</v>
      </c>
      <c r="M32" s="2">
        <f t="shared" si="24"/>
        <v>-4.4642857142857132E-3</v>
      </c>
      <c r="O32">
        <v>17</v>
      </c>
      <c r="P32" s="4">
        <f t="shared" si="19"/>
        <v>-2.8049934407051717E-2</v>
      </c>
      <c r="Q32" s="4">
        <f t="shared" si="20"/>
        <v>-2.8049934407051717E-2</v>
      </c>
      <c r="S32" s="1">
        <v>0.33654824770278291</v>
      </c>
      <c r="T32">
        <v>18</v>
      </c>
      <c r="U32" s="1">
        <v>0.68118744131934506</v>
      </c>
      <c r="W32" s="1">
        <f t="shared" si="10"/>
        <v>0.65943842582162282</v>
      </c>
      <c r="Y32" s="1">
        <f t="shared" si="11"/>
        <v>1.3434581025720578</v>
      </c>
      <c r="AA32" s="1">
        <f t="shared" si="12"/>
        <v>0.32971921291081141</v>
      </c>
      <c r="AC32" s="1">
        <f t="shared" si="13"/>
        <v>0.67172905128602889</v>
      </c>
      <c r="AE32" s="1">
        <f t="shared" si="14"/>
        <v>-0.32971921291081141</v>
      </c>
      <c r="AG32" s="1">
        <f t="shared" si="15"/>
        <v>-0.67172905128602889</v>
      </c>
      <c r="AI32" s="1">
        <f t="shared" si="0"/>
        <v>-0.16485960645540571</v>
      </c>
      <c r="AK32" s="1">
        <f t="shared" si="1"/>
        <v>-0.33586452564301444</v>
      </c>
      <c r="AN32" s="1">
        <f t="shared" si="16"/>
        <v>0</v>
      </c>
      <c r="AQ32" s="1">
        <f t="shared" si="17"/>
        <v>0</v>
      </c>
    </row>
    <row r="33" spans="1:43" x14ac:dyDescent="0.25">
      <c r="A33" s="10"/>
      <c r="B33" s="1">
        <v>18</v>
      </c>
      <c r="C33" s="1">
        <v>18</v>
      </c>
      <c r="D33" s="10"/>
      <c r="E33" s="2">
        <f t="shared" si="18"/>
        <v>0.24285714285714285</v>
      </c>
      <c r="F33" s="2">
        <f t="shared" si="21"/>
        <v>3.9885204081632639E-2</v>
      </c>
      <c r="G33" s="2">
        <f t="shared" si="22"/>
        <v>3.9885204081632639E-2</v>
      </c>
      <c r="H33" s="2">
        <f t="shared" si="4"/>
        <v>0.25</v>
      </c>
      <c r="I33" s="2">
        <f t="shared" si="5"/>
        <v>0.25</v>
      </c>
      <c r="J33" s="2">
        <f t="shared" si="6"/>
        <v>3.9840561224489784E-2</v>
      </c>
      <c r="K33" s="2">
        <f t="shared" si="7"/>
        <v>3.9840561224489784E-2</v>
      </c>
      <c r="L33" s="2">
        <f t="shared" si="23"/>
        <v>-6.2499999999999986E-3</v>
      </c>
      <c r="M33" s="2">
        <f t="shared" si="24"/>
        <v>-6.2499999999999986E-3</v>
      </c>
      <c r="O33">
        <v>18</v>
      </c>
      <c r="P33" s="4">
        <f t="shared" si="19"/>
        <v>-3.9269908169872407E-2</v>
      </c>
      <c r="Q33" s="4">
        <f t="shared" si="20"/>
        <v>-3.9269908169872407E-2</v>
      </c>
      <c r="S33" s="1">
        <v>0.32289017811883991</v>
      </c>
      <c r="T33">
        <v>19</v>
      </c>
      <c r="U33" s="1">
        <v>0.66227066125271272</v>
      </c>
      <c r="W33" s="1">
        <f t="shared" si="10"/>
        <v>0.63463285785965551</v>
      </c>
      <c r="Y33" s="1">
        <f t="shared" si="11"/>
        <v>1.3088404783860599</v>
      </c>
      <c r="AA33" s="1">
        <f t="shared" si="12"/>
        <v>0.31731642892982775</v>
      </c>
      <c r="AC33" s="1">
        <f t="shared" si="13"/>
        <v>0.65442023919302994</v>
      </c>
      <c r="AE33" s="1">
        <f t="shared" si="14"/>
        <v>-0.31731642892982775</v>
      </c>
      <c r="AG33" s="1">
        <f t="shared" si="15"/>
        <v>-0.65442023919302994</v>
      </c>
      <c r="AI33" s="1">
        <f t="shared" si="0"/>
        <v>-0.16772439814862322</v>
      </c>
      <c r="AK33" s="1">
        <f t="shared" si="1"/>
        <v>-0.34590784071631575</v>
      </c>
      <c r="AN33" s="1">
        <f t="shared" si="16"/>
        <v>-9.0661836837093446E-3</v>
      </c>
      <c r="AQ33" s="1">
        <f t="shared" si="17"/>
        <v>-1.8697721119800781E-2</v>
      </c>
    </row>
    <row r="34" spans="1:43" x14ac:dyDescent="0.25">
      <c r="A34" s="10"/>
      <c r="B34" s="1">
        <v>19</v>
      </c>
      <c r="C34" s="1">
        <v>19</v>
      </c>
      <c r="D34" s="10"/>
      <c r="E34" s="2">
        <f t="shared" si="18"/>
        <v>0.25714285714285712</v>
      </c>
      <c r="F34" s="2">
        <f t="shared" si="21"/>
        <v>3.979591836734693E-2</v>
      </c>
      <c r="G34" s="2">
        <f t="shared" si="22"/>
        <v>3.979591836734693E-2</v>
      </c>
      <c r="H34" s="2">
        <f t="shared" si="4"/>
        <v>0.26428571428571423</v>
      </c>
      <c r="I34" s="2">
        <f t="shared" si="5"/>
        <v>0.26428571428571423</v>
      </c>
      <c r="J34" s="2">
        <f t="shared" si="6"/>
        <v>3.9738520408163253E-2</v>
      </c>
      <c r="K34" s="2">
        <f t="shared" si="7"/>
        <v>3.9738520408163253E-2</v>
      </c>
      <c r="L34" s="2">
        <f t="shared" si="23"/>
        <v>-8.0357142857142797E-3</v>
      </c>
      <c r="M34" s="2">
        <f t="shared" si="24"/>
        <v>-8.0357142857142797E-3</v>
      </c>
      <c r="O34">
        <v>19</v>
      </c>
      <c r="P34" s="4">
        <f t="shared" si="19"/>
        <v>-5.0489881932693069E-2</v>
      </c>
      <c r="Q34" s="4">
        <f t="shared" si="20"/>
        <v>-5.0489881932693069E-2</v>
      </c>
      <c r="S34" s="1">
        <v>0.3117426797408156</v>
      </c>
      <c r="T34">
        <v>20</v>
      </c>
      <c r="U34" s="1">
        <v>0.64656981713334716</v>
      </c>
      <c r="W34" s="1">
        <f t="shared" si="10"/>
        <v>0.61411608546455765</v>
      </c>
      <c r="Y34" s="1">
        <f t="shared" si="11"/>
        <v>1.279850517516222</v>
      </c>
      <c r="AA34" s="1">
        <f t="shared" si="12"/>
        <v>0.30705804273227882</v>
      </c>
      <c r="AC34" s="1">
        <f t="shared" si="13"/>
        <v>0.63992525875811102</v>
      </c>
      <c r="AE34" s="1">
        <f t="shared" si="14"/>
        <v>-0.30705804273227882</v>
      </c>
      <c r="AG34" s="1">
        <f t="shared" si="15"/>
        <v>-0.63992525875811102</v>
      </c>
      <c r="AI34" s="1">
        <f t="shared" si="0"/>
        <v>-0.17107519523655534</v>
      </c>
      <c r="AK34" s="1">
        <f t="shared" si="1"/>
        <v>-0.35652978702237614</v>
      </c>
      <c r="AN34" s="1">
        <f t="shared" si="16"/>
        <v>-1.7546173870415932E-2</v>
      </c>
      <c r="AQ34" s="1">
        <f t="shared" si="17"/>
        <v>-3.6567157643320636E-2</v>
      </c>
    </row>
    <row r="35" spans="1:43" x14ac:dyDescent="0.25">
      <c r="A35" s="10"/>
      <c r="B35" s="1">
        <v>20</v>
      </c>
      <c r="C35" s="1">
        <v>20</v>
      </c>
      <c r="D35" s="10"/>
      <c r="E35" s="2">
        <f t="shared" si="18"/>
        <v>0.27142857142857141</v>
      </c>
      <c r="F35" s="2">
        <f t="shared" si="21"/>
        <v>3.9681122448979582E-2</v>
      </c>
      <c r="G35" s="2">
        <f t="shared" si="22"/>
        <v>3.9681122448979582E-2</v>
      </c>
      <c r="H35" s="2">
        <f t="shared" si="4"/>
        <v>0.27857142857142858</v>
      </c>
      <c r="I35" s="2">
        <f t="shared" si="5"/>
        <v>0.27857142857142858</v>
      </c>
      <c r="J35" s="2">
        <f t="shared" si="6"/>
        <v>3.9610969387755095E-2</v>
      </c>
      <c r="K35" s="2">
        <f t="shared" si="7"/>
        <v>3.9610969387755095E-2</v>
      </c>
      <c r="L35" s="2">
        <f t="shared" si="23"/>
        <v>-9.8214285714285712E-3</v>
      </c>
      <c r="M35" s="2">
        <f t="shared" si="24"/>
        <v>-9.8214285714285712E-3</v>
      </c>
      <c r="O35">
        <v>20</v>
      </c>
      <c r="P35" s="4">
        <f t="shared" si="19"/>
        <v>-6.1709855695513793E-2</v>
      </c>
      <c r="Q35" s="4">
        <f t="shared" si="20"/>
        <v>-6.1709855695513793E-2</v>
      </c>
      <c r="S35" s="1">
        <v>0.30237340572374205</v>
      </c>
      <c r="T35">
        <v>21</v>
      </c>
      <c r="U35" s="1">
        <v>0.63328070038287498</v>
      </c>
      <c r="W35" s="1">
        <f t="shared" si="10"/>
        <v>0.59669420153268438</v>
      </c>
      <c r="Y35" s="1">
        <f t="shared" si="11"/>
        <v>1.2551647421008052</v>
      </c>
      <c r="AA35" s="1">
        <f t="shared" si="12"/>
        <v>0.29834710076634219</v>
      </c>
      <c r="AC35" s="1">
        <f t="shared" si="13"/>
        <v>0.6275823710504026</v>
      </c>
      <c r="AE35" s="1">
        <f t="shared" si="14"/>
        <v>-0.29834710076634219</v>
      </c>
      <c r="AG35" s="1">
        <f t="shared" si="15"/>
        <v>-0.6275823710504026</v>
      </c>
      <c r="AI35" s="1">
        <f t="shared" si="0"/>
        <v>-0.17474615902028612</v>
      </c>
      <c r="AK35" s="1">
        <f t="shared" si="1"/>
        <v>-0.36758396018666434</v>
      </c>
      <c r="AN35" s="1">
        <f t="shared" si="16"/>
        <v>-2.5572608637115024E-2</v>
      </c>
      <c r="AQ35" s="1">
        <f t="shared" si="17"/>
        <v>-5.3792774661463039E-2</v>
      </c>
    </row>
    <row r="36" spans="1:43" x14ac:dyDescent="0.25">
      <c r="A36" s="10"/>
      <c r="B36" s="1">
        <v>21</v>
      </c>
      <c r="C36" s="1">
        <v>21</v>
      </c>
      <c r="D36" s="10"/>
      <c r="E36" s="2">
        <f t="shared" si="18"/>
        <v>0.2857142857142857</v>
      </c>
      <c r="F36" s="2">
        <f t="shared" si="21"/>
        <v>3.9540816326530608E-2</v>
      </c>
      <c r="G36" s="2">
        <f t="shared" si="22"/>
        <v>3.9540816326530608E-2</v>
      </c>
      <c r="H36" s="2">
        <f t="shared" si="4"/>
        <v>0.29285714285714282</v>
      </c>
      <c r="I36" s="2">
        <f t="shared" si="5"/>
        <v>0.29285714285714282</v>
      </c>
      <c r="J36" s="2">
        <f t="shared" si="6"/>
        <v>3.9457908163265304E-2</v>
      </c>
      <c r="K36" s="2">
        <f t="shared" si="7"/>
        <v>3.9457908163265304E-2</v>
      </c>
      <c r="L36" s="2">
        <f t="shared" si="23"/>
        <v>-1.1607142857142852E-2</v>
      </c>
      <c r="M36" s="2">
        <f>(2*$B$8*$B$11-2*$B$11*H36)/(1-$B$8)^2</f>
        <v>-1.1607142857142852E-2</v>
      </c>
      <c r="O36">
        <v>21</v>
      </c>
      <c r="P36" s="4">
        <f t="shared" si="19"/>
        <v>-7.2929829458334455E-2</v>
      </c>
      <c r="Q36" s="4">
        <f t="shared" si="20"/>
        <v>-7.2929829458334455E-2</v>
      </c>
      <c r="S36" s="1">
        <v>0.29432079580894233</v>
      </c>
      <c r="T36">
        <v>22</v>
      </c>
      <c r="U36" s="1">
        <v>0.62188404171793021</v>
      </c>
      <c r="W36" s="1">
        <f t="shared" si="10"/>
        <v>0.58159492686132408</v>
      </c>
      <c r="Y36" s="1">
        <f t="shared" si="11"/>
        <v>1.233906948626815</v>
      </c>
      <c r="AA36" s="1">
        <f t="shared" si="12"/>
        <v>0.29079746343066204</v>
      </c>
      <c r="AC36" s="1">
        <f t="shared" si="13"/>
        <v>0.61695347431340752</v>
      </c>
      <c r="AE36" s="1">
        <f t="shared" si="14"/>
        <v>-0.29079746343066204</v>
      </c>
      <c r="AG36" s="1">
        <f t="shared" si="15"/>
        <v>-0.61695347431340752</v>
      </c>
      <c r="AI36" s="1">
        <f t="shared" si="0"/>
        <v>-0.17863272753597811</v>
      </c>
      <c r="AK36" s="1">
        <f t="shared" si="1"/>
        <v>-0.37898570564966466</v>
      </c>
      <c r="AN36" s="1">
        <f t="shared" si="16"/>
        <v>-3.3233995820647094E-2</v>
      </c>
      <c r="AQ36" s="1">
        <f t="shared" si="17"/>
        <v>-7.05089684929609E-2</v>
      </c>
    </row>
    <row r="37" spans="1:43" x14ac:dyDescent="0.25">
      <c r="A37" s="10"/>
      <c r="B37" s="1">
        <v>22</v>
      </c>
      <c r="C37" s="1">
        <v>22</v>
      </c>
      <c r="D37" s="10"/>
      <c r="E37" s="2">
        <f t="shared" si="18"/>
        <v>0.3</v>
      </c>
      <c r="F37" s="2">
        <f t="shared" si="21"/>
        <v>3.9374999999999993E-2</v>
      </c>
      <c r="G37" s="2">
        <f t="shared" si="22"/>
        <v>3.9374999999999993E-2</v>
      </c>
      <c r="H37" s="2">
        <f t="shared" si="4"/>
        <v>0.30714285714285716</v>
      </c>
      <c r="I37" s="2">
        <f t="shared" si="5"/>
        <v>0.30714285714285716</v>
      </c>
      <c r="J37" s="2">
        <f t="shared" si="6"/>
        <v>3.9279336734693873E-2</v>
      </c>
      <c r="K37" s="2">
        <f t="shared" si="7"/>
        <v>3.9279336734693873E-2</v>
      </c>
      <c r="L37" s="2">
        <f t="shared" si="23"/>
        <v>-1.3392857142857144E-2</v>
      </c>
      <c r="M37" s="2">
        <f t="shared" si="24"/>
        <v>-1.3392857142857144E-2</v>
      </c>
      <c r="O37">
        <v>22</v>
      </c>
      <c r="P37" s="4">
        <f t="shared" si="19"/>
        <v>-8.4149803221155173E-2</v>
      </c>
      <c r="Q37" s="4">
        <f t="shared" si="20"/>
        <v>-8.4149803221155173E-2</v>
      </c>
      <c r="S37" s="1">
        <v>0.28727413105238175</v>
      </c>
      <c r="T37">
        <v>23</v>
      </c>
      <c r="U37" s="1">
        <v>0.61202290690888494</v>
      </c>
      <c r="W37" s="1">
        <f t="shared" si="10"/>
        <v>0.56828777949633114</v>
      </c>
      <c r="Y37" s="1">
        <f t="shared" si="11"/>
        <v>1.2154637528394014</v>
      </c>
      <c r="AA37" s="1">
        <f t="shared" si="12"/>
        <v>0.28414388974816557</v>
      </c>
      <c r="AC37" s="1">
        <f t="shared" si="13"/>
        <v>0.60773187641970072</v>
      </c>
      <c r="AE37" s="1">
        <f t="shared" si="14"/>
        <v>-0.28414388974816557</v>
      </c>
      <c r="AG37" s="1">
        <f t="shared" si="15"/>
        <v>-0.60773187641970072</v>
      </c>
      <c r="AI37" s="1">
        <f t="shared" si="0"/>
        <v>-0.18266392912382071</v>
      </c>
      <c r="AK37" s="1">
        <f t="shared" si="1"/>
        <v>-0.390684777698379</v>
      </c>
      <c r="AN37" s="1">
        <f t="shared" si="16"/>
        <v>-4.0591984249737922E-2</v>
      </c>
      <c r="AQ37" s="1">
        <f t="shared" si="17"/>
        <v>-8.6818839488528643E-2</v>
      </c>
    </row>
    <row r="38" spans="1:43" x14ac:dyDescent="0.25">
      <c r="A38" s="10"/>
      <c r="B38" s="1">
        <v>23</v>
      </c>
      <c r="C38" s="1">
        <v>23</v>
      </c>
      <c r="D38" s="10"/>
      <c r="E38" s="2">
        <f t="shared" si="18"/>
        <v>0.31428571428571428</v>
      </c>
      <c r="F38" s="2">
        <f t="shared" si="21"/>
        <v>3.9183673469387753E-2</v>
      </c>
      <c r="G38" s="2">
        <f t="shared" si="22"/>
        <v>3.9183673469387753E-2</v>
      </c>
      <c r="H38" s="2">
        <f t="shared" si="4"/>
        <v>0.3214285714285714</v>
      </c>
      <c r="I38" s="2">
        <f t="shared" si="5"/>
        <v>0.3214285714285714</v>
      </c>
      <c r="J38" s="2">
        <f t="shared" si="6"/>
        <v>3.907525510204081E-2</v>
      </c>
      <c r="K38" s="2">
        <f t="shared" si="7"/>
        <v>3.907525510204081E-2</v>
      </c>
      <c r="L38" s="2">
        <f t="shared" si="23"/>
        <v>-1.5178571428571425E-2</v>
      </c>
      <c r="M38" s="2">
        <f t="shared" si="24"/>
        <v>-1.5178571428571425E-2</v>
      </c>
      <c r="O38">
        <v>23</v>
      </c>
      <c r="P38" s="4">
        <f t="shared" si="19"/>
        <v>-9.5369776983975835E-2</v>
      </c>
      <c r="Q38" s="4">
        <f t="shared" si="20"/>
        <v>-9.5369776983975835E-2</v>
      </c>
      <c r="S38" s="1">
        <v>0.28101364844394938</v>
      </c>
      <c r="T38">
        <v>24</v>
      </c>
      <c r="U38" s="1">
        <v>0.6034408459305165</v>
      </c>
      <c r="W38" s="1">
        <f t="shared" si="10"/>
        <v>0.55639170013306505</v>
      </c>
      <c r="Y38" s="1">
        <f t="shared" si="11"/>
        <v>1.1993887993148713</v>
      </c>
      <c r="AA38" s="1">
        <f t="shared" si="12"/>
        <v>0.27819585006653252</v>
      </c>
      <c r="AC38" s="1">
        <f t="shared" si="13"/>
        <v>0.59969439965743565</v>
      </c>
      <c r="AE38" s="1">
        <f t="shared" si="14"/>
        <v>-0.27819585006653252</v>
      </c>
      <c r="AG38" s="1">
        <f t="shared" si="15"/>
        <v>-0.59969439965743565</v>
      </c>
      <c r="AI38" s="1">
        <f t="shared" si="0"/>
        <v>-0.186788642187529</v>
      </c>
      <c r="AK38" s="1">
        <f t="shared" si="1"/>
        <v>-0.40265195405570681</v>
      </c>
      <c r="AN38" s="1">
        <f t="shared" si="16"/>
        <v>-4.7690717154262735E-2</v>
      </c>
      <c r="AQ38" s="1">
        <f t="shared" si="17"/>
        <v>-0.10280475422698898</v>
      </c>
    </row>
    <row r="39" spans="1:43" x14ac:dyDescent="0.25">
      <c r="A39" s="10"/>
      <c r="B39" s="1">
        <v>24</v>
      </c>
      <c r="C39" s="1">
        <v>24</v>
      </c>
      <c r="D39" s="10"/>
      <c r="E39" s="2">
        <f t="shared" si="18"/>
        <v>0.32857142857142857</v>
      </c>
      <c r="F39" s="2">
        <f t="shared" si="21"/>
        <v>3.8966836734693873E-2</v>
      </c>
      <c r="G39" s="2">
        <f t="shared" si="22"/>
        <v>3.8966836734693873E-2</v>
      </c>
      <c r="H39" s="2">
        <f t="shared" si="4"/>
        <v>0.33571428571428574</v>
      </c>
      <c r="I39" s="2">
        <f t="shared" si="5"/>
        <v>0.33571428571428574</v>
      </c>
      <c r="J39" s="2">
        <f t="shared" si="6"/>
        <v>3.8845663265306113E-2</v>
      </c>
      <c r="K39" s="2">
        <f t="shared" si="7"/>
        <v>3.8845663265306113E-2</v>
      </c>
      <c r="L39" s="2">
        <f t="shared" si="23"/>
        <v>-1.6964285714285716E-2</v>
      </c>
      <c r="M39" s="2">
        <f t="shared" si="24"/>
        <v>-1.6964285714285716E-2</v>
      </c>
      <c r="O39">
        <v>24</v>
      </c>
      <c r="P39" s="4">
        <f t="shared" si="19"/>
        <v>-0.10658975074679657</v>
      </c>
      <c r="Q39" s="4">
        <f t="shared" si="20"/>
        <v>-0.10658975074679657</v>
      </c>
      <c r="S39" s="1">
        <v>0.27537805168911567</v>
      </c>
      <c r="T39">
        <v>25</v>
      </c>
      <c r="U39" s="1">
        <v>0.5959479533843548</v>
      </c>
      <c r="W39" s="1">
        <f t="shared" si="10"/>
        <v>0.54562349758879225</v>
      </c>
      <c r="Y39" s="1">
        <f t="shared" si="11"/>
        <v>1.185348700013366</v>
      </c>
      <c r="AA39" s="1">
        <f t="shared" si="12"/>
        <v>0.27281174879439613</v>
      </c>
      <c r="AC39" s="1">
        <f t="shared" si="13"/>
        <v>0.592674350006683</v>
      </c>
      <c r="AE39" s="1">
        <f t="shared" si="14"/>
        <v>-0.27281174879439613</v>
      </c>
      <c r="AG39" s="1">
        <f t="shared" si="15"/>
        <v>-0.592674350006683</v>
      </c>
      <c r="AI39" s="1">
        <f t="shared" si="0"/>
        <v>-0.19096822415607728</v>
      </c>
      <c r="AK39" s="1">
        <f t="shared" si="1"/>
        <v>-0.41487204500467806</v>
      </c>
      <c r="AN39" s="1">
        <f t="shared" si="16"/>
        <v>-5.4562349758879219E-2</v>
      </c>
      <c r="AQ39" s="1">
        <f t="shared" si="17"/>
        <v>-0.11853487000133656</v>
      </c>
    </row>
    <row r="40" spans="1:43" x14ac:dyDescent="0.25">
      <c r="A40" s="10"/>
      <c r="B40" s="1">
        <v>25</v>
      </c>
      <c r="C40" s="1">
        <v>25</v>
      </c>
      <c r="D40" s="10"/>
      <c r="E40" s="2">
        <f t="shared" si="18"/>
        <v>0.34285714285714286</v>
      </c>
      <c r="F40" s="2">
        <f t="shared" si="21"/>
        <v>3.872448979591836E-2</v>
      </c>
      <c r="G40" s="2">
        <f t="shared" si="22"/>
        <v>3.872448979591836E-2</v>
      </c>
      <c r="H40" s="2">
        <f t="shared" si="4"/>
        <v>0.35</v>
      </c>
      <c r="I40" s="2">
        <f t="shared" si="5"/>
        <v>0.35</v>
      </c>
      <c r="J40" s="2">
        <f t="shared" si="6"/>
        <v>3.859056122448979E-2</v>
      </c>
      <c r="K40" s="2">
        <f t="shared" si="7"/>
        <v>3.859056122448979E-2</v>
      </c>
      <c r="L40" s="2">
        <f t="shared" si="23"/>
        <v>-1.8749999999999992E-2</v>
      </c>
      <c r="M40" s="2">
        <f t="shared" si="24"/>
        <v>-1.8749999999999992E-2</v>
      </c>
      <c r="O40">
        <v>25</v>
      </c>
      <c r="P40" s="4">
        <f t="shared" si="19"/>
        <v>-0.1178097245096172</v>
      </c>
      <c r="Q40" s="4">
        <f t="shared" si="20"/>
        <v>-0.1178097245096172</v>
      </c>
      <c r="S40" s="1">
        <v>0.27024544589967658</v>
      </c>
      <c r="T40">
        <v>26</v>
      </c>
      <c r="U40" s="1">
        <v>0.58940074662901121</v>
      </c>
      <c r="W40" s="1">
        <f t="shared" si="10"/>
        <v>0.5357669351533525</v>
      </c>
      <c r="Y40" s="1">
        <f t="shared" si="11"/>
        <v>1.1730903192790227</v>
      </c>
      <c r="AA40" s="1">
        <f t="shared" si="12"/>
        <v>0.26788346757667625</v>
      </c>
      <c r="AC40" s="1">
        <f t="shared" si="13"/>
        <v>0.58654515963951137</v>
      </c>
      <c r="AE40" s="1">
        <f t="shared" si="14"/>
        <v>-0.26788346757667625</v>
      </c>
      <c r="AG40" s="1">
        <f t="shared" si="15"/>
        <v>-0.58654515963951137</v>
      </c>
      <c r="AI40" s="1">
        <f t="shared" si="0"/>
        <v>-0.19517224066300701</v>
      </c>
      <c r="AK40" s="1">
        <f t="shared" si="1"/>
        <v>-0.42734004488021549</v>
      </c>
      <c r="AN40" s="1">
        <f t="shared" si="16"/>
        <v>-6.1230506874668883E-2</v>
      </c>
      <c r="AQ40" s="1">
        <f t="shared" si="17"/>
        <v>-0.1340674650604598</v>
      </c>
    </row>
    <row r="41" spans="1:43" x14ac:dyDescent="0.25">
      <c r="A41" s="10"/>
      <c r="B41" s="1">
        <v>26</v>
      </c>
      <c r="C41" s="1">
        <v>26</v>
      </c>
      <c r="D41" s="10"/>
      <c r="E41" s="2">
        <f t="shared" si="18"/>
        <v>0.35714285714285715</v>
      </c>
      <c r="F41" s="2">
        <f t="shared" si="21"/>
        <v>3.8456632653061221E-2</v>
      </c>
      <c r="G41" s="2">
        <f t="shared" si="22"/>
        <v>3.8456632653061221E-2</v>
      </c>
      <c r="H41" s="2">
        <f t="shared" si="4"/>
        <v>0.36428571428571432</v>
      </c>
      <c r="I41" s="2">
        <f t="shared" si="5"/>
        <v>0.36428571428571432</v>
      </c>
      <c r="J41" s="2">
        <f t="shared" si="6"/>
        <v>3.8309948979591835E-2</v>
      </c>
      <c r="K41" s="2">
        <f t="shared" si="7"/>
        <v>3.8309948979591835E-2</v>
      </c>
      <c r="L41" s="2">
        <f t="shared" si="23"/>
        <v>-2.0535714285714289E-2</v>
      </c>
      <c r="M41" s="2">
        <f t="shared" si="24"/>
        <v>-2.0535714285714289E-2</v>
      </c>
      <c r="O41">
        <v>26</v>
      </c>
      <c r="P41" s="4">
        <f t="shared" si="19"/>
        <v>-0.12902969827243796</v>
      </c>
      <c r="Q41" s="4">
        <f t="shared" si="20"/>
        <v>-0.12902969827243796</v>
      </c>
      <c r="S41" s="1">
        <v>0.26552148925367597</v>
      </c>
      <c r="T41">
        <v>27</v>
      </c>
      <c r="U41" s="1">
        <v>0.58368957265001153</v>
      </c>
      <c r="W41" s="1">
        <f t="shared" si="10"/>
        <v>0.52665317685188118</v>
      </c>
      <c r="Y41" s="1">
        <f t="shared" si="11"/>
        <v>1.1624199884394664</v>
      </c>
      <c r="AA41" s="1">
        <f t="shared" si="12"/>
        <v>0.26332658842594059</v>
      </c>
      <c r="AC41" s="1">
        <f t="shared" si="13"/>
        <v>0.58120999421973318</v>
      </c>
      <c r="AE41" s="1">
        <f t="shared" si="14"/>
        <v>-0.26332658842594059</v>
      </c>
      <c r="AG41" s="1">
        <f t="shared" si="15"/>
        <v>-0.58120999421973318</v>
      </c>
      <c r="AI41" s="1">
        <f t="shared" si="0"/>
        <v>-0.19937584552249787</v>
      </c>
      <c r="AK41" s="1">
        <f t="shared" si="1"/>
        <v>-0.44005899562351225</v>
      </c>
      <c r="AN41" s="1">
        <f t="shared" si="16"/>
        <v>-6.771255130952758E-2</v>
      </c>
      <c r="AQ41" s="1">
        <f t="shared" si="17"/>
        <v>-0.14945399851364566</v>
      </c>
    </row>
    <row r="42" spans="1:43" x14ac:dyDescent="0.25">
      <c r="A42" s="10"/>
      <c r="B42" s="1">
        <v>27</v>
      </c>
      <c r="C42" s="1">
        <v>27</v>
      </c>
      <c r="D42" s="10"/>
      <c r="E42" s="2">
        <f t="shared" si="18"/>
        <v>0.37142857142857144</v>
      </c>
      <c r="F42" s="2">
        <f t="shared" si="21"/>
        <v>3.8163265306122442E-2</v>
      </c>
      <c r="G42" s="2">
        <f t="shared" si="22"/>
        <v>3.8163265306122442E-2</v>
      </c>
      <c r="H42" s="2">
        <f t="shared" si="4"/>
        <v>0.37857142857142856</v>
      </c>
      <c r="I42" s="2">
        <f t="shared" si="5"/>
        <v>0.37857142857142856</v>
      </c>
      <c r="J42" s="2">
        <f t="shared" si="6"/>
        <v>3.8003826530612239E-2</v>
      </c>
      <c r="K42" s="2">
        <f t="shared" si="7"/>
        <v>3.8003826530612239E-2</v>
      </c>
      <c r="L42" s="2">
        <f t="shared" si="23"/>
        <v>-2.2321428571428565E-2</v>
      </c>
      <c r="M42" s="2">
        <f t="shared" si="24"/>
        <v>-2.2321428571428565E-2</v>
      </c>
      <c r="O42">
        <v>27</v>
      </c>
      <c r="P42" s="4">
        <f t="shared" si="19"/>
        <v>-0.14024967203525859</v>
      </c>
      <c r="Q42" s="4">
        <f t="shared" si="20"/>
        <v>-0.14024967203525859</v>
      </c>
      <c r="S42" s="1">
        <v>0.26113168759820526</v>
      </c>
      <c r="T42">
        <v>28</v>
      </c>
      <c r="U42" s="1">
        <v>0.57873041578945483</v>
      </c>
      <c r="W42" s="1">
        <f t="shared" si="10"/>
        <v>0.5181478832314228</v>
      </c>
      <c r="Y42" s="1">
        <f t="shared" si="11"/>
        <v>1.1531898533164409</v>
      </c>
      <c r="AA42" s="1">
        <f t="shared" si="12"/>
        <v>0.2590739416157114</v>
      </c>
      <c r="AC42" s="1">
        <f t="shared" si="13"/>
        <v>0.57659492665822043</v>
      </c>
      <c r="AE42" s="1">
        <f t="shared" si="14"/>
        <v>-0.2590739416157114</v>
      </c>
      <c r="AG42" s="1">
        <f t="shared" si="15"/>
        <v>-0.57659492665822043</v>
      </c>
      <c r="AI42" s="1">
        <f t="shared" si="0"/>
        <v>-0.20355809698377322</v>
      </c>
      <c r="AK42" s="1">
        <f t="shared" si="1"/>
        <v>-0.45303887094574458</v>
      </c>
      <c r="AN42" s="1">
        <f t="shared" si="16"/>
        <v>-7.4021126175917523E-2</v>
      </c>
      <c r="AQ42" s="1">
        <f t="shared" si="17"/>
        <v>-0.16474140761663436</v>
      </c>
    </row>
    <row r="43" spans="1:43" x14ac:dyDescent="0.25">
      <c r="A43" s="10"/>
      <c r="B43" s="1">
        <v>28</v>
      </c>
      <c r="C43" s="1">
        <v>28</v>
      </c>
      <c r="D43" s="10"/>
      <c r="E43" s="2">
        <f t="shared" si="18"/>
        <v>0.38571428571428568</v>
      </c>
      <c r="F43" s="2">
        <f t="shared" si="21"/>
        <v>3.784438775510203E-2</v>
      </c>
      <c r="G43" s="2">
        <f t="shared" si="22"/>
        <v>3.784438775510203E-2</v>
      </c>
      <c r="H43" s="2">
        <f t="shared" si="4"/>
        <v>0.39285714285714279</v>
      </c>
      <c r="I43" s="2">
        <f t="shared" si="5"/>
        <v>0.39285714285714279</v>
      </c>
      <c r="J43" s="2">
        <f t="shared" si="6"/>
        <v>3.7672193877551011E-2</v>
      </c>
      <c r="K43" s="2">
        <f t="shared" si="7"/>
        <v>3.7672193877551011E-2</v>
      </c>
      <c r="L43" s="2">
        <f t="shared" si="23"/>
        <v>-2.4107142857142844E-2</v>
      </c>
      <c r="M43" s="2">
        <f t="shared" si="24"/>
        <v>-2.4107142857142844E-2</v>
      </c>
      <c r="O43">
        <v>28</v>
      </c>
      <c r="P43" s="4">
        <f t="shared" si="19"/>
        <v>-0.15146964579807923</v>
      </c>
      <c r="Q43" s="4">
        <f t="shared" si="20"/>
        <v>-0.15146964579807923</v>
      </c>
      <c r="S43" s="1">
        <v>0.25701619563321754</v>
      </c>
      <c r="T43">
        <v>29</v>
      </c>
      <c r="U43" s="1">
        <v>0.57445943752698603</v>
      </c>
      <c r="W43" s="1">
        <f t="shared" si="10"/>
        <v>0.51014239621977409</v>
      </c>
      <c r="Y43" s="1">
        <f t="shared" si="11"/>
        <v>1.145288746953907</v>
      </c>
      <c r="AA43" s="1">
        <f t="shared" si="12"/>
        <v>0.25507119810988704</v>
      </c>
      <c r="AC43" s="1">
        <f t="shared" si="13"/>
        <v>0.57264437347695352</v>
      </c>
      <c r="AE43" s="1">
        <f t="shared" si="14"/>
        <v>-0.25507119810988704</v>
      </c>
      <c r="AG43" s="1">
        <f t="shared" si="15"/>
        <v>-0.57264437347695352</v>
      </c>
      <c r="AI43" s="1">
        <f t="shared" si="0"/>
        <v>-0.20770083274662229</v>
      </c>
      <c r="AK43" s="1">
        <f t="shared" si="1"/>
        <v>-0.46629613268837644</v>
      </c>
      <c r="AN43" s="1">
        <f t="shared" si="16"/>
        <v>-8.0165233691678772E-2</v>
      </c>
      <c r="AQ43" s="1">
        <f t="shared" si="17"/>
        <v>-0.17997394594989968</v>
      </c>
    </row>
    <row r="44" spans="1:43" x14ac:dyDescent="0.25">
      <c r="A44" s="10"/>
      <c r="B44" s="1">
        <v>29</v>
      </c>
      <c r="C44" s="1">
        <v>29</v>
      </c>
      <c r="D44" s="10"/>
      <c r="E44" s="2">
        <f t="shared" si="18"/>
        <v>0.39999999999999997</v>
      </c>
      <c r="F44" s="2">
        <f t="shared" si="21"/>
        <v>3.7499999999999999E-2</v>
      </c>
      <c r="G44" s="2">
        <f t="shared" si="22"/>
        <v>3.7499999999999999E-2</v>
      </c>
      <c r="H44" s="2">
        <f t="shared" si="4"/>
        <v>0.40714285714285714</v>
      </c>
      <c r="I44" s="2">
        <f t="shared" si="5"/>
        <v>0.40714285714285714</v>
      </c>
      <c r="J44" s="2">
        <f t="shared" si="6"/>
        <v>3.7315051020408163E-2</v>
      </c>
      <c r="K44" s="2">
        <f t="shared" si="7"/>
        <v>3.7315051020408163E-2</v>
      </c>
      <c r="L44" s="2">
        <f t="shared" si="23"/>
        <v>-2.5892857142857138E-2</v>
      </c>
      <c r="M44" s="2">
        <f t="shared" si="24"/>
        <v>-2.5892857142857138E-2</v>
      </c>
      <c r="O44">
        <v>29</v>
      </c>
      <c r="P44" s="4">
        <f t="shared" si="19"/>
        <v>-0.16268961956089997</v>
      </c>
      <c r="Q44" s="4">
        <f t="shared" si="20"/>
        <v>-0.16268961956089997</v>
      </c>
      <c r="S44" s="1">
        <v>0.25312620058655655</v>
      </c>
      <c r="T44">
        <v>30</v>
      </c>
      <c r="U44" s="1">
        <v>0.57082930942692112</v>
      </c>
      <c r="W44" s="1">
        <f t="shared" si="10"/>
        <v>0.50254754140853752</v>
      </c>
      <c r="Y44" s="1">
        <f t="shared" si="11"/>
        <v>1.1386361025561369</v>
      </c>
      <c r="AA44" s="1">
        <f t="shared" si="12"/>
        <v>0.25127377070426876</v>
      </c>
      <c r="AC44" s="1">
        <f t="shared" si="13"/>
        <v>0.56931805127806845</v>
      </c>
      <c r="AE44" s="1">
        <f t="shared" si="14"/>
        <v>-0.25127377070426876</v>
      </c>
      <c r="AG44" s="1">
        <f t="shared" si="15"/>
        <v>-0.56931805127806845</v>
      </c>
      <c r="AI44" s="1">
        <f t="shared" si="0"/>
        <v>-0.21178789245074078</v>
      </c>
      <c r="AK44" s="1">
        <f t="shared" si="1"/>
        <v>-0.47985378607722906</v>
      </c>
      <c r="AN44" s="1">
        <f t="shared" si="16"/>
        <v>-8.6151007098606402E-2</v>
      </c>
      <c r="AQ44" s="1">
        <f t="shared" si="17"/>
        <v>-0.19519476043819484</v>
      </c>
    </row>
    <row r="45" spans="1:43" x14ac:dyDescent="0.25">
      <c r="A45" s="10"/>
      <c r="B45" s="1">
        <v>30</v>
      </c>
      <c r="C45" s="1">
        <v>30</v>
      </c>
      <c r="D45" s="10"/>
      <c r="E45" s="2">
        <f t="shared" si="18"/>
        <v>0.41428571428571426</v>
      </c>
      <c r="F45" s="2">
        <f t="shared" si="21"/>
        <v>3.7130102040816321E-2</v>
      </c>
      <c r="G45" s="2">
        <f t="shared" si="22"/>
        <v>3.7130102040816321E-2</v>
      </c>
      <c r="H45" s="2">
        <f t="shared" si="4"/>
        <v>0.42142857142857137</v>
      </c>
      <c r="I45" s="2">
        <f t="shared" si="5"/>
        <v>0.42142857142857137</v>
      </c>
      <c r="J45" s="2">
        <f t="shared" si="6"/>
        <v>3.6932397959183669E-2</v>
      </c>
      <c r="K45" s="2">
        <f t="shared" si="7"/>
        <v>3.6932397959183669E-2</v>
      </c>
      <c r="L45" s="2">
        <f t="shared" si="23"/>
        <v>-2.7678571428571417E-2</v>
      </c>
      <c r="M45" s="2">
        <f t="shared" si="24"/>
        <v>-2.7678571428571417E-2</v>
      </c>
      <c r="O45">
        <v>30</v>
      </c>
      <c r="P45" s="4">
        <f t="shared" si="19"/>
        <v>-0.17390959332372061</v>
      </c>
      <c r="Q45" s="4">
        <f t="shared" si="20"/>
        <v>-0.17390959332372061</v>
      </c>
      <c r="S45" s="1">
        <v>0.24942134082198097</v>
      </c>
      <c r="T45">
        <v>31</v>
      </c>
      <c r="U45" s="1">
        <v>0.56780679312921567</v>
      </c>
      <c r="W45" s="1">
        <f t="shared" si="10"/>
        <v>0.495289162479159</v>
      </c>
      <c r="Y45" s="1">
        <f t="shared" si="11"/>
        <v>1.1331780411680872</v>
      </c>
      <c r="AA45" s="1">
        <f t="shared" si="12"/>
        <v>0.2476445812395795</v>
      </c>
      <c r="AC45" s="1">
        <f t="shared" si="13"/>
        <v>0.56658902058404359</v>
      </c>
      <c r="AE45" s="1">
        <f t="shared" si="14"/>
        <v>-0.2476445812395795</v>
      </c>
      <c r="AG45" s="1">
        <f t="shared" si="15"/>
        <v>-0.56658902058404359</v>
      </c>
      <c r="AI45" s="1">
        <f t="shared" si="0"/>
        <v>-0.21580456365163356</v>
      </c>
      <c r="AK45" s="1">
        <f t="shared" si="1"/>
        <v>-0.49374186079466659</v>
      </c>
      <c r="AN45" s="1">
        <f t="shared" si="16"/>
        <v>-9.1982273031843809E-2</v>
      </c>
      <c r="AQ45" s="1">
        <f t="shared" si="17"/>
        <v>-0.21044735050264479</v>
      </c>
    </row>
    <row r="46" spans="1:43" x14ac:dyDescent="0.25">
      <c r="A46" s="10"/>
      <c r="B46" s="1">
        <v>31</v>
      </c>
      <c r="C46" s="1">
        <v>31</v>
      </c>
      <c r="D46" s="10"/>
      <c r="E46" s="2">
        <f t="shared" si="18"/>
        <v>0.42857142857142855</v>
      </c>
      <c r="F46" s="2">
        <f t="shared" si="21"/>
        <v>3.673469387755101E-2</v>
      </c>
      <c r="G46" s="2">
        <f t="shared" si="22"/>
        <v>3.673469387755101E-2</v>
      </c>
      <c r="H46" s="2">
        <f t="shared" si="4"/>
        <v>0.43571428571428572</v>
      </c>
      <c r="I46" s="2">
        <f t="shared" si="5"/>
        <v>0.43571428571428572</v>
      </c>
      <c r="J46" s="2">
        <f t="shared" si="6"/>
        <v>3.6524234693877541E-2</v>
      </c>
      <c r="K46" s="2">
        <f t="shared" si="7"/>
        <v>3.6524234693877541E-2</v>
      </c>
      <c r="L46" s="2">
        <f t="shared" si="23"/>
        <v>-2.9464285714285707E-2</v>
      </c>
      <c r="M46" s="2">
        <f t="shared" si="24"/>
        <v>-2.9464285714285707E-2</v>
      </c>
      <c r="O46">
        <v>31</v>
      </c>
      <c r="P46" s="4">
        <f t="shared" si="19"/>
        <v>-0.18512956708654132</v>
      </c>
      <c r="Q46" s="4">
        <f t="shared" si="20"/>
        <v>-0.18512956708654132</v>
      </c>
      <c r="S46" s="1">
        <v>0.24586782165717805</v>
      </c>
      <c r="T46">
        <v>32</v>
      </c>
      <c r="U46" s="1">
        <v>0.56537124803887151</v>
      </c>
      <c r="W46" s="1">
        <f t="shared" si="10"/>
        <v>0.48830483454481471</v>
      </c>
      <c r="Y46" s="1">
        <f t="shared" si="11"/>
        <v>1.1288851376355484</v>
      </c>
      <c r="AA46" s="1">
        <f t="shared" si="12"/>
        <v>0.24415241727240736</v>
      </c>
      <c r="AC46" s="1">
        <f t="shared" si="13"/>
        <v>0.56444256881777422</v>
      </c>
      <c r="AE46" s="1">
        <f t="shared" si="14"/>
        <v>-0.24415241727240736</v>
      </c>
      <c r="AG46" s="1">
        <f t="shared" si="15"/>
        <v>-0.56444256881777422</v>
      </c>
      <c r="AI46" s="1">
        <f t="shared" si="0"/>
        <v>-0.21973717554516661</v>
      </c>
      <c r="AK46" s="1">
        <f t="shared" si="1"/>
        <v>-0.50799831193599676</v>
      </c>
      <c r="AN46" s="1">
        <f t="shared" si="16"/>
        <v>-9.7660966908962935E-2</v>
      </c>
      <c r="AQ46" s="1">
        <f t="shared" si="17"/>
        <v>-0.22577702752710965</v>
      </c>
    </row>
    <row r="47" spans="1:43" x14ac:dyDescent="0.25">
      <c r="A47" s="10"/>
      <c r="B47" s="1">
        <v>32</v>
      </c>
      <c r="C47" s="1">
        <v>32</v>
      </c>
      <c r="D47" s="10"/>
      <c r="E47" s="2">
        <f t="shared" si="18"/>
        <v>0.44285714285714284</v>
      </c>
      <c r="F47" s="2">
        <f t="shared" si="21"/>
        <v>3.6313775510204073E-2</v>
      </c>
      <c r="G47" s="2">
        <f t="shared" si="22"/>
        <v>3.6313775510204073E-2</v>
      </c>
      <c r="H47" s="2">
        <f t="shared" si="4"/>
        <v>0.44999999999999996</v>
      </c>
      <c r="I47" s="2">
        <f t="shared" si="5"/>
        <v>0.44999999999999996</v>
      </c>
      <c r="J47" s="2">
        <f t="shared" si="6"/>
        <v>3.6090561224489788E-2</v>
      </c>
      <c r="K47" s="2">
        <f t="shared" si="7"/>
        <v>3.6090561224489788E-2</v>
      </c>
      <c r="L47" s="2">
        <f t="shared" si="23"/>
        <v>-3.124999999999999E-2</v>
      </c>
      <c r="M47" s="2">
        <f t="shared" si="24"/>
        <v>-3.124999999999999E-2</v>
      </c>
      <c r="O47">
        <v>32</v>
      </c>
      <c r="P47" s="4">
        <f t="shared" si="19"/>
        <v>-0.19634954084936201</v>
      </c>
      <c r="Q47" s="4">
        <f t="shared" si="20"/>
        <v>-0.19634954084936201</v>
      </c>
      <c r="S47" s="1">
        <v>0.24243701288763667</v>
      </c>
      <c r="T47">
        <v>33</v>
      </c>
      <c r="U47" s="1">
        <v>0.56351388959667692</v>
      </c>
      <c r="W47" s="1">
        <f t="shared" si="10"/>
        <v>0.48154139930393502</v>
      </c>
      <c r="Y47" s="1">
        <f t="shared" si="11"/>
        <v>1.1257516106916505</v>
      </c>
      <c r="AA47" s="1">
        <f t="shared" si="12"/>
        <v>0.24077069965196751</v>
      </c>
      <c r="AC47" s="1">
        <f t="shared" si="13"/>
        <v>0.56287580534582526</v>
      </c>
      <c r="AE47" s="1">
        <f t="shared" si="14"/>
        <v>-0.24077069965196751</v>
      </c>
      <c r="AG47" s="1">
        <f t="shared" si="15"/>
        <v>-0.56287580534582526</v>
      </c>
      <c r="AI47" s="1">
        <f t="shared" ref="AI47:AI78" si="25">-W47*H48</f>
        <v>-0.22357279253396983</v>
      </c>
      <c r="AK47" s="1">
        <f t="shared" ref="AK47:AK78" si="26">-Y47*I48</f>
        <v>-0.52267039067826637</v>
      </c>
      <c r="AN47" s="1">
        <f t="shared" si="16"/>
        <v>-0.10318744270798608</v>
      </c>
      <c r="AQ47" s="1">
        <f t="shared" si="17"/>
        <v>-0.24123248800535374</v>
      </c>
    </row>
    <row r="48" spans="1:43" x14ac:dyDescent="0.25">
      <c r="A48" s="10"/>
      <c r="B48" s="1">
        <v>33</v>
      </c>
      <c r="C48" s="1">
        <v>33</v>
      </c>
      <c r="D48" s="10"/>
      <c r="E48" s="2">
        <f t="shared" si="18"/>
        <v>0.45714285714285713</v>
      </c>
      <c r="F48" s="2">
        <f t="shared" si="21"/>
        <v>3.5867346938775503E-2</v>
      </c>
      <c r="G48" s="2">
        <f t="shared" si="22"/>
        <v>3.5867346938775503E-2</v>
      </c>
      <c r="H48" s="2">
        <f t="shared" ref="H48:H79" si="27">(E49+E48)/2</f>
        <v>0.4642857142857143</v>
      </c>
      <c r="I48" s="2">
        <f t="shared" ref="I48:I79" si="28">(E49+E48)/2</f>
        <v>0.4642857142857143</v>
      </c>
      <c r="J48" s="2">
        <f t="shared" ref="J48:J79" si="29">(F49+F48)/2</f>
        <v>3.5631377551020402E-2</v>
      </c>
      <c r="K48" s="2">
        <f t="shared" ref="K48:K79" si="30">(G49+G48)/2</f>
        <v>3.5631377551020402E-2</v>
      </c>
      <c r="L48" s="2">
        <f t="shared" si="23"/>
        <v>-3.3035714285714279E-2</v>
      </c>
      <c r="M48" s="2">
        <f t="shared" si="24"/>
        <v>-3.3035714285714279E-2</v>
      </c>
      <c r="O48">
        <v>33</v>
      </c>
      <c r="P48" s="4">
        <f t="shared" si="19"/>
        <v>-0.20756951461218273</v>
      </c>
      <c r="Q48" s="4">
        <f t="shared" si="20"/>
        <v>-0.20756951461218273</v>
      </c>
      <c r="S48" s="1">
        <v>0.23910438641629833</v>
      </c>
      <c r="T48">
        <v>34</v>
      </c>
      <c r="U48" s="1">
        <v>0.56223772109497361</v>
      </c>
      <c r="W48" s="1">
        <f t="shared" si="10"/>
        <v>0.47495308495523281</v>
      </c>
      <c r="Y48" s="1">
        <f t="shared" si="11"/>
        <v>1.1237958662060419</v>
      </c>
      <c r="AA48" s="1">
        <f t="shared" si="12"/>
        <v>0.2374765424776164</v>
      </c>
      <c r="AC48" s="1">
        <f t="shared" si="13"/>
        <v>0.56189793310302094</v>
      </c>
      <c r="AE48" s="1">
        <f t="shared" si="14"/>
        <v>-0.2374765424776164</v>
      </c>
      <c r="AG48" s="1">
        <f t="shared" si="15"/>
        <v>-0.56189793310302094</v>
      </c>
      <c r="AI48" s="1">
        <f t="shared" si="25"/>
        <v>-0.22729897637143281</v>
      </c>
      <c r="AK48" s="1">
        <f t="shared" si="26"/>
        <v>-0.53781659311289143</v>
      </c>
      <c r="AN48" s="1">
        <f t="shared" si="16"/>
        <v>-0.10856070513262461</v>
      </c>
      <c r="AQ48" s="1">
        <f t="shared" si="17"/>
        <v>-0.25686762656138096</v>
      </c>
    </row>
    <row r="49" spans="1:43" x14ac:dyDescent="0.25">
      <c r="A49" s="10"/>
      <c r="B49" s="1">
        <v>34</v>
      </c>
      <c r="C49" s="1">
        <v>34</v>
      </c>
      <c r="D49" s="10"/>
      <c r="E49" s="2">
        <f t="shared" ref="E49:E80" si="31">$B$6*B48</f>
        <v>0.47142857142857142</v>
      </c>
      <c r="F49" s="2">
        <f t="shared" si="21"/>
        <v>3.53954081632653E-2</v>
      </c>
      <c r="G49" s="2">
        <f t="shared" si="22"/>
        <v>3.53954081632653E-2</v>
      </c>
      <c r="H49" s="2">
        <f t="shared" si="27"/>
        <v>0.47857142857142854</v>
      </c>
      <c r="I49" s="2">
        <f t="shared" si="28"/>
        <v>0.47857142857142854</v>
      </c>
      <c r="J49" s="2">
        <f t="shared" si="29"/>
        <v>3.5146683673469382E-2</v>
      </c>
      <c r="K49" s="2">
        <f t="shared" si="30"/>
        <v>3.5146683673469382E-2</v>
      </c>
      <c r="L49" s="2">
        <f t="shared" si="23"/>
        <v>-3.4821428571428559E-2</v>
      </c>
      <c r="M49" s="2">
        <f t="shared" si="24"/>
        <v>-3.4821428571428559E-2</v>
      </c>
      <c r="O49">
        <v>34</v>
      </c>
      <c r="P49" s="4">
        <f t="shared" si="19"/>
        <v>-0.21878948837500337</v>
      </c>
      <c r="Q49" s="4">
        <f t="shared" si="20"/>
        <v>-0.21878948837500337</v>
      </c>
      <c r="S49" s="1">
        <v>0.2358486985389345</v>
      </c>
      <c r="T49">
        <v>35</v>
      </c>
      <c r="U49" s="1">
        <v>0.56155814511106839</v>
      </c>
      <c r="W49" s="1">
        <f t="shared" si="10"/>
        <v>0.46850004960670322</v>
      </c>
      <c r="Y49" s="1">
        <f t="shared" si="11"/>
        <v>1.1230624905502093</v>
      </c>
      <c r="AA49" s="1">
        <f t="shared" si="12"/>
        <v>0.23425002480335161</v>
      </c>
      <c r="AC49" s="1">
        <f t="shared" si="13"/>
        <v>0.56153124527510467</v>
      </c>
      <c r="AE49" s="1">
        <f t="shared" si="14"/>
        <v>-0.23425002480335161</v>
      </c>
      <c r="AG49" s="1">
        <f t="shared" si="15"/>
        <v>-0.56153124527510467</v>
      </c>
      <c r="AI49" s="1">
        <f t="shared" si="25"/>
        <v>-0.23090359587758946</v>
      </c>
      <c r="AK49" s="1">
        <f t="shared" si="26"/>
        <v>-0.55350937034260317</v>
      </c>
      <c r="AN49" s="1">
        <f t="shared" si="16"/>
        <v>-0.11377858347591366</v>
      </c>
      <c r="AQ49" s="1">
        <f t="shared" si="17"/>
        <v>-0.27274374770505083</v>
      </c>
    </row>
    <row r="50" spans="1:43" x14ac:dyDescent="0.25">
      <c r="A50" s="10"/>
      <c r="B50" s="1">
        <v>35</v>
      </c>
      <c r="C50" s="1">
        <v>35</v>
      </c>
      <c r="D50" s="10"/>
      <c r="E50" s="2">
        <f t="shared" si="31"/>
        <v>0.48571428571428571</v>
      </c>
      <c r="F50" s="2">
        <f t="shared" si="21"/>
        <v>3.4897959183673465E-2</v>
      </c>
      <c r="G50" s="2">
        <f t="shared" si="22"/>
        <v>3.4897959183673465E-2</v>
      </c>
      <c r="H50" s="2">
        <f t="shared" si="27"/>
        <v>0.49285714285714288</v>
      </c>
      <c r="I50" s="2">
        <f t="shared" si="28"/>
        <v>0.49285714285714288</v>
      </c>
      <c r="J50" s="2">
        <f t="shared" si="29"/>
        <v>3.463647959183673E-2</v>
      </c>
      <c r="K50" s="2">
        <f t="shared" si="30"/>
        <v>3.463647959183673E-2</v>
      </c>
      <c r="L50" s="2">
        <f t="shared" si="23"/>
        <v>-3.6607142857142852E-2</v>
      </c>
      <c r="M50" s="2">
        <f t="shared" si="24"/>
        <v>-3.6607142857142852E-2</v>
      </c>
      <c r="O50">
        <v>35</v>
      </c>
      <c r="P50" s="4">
        <f t="shared" si="19"/>
        <v>-0.23000946213782411</v>
      </c>
      <c r="Q50" s="4">
        <f t="shared" si="20"/>
        <v>-0.23000946213782411</v>
      </c>
      <c r="S50" s="1">
        <v>0.23265135106776874</v>
      </c>
      <c r="T50">
        <v>36</v>
      </c>
      <c r="U50" s="1">
        <v>0.56150434543914085</v>
      </c>
      <c r="W50" s="1">
        <f t="shared" si="10"/>
        <v>0.46214723603794483</v>
      </c>
      <c r="Y50" s="1">
        <f t="shared" si="11"/>
        <v>1.1236259813854295</v>
      </c>
      <c r="AA50" s="1">
        <f t="shared" si="12"/>
        <v>0.23107361801897242</v>
      </c>
      <c r="AC50" s="1">
        <f t="shared" si="13"/>
        <v>0.56181299069271473</v>
      </c>
      <c r="AE50" s="1">
        <f t="shared" si="14"/>
        <v>-0.23107361801897242</v>
      </c>
      <c r="AG50" s="1">
        <f t="shared" si="15"/>
        <v>-0.56181299069271473</v>
      </c>
      <c r="AI50" s="1">
        <f t="shared" si="25"/>
        <v>-0.23437466970495771</v>
      </c>
      <c r="AK50" s="1">
        <f t="shared" si="26"/>
        <v>-0.56983889055975345</v>
      </c>
      <c r="AN50" s="1">
        <f t="shared" si="16"/>
        <v>-0.1188378606954715</v>
      </c>
      <c r="AQ50" s="1">
        <f t="shared" si="17"/>
        <v>-0.28893239521339609</v>
      </c>
    </row>
    <row r="51" spans="1:43" x14ac:dyDescent="0.25">
      <c r="A51" s="10"/>
      <c r="B51" s="1">
        <v>36</v>
      </c>
      <c r="C51" s="1">
        <v>36</v>
      </c>
      <c r="D51" s="10"/>
      <c r="E51" s="2">
        <f t="shared" si="31"/>
        <v>0.5</v>
      </c>
      <c r="F51" s="2">
        <f t="shared" si="21"/>
        <v>3.4374999999999996E-2</v>
      </c>
      <c r="G51" s="2">
        <f t="shared" si="22"/>
        <v>3.4374999999999996E-2</v>
      </c>
      <c r="H51" s="2">
        <f t="shared" si="27"/>
        <v>0.50714285714285712</v>
      </c>
      <c r="I51" s="2">
        <f t="shared" si="28"/>
        <v>0.50714285714285712</v>
      </c>
      <c r="J51" s="2">
        <f t="shared" si="29"/>
        <v>3.4100765306122445E-2</v>
      </c>
      <c r="K51" s="2">
        <f t="shared" si="30"/>
        <v>3.4100765306122445E-2</v>
      </c>
      <c r="L51" s="2">
        <f t="shared" si="23"/>
        <v>-3.8392857142857131E-2</v>
      </c>
      <c r="M51" s="2">
        <f t="shared" si="24"/>
        <v>-3.8392857142857131E-2</v>
      </c>
      <c r="O51">
        <v>36</v>
      </c>
      <c r="P51" s="4">
        <f t="shared" si="19"/>
        <v>-0.24122943590064475</v>
      </c>
      <c r="Q51" s="4">
        <f t="shared" si="20"/>
        <v>-0.24122943590064475</v>
      </c>
      <c r="S51" s="1">
        <v>0.22949588497017609</v>
      </c>
      <c r="T51">
        <v>37</v>
      </c>
      <c r="U51" s="1">
        <v>0.56212163594628861</v>
      </c>
      <c r="W51" s="1">
        <f t="shared" si="10"/>
        <v>0.45586345826730901</v>
      </c>
      <c r="Y51" s="1">
        <f t="shared" si="11"/>
        <v>1.1255967612603155</v>
      </c>
      <c r="AA51" s="1">
        <f t="shared" si="12"/>
        <v>0.2279317291336545</v>
      </c>
      <c r="AC51" s="1">
        <f t="shared" si="13"/>
        <v>0.56279838063015775</v>
      </c>
      <c r="AE51" s="1">
        <f t="shared" si="14"/>
        <v>-0.2279317291336545</v>
      </c>
      <c r="AG51" s="1">
        <f t="shared" si="15"/>
        <v>-0.56279838063015775</v>
      </c>
      <c r="AI51" s="1">
        <f t="shared" si="25"/>
        <v>-0.2377002318108111</v>
      </c>
      <c r="AK51" s="1">
        <f t="shared" si="26"/>
        <v>-0.58691831122859295</v>
      </c>
      <c r="AN51" s="1">
        <f t="shared" si="16"/>
        <v>-0.12373436724398384</v>
      </c>
      <c r="AQ51" s="1">
        <f t="shared" si="17"/>
        <v>-0.30551912091351408</v>
      </c>
    </row>
    <row r="52" spans="1:43" x14ac:dyDescent="0.25">
      <c r="A52" s="10"/>
      <c r="B52" s="1">
        <v>37</v>
      </c>
      <c r="C52" s="1">
        <v>37</v>
      </c>
      <c r="E52" s="2">
        <f t="shared" si="31"/>
        <v>0.51428571428571423</v>
      </c>
      <c r="F52" s="2">
        <f t="shared" si="21"/>
        <v>3.3826530612244894E-2</v>
      </c>
      <c r="G52" s="2">
        <f t="shared" si="22"/>
        <v>3.3826530612244894E-2</v>
      </c>
      <c r="H52" s="2">
        <f t="shared" si="27"/>
        <v>0.52142857142857135</v>
      </c>
      <c r="I52" s="2">
        <f t="shared" si="28"/>
        <v>0.52142857142857135</v>
      </c>
      <c r="J52" s="2">
        <f t="shared" si="29"/>
        <v>3.3539540816326527E-2</v>
      </c>
      <c r="K52" s="2">
        <f t="shared" si="30"/>
        <v>3.3539540816326527E-2</v>
      </c>
      <c r="L52" s="2">
        <f t="shared" si="23"/>
        <v>-4.0178571428571418E-2</v>
      </c>
      <c r="M52" s="2">
        <f t="shared" si="24"/>
        <v>-4.0178571428571418E-2</v>
      </c>
      <c r="O52">
        <v>37</v>
      </c>
      <c r="P52" s="4">
        <f t="shared" si="19"/>
        <v>-0.25244940966346546</v>
      </c>
      <c r="Q52" s="4">
        <f t="shared" si="20"/>
        <v>-0.25244940966346546</v>
      </c>
      <c r="S52" s="1">
        <v>0.22636757329713295</v>
      </c>
      <c r="T52">
        <v>38</v>
      </c>
      <c r="U52" s="1">
        <v>0.56347512531402677</v>
      </c>
      <c r="W52" s="1">
        <f t="shared" si="10"/>
        <v>0.44962066243488208</v>
      </c>
      <c r="Y52" s="1">
        <f t="shared" si="11"/>
        <v>1.1291304154916937</v>
      </c>
      <c r="AA52" s="1">
        <f t="shared" si="12"/>
        <v>0.22481033121744104</v>
      </c>
      <c r="AC52" s="1">
        <f t="shared" si="13"/>
        <v>0.56456520774584684</v>
      </c>
      <c r="AE52" s="1">
        <f t="shared" si="14"/>
        <v>-0.22481033121744104</v>
      </c>
      <c r="AG52" s="1">
        <f t="shared" si="15"/>
        <v>-0.56456520774584684</v>
      </c>
      <c r="AI52" s="1">
        <f t="shared" si="25"/>
        <v>-0.24086821201868683</v>
      </c>
      <c r="AK52" s="1">
        <f t="shared" si="26"/>
        <v>-0.60489129401340735</v>
      </c>
      <c r="AN52" s="1">
        <f t="shared" si="16"/>
        <v>-0.12846304640996631</v>
      </c>
      <c r="AQ52" s="1">
        <f t="shared" si="17"/>
        <v>-0.32260869014048393</v>
      </c>
    </row>
    <row r="53" spans="1:43" x14ac:dyDescent="0.25">
      <c r="A53" s="10"/>
      <c r="B53" s="1">
        <v>38</v>
      </c>
      <c r="C53" s="1">
        <v>38</v>
      </c>
      <c r="E53" s="2">
        <f t="shared" si="31"/>
        <v>0.52857142857142858</v>
      </c>
      <c r="F53" s="2">
        <f t="shared" si="21"/>
        <v>3.3252551020408153E-2</v>
      </c>
      <c r="G53" s="2">
        <f t="shared" si="22"/>
        <v>3.3252551020408153E-2</v>
      </c>
      <c r="H53" s="2">
        <f t="shared" si="27"/>
        <v>0.5357142857142857</v>
      </c>
      <c r="I53" s="2">
        <f t="shared" si="28"/>
        <v>0.5357142857142857</v>
      </c>
      <c r="J53" s="2">
        <f t="shared" si="29"/>
        <v>3.2952806122448969E-2</v>
      </c>
      <c r="K53" s="2">
        <f t="shared" si="30"/>
        <v>3.2952806122448969E-2</v>
      </c>
      <c r="L53" s="2">
        <f t="shared" si="23"/>
        <v>-4.1964285714285704E-2</v>
      </c>
      <c r="M53" s="2">
        <f t="shared" si="24"/>
        <v>-4.1964285714285704E-2</v>
      </c>
      <c r="O53">
        <v>38</v>
      </c>
      <c r="P53" s="4">
        <f t="shared" si="19"/>
        <v>-0.26366938342628615</v>
      </c>
      <c r="Q53" s="4">
        <f t="shared" si="20"/>
        <v>-0.26366938342628615</v>
      </c>
      <c r="S53" s="1">
        <v>0.22325308913774911</v>
      </c>
      <c r="T53">
        <v>39</v>
      </c>
      <c r="U53" s="1">
        <v>0.56565529017766691</v>
      </c>
      <c r="W53" s="1">
        <f t="shared" si="10"/>
        <v>0.44339331969913576</v>
      </c>
      <c r="Y53" s="1">
        <f t="shared" si="11"/>
        <v>1.1344417562971283</v>
      </c>
      <c r="AA53" s="1">
        <f t="shared" si="12"/>
        <v>0.22169665984956788</v>
      </c>
      <c r="AC53" s="1">
        <f t="shared" si="13"/>
        <v>0.56722087814856414</v>
      </c>
      <c r="AE53" s="1">
        <f t="shared" si="14"/>
        <v>-0.22169665984956788</v>
      </c>
      <c r="AG53" s="1">
        <f t="shared" si="15"/>
        <v>-0.56722087814856414</v>
      </c>
      <c r="AI53" s="1">
        <f t="shared" si="25"/>
        <v>-0.24386632583452469</v>
      </c>
      <c r="AK53" s="1">
        <f t="shared" si="26"/>
        <v>-0.62394296596342058</v>
      </c>
      <c r="AN53" s="1">
        <f t="shared" si="16"/>
        <v>-0.13301799590974075</v>
      </c>
      <c r="AQ53" s="1">
        <f t="shared" si="17"/>
        <v>-0.34033252688913851</v>
      </c>
    </row>
    <row r="54" spans="1:43" x14ac:dyDescent="0.25">
      <c r="A54" s="10"/>
      <c r="B54" s="1">
        <v>39</v>
      </c>
      <c r="C54" s="1">
        <v>39</v>
      </c>
      <c r="E54" s="2">
        <f t="shared" si="31"/>
        <v>0.54285714285714282</v>
      </c>
      <c r="F54" s="2">
        <f t="shared" si="21"/>
        <v>3.2653061224489792E-2</v>
      </c>
      <c r="G54" s="2">
        <f t="shared" si="22"/>
        <v>3.2653061224489792E-2</v>
      </c>
      <c r="H54" s="2">
        <f t="shared" si="27"/>
        <v>0.55000000000000004</v>
      </c>
      <c r="I54" s="2">
        <f t="shared" si="28"/>
        <v>0.55000000000000004</v>
      </c>
      <c r="J54" s="2">
        <f t="shared" si="29"/>
        <v>3.2340561224489792E-2</v>
      </c>
      <c r="K54" s="2">
        <f t="shared" si="30"/>
        <v>3.2340561224489792E-2</v>
      </c>
      <c r="L54" s="2">
        <f t="shared" si="23"/>
        <v>-4.3749999999999997E-2</v>
      </c>
      <c r="M54" s="2">
        <f t="shared" si="24"/>
        <v>-4.3749999999999997E-2</v>
      </c>
      <c r="O54">
        <v>39</v>
      </c>
      <c r="P54" s="4">
        <f t="shared" si="19"/>
        <v>-0.2748893571891069</v>
      </c>
      <c r="Q54" s="4">
        <f t="shared" si="20"/>
        <v>-0.2748893571891069</v>
      </c>
      <c r="S54" s="1">
        <v>0.22014023056138665</v>
      </c>
      <c r="T54">
        <v>40</v>
      </c>
      <c r="U54" s="1">
        <v>0.56878646611946126</v>
      </c>
      <c r="W54" s="1">
        <f t="shared" si="10"/>
        <v>0.43715791944532201</v>
      </c>
      <c r="Y54" s="1">
        <f t="shared" si="11"/>
        <v>1.1418264882934572</v>
      </c>
      <c r="AA54" s="1">
        <f t="shared" si="12"/>
        <v>0.218578959722661</v>
      </c>
      <c r="AC54" s="1">
        <f t="shared" si="13"/>
        <v>0.57091324414672862</v>
      </c>
      <c r="AE54" s="1">
        <f t="shared" si="14"/>
        <v>-0.218578959722661</v>
      </c>
      <c r="AG54" s="1">
        <f t="shared" si="15"/>
        <v>-0.57091324414672862</v>
      </c>
      <c r="AI54" s="1">
        <f t="shared" si="25"/>
        <v>-0.24668196882986027</v>
      </c>
      <c r="AK54" s="1">
        <f t="shared" si="26"/>
        <v>-0.64431637553702226</v>
      </c>
      <c r="AN54" s="1">
        <f t="shared" si="16"/>
        <v>-0.13739248896852976</v>
      </c>
      <c r="AQ54" s="1">
        <f t="shared" si="17"/>
        <v>-0.35885975346365795</v>
      </c>
    </row>
    <row r="55" spans="1:43" x14ac:dyDescent="0.25">
      <c r="A55" s="10"/>
      <c r="B55" s="1">
        <v>40</v>
      </c>
      <c r="C55" s="1">
        <v>40</v>
      </c>
      <c r="E55" s="2">
        <f t="shared" si="31"/>
        <v>0.55714285714285716</v>
      </c>
      <c r="F55" s="2">
        <f t="shared" si="21"/>
        <v>3.2028061224489791E-2</v>
      </c>
      <c r="G55" s="2">
        <f t="shared" si="22"/>
        <v>3.2028061224489791E-2</v>
      </c>
      <c r="H55" s="2">
        <f t="shared" si="27"/>
        <v>0.56428571428571428</v>
      </c>
      <c r="I55" s="2">
        <f t="shared" si="28"/>
        <v>0.56428571428571428</v>
      </c>
      <c r="J55" s="2">
        <f t="shared" si="29"/>
        <v>3.1702806122448975E-2</v>
      </c>
      <c r="K55" s="2">
        <f t="shared" si="30"/>
        <v>3.1702806122448975E-2</v>
      </c>
      <c r="L55" s="2">
        <f t="shared" si="23"/>
        <v>-4.5535714285714277E-2</v>
      </c>
      <c r="M55" s="2">
        <f t="shared" si="24"/>
        <v>-4.5535714285714277E-2</v>
      </c>
      <c r="O55">
        <v>40</v>
      </c>
      <c r="P55" s="4">
        <f t="shared" si="19"/>
        <v>-0.28610933095192753</v>
      </c>
      <c r="Q55" s="4">
        <f t="shared" si="20"/>
        <v>-0.28610933095192753</v>
      </c>
      <c r="S55" s="1">
        <v>0.21701768888393533</v>
      </c>
      <c r="T55">
        <v>41</v>
      </c>
      <c r="U55" s="1">
        <v>0.57304002217399597</v>
      </c>
      <c r="W55" s="1">
        <f t="shared" si="10"/>
        <v>0.43089253857500687</v>
      </c>
      <c r="Y55" s="1">
        <f t="shared" si="11"/>
        <v>1.1516954585924382</v>
      </c>
      <c r="AA55" s="1">
        <f t="shared" si="12"/>
        <v>0.21544626928750343</v>
      </c>
      <c r="AC55" s="1">
        <f t="shared" si="13"/>
        <v>0.57584772929621908</v>
      </c>
      <c r="AE55" s="1">
        <f t="shared" si="14"/>
        <v>-0.21544626928750343</v>
      </c>
      <c r="AG55" s="1">
        <f t="shared" si="15"/>
        <v>-0.57584772929621908</v>
      </c>
      <c r="AI55" s="1">
        <f t="shared" si="25"/>
        <v>-0.24930211160411109</v>
      </c>
      <c r="AK55" s="1">
        <f t="shared" si="26"/>
        <v>-0.66633808675705342</v>
      </c>
      <c r="AN55" s="1">
        <f t="shared" si="16"/>
        <v>-0.14157897696035937</v>
      </c>
      <c r="AQ55" s="1">
        <f t="shared" si="17"/>
        <v>-0.37841422210894388</v>
      </c>
    </row>
    <row r="56" spans="1:43" x14ac:dyDescent="0.25">
      <c r="A56" s="10"/>
      <c r="B56" s="1">
        <v>41</v>
      </c>
      <c r="C56" s="1">
        <v>41</v>
      </c>
      <c r="E56" s="2">
        <f t="shared" si="31"/>
        <v>0.5714285714285714</v>
      </c>
      <c r="F56" s="2">
        <f t="shared" si="21"/>
        <v>3.1377551020408158E-2</v>
      </c>
      <c r="G56" s="2">
        <f t="shared" si="22"/>
        <v>3.1377551020408158E-2</v>
      </c>
      <c r="H56" s="2">
        <f t="shared" si="27"/>
        <v>0.57857142857142851</v>
      </c>
      <c r="I56" s="2">
        <f t="shared" si="28"/>
        <v>0.57857142857142851</v>
      </c>
      <c r="J56" s="2">
        <f t="shared" si="29"/>
        <v>3.1039540816326525E-2</v>
      </c>
      <c r="K56" s="2">
        <f t="shared" si="30"/>
        <v>3.1039540816326525E-2</v>
      </c>
      <c r="L56" s="2">
        <f t="shared" si="23"/>
        <v>-4.7321428571428556E-2</v>
      </c>
      <c r="M56" s="2">
        <f t="shared" si="24"/>
        <v>-4.7321428571428556E-2</v>
      </c>
      <c r="O56">
        <v>41</v>
      </c>
      <c r="P56" s="4">
        <f t="shared" si="19"/>
        <v>-0.29732930471474817</v>
      </c>
      <c r="Q56" s="4">
        <f t="shared" si="20"/>
        <v>-0.29732930471474817</v>
      </c>
      <c r="S56" s="1">
        <v>0.21387484969107157</v>
      </c>
      <c r="T56">
        <v>42</v>
      </c>
      <c r="U56" s="1">
        <v>0.57865543641844219</v>
      </c>
      <c r="W56" s="1">
        <f t="shared" si="10"/>
        <v>0.42457646793372783</v>
      </c>
      <c r="Y56" s="1">
        <f t="shared" si="11"/>
        <v>1.1646308948435355</v>
      </c>
      <c r="AA56" s="1">
        <f t="shared" si="12"/>
        <v>0.21228823396686392</v>
      </c>
      <c r="AC56" s="1">
        <f t="shared" si="13"/>
        <v>0.58231544742176777</v>
      </c>
      <c r="AE56" s="1">
        <f t="shared" si="14"/>
        <v>-0.21228823396686392</v>
      </c>
      <c r="AG56" s="1">
        <f t="shared" si="15"/>
        <v>-0.58231544742176777</v>
      </c>
      <c r="AI56" s="1">
        <f t="shared" si="25"/>
        <v>-0.25171319170356721</v>
      </c>
      <c r="AK56" s="1">
        <f t="shared" si="26"/>
        <v>-0.69045974480009609</v>
      </c>
      <c r="AN56" s="1">
        <f t="shared" si="16"/>
        <v>-0.14556907472013525</v>
      </c>
      <c r="AQ56" s="1">
        <f t="shared" si="17"/>
        <v>-0.3993020210892122</v>
      </c>
    </row>
    <row r="57" spans="1:43" x14ac:dyDescent="0.25">
      <c r="A57" s="10"/>
      <c r="B57" s="1">
        <v>42</v>
      </c>
      <c r="C57" s="1">
        <v>42</v>
      </c>
      <c r="E57" s="2">
        <f t="shared" si="31"/>
        <v>0.58571428571428574</v>
      </c>
      <c r="F57" s="2">
        <f t="shared" si="21"/>
        <v>3.0701530612244888E-2</v>
      </c>
      <c r="G57" s="2">
        <f t="shared" si="22"/>
        <v>3.0701530612244888E-2</v>
      </c>
      <c r="H57" s="2">
        <f t="shared" si="27"/>
        <v>0.59285714285714286</v>
      </c>
      <c r="I57" s="2">
        <f t="shared" si="28"/>
        <v>0.59285714285714286</v>
      </c>
      <c r="J57" s="2">
        <f t="shared" si="29"/>
        <v>3.0350765306122442E-2</v>
      </c>
      <c r="K57" s="2">
        <f t="shared" si="30"/>
        <v>3.0350765306122442E-2</v>
      </c>
      <c r="L57" s="2">
        <f t="shared" si="23"/>
        <v>-4.9107142857142849E-2</v>
      </c>
      <c r="M57" s="2">
        <f t="shared" si="24"/>
        <v>-4.9107142857142849E-2</v>
      </c>
      <c r="O57">
        <v>42</v>
      </c>
      <c r="P57" s="4">
        <f t="shared" si="19"/>
        <v>-0.30854927847756891</v>
      </c>
      <c r="Q57" s="4">
        <f t="shared" si="20"/>
        <v>-0.30854927847756891</v>
      </c>
      <c r="S57" s="1">
        <v>0.21070161824265624</v>
      </c>
      <c r="T57">
        <v>43</v>
      </c>
      <c r="U57" s="1">
        <v>0.58597545842509347</v>
      </c>
      <c r="W57" s="1">
        <f t="shared" si="10"/>
        <v>0.4181898806563592</v>
      </c>
      <c r="Y57" s="1">
        <f t="shared" si="11"/>
        <v>1.1814835478815122</v>
      </c>
      <c r="AA57" s="1">
        <f t="shared" si="12"/>
        <v>0.2090949403281796</v>
      </c>
      <c r="AC57" s="1">
        <f t="shared" si="13"/>
        <v>0.59074177394075611</v>
      </c>
      <c r="AE57" s="1">
        <f t="shared" si="14"/>
        <v>-0.2090949403281796</v>
      </c>
      <c r="AG57" s="1">
        <f t="shared" si="15"/>
        <v>-0.59074177394075611</v>
      </c>
      <c r="AI57" s="1">
        <f t="shared" si="25"/>
        <v>-0.25390099896993235</v>
      </c>
      <c r="AK57" s="1">
        <f t="shared" si="26"/>
        <v>-0.71732929692806091</v>
      </c>
      <c r="AN57" s="1">
        <f t="shared" si="16"/>
        <v>-0.14935352880584254</v>
      </c>
      <c r="AQ57" s="1">
        <f t="shared" si="17"/>
        <v>-0.42195840995768286</v>
      </c>
    </row>
    <row r="58" spans="1:43" x14ac:dyDescent="0.25">
      <c r="A58" s="10"/>
      <c r="B58" s="1">
        <v>43</v>
      </c>
      <c r="C58" s="1">
        <v>43</v>
      </c>
      <c r="E58" s="2">
        <f t="shared" si="31"/>
        <v>0.6</v>
      </c>
      <c r="F58" s="2">
        <f t="shared" si="21"/>
        <v>2.9999999999999992E-2</v>
      </c>
      <c r="G58" s="2">
        <f t="shared" si="22"/>
        <v>2.9999999999999992E-2</v>
      </c>
      <c r="H58" s="2">
        <f t="shared" si="27"/>
        <v>0.6071428571428571</v>
      </c>
      <c r="I58" s="2">
        <f t="shared" si="28"/>
        <v>0.6071428571428571</v>
      </c>
      <c r="J58" s="2">
        <f t="shared" si="29"/>
        <v>2.9636479591836726E-2</v>
      </c>
      <c r="K58" s="2">
        <f t="shared" si="30"/>
        <v>2.9636479591836726E-2</v>
      </c>
      <c r="L58" s="2">
        <f t="shared" si="23"/>
        <v>-5.0892857142857129E-2</v>
      </c>
      <c r="M58" s="2">
        <f t="shared" si="24"/>
        <v>-5.0892857142857129E-2</v>
      </c>
      <c r="O58">
        <v>43</v>
      </c>
      <c r="P58" s="4">
        <f t="shared" si="19"/>
        <v>-0.31976925224038955</v>
      </c>
      <c r="Q58" s="4">
        <f t="shared" si="20"/>
        <v>-0.31976925224038955</v>
      </c>
      <c r="S58" s="1">
        <v>0.20748826241370297</v>
      </c>
      <c r="T58">
        <v>44</v>
      </c>
      <c r="U58" s="1">
        <v>0.59550808945641864</v>
      </c>
      <c r="W58" s="1">
        <f t="shared" si="10"/>
        <v>0.4117135297729867</v>
      </c>
      <c r="Y58" s="1">
        <f t="shared" si="11"/>
        <v>1.20355183243373</v>
      </c>
      <c r="AA58" s="1">
        <f t="shared" si="12"/>
        <v>0.20585676488649335</v>
      </c>
      <c r="AC58" s="1">
        <f t="shared" si="13"/>
        <v>0.60177591621686499</v>
      </c>
      <c r="AE58" s="1">
        <f t="shared" si="14"/>
        <v>-0.20585676488649335</v>
      </c>
      <c r="AG58" s="1">
        <f t="shared" si="15"/>
        <v>-0.60177591621686499</v>
      </c>
      <c r="AI58" s="1">
        <f t="shared" si="25"/>
        <v>-0.25585055064464174</v>
      </c>
      <c r="AK58" s="1">
        <f t="shared" si="26"/>
        <v>-0.74792149586953227</v>
      </c>
      <c r="AN58" s="1">
        <f t="shared" si="16"/>
        <v>-0.15292216820139506</v>
      </c>
      <c r="AQ58" s="1">
        <f t="shared" si="17"/>
        <v>-0.44703353776109978</v>
      </c>
    </row>
    <row r="59" spans="1:43" x14ac:dyDescent="0.25">
      <c r="A59" s="10"/>
      <c r="B59" s="1">
        <v>44</v>
      </c>
      <c r="C59" s="1">
        <v>44</v>
      </c>
      <c r="E59" s="2">
        <f t="shared" si="31"/>
        <v>0.61428571428571421</v>
      </c>
      <c r="F59" s="2">
        <f t="shared" si="21"/>
        <v>2.9272959183673463E-2</v>
      </c>
      <c r="G59" s="2">
        <f t="shared" si="22"/>
        <v>2.9272959183673463E-2</v>
      </c>
      <c r="H59" s="2">
        <f t="shared" si="27"/>
        <v>0.62142857142857144</v>
      </c>
      <c r="I59" s="2">
        <f t="shared" si="28"/>
        <v>0.62142857142857144</v>
      </c>
      <c r="J59" s="2">
        <f t="shared" si="29"/>
        <v>2.8896683673469384E-2</v>
      </c>
      <c r="K59" s="2">
        <f t="shared" si="30"/>
        <v>2.8896683673469384E-2</v>
      </c>
      <c r="L59" s="2">
        <f t="shared" si="23"/>
        <v>-5.2678571428571422E-2</v>
      </c>
      <c r="M59" s="2">
        <f t="shared" si="24"/>
        <v>-5.2678571428571422E-2</v>
      </c>
      <c r="O59">
        <v>44</v>
      </c>
      <c r="P59" s="4">
        <f t="shared" si="19"/>
        <v>-0.33098922600321029</v>
      </c>
      <c r="Q59" s="4">
        <f t="shared" si="20"/>
        <v>-0.33098922600321029</v>
      </c>
      <c r="S59" s="1">
        <v>0.20422526735928373</v>
      </c>
      <c r="T59">
        <v>45</v>
      </c>
      <c r="U59" s="1">
        <v>0.60804374297731145</v>
      </c>
      <c r="W59" s="1">
        <f t="shared" si="10"/>
        <v>0.40512846408236569</v>
      </c>
      <c r="Y59" s="1">
        <f t="shared" si="11"/>
        <v>1.232944551326709</v>
      </c>
      <c r="AA59" s="1">
        <f t="shared" si="12"/>
        <v>0.20256423204118285</v>
      </c>
      <c r="AC59" s="1">
        <f t="shared" si="13"/>
        <v>0.6164722756633545</v>
      </c>
      <c r="AE59" s="1">
        <f t="shared" si="14"/>
        <v>-0.20256423204118285</v>
      </c>
      <c r="AG59" s="1">
        <f t="shared" si="15"/>
        <v>-0.6164722756633545</v>
      </c>
      <c r="AI59" s="1">
        <f t="shared" si="25"/>
        <v>-0.25754595216664672</v>
      </c>
      <c r="AK59" s="1">
        <f t="shared" si="26"/>
        <v>-0.78380046477197929</v>
      </c>
      <c r="AN59" s="1">
        <f t="shared" si="16"/>
        <v>-0.1562638361460553</v>
      </c>
      <c r="AQ59" s="1">
        <f t="shared" si="17"/>
        <v>-0.47556432694030204</v>
      </c>
    </row>
    <row r="60" spans="1:43" x14ac:dyDescent="0.25">
      <c r="A60" s="10"/>
      <c r="B60" s="1">
        <v>45</v>
      </c>
      <c r="C60" s="1">
        <v>45</v>
      </c>
      <c r="E60" s="2">
        <f t="shared" si="31"/>
        <v>0.62857142857142856</v>
      </c>
      <c r="F60" s="2">
        <f t="shared" si="21"/>
        <v>2.8520408163265301E-2</v>
      </c>
      <c r="G60" s="2">
        <f t="shared" si="22"/>
        <v>2.8520408163265301E-2</v>
      </c>
      <c r="H60" s="2">
        <f t="shared" si="27"/>
        <v>0.63571428571428568</v>
      </c>
      <c r="I60" s="2">
        <f t="shared" si="28"/>
        <v>0.63571428571428568</v>
      </c>
      <c r="J60" s="2">
        <f t="shared" si="29"/>
        <v>2.8131377551020402E-2</v>
      </c>
      <c r="K60" s="2">
        <f t="shared" si="30"/>
        <v>2.8131377551020402E-2</v>
      </c>
      <c r="L60" s="2">
        <f t="shared" si="23"/>
        <v>-5.4464285714285701E-2</v>
      </c>
      <c r="M60" s="2">
        <f t="shared" si="24"/>
        <v>-5.4464285714285701E-2</v>
      </c>
      <c r="O60">
        <v>45</v>
      </c>
      <c r="P60" s="4">
        <f t="shared" si="19"/>
        <v>-0.34220919976603098</v>
      </c>
      <c r="Q60" s="4">
        <f t="shared" si="20"/>
        <v>-0.34220919976603098</v>
      </c>
      <c r="S60" s="1">
        <v>0.20090319672308199</v>
      </c>
      <c r="T60">
        <v>46</v>
      </c>
      <c r="U60" s="1">
        <v>0.62490080834939754</v>
      </c>
      <c r="W60" s="1">
        <f t="shared" si="10"/>
        <v>0.39841575222144299</v>
      </c>
      <c r="Y60" s="1">
        <f t="shared" si="11"/>
        <v>1.2733713615145104</v>
      </c>
      <c r="AA60" s="1">
        <f t="shared" si="12"/>
        <v>0.19920787611072149</v>
      </c>
      <c r="AC60" s="1">
        <f t="shared" si="13"/>
        <v>0.63668568075725518</v>
      </c>
      <c r="AE60" s="1">
        <f t="shared" si="14"/>
        <v>-0.19920787611072149</v>
      </c>
      <c r="AG60" s="1">
        <f t="shared" si="15"/>
        <v>-0.63668568075725518</v>
      </c>
      <c r="AI60" s="1">
        <f t="shared" si="25"/>
        <v>-0.25897023894393789</v>
      </c>
      <c r="AK60" s="1">
        <f t="shared" si="26"/>
        <v>-0.82769138498443162</v>
      </c>
      <c r="AN60" s="1">
        <f t="shared" si="16"/>
        <v>-0.15936630088857714</v>
      </c>
      <c r="AQ60" s="1">
        <f t="shared" si="17"/>
        <v>-0.50934854460580403</v>
      </c>
    </row>
    <row r="61" spans="1:43" x14ac:dyDescent="0.25">
      <c r="A61" s="10"/>
      <c r="B61" s="1">
        <v>46</v>
      </c>
      <c r="C61" s="1">
        <v>46</v>
      </c>
      <c r="E61" s="2">
        <f t="shared" si="31"/>
        <v>0.64285714285714279</v>
      </c>
      <c r="F61" s="2">
        <f t="shared" si="21"/>
        <v>2.7742346938775506E-2</v>
      </c>
      <c r="G61" s="2">
        <f t="shared" si="22"/>
        <v>2.7742346938775506E-2</v>
      </c>
      <c r="H61" s="2">
        <f t="shared" si="27"/>
        <v>0.64999999999999991</v>
      </c>
      <c r="I61" s="2">
        <f t="shared" si="28"/>
        <v>0.64999999999999991</v>
      </c>
      <c r="J61" s="2">
        <f t="shared" si="29"/>
        <v>2.7340561224489787E-2</v>
      </c>
      <c r="K61" s="2">
        <f t="shared" si="30"/>
        <v>2.7340561224489787E-2</v>
      </c>
      <c r="L61" s="2">
        <f t="shared" si="23"/>
        <v>-5.6249999999999974E-2</v>
      </c>
      <c r="M61" s="2">
        <f t="shared" si="24"/>
        <v>-5.6249999999999974E-2</v>
      </c>
      <c r="O61">
        <v>46</v>
      </c>
      <c r="P61" s="4">
        <f t="shared" si="19"/>
        <v>-0.35342917352885156</v>
      </c>
      <c r="Q61" s="4">
        <f t="shared" si="20"/>
        <v>-0.35342917352885156</v>
      </c>
      <c r="S61" s="1">
        <v>0.19751255549836103</v>
      </c>
      <c r="T61">
        <v>47</v>
      </c>
      <c r="U61" s="1">
        <v>0.64847055316511293</v>
      </c>
      <c r="W61" s="1">
        <f t="shared" si="10"/>
        <v>0.39155620511210654</v>
      </c>
      <c r="Y61" s="1">
        <f t="shared" si="11"/>
        <v>1.3328368277163394</v>
      </c>
      <c r="AA61" s="1">
        <f t="shared" si="12"/>
        <v>0.19577810255605327</v>
      </c>
      <c r="AC61" s="1">
        <f t="shared" si="13"/>
        <v>0.66641841385816969</v>
      </c>
      <c r="AE61" s="1">
        <f t="shared" si="14"/>
        <v>-0.19577810255605327</v>
      </c>
      <c r="AG61" s="1">
        <f t="shared" si="15"/>
        <v>-0.66641841385816969</v>
      </c>
      <c r="AI61" s="1">
        <f t="shared" si="25"/>
        <v>-0.26010519339589933</v>
      </c>
      <c r="AK61" s="1">
        <f t="shared" si="26"/>
        <v>-0.88538446412585403</v>
      </c>
      <c r="AN61" s="1">
        <f t="shared" si="16"/>
        <v>-0.16221614211787269</v>
      </c>
      <c r="AQ61" s="1">
        <f t="shared" si="17"/>
        <v>-0.55217525719676919</v>
      </c>
    </row>
    <row r="62" spans="1:43" x14ac:dyDescent="0.25">
      <c r="A62" s="10"/>
      <c r="B62" s="1">
        <v>47</v>
      </c>
      <c r="C62" s="1">
        <v>47</v>
      </c>
      <c r="E62" s="2">
        <f t="shared" si="31"/>
        <v>0.65714285714285714</v>
      </c>
      <c r="F62" s="2">
        <f t="shared" ref="F62:F86" si="32">($B$11/(1-$B$8)^2)*(1-2*$B$8+2*$B$8*E62-E62^2)</f>
        <v>2.6938775510204068E-2</v>
      </c>
      <c r="G62" s="2">
        <f t="shared" si="22"/>
        <v>2.6938775510204068E-2</v>
      </c>
      <c r="H62" s="2">
        <f t="shared" si="27"/>
        <v>0.66428571428571426</v>
      </c>
      <c r="I62" s="2">
        <f t="shared" si="28"/>
        <v>0.66428571428571426</v>
      </c>
      <c r="J62" s="2">
        <f t="shared" si="29"/>
        <v>2.6524234693877543E-2</v>
      </c>
      <c r="K62" s="2">
        <f t="shared" si="30"/>
        <v>2.6524234693877543E-2</v>
      </c>
      <c r="L62" s="2">
        <f t="shared" ref="L62:L86" si="33">(2*$B$8*$B$11-2*$B$11*H62)/(1-$B$8)^2</f>
        <v>-5.8035714285714274E-2</v>
      </c>
      <c r="M62" s="2">
        <f t="shared" si="24"/>
        <v>-5.8035714285714274E-2</v>
      </c>
      <c r="O62">
        <v>47</v>
      </c>
      <c r="P62" s="4">
        <f t="shared" si="19"/>
        <v>-0.36464914729167236</v>
      </c>
      <c r="Q62" s="4">
        <f t="shared" si="20"/>
        <v>-0.36464914729167236</v>
      </c>
      <c r="S62" s="1">
        <v>0.19404364961374548</v>
      </c>
      <c r="T62">
        <v>48</v>
      </c>
      <c r="U62" s="1">
        <v>0.68436627455122645</v>
      </c>
      <c r="W62" s="1">
        <f t="shared" si="10"/>
        <v>0.38453008655148274</v>
      </c>
      <c r="Y62" s="1">
        <f t="shared" si="11"/>
        <v>1.4234815373243683</v>
      </c>
      <c r="AA62" s="1">
        <f t="shared" si="12"/>
        <v>0.19226504327574137</v>
      </c>
      <c r="AC62" s="1">
        <f t="shared" si="13"/>
        <v>0.71174076866218416</v>
      </c>
      <c r="AE62" s="1">
        <f t="shared" si="14"/>
        <v>-0.19226504327574137</v>
      </c>
      <c r="AG62" s="1">
        <f t="shared" si="15"/>
        <v>-0.71174076866218416</v>
      </c>
      <c r="AI62" s="1">
        <f t="shared" si="25"/>
        <v>-0.26093113015993474</v>
      </c>
      <c r="AK62" s="1">
        <f t="shared" si="26"/>
        <v>-0.96593390032725002</v>
      </c>
      <c r="AN62" s="1">
        <f t="shared" si="16"/>
        <v>-0.16479860852206407</v>
      </c>
      <c r="AQ62" s="1">
        <f t="shared" si="17"/>
        <v>-0.61006351599615793</v>
      </c>
    </row>
    <row r="63" spans="1:43" x14ac:dyDescent="0.25">
      <c r="A63" s="10"/>
      <c r="B63" s="1">
        <v>48</v>
      </c>
      <c r="C63" s="1">
        <v>48</v>
      </c>
      <c r="E63" s="2">
        <f t="shared" si="31"/>
        <v>0.67142857142857137</v>
      </c>
      <c r="F63" s="2">
        <f t="shared" si="32"/>
        <v>2.6109693877551018E-2</v>
      </c>
      <c r="G63" s="2">
        <f t="shared" si="22"/>
        <v>2.6109693877551018E-2</v>
      </c>
      <c r="H63" s="2">
        <f t="shared" si="27"/>
        <v>0.6785714285714286</v>
      </c>
      <c r="I63" s="2">
        <f t="shared" si="28"/>
        <v>0.6785714285714286</v>
      </c>
      <c r="J63" s="2">
        <f t="shared" si="29"/>
        <v>2.5682397959183669E-2</v>
      </c>
      <c r="K63" s="2">
        <f t="shared" si="30"/>
        <v>2.5682397959183669E-2</v>
      </c>
      <c r="L63" s="2">
        <f t="shared" si="33"/>
        <v>-5.9821428571428567E-2</v>
      </c>
      <c r="M63" s="2">
        <f t="shared" si="24"/>
        <v>-5.9821428571428567E-2</v>
      </c>
      <c r="O63">
        <v>48</v>
      </c>
      <c r="P63" s="4">
        <f t="shared" si="19"/>
        <v>-0.3758691210544931</v>
      </c>
      <c r="Q63" s="4">
        <f t="shared" si="20"/>
        <v>-0.3758691210544931</v>
      </c>
      <c r="S63" s="1">
        <v>0.19048643693773726</v>
      </c>
      <c r="T63">
        <v>49</v>
      </c>
      <c r="U63" s="1">
        <v>0.73911526277314188</v>
      </c>
      <c r="W63" s="1">
        <f t="shared" si="10"/>
        <v>0.37731680055486122</v>
      </c>
      <c r="Y63" s="1">
        <f t="shared" si="11"/>
        <v>1.7418878136128395</v>
      </c>
      <c r="AA63" s="1">
        <f t="shared" si="12"/>
        <v>0.18865840027743061</v>
      </c>
      <c r="AC63" s="1">
        <f t="shared" si="13"/>
        <v>0.87094390680641975</v>
      </c>
      <c r="AE63" s="1">
        <f t="shared" si="14"/>
        <v>-0.18865840027743061</v>
      </c>
      <c r="AG63" s="1">
        <f t="shared" si="15"/>
        <v>-0.87094390680641975</v>
      </c>
      <c r="AI63" s="1">
        <f t="shared" si="25"/>
        <v>-0.26142664038443958</v>
      </c>
      <c r="AK63" s="1">
        <f t="shared" si="26"/>
        <v>-1.2068794137174674</v>
      </c>
      <c r="AN63" s="1">
        <f t="shared" si="16"/>
        <v>-0.16709744024572426</v>
      </c>
      <c r="AQ63" s="1">
        <f t="shared" si="17"/>
        <v>-0.77140746031425755</v>
      </c>
    </row>
    <row r="64" spans="1:43" x14ac:dyDescent="0.25">
      <c r="A64" s="10"/>
      <c r="B64" s="1">
        <v>49</v>
      </c>
      <c r="C64" s="1">
        <v>49</v>
      </c>
      <c r="E64" s="2">
        <f t="shared" si="31"/>
        <v>0.68571428571428572</v>
      </c>
      <c r="F64" s="2">
        <f t="shared" si="32"/>
        <v>2.5255102040816321E-2</v>
      </c>
      <c r="G64" s="2">
        <f t="shared" si="22"/>
        <v>2.5255102040816321E-2</v>
      </c>
      <c r="H64" s="2">
        <f t="shared" si="27"/>
        <v>0.69285714285714284</v>
      </c>
      <c r="I64" s="2">
        <f t="shared" si="28"/>
        <v>0.69285714285714284</v>
      </c>
      <c r="J64" s="2">
        <f t="shared" si="29"/>
        <v>2.4815051020408155E-2</v>
      </c>
      <c r="K64" s="2">
        <f t="shared" si="30"/>
        <v>2.4815051020408155E-2</v>
      </c>
      <c r="L64" s="2">
        <f t="shared" si="33"/>
        <v>-6.1607142857142846E-2</v>
      </c>
      <c r="M64" s="2">
        <f t="shared" si="24"/>
        <v>-6.1607142857142846E-2</v>
      </c>
      <c r="O64">
        <v>49</v>
      </c>
      <c r="P64" s="4">
        <f t="shared" si="19"/>
        <v>-0.38708909481731374</v>
      </c>
      <c r="Q64" s="4">
        <f t="shared" si="20"/>
        <v>-0.38708909481731374</v>
      </c>
      <c r="S64" s="1">
        <v>0.18683036361712396</v>
      </c>
      <c r="T64">
        <v>50</v>
      </c>
      <c r="U64" s="1">
        <v>1.0027725508396976</v>
      </c>
      <c r="W64" s="1">
        <f t="shared" si="10"/>
        <v>0.36989454199323779</v>
      </c>
      <c r="Y64" s="1">
        <f t="shared" si="11"/>
        <v>1.7253780573231483</v>
      </c>
      <c r="AA64" s="1">
        <f t="shared" si="12"/>
        <v>0.1849472709966189</v>
      </c>
      <c r="AC64" s="1">
        <f t="shared" si="13"/>
        <v>0.86268902866157415</v>
      </c>
      <c r="AE64" s="1">
        <f t="shared" si="14"/>
        <v>-0.1849472709966189</v>
      </c>
      <c r="AG64" s="1">
        <f t="shared" si="15"/>
        <v>-0.86268902866157415</v>
      </c>
      <c r="AI64" s="1">
        <f t="shared" si="25"/>
        <v>-0.26156828326664672</v>
      </c>
      <c r="AK64" s="1">
        <f t="shared" si="26"/>
        <v>-1.2200887691070834</v>
      </c>
      <c r="AN64" s="1">
        <f t="shared" si="16"/>
        <v>-0.16909464776833727</v>
      </c>
      <c r="AQ64" s="1">
        <f t="shared" si="17"/>
        <v>-0.78874425477629639</v>
      </c>
    </row>
    <row r="65" spans="1:43" x14ac:dyDescent="0.25">
      <c r="A65" s="10"/>
      <c r="B65" s="1">
        <v>50</v>
      </c>
      <c r="C65" s="1">
        <v>50</v>
      </c>
      <c r="E65" s="2">
        <f t="shared" si="31"/>
        <v>0.7</v>
      </c>
      <c r="F65" s="2">
        <f t="shared" si="32"/>
        <v>2.437499999999999E-2</v>
      </c>
      <c r="G65" s="2">
        <f t="shared" ref="G65:G86" si="34">($B$11/(1-$B$8)^2)*(1-2*$B$8+2*$B$8*E65-E65^2)-$B$10*(E65-(1-$B$7))</f>
        <v>2.437499999999999E-2</v>
      </c>
      <c r="H65" s="2">
        <f t="shared" si="27"/>
        <v>0.70714285714285707</v>
      </c>
      <c r="I65" s="2">
        <f t="shared" si="28"/>
        <v>0.70714285714285707</v>
      </c>
      <c r="J65" s="2">
        <f t="shared" si="29"/>
        <v>2.3922193877551012E-2</v>
      </c>
      <c r="K65" s="2">
        <f t="shared" si="30"/>
        <v>2.2675530126126484E-2</v>
      </c>
      <c r="L65" s="2">
        <f t="shared" si="33"/>
        <v>-6.3392857142857112E-2</v>
      </c>
      <c r="M65" s="2">
        <f t="shared" ref="M65:M86" si="35">(2*$B$8*$B$11-2*$B$11*H65)/(1-$B$8)^2-$B$10</f>
        <v>-0.23792578234229006</v>
      </c>
      <c r="O65">
        <v>50</v>
      </c>
      <c r="P65" s="4">
        <f t="shared" si="19"/>
        <v>-0.39830906858013426</v>
      </c>
      <c r="Q65" s="4">
        <f t="shared" si="20"/>
        <v>-1.4949317798122852</v>
      </c>
      <c r="S65" s="1">
        <v>0.18306417837611383</v>
      </c>
      <c r="T65">
        <v>51</v>
      </c>
      <c r="U65" s="1">
        <v>0.72260550648345068</v>
      </c>
      <c r="W65" s="1">
        <f t="shared" si="10"/>
        <v>0.36223989379578259</v>
      </c>
      <c r="Y65" s="1">
        <f t="shared" si="11"/>
        <v>1.373902472150458</v>
      </c>
      <c r="AA65" s="1">
        <f t="shared" si="12"/>
        <v>0.18111994689789129</v>
      </c>
      <c r="AC65" s="1">
        <f t="shared" si="13"/>
        <v>0.68695123607522901</v>
      </c>
      <c r="AE65" s="1">
        <f t="shared" si="14"/>
        <v>-0.18111994689789129</v>
      </c>
      <c r="AG65" s="1">
        <f t="shared" si="15"/>
        <v>-0.68695123607522901</v>
      </c>
      <c r="AI65" s="1">
        <f t="shared" si="25"/>
        <v>-0.26133020909552884</v>
      </c>
      <c r="AK65" s="1">
        <f t="shared" si="26"/>
        <v>-0.99117249776568761</v>
      </c>
      <c r="AN65" s="1">
        <f t="shared" si="16"/>
        <v>-0.1707702356465832</v>
      </c>
      <c r="AQ65" s="1">
        <f t="shared" si="17"/>
        <v>-0.6476968797280731</v>
      </c>
    </row>
    <row r="66" spans="1:43" x14ac:dyDescent="0.25">
      <c r="A66" s="10"/>
      <c r="B66" s="1">
        <v>51</v>
      </c>
      <c r="C66" s="1">
        <v>51</v>
      </c>
      <c r="E66" s="2">
        <f t="shared" si="31"/>
        <v>0.7142857142857143</v>
      </c>
      <c r="F66" s="2">
        <f t="shared" si="32"/>
        <v>2.3469387755102031E-2</v>
      </c>
      <c r="G66" s="2">
        <f t="shared" si="34"/>
        <v>2.0976060252252977E-2</v>
      </c>
      <c r="H66" s="2">
        <f t="shared" si="27"/>
        <v>0.72142857142857142</v>
      </c>
      <c r="I66" s="2">
        <f t="shared" si="28"/>
        <v>0.72142857142857142</v>
      </c>
      <c r="J66" s="2">
        <f t="shared" si="29"/>
        <v>2.300382653061224E-2</v>
      </c>
      <c r="K66" s="2">
        <f t="shared" si="30"/>
        <v>1.9263835276338674E-2</v>
      </c>
      <c r="L66" s="2">
        <f t="shared" si="33"/>
        <v>-6.5178571428571419E-2</v>
      </c>
      <c r="M66" s="2">
        <f t="shared" si="35"/>
        <v>-0.23971149662800437</v>
      </c>
      <c r="O66">
        <v>51</v>
      </c>
      <c r="P66" s="4">
        <f t="shared" si="19"/>
        <v>-0.40952904234295512</v>
      </c>
      <c r="Q66" s="4">
        <f t="shared" si="20"/>
        <v>-1.5061517535751059</v>
      </c>
      <c r="S66" s="1">
        <v>0.17917571541966879</v>
      </c>
      <c r="T66">
        <v>52</v>
      </c>
      <c r="U66" s="1">
        <v>0.65129696566700734</v>
      </c>
      <c r="W66" s="1">
        <f t="shared" si="10"/>
        <v>0.35432734902644381</v>
      </c>
      <c r="Y66" s="1">
        <f t="shared" si="11"/>
        <v>1.250038012596326</v>
      </c>
      <c r="AA66" s="1">
        <f t="shared" si="12"/>
        <v>0.1771636745132219</v>
      </c>
      <c r="AC66" s="1">
        <f t="shared" si="13"/>
        <v>0.62501900629816298</v>
      </c>
      <c r="AE66" s="1">
        <f t="shared" si="14"/>
        <v>-0.1771636745132219</v>
      </c>
      <c r="AG66" s="1">
        <f t="shared" si="15"/>
        <v>-0.62501900629816298</v>
      </c>
      <c r="AI66" s="1">
        <f t="shared" si="25"/>
        <v>-0.26068369249802653</v>
      </c>
      <c r="AK66" s="1">
        <f t="shared" si="26"/>
        <v>-0.91967082355301133</v>
      </c>
      <c r="AN66" s="1">
        <f t="shared" si="16"/>
        <v>-0.17210185524141558</v>
      </c>
      <c r="AQ66" s="1">
        <f t="shared" si="17"/>
        <v>-0.60716132040392989</v>
      </c>
    </row>
    <row r="67" spans="1:43" x14ac:dyDescent="0.25">
      <c r="A67" s="10"/>
      <c r="B67" s="1">
        <v>52</v>
      </c>
      <c r="C67" s="1">
        <v>52</v>
      </c>
      <c r="E67" s="2">
        <f t="shared" si="31"/>
        <v>0.72857142857142854</v>
      </c>
      <c r="F67" s="2">
        <f t="shared" si="32"/>
        <v>2.2538265306122452E-2</v>
      </c>
      <c r="G67" s="2">
        <f t="shared" si="34"/>
        <v>1.7551610300424368E-2</v>
      </c>
      <c r="H67" s="2">
        <f t="shared" si="27"/>
        <v>0.73571428571428577</v>
      </c>
      <c r="I67" s="2">
        <f t="shared" si="28"/>
        <v>0.73571428571428577</v>
      </c>
      <c r="J67" s="2">
        <f t="shared" si="29"/>
        <v>2.2059948979591834E-2</v>
      </c>
      <c r="K67" s="2">
        <f t="shared" si="30"/>
        <v>1.5826630222469225E-2</v>
      </c>
      <c r="L67" s="2">
        <f t="shared" si="33"/>
        <v>-6.6964285714285712E-2</v>
      </c>
      <c r="M67" s="2">
        <f t="shared" si="35"/>
        <v>-0.24149721091371867</v>
      </c>
      <c r="O67">
        <v>52</v>
      </c>
      <c r="P67" s="4">
        <f t="shared" si="19"/>
        <v>-0.42074901610577586</v>
      </c>
      <c r="Q67" s="4">
        <f t="shared" si="20"/>
        <v>-1.5173717273379268</v>
      </c>
      <c r="S67" s="1">
        <v>0.17515163360677505</v>
      </c>
      <c r="T67">
        <v>53</v>
      </c>
      <c r="U67" s="1">
        <v>0.59874104692931862</v>
      </c>
      <c r="W67" s="1">
        <f t="shared" si="10"/>
        <v>0.34612872870899825</v>
      </c>
      <c r="Y67" s="1">
        <f t="shared" si="11"/>
        <v>1.1570984872940622</v>
      </c>
      <c r="AA67" s="1">
        <f t="shared" si="12"/>
        <v>0.17306436435449912</v>
      </c>
      <c r="AC67" s="1">
        <f t="shared" si="13"/>
        <v>0.57854924364703109</v>
      </c>
      <c r="AE67" s="1">
        <f t="shared" si="14"/>
        <v>-0.17306436435449912</v>
      </c>
      <c r="AG67" s="1">
        <f t="shared" si="15"/>
        <v>-0.57854924364703109</v>
      </c>
      <c r="AI67" s="1">
        <f t="shared" si="25"/>
        <v>-0.25959654653174868</v>
      </c>
      <c r="AK67" s="1">
        <f t="shared" si="26"/>
        <v>-0.86782386547054657</v>
      </c>
      <c r="AN67" s="1">
        <f t="shared" si="16"/>
        <v>-0.17306436435449912</v>
      </c>
      <c r="AQ67" s="1">
        <f t="shared" si="17"/>
        <v>-0.57854924364703098</v>
      </c>
    </row>
    <row r="68" spans="1:43" x14ac:dyDescent="0.25">
      <c r="A68" s="10"/>
      <c r="B68" s="1">
        <v>53</v>
      </c>
      <c r="C68" s="1">
        <v>53</v>
      </c>
      <c r="E68" s="2">
        <f t="shared" si="31"/>
        <v>0.74285714285714288</v>
      </c>
      <c r="F68" s="2">
        <f t="shared" si="32"/>
        <v>2.1581632653061216E-2</v>
      </c>
      <c r="G68" s="2">
        <f t="shared" si="34"/>
        <v>1.4101650144514078E-2</v>
      </c>
      <c r="H68" s="2">
        <f t="shared" si="27"/>
        <v>0.75</v>
      </c>
      <c r="I68" s="2">
        <f t="shared" si="28"/>
        <v>0.75</v>
      </c>
      <c r="J68" s="2">
        <f t="shared" si="29"/>
        <v>2.1090561224489789E-2</v>
      </c>
      <c r="K68" s="2">
        <f t="shared" si="30"/>
        <v>1.2363914964518134E-2</v>
      </c>
      <c r="L68" s="2">
        <f t="shared" si="33"/>
        <v>-6.8749999999999978E-2</v>
      </c>
      <c r="M68" s="2">
        <f t="shared" si="35"/>
        <v>-0.24328292519943293</v>
      </c>
      <c r="O68">
        <v>53</v>
      </c>
      <c r="P68" s="4">
        <f t="shared" si="19"/>
        <v>-0.43196898986859639</v>
      </c>
      <c r="Q68" s="4">
        <f t="shared" si="20"/>
        <v>-1.5285917011007473</v>
      </c>
      <c r="S68" s="1">
        <v>0.1709770951022232</v>
      </c>
      <c r="T68">
        <v>54</v>
      </c>
      <c r="U68" s="1">
        <v>0.55835744036474355</v>
      </c>
      <c r="W68" s="1">
        <f t="shared" si="10"/>
        <v>0.33761245508835713</v>
      </c>
      <c r="Y68" s="1">
        <f t="shared" si="11"/>
        <v>1.0828338367213943</v>
      </c>
      <c r="AA68" s="1">
        <f t="shared" si="12"/>
        <v>0.16880622754417857</v>
      </c>
      <c r="AC68" s="1">
        <f t="shared" si="13"/>
        <v>0.54141691836069716</v>
      </c>
      <c r="AE68" s="1">
        <f t="shared" si="14"/>
        <v>-0.16880622754417857</v>
      </c>
      <c r="AG68" s="1">
        <f t="shared" si="15"/>
        <v>-0.54141691836069716</v>
      </c>
      <c r="AI68" s="1">
        <f t="shared" si="25"/>
        <v>-0.25803237638895865</v>
      </c>
      <c r="AK68" s="1">
        <f t="shared" si="26"/>
        <v>-0.82759443235135133</v>
      </c>
      <c r="AN68" s="1">
        <f t="shared" si="16"/>
        <v>-0.17362926261686937</v>
      </c>
      <c r="AQ68" s="1">
        <f t="shared" si="17"/>
        <v>-0.55688597317100275</v>
      </c>
    </row>
    <row r="69" spans="1:43" x14ac:dyDescent="0.25">
      <c r="A69" s="10"/>
      <c r="B69" s="1">
        <v>54</v>
      </c>
      <c r="C69" s="1">
        <v>54</v>
      </c>
      <c r="E69" s="2">
        <f t="shared" si="31"/>
        <v>0.75714285714285712</v>
      </c>
      <c r="F69" s="2">
        <f t="shared" si="32"/>
        <v>2.0599489795918361E-2</v>
      </c>
      <c r="G69" s="2">
        <f t="shared" si="34"/>
        <v>1.062617978452219E-2</v>
      </c>
      <c r="H69" s="2">
        <f t="shared" si="27"/>
        <v>0.76428571428571423</v>
      </c>
      <c r="I69" s="2">
        <f t="shared" si="28"/>
        <v>0.76428571428571423</v>
      </c>
      <c r="J69" s="2">
        <f t="shared" si="29"/>
        <v>2.0095663265306121E-2</v>
      </c>
      <c r="K69" s="2">
        <f t="shared" si="30"/>
        <v>8.8756895024854326E-3</v>
      </c>
      <c r="L69" s="2">
        <f t="shared" si="33"/>
        <v>-7.0535714285714257E-2</v>
      </c>
      <c r="M69" s="2">
        <f t="shared" si="35"/>
        <v>-0.2450686394851472</v>
      </c>
      <c r="O69">
        <v>54</v>
      </c>
      <c r="P69" s="4">
        <f t="shared" si="19"/>
        <v>-0.44318896363141708</v>
      </c>
      <c r="Q69" s="4">
        <f t="shared" si="20"/>
        <v>-1.539811674863568</v>
      </c>
      <c r="S69" s="1">
        <v>0.16663535998613391</v>
      </c>
      <c r="T69">
        <v>55</v>
      </c>
      <c r="U69" s="1">
        <v>0.52447639635665089</v>
      </c>
      <c r="W69" s="1">
        <f t="shared" si="10"/>
        <v>0.32874262296158474</v>
      </c>
      <c r="Y69" s="1">
        <f t="shared" si="11"/>
        <v>1.0191216586494363</v>
      </c>
      <c r="AA69" s="1">
        <f t="shared" si="12"/>
        <v>0.16437131148079237</v>
      </c>
      <c r="AC69" s="1">
        <f t="shared" si="13"/>
        <v>0.50956082932471813</v>
      </c>
      <c r="AE69" s="1">
        <f t="shared" si="14"/>
        <v>-0.16437131148079237</v>
      </c>
      <c r="AG69" s="1">
        <f t="shared" si="15"/>
        <v>-0.50956082932471813</v>
      </c>
      <c r="AI69" s="1">
        <f t="shared" si="25"/>
        <v>-0.25594961359151952</v>
      </c>
      <c r="AK69" s="1">
        <f t="shared" si="26"/>
        <v>-0.79345900566277527</v>
      </c>
      <c r="AN69" s="1">
        <f t="shared" si="16"/>
        <v>-0.17376395785112334</v>
      </c>
      <c r="AQ69" s="1">
        <f t="shared" si="17"/>
        <v>-0.53867859100041615</v>
      </c>
    </row>
    <row r="70" spans="1:43" x14ac:dyDescent="0.25">
      <c r="A70" s="10"/>
      <c r="B70" s="1">
        <v>55</v>
      </c>
      <c r="C70" s="1">
        <v>55</v>
      </c>
      <c r="E70" s="2">
        <f t="shared" si="31"/>
        <v>0.77142857142857135</v>
      </c>
      <c r="F70" s="2">
        <f t="shared" si="32"/>
        <v>1.959183673469388E-2</v>
      </c>
      <c r="G70" s="2">
        <f t="shared" si="34"/>
        <v>7.1251992204486754E-3</v>
      </c>
      <c r="H70" s="2">
        <f t="shared" si="27"/>
        <v>0.77857142857142847</v>
      </c>
      <c r="I70" s="2">
        <f t="shared" si="28"/>
        <v>0.77857142857142847</v>
      </c>
      <c r="J70" s="2">
        <f t="shared" si="29"/>
        <v>1.9075255102040816E-2</v>
      </c>
      <c r="K70" s="2">
        <f t="shared" si="30"/>
        <v>5.3619538363710853E-3</v>
      </c>
      <c r="L70" s="2">
        <f t="shared" si="33"/>
        <v>-7.232142857142855E-2</v>
      </c>
      <c r="M70" s="2">
        <f t="shared" si="35"/>
        <v>-0.24685435377086151</v>
      </c>
      <c r="O70">
        <v>55</v>
      </c>
      <c r="P70" s="4">
        <f t="shared" si="19"/>
        <v>-0.45440893739423782</v>
      </c>
      <c r="Q70" s="4">
        <f t="shared" si="20"/>
        <v>-1.5510316486263886</v>
      </c>
      <c r="S70" s="1">
        <v>0.16210726297545086</v>
      </c>
      <c r="T70">
        <v>56</v>
      </c>
      <c r="U70" s="1">
        <v>0.49464526229278538</v>
      </c>
      <c r="W70" s="1">
        <f t="shared" si="10"/>
        <v>0.31947778519651787</v>
      </c>
      <c r="Y70" s="1">
        <f t="shared" si="11"/>
        <v>0.96212272525097842</v>
      </c>
      <c r="AA70" s="1">
        <f t="shared" si="12"/>
        <v>0.15973889259825894</v>
      </c>
      <c r="AC70" s="1">
        <f t="shared" si="13"/>
        <v>0.48106136262548921</v>
      </c>
      <c r="AE70" s="1">
        <f t="shared" si="14"/>
        <v>-0.15973889259825894</v>
      </c>
      <c r="AG70" s="1">
        <f t="shared" si="15"/>
        <v>-0.48106136262548921</v>
      </c>
      <c r="AI70" s="1">
        <f t="shared" si="25"/>
        <v>-0.25330024397723916</v>
      </c>
      <c r="AK70" s="1">
        <f t="shared" si="26"/>
        <v>-0.76282587502041854</v>
      </c>
      <c r="AN70" s="1">
        <f t="shared" si="16"/>
        <v>-0.1734307976781097</v>
      </c>
      <c r="AQ70" s="1">
        <f t="shared" si="17"/>
        <v>-0.52229519370767397</v>
      </c>
    </row>
    <row r="71" spans="1:43" x14ac:dyDescent="0.25">
      <c r="A71" s="10"/>
      <c r="B71" s="1">
        <v>56</v>
      </c>
      <c r="C71" s="1">
        <v>56</v>
      </c>
      <c r="E71" s="2">
        <f t="shared" si="31"/>
        <v>0.7857142857142857</v>
      </c>
      <c r="F71" s="2">
        <f t="shared" si="32"/>
        <v>1.8558673469387752E-2</v>
      </c>
      <c r="G71" s="2">
        <f t="shared" si="34"/>
        <v>3.5987084522934951E-3</v>
      </c>
      <c r="H71" s="2">
        <f t="shared" si="27"/>
        <v>0.79285714285714282</v>
      </c>
      <c r="I71" s="2">
        <f t="shared" si="28"/>
        <v>0.79285714285714282</v>
      </c>
      <c r="J71" s="2">
        <f t="shared" si="29"/>
        <v>1.8029336734693875E-2</v>
      </c>
      <c r="K71" s="2">
        <f t="shared" si="30"/>
        <v>1.8227079661751007E-3</v>
      </c>
      <c r="L71" s="2">
        <f t="shared" si="33"/>
        <v>-7.4107142857142844E-2</v>
      </c>
      <c r="M71" s="2">
        <f t="shared" si="35"/>
        <v>-0.24864006805657579</v>
      </c>
      <c r="O71">
        <v>56</v>
      </c>
      <c r="P71" s="4">
        <f t="shared" si="19"/>
        <v>-0.46562891115705851</v>
      </c>
      <c r="Q71" s="4">
        <f t="shared" si="20"/>
        <v>-1.5622516223892093</v>
      </c>
      <c r="S71" s="1">
        <v>0.15737052222106701</v>
      </c>
      <c r="T71">
        <v>57</v>
      </c>
      <c r="U71" s="1">
        <v>0.46747746295819304</v>
      </c>
      <c r="W71" s="1">
        <f t="shared" si="10"/>
        <v>0.30976932629581</v>
      </c>
      <c r="Y71" s="1">
        <f t="shared" si="11"/>
        <v>0.9095826337310341</v>
      </c>
      <c r="AA71" s="1">
        <f t="shared" si="12"/>
        <v>0.154884663147905</v>
      </c>
      <c r="AC71" s="1">
        <f t="shared" si="13"/>
        <v>0.45479131686551705</v>
      </c>
      <c r="AE71" s="1">
        <f t="shared" si="14"/>
        <v>-0.154884663147905</v>
      </c>
      <c r="AG71" s="1">
        <f t="shared" si="15"/>
        <v>-0.45479131686551705</v>
      </c>
      <c r="AI71" s="1">
        <f t="shared" si="25"/>
        <v>-0.25002809908161805</v>
      </c>
      <c r="AK71" s="1">
        <f t="shared" si="26"/>
        <v>-0.73416312579719178</v>
      </c>
      <c r="AN71" s="1">
        <f t="shared" si="16"/>
        <v>-0.17258576750766555</v>
      </c>
      <c r="AQ71" s="1">
        <f t="shared" si="17"/>
        <v>-0.50676746736443323</v>
      </c>
    </row>
    <row r="72" spans="1:43" x14ac:dyDescent="0.25">
      <c r="A72" s="10"/>
      <c r="B72" s="1">
        <v>57</v>
      </c>
      <c r="C72" s="1">
        <v>57</v>
      </c>
      <c r="E72" s="2">
        <f t="shared" si="31"/>
        <v>0.79999999999999993</v>
      </c>
      <c r="F72" s="2">
        <f t="shared" si="32"/>
        <v>1.7499999999999998E-2</v>
      </c>
      <c r="G72" s="2">
        <f t="shared" si="34"/>
        <v>4.6707480056706191E-5</v>
      </c>
      <c r="H72" s="2">
        <f t="shared" si="27"/>
        <v>0.80714285714285716</v>
      </c>
      <c r="I72" s="2">
        <f t="shared" si="28"/>
        <v>0.80714285714285716</v>
      </c>
      <c r="J72" s="2">
        <f t="shared" si="29"/>
        <v>1.6957908163265305E-2</v>
      </c>
      <c r="K72" s="2">
        <f t="shared" si="30"/>
        <v>-1.7420481081025126E-3</v>
      </c>
      <c r="L72" s="2">
        <f t="shared" si="33"/>
        <v>-7.5892857142857123E-2</v>
      </c>
      <c r="M72" s="2">
        <f t="shared" si="35"/>
        <v>-0.25042578234229007</v>
      </c>
      <c r="O72">
        <v>57</v>
      </c>
      <c r="P72" s="4">
        <f t="shared" si="19"/>
        <v>-0.4768488849198792</v>
      </c>
      <c r="Q72" s="4">
        <f t="shared" si="20"/>
        <v>-1.57347159615203</v>
      </c>
      <c r="S72" s="1">
        <v>0.15239880407474296</v>
      </c>
      <c r="T72">
        <v>58</v>
      </c>
      <c r="U72" s="1">
        <v>0.44210517077284106</v>
      </c>
      <c r="W72" s="1">
        <f t="shared" si="10"/>
        <v>0.29955922848076832</v>
      </c>
      <c r="Y72" s="1">
        <f t="shared" si="11"/>
        <v>0.86003563385487891</v>
      </c>
      <c r="AA72" s="1">
        <f t="shared" si="12"/>
        <v>0.14977961424038416</v>
      </c>
      <c r="AC72" s="1">
        <f t="shared" si="13"/>
        <v>0.43001781692743946</v>
      </c>
      <c r="AE72" s="1">
        <f t="shared" si="14"/>
        <v>-0.14977961424038416</v>
      </c>
      <c r="AG72" s="1">
        <f t="shared" si="15"/>
        <v>-0.43001781692743946</v>
      </c>
      <c r="AI72" s="1">
        <f t="shared" si="25"/>
        <v>-0.24606650910920255</v>
      </c>
      <c r="AK72" s="1">
        <f t="shared" si="26"/>
        <v>-0.70645784209507911</v>
      </c>
      <c r="AN72" s="1">
        <f t="shared" si="16"/>
        <v>-0.17117670198901047</v>
      </c>
      <c r="AQ72" s="1">
        <f t="shared" si="17"/>
        <v>-0.49144893363135939</v>
      </c>
    </row>
    <row r="73" spans="1:43" x14ac:dyDescent="0.25">
      <c r="A73" s="10"/>
      <c r="B73" s="1">
        <v>58</v>
      </c>
      <c r="C73" s="1">
        <v>58</v>
      </c>
      <c r="E73" s="2">
        <f t="shared" si="31"/>
        <v>0.81428571428571428</v>
      </c>
      <c r="F73" s="2">
        <f t="shared" si="32"/>
        <v>1.6415816326530611E-2</v>
      </c>
      <c r="G73" s="2">
        <f t="shared" si="34"/>
        <v>-3.5308036962617313E-3</v>
      </c>
      <c r="H73" s="2">
        <f t="shared" si="27"/>
        <v>0.8214285714285714</v>
      </c>
      <c r="I73" s="2">
        <f t="shared" si="28"/>
        <v>0.8214285714285714</v>
      </c>
      <c r="J73" s="2">
        <f t="shared" si="29"/>
        <v>1.5860969387755101E-2</v>
      </c>
      <c r="K73" s="2">
        <f>(G74+G73)/2</f>
        <v>-5.3323143864617579E-3</v>
      </c>
      <c r="L73" s="2">
        <f t="shared" si="33"/>
        <v>-7.7678571428571402E-2</v>
      </c>
      <c r="M73" s="2">
        <f t="shared" si="35"/>
        <v>-0.25221149662800435</v>
      </c>
      <c r="O73">
        <v>58</v>
      </c>
      <c r="P73" s="4">
        <f t="shared" si="19"/>
        <v>-0.48806885868269984</v>
      </c>
      <c r="Q73" s="4">
        <f t="shared" si="20"/>
        <v>-1.5846915699148507</v>
      </c>
      <c r="S73" s="1">
        <v>0.14716042440602536</v>
      </c>
      <c r="T73">
        <v>59</v>
      </c>
      <c r="U73" s="1">
        <v>0.4179304630820378</v>
      </c>
      <c r="W73" s="1">
        <f t="shared" si="10"/>
        <v>0.28877691680784368</v>
      </c>
      <c r="Y73" s="1">
        <f t="shared" si="11"/>
        <v>0.81243402397516251</v>
      </c>
      <c r="AA73" s="1">
        <f t="shared" si="12"/>
        <v>0.14438845840392184</v>
      </c>
      <c r="AC73" s="1">
        <f t="shared" si="13"/>
        <v>0.40621701198758126</v>
      </c>
      <c r="AE73" s="1">
        <f t="shared" si="14"/>
        <v>-0.14438845840392184</v>
      </c>
      <c r="AG73" s="1">
        <f t="shared" si="15"/>
        <v>-0.40621701198758126</v>
      </c>
      <c r="AI73" s="1">
        <f t="shared" si="25"/>
        <v>-0.24133499476084075</v>
      </c>
      <c r="AK73" s="1">
        <f t="shared" si="26"/>
        <v>-0.67896272003638569</v>
      </c>
      <c r="AN73" s="1">
        <f t="shared" si="16"/>
        <v>-0.16914076555887983</v>
      </c>
      <c r="AQ73" s="1">
        <f t="shared" si="17"/>
        <v>-0.47585421404259509</v>
      </c>
    </row>
    <row r="74" spans="1:43" x14ac:dyDescent="0.25">
      <c r="A74" s="10"/>
      <c r="B74" s="1">
        <v>59</v>
      </c>
      <c r="C74" s="1">
        <v>59</v>
      </c>
      <c r="E74" s="2">
        <f t="shared" si="31"/>
        <v>0.82857142857142851</v>
      </c>
      <c r="F74" s="2">
        <f t="shared" si="32"/>
        <v>1.5306122448979591E-2</v>
      </c>
      <c r="G74" s="2">
        <f t="shared" si="34"/>
        <v>-7.1338250766617844E-3</v>
      </c>
      <c r="H74" s="2">
        <f t="shared" si="27"/>
        <v>0.83571428571428563</v>
      </c>
      <c r="I74" s="2">
        <f t="shared" si="28"/>
        <v>0.83571428571428563</v>
      </c>
      <c r="J74" s="2">
        <f t="shared" si="29"/>
        <v>1.4738520408163265E-2</v>
      </c>
      <c r="K74" s="2">
        <f t="shared" si="30"/>
        <v>-8.9480908689026379E-3</v>
      </c>
      <c r="L74" s="2">
        <f t="shared" si="33"/>
        <v>-7.9464285714285696E-2</v>
      </c>
      <c r="M74" s="2">
        <f t="shared" si="35"/>
        <v>-0.25399721091371863</v>
      </c>
      <c r="O74">
        <v>59</v>
      </c>
      <c r="P74" s="4">
        <f t="shared" si="19"/>
        <v>-0.49928883244552058</v>
      </c>
      <c r="Q74" s="4">
        <f t="shared" si="20"/>
        <v>-1.5959115436776714</v>
      </c>
      <c r="S74" s="1">
        <v>0.14161649240181828</v>
      </c>
      <c r="T74">
        <v>60</v>
      </c>
      <c r="U74" s="1">
        <v>0.39450356089312472</v>
      </c>
      <c r="W74" s="1">
        <f t="shared" si="10"/>
        <v>0.27733466090432635</v>
      </c>
      <c r="Y74" s="1">
        <f t="shared" si="11"/>
        <v>0.7659576955569376</v>
      </c>
      <c r="AA74" s="1">
        <f t="shared" si="12"/>
        <v>0.13866733045216317</v>
      </c>
      <c r="AC74" s="1">
        <f t="shared" si="13"/>
        <v>0.3829788477784688</v>
      </c>
      <c r="AE74" s="1">
        <f t="shared" si="14"/>
        <v>-0.13866733045216317</v>
      </c>
      <c r="AG74" s="1">
        <f t="shared" si="15"/>
        <v>-0.3829788477784688</v>
      </c>
      <c r="AI74" s="1">
        <f t="shared" si="25"/>
        <v>-0.23573446176867738</v>
      </c>
      <c r="AK74" s="1">
        <f t="shared" si="26"/>
        <v>-0.65106404122339689</v>
      </c>
      <c r="AN74" s="1">
        <f t="shared" si="16"/>
        <v>-0.16640079654259579</v>
      </c>
      <c r="AQ74" s="1">
        <f t="shared" si="17"/>
        <v>-0.45957461733416249</v>
      </c>
    </row>
    <row r="75" spans="1:43" x14ac:dyDescent="0.25">
      <c r="A75" s="10"/>
      <c r="B75" s="1">
        <v>60</v>
      </c>
      <c r="C75" s="1">
        <v>60</v>
      </c>
      <c r="E75" s="2">
        <f t="shared" si="31"/>
        <v>0.84285714285714286</v>
      </c>
      <c r="F75" s="2">
        <f t="shared" si="32"/>
        <v>1.4170918367346939E-2</v>
      </c>
      <c r="G75" s="2">
        <f t="shared" si="34"/>
        <v>-1.0762356661143491E-2</v>
      </c>
      <c r="H75" s="2">
        <f t="shared" si="27"/>
        <v>0.85</v>
      </c>
      <c r="I75" s="2">
        <f t="shared" si="28"/>
        <v>0.85</v>
      </c>
      <c r="J75" s="2">
        <f t="shared" si="29"/>
        <v>1.3590561224489796E-2</v>
      </c>
      <c r="K75" s="2">
        <f t="shared" si="30"/>
        <v>-1.2589377555425151E-2</v>
      </c>
      <c r="L75" s="2">
        <f t="shared" si="33"/>
        <v>-8.1249999999999989E-2</v>
      </c>
      <c r="M75" s="2">
        <f t="shared" si="35"/>
        <v>-0.25578292519943291</v>
      </c>
      <c r="O75">
        <v>60</v>
      </c>
      <c r="P75" s="4">
        <f t="shared" si="19"/>
        <v>-0.51050880620834127</v>
      </c>
      <c r="Q75" s="4">
        <f t="shared" si="20"/>
        <v>-1.6071315174404921</v>
      </c>
      <c r="S75" s="1">
        <v>0.13571816850250809</v>
      </c>
      <c r="T75">
        <v>61</v>
      </c>
      <c r="U75" s="1">
        <v>0.37145413466381294</v>
      </c>
      <c r="W75" s="1">
        <f t="shared" si="10"/>
        <v>0.26512062256403823</v>
      </c>
      <c r="Y75" s="1">
        <f t="shared" si="11"/>
        <v>0.71990004773700811</v>
      </c>
      <c r="AA75" s="1">
        <f t="shared" si="12"/>
        <v>0.13256031128201912</v>
      </c>
      <c r="AC75" s="1">
        <f t="shared" si="13"/>
        <v>0.35995002386850405</v>
      </c>
      <c r="AE75" s="1">
        <f t="shared" si="14"/>
        <v>-0.13256031128201912</v>
      </c>
      <c r="AG75" s="1">
        <f t="shared" si="15"/>
        <v>-0.35995002386850405</v>
      </c>
      <c r="AI75" s="1">
        <f t="shared" si="25"/>
        <v>-0.22913996664463304</v>
      </c>
      <c r="AK75" s="1">
        <f t="shared" si="26"/>
        <v>-0.62219932697269986</v>
      </c>
      <c r="AN75" s="1">
        <f t="shared" si="16"/>
        <v>-0.16285981100362348</v>
      </c>
      <c r="AQ75" s="1">
        <f t="shared" si="17"/>
        <v>-0.44222431503844783</v>
      </c>
    </row>
    <row r="76" spans="1:43" x14ac:dyDescent="0.25">
      <c r="A76" s="10"/>
      <c r="B76" s="1">
        <v>61</v>
      </c>
      <c r="C76" s="1">
        <v>61</v>
      </c>
      <c r="E76" s="2">
        <f t="shared" si="31"/>
        <v>0.8571428571428571</v>
      </c>
      <c r="F76" s="2">
        <f t="shared" si="32"/>
        <v>1.3010204081632653E-2</v>
      </c>
      <c r="G76" s="2">
        <f t="shared" si="34"/>
        <v>-1.441639844970681E-2</v>
      </c>
      <c r="H76" s="2">
        <f t="shared" si="27"/>
        <v>0.86428571428571432</v>
      </c>
      <c r="I76" s="2">
        <f t="shared" si="28"/>
        <v>0.86428571428571432</v>
      </c>
      <c r="J76" s="2">
        <f t="shared" si="29"/>
        <v>1.2417091836734694E-2</v>
      </c>
      <c r="K76" s="2">
        <f t="shared" si="30"/>
        <v>-1.6256174446029295E-2</v>
      </c>
      <c r="L76" s="2">
        <f t="shared" si="33"/>
        <v>-8.3035714285714268E-2</v>
      </c>
      <c r="M76" s="2">
        <f t="shared" si="35"/>
        <v>-0.25756863948514719</v>
      </c>
      <c r="O76">
        <v>61</v>
      </c>
      <c r="P76" s="4">
        <f t="shared" si="19"/>
        <v>-0.52172877997116196</v>
      </c>
      <c r="Q76" s="4">
        <f t="shared" si="20"/>
        <v>-1.6183514912033126</v>
      </c>
      <c r="S76" s="1">
        <v>0.12940245406153017</v>
      </c>
      <c r="T76">
        <v>62</v>
      </c>
      <c r="U76" s="1">
        <v>0.34844591307319517</v>
      </c>
      <c r="W76" s="1">
        <f t="shared" si="10"/>
        <v>0.25198787389738092</v>
      </c>
      <c r="Y76" s="1">
        <f t="shared" si="11"/>
        <v>0.67358514726544594</v>
      </c>
      <c r="AA76" s="1">
        <f t="shared" si="12"/>
        <v>0.12599393694869046</v>
      </c>
      <c r="AC76" s="1">
        <f t="shared" si="13"/>
        <v>0.33679257363272297</v>
      </c>
      <c r="AE76" s="1">
        <f t="shared" si="14"/>
        <v>-0.12599393694869046</v>
      </c>
      <c r="AG76" s="1">
        <f t="shared" si="15"/>
        <v>-0.33679257363272297</v>
      </c>
      <c r="AI76" s="1">
        <f t="shared" si="25"/>
        <v>-0.22138934635269894</v>
      </c>
      <c r="AK76" s="1">
        <f t="shared" si="26"/>
        <v>-0.59179266509749895</v>
      </c>
      <c r="AN76" s="1">
        <f t="shared" si="16"/>
        <v>-0.1583923778783537</v>
      </c>
      <c r="AQ76" s="1">
        <f t="shared" si="17"/>
        <v>-0.42339637828113746</v>
      </c>
    </row>
    <row r="77" spans="1:43" x14ac:dyDescent="0.25">
      <c r="A77" s="10"/>
      <c r="B77" s="1">
        <v>62</v>
      </c>
      <c r="C77" s="1">
        <v>62</v>
      </c>
      <c r="E77" s="2">
        <f t="shared" si="31"/>
        <v>0.87142857142857144</v>
      </c>
      <c r="F77" s="2">
        <f t="shared" si="32"/>
        <v>1.1823979591836734E-2</v>
      </c>
      <c r="G77" s="2">
        <f t="shared" si="34"/>
        <v>-1.809595044235178E-2</v>
      </c>
      <c r="H77" s="2">
        <f t="shared" si="27"/>
        <v>0.87857142857142856</v>
      </c>
      <c r="I77" s="2">
        <f t="shared" si="28"/>
        <v>0.87857142857142856</v>
      </c>
      <c r="J77" s="2">
        <f t="shared" si="29"/>
        <v>1.1218112244897958E-2</v>
      </c>
      <c r="K77" s="2">
        <f t="shared" si="30"/>
        <v>-1.994848154071507E-2</v>
      </c>
      <c r="L77" s="2">
        <f t="shared" si="33"/>
        <v>-8.4821428571428548E-2</v>
      </c>
      <c r="M77" s="2">
        <f t="shared" si="35"/>
        <v>-0.25935435377086147</v>
      </c>
      <c r="O77">
        <v>62</v>
      </c>
      <c r="P77" s="4">
        <f t="shared" si="19"/>
        <v>-0.53294875373398265</v>
      </c>
      <c r="Q77" s="4">
        <f t="shared" si="20"/>
        <v>-1.6295714649661333</v>
      </c>
      <c r="S77" s="1">
        <v>0.12258541983585076</v>
      </c>
      <c r="T77">
        <v>63</v>
      </c>
      <c r="U77" s="1">
        <v>0.32513923419225083</v>
      </c>
      <c r="W77" s="1">
        <f t="shared" si="10"/>
        <v>0.23773609448800276</v>
      </c>
      <c r="Y77" s="1">
        <f t="shared" si="11"/>
        <v>0.62628929231059272</v>
      </c>
      <c r="AA77" s="1">
        <f t="shared" si="12"/>
        <v>0.11886804724400138</v>
      </c>
      <c r="AC77" s="1">
        <f t="shared" si="13"/>
        <v>0.31314464615529636</v>
      </c>
      <c r="AE77" s="1">
        <f t="shared" si="14"/>
        <v>-0.11886804724400138</v>
      </c>
      <c r="AG77" s="1">
        <f t="shared" si="15"/>
        <v>-0.31314464615529636</v>
      </c>
      <c r="AI77" s="1">
        <f t="shared" si="25"/>
        <v>-0.21226437007857388</v>
      </c>
      <c r="AK77" s="1">
        <f t="shared" si="26"/>
        <v>-0.55918686813445773</v>
      </c>
      <c r="AN77" s="1">
        <f t="shared" si="16"/>
        <v>-0.15283034645657317</v>
      </c>
      <c r="AQ77" s="1">
        <f t="shared" si="17"/>
        <v>-0.40261454505680955</v>
      </c>
    </row>
    <row r="78" spans="1:43" x14ac:dyDescent="0.25">
      <c r="A78" s="10"/>
      <c r="B78" s="1">
        <v>63</v>
      </c>
      <c r="C78" s="1">
        <v>63</v>
      </c>
      <c r="E78" s="2">
        <f t="shared" si="31"/>
        <v>0.88571428571428568</v>
      </c>
      <c r="F78" s="2">
        <f t="shared" si="32"/>
        <v>1.0612244897959184E-2</v>
      </c>
      <c r="G78" s="2">
        <f t="shared" si="34"/>
        <v>-2.1801012639078361E-2</v>
      </c>
      <c r="H78" s="2">
        <f t="shared" si="27"/>
        <v>0.89285714285714279</v>
      </c>
      <c r="I78" s="2">
        <f t="shared" si="28"/>
        <v>0.89285714285714279</v>
      </c>
      <c r="J78" s="2">
        <f t="shared" si="29"/>
        <v>9.9936224489795885E-3</v>
      </c>
      <c r="K78" s="2">
        <f t="shared" si="30"/>
        <v>-2.3666298839482482E-2</v>
      </c>
      <c r="L78" s="2">
        <f t="shared" si="33"/>
        <v>-8.6607142857142827E-2</v>
      </c>
      <c r="M78" s="2">
        <f t="shared" si="35"/>
        <v>-0.26114006805657575</v>
      </c>
      <c r="O78">
        <v>63</v>
      </c>
      <c r="P78" s="4">
        <f t="shared" si="19"/>
        <v>-0.54416872749680323</v>
      </c>
      <c r="Q78" s="4">
        <f t="shared" si="20"/>
        <v>-1.6407914387289539</v>
      </c>
      <c r="S78" s="1">
        <v>0.11515067465215199</v>
      </c>
      <c r="T78">
        <v>64</v>
      </c>
      <c r="U78" s="1">
        <v>0.30115005811834183</v>
      </c>
      <c r="W78" s="1">
        <f t="shared" si="10"/>
        <v>0.22207896348317069</v>
      </c>
      <c r="Y78" s="1">
        <f t="shared" si="11"/>
        <v>0.57714074067828081</v>
      </c>
      <c r="AA78" s="1">
        <f t="shared" si="12"/>
        <v>0.11103948174158534</v>
      </c>
      <c r="AC78" s="1">
        <f t="shared" si="13"/>
        <v>0.2885703703391404</v>
      </c>
      <c r="AE78" s="1">
        <f t="shared" si="14"/>
        <v>-0.11103948174158534</v>
      </c>
      <c r="AG78" s="1">
        <f t="shared" si="15"/>
        <v>-0.2885703703391404</v>
      </c>
      <c r="AI78" s="1">
        <f t="shared" si="25"/>
        <v>-0.20145734544544769</v>
      </c>
      <c r="AK78" s="1">
        <f t="shared" si="26"/>
        <v>-0.52354910047244041</v>
      </c>
      <c r="AN78" s="1">
        <f t="shared" si="16"/>
        <v>-0.14593760457465502</v>
      </c>
      <c r="AQ78" s="1">
        <f t="shared" si="17"/>
        <v>-0.37926391530287018</v>
      </c>
    </row>
    <row r="79" spans="1:43" x14ac:dyDescent="0.25">
      <c r="A79" s="10"/>
      <c r="B79" s="1">
        <v>64</v>
      </c>
      <c r="C79" s="1">
        <v>64</v>
      </c>
      <c r="E79" s="2">
        <f t="shared" si="31"/>
        <v>0.9</v>
      </c>
      <c r="F79" s="2">
        <f t="shared" si="32"/>
        <v>9.3749999999999927E-3</v>
      </c>
      <c r="G79" s="2">
        <f t="shared" si="34"/>
        <v>-2.5531585039886603E-2</v>
      </c>
      <c r="H79" s="2">
        <f t="shared" si="27"/>
        <v>0.90714285714285714</v>
      </c>
      <c r="I79" s="2">
        <f t="shared" si="28"/>
        <v>0.90714285714285714</v>
      </c>
      <c r="J79" s="2">
        <f t="shared" si="29"/>
        <v>8.7436224489795909E-3</v>
      </c>
      <c r="K79" s="2">
        <f t="shared" si="30"/>
        <v>-2.7409626342331524E-2</v>
      </c>
      <c r="L79" s="2">
        <f t="shared" si="33"/>
        <v>-8.8392857142857134E-2</v>
      </c>
      <c r="M79" s="2">
        <f t="shared" si="35"/>
        <v>-0.26292578234229008</v>
      </c>
      <c r="O79">
        <v>64</v>
      </c>
      <c r="P79" s="4">
        <f t="shared" si="19"/>
        <v>-0.55538870125962414</v>
      </c>
      <c r="Q79" s="4">
        <f t="shared" si="20"/>
        <v>-1.6520114124917749</v>
      </c>
      <c r="S79" s="1">
        <v>0.10692828883101871</v>
      </c>
      <c r="T79">
        <v>65</v>
      </c>
      <c r="U79" s="1">
        <v>0.27599068255993897</v>
      </c>
      <c r="W79" s="1">
        <f t="shared" si="10"/>
        <v>0.20458025747800143</v>
      </c>
      <c r="Y79" s="1">
        <f t="shared" si="11"/>
        <v>0.52495158144716636</v>
      </c>
      <c r="AA79" s="1">
        <f t="shared" si="12"/>
        <v>0.10229012873900072</v>
      </c>
      <c r="AC79" s="1">
        <f t="shared" si="13"/>
        <v>0.26247579072358318</v>
      </c>
      <c r="AE79" s="1">
        <f t="shared" si="14"/>
        <v>-0.10229012873900072</v>
      </c>
      <c r="AG79" s="1">
        <f t="shared" si="15"/>
        <v>-0.26247579072358318</v>
      </c>
      <c r="AI79" s="1">
        <f t="shared" ref="AI79:AI84" si="36">-W79*H80</f>
        <v>-0.18850609439044416</v>
      </c>
      <c r="AK79" s="1">
        <f t="shared" ref="AK79:AK84" si="37">-Y79*I80</f>
        <v>-0.48370538576203181</v>
      </c>
      <c r="AN79" s="1">
        <f t="shared" si="16"/>
        <v>-0.1373610300209438</v>
      </c>
      <c r="AQ79" s="1">
        <f t="shared" si="17"/>
        <v>-0.35246749040024022</v>
      </c>
    </row>
    <row r="80" spans="1:43" x14ac:dyDescent="0.25">
      <c r="A80" s="10"/>
      <c r="B80" s="1">
        <v>65</v>
      </c>
      <c r="C80" s="1">
        <v>65</v>
      </c>
      <c r="E80" s="2">
        <f t="shared" si="31"/>
        <v>0.91428571428571426</v>
      </c>
      <c r="F80" s="2">
        <f t="shared" si="32"/>
        <v>8.112244897959189E-3</v>
      </c>
      <c r="G80" s="2">
        <f t="shared" si="34"/>
        <v>-2.9287667644776444E-2</v>
      </c>
      <c r="H80" s="2">
        <f t="shared" ref="H80:H86" si="38">(E81+E80)/2</f>
        <v>0.92142857142857137</v>
      </c>
      <c r="I80" s="2">
        <f t="shared" ref="I80:I86" si="39">(E81+E80)/2</f>
        <v>0.92142857142857137</v>
      </c>
      <c r="J80" s="2">
        <f t="shared" ref="J80:J86" si="40">(F81+F80)/2</f>
        <v>7.4681122448979637E-3</v>
      </c>
      <c r="K80" s="2">
        <f t="shared" ref="K80:K86" si="41">(G81+G80)/2</f>
        <v>-3.1178464049262184E-2</v>
      </c>
      <c r="L80" s="2">
        <f t="shared" si="33"/>
        <v>-9.0178571428571414E-2</v>
      </c>
      <c r="M80" s="2">
        <f t="shared" si="35"/>
        <v>-0.26471149662800436</v>
      </c>
      <c r="O80">
        <v>65</v>
      </c>
      <c r="P80" s="4">
        <f t="shared" si="19"/>
        <v>-0.56660867502244472</v>
      </c>
      <c r="Q80" s="4">
        <f t="shared" si="20"/>
        <v>-1.6632313862545955</v>
      </c>
      <c r="S80" s="1">
        <v>9.7651968646982723E-2</v>
      </c>
      <c r="T80">
        <v>66</v>
      </c>
      <c r="U80" s="1">
        <v>0.24896089888722733</v>
      </c>
      <c r="W80" s="1">
        <f t="shared" ref="W80:W84" si="42">(S80+S81)</f>
        <v>0.18452042872452942</v>
      </c>
      <c r="Y80" s="1">
        <f t="shared" ref="Y80:Y84" si="43">U80+U81</f>
        <v>0.46788662243189616</v>
      </c>
      <c r="AA80" s="1">
        <f t="shared" ref="AA80:AA84" si="44">W80/2</f>
        <v>9.2260214362264711E-2</v>
      </c>
      <c r="AC80" s="1">
        <f t="shared" ref="AC80:AC84" si="45">Y80*0.5</f>
        <v>0.23394331121594808</v>
      </c>
      <c r="AE80" s="1">
        <f t="shared" ref="AE80:AE84" si="46">-AA80</f>
        <v>-9.2260214362264711E-2</v>
      </c>
      <c r="AG80" s="1">
        <f t="shared" ref="AG80:AG84" si="47">-AC80</f>
        <v>-0.23394331121594808</v>
      </c>
      <c r="AI80" s="1">
        <f t="shared" si="36"/>
        <v>-0.17265840116366682</v>
      </c>
      <c r="AK80" s="1">
        <f t="shared" si="37"/>
        <v>-0.4378081967041314</v>
      </c>
      <c r="AN80" s="1">
        <f t="shared" ref="AN80:AN84" si="48">AI80+0.25*W80</f>
        <v>-0.12652829398253446</v>
      </c>
      <c r="AQ80" s="1">
        <f t="shared" ref="AQ80:AQ84" si="49">AK80+0.25*Y80</f>
        <v>-0.32083654109615733</v>
      </c>
    </row>
    <row r="81" spans="1:48" x14ac:dyDescent="0.25">
      <c r="A81" s="10"/>
      <c r="B81" s="1">
        <v>66</v>
      </c>
      <c r="C81" s="1">
        <v>66</v>
      </c>
      <c r="E81" s="2">
        <f t="shared" ref="E81:E86" si="50">$B$6*B80</f>
        <v>0.92857142857142849</v>
      </c>
      <c r="F81" s="2">
        <f t="shared" si="32"/>
        <v>6.8239795918367385E-3</v>
      </c>
      <c r="G81" s="2">
        <f t="shared" si="34"/>
        <v>-3.3069260453747924E-2</v>
      </c>
      <c r="H81" s="2">
        <f t="shared" si="38"/>
        <v>0.93571428571428572</v>
      </c>
      <c r="I81" s="2">
        <f t="shared" si="39"/>
        <v>0.93571428571428572</v>
      </c>
      <c r="J81" s="2">
        <f t="shared" si="40"/>
        <v>6.1670918367346932E-3</v>
      </c>
      <c r="K81" s="2">
        <f t="shared" si="41"/>
        <v>-3.4972811960274498E-2</v>
      </c>
      <c r="L81" s="2">
        <f t="shared" si="33"/>
        <v>-9.1964285714285693E-2</v>
      </c>
      <c r="M81" s="2">
        <f t="shared" si="35"/>
        <v>-0.26649721091371864</v>
      </c>
      <c r="O81">
        <v>66</v>
      </c>
      <c r="P81" s="4">
        <f t="shared" ref="P81:P85" si="51">-2*PI()*($B$3-L81)</f>
        <v>-0.57782864878526541</v>
      </c>
      <c r="Q81" s="4">
        <f t="shared" ref="Q81:Q85" si="52">-2*PI()*($B$3-M81)</f>
        <v>-1.6744513600174162</v>
      </c>
      <c r="S81" s="1">
        <v>8.68684600775467E-2</v>
      </c>
      <c r="T81">
        <v>67</v>
      </c>
      <c r="U81" s="1">
        <v>0.21892572354466883</v>
      </c>
      <c r="W81" s="1">
        <f t="shared" si="42"/>
        <v>0.16043000882451372</v>
      </c>
      <c r="Y81" s="1">
        <f t="shared" si="43"/>
        <v>0.40232660808090975</v>
      </c>
      <c r="AA81" s="1">
        <f t="shared" si="44"/>
        <v>8.021500441225686E-2</v>
      </c>
      <c r="AC81" s="1">
        <f t="shared" si="45"/>
        <v>0.20116330404045488</v>
      </c>
      <c r="AE81" s="1">
        <f t="shared" si="46"/>
        <v>-8.021500441225686E-2</v>
      </c>
      <c r="AG81" s="1">
        <f t="shared" si="47"/>
        <v>-0.20116330404045488</v>
      </c>
      <c r="AI81" s="1">
        <f t="shared" si="36"/>
        <v>-0.15240850838328804</v>
      </c>
      <c r="AK81" s="1">
        <f t="shared" si="37"/>
        <v>-0.38221027767686427</v>
      </c>
      <c r="AN81" s="1">
        <f t="shared" si="48"/>
        <v>-0.1123010061771596</v>
      </c>
      <c r="AQ81" s="1">
        <f t="shared" si="49"/>
        <v>-0.28162862565663682</v>
      </c>
    </row>
    <row r="82" spans="1:48" x14ac:dyDescent="0.25">
      <c r="A82" s="10"/>
      <c r="B82" s="1">
        <v>67</v>
      </c>
      <c r="C82" s="1">
        <v>67</v>
      </c>
      <c r="E82" s="2">
        <f t="shared" si="50"/>
        <v>0.94285714285714284</v>
      </c>
      <c r="F82" s="2">
        <f t="shared" si="32"/>
        <v>5.5102040816326489E-3</v>
      </c>
      <c r="G82" s="2">
        <f t="shared" si="34"/>
        <v>-3.6876363466801072E-2</v>
      </c>
      <c r="H82" s="2">
        <f t="shared" si="38"/>
        <v>0.95</v>
      </c>
      <c r="I82" s="2">
        <f t="shared" si="39"/>
        <v>0.95</v>
      </c>
      <c r="J82" s="2">
        <f t="shared" si="40"/>
        <v>4.8405612244897976E-3</v>
      </c>
      <c r="K82" s="2">
        <f t="shared" si="41"/>
        <v>-3.8792670075368435E-2</v>
      </c>
      <c r="L82" s="2">
        <f t="shared" si="33"/>
        <v>-9.3749999999999972E-2</v>
      </c>
      <c r="M82" s="2">
        <f t="shared" si="35"/>
        <v>-0.26828292519943292</v>
      </c>
      <c r="O82">
        <v>67</v>
      </c>
      <c r="P82" s="4">
        <f t="shared" si="51"/>
        <v>-0.58904862254808599</v>
      </c>
      <c r="Q82" s="4">
        <f t="shared" si="52"/>
        <v>-1.6856713337802369</v>
      </c>
      <c r="S82" s="1">
        <v>7.356154874696702E-2</v>
      </c>
      <c r="T82">
        <v>68</v>
      </c>
      <c r="U82" s="1">
        <v>0.18340088453624093</v>
      </c>
      <c r="W82" s="1">
        <f t="shared" si="42"/>
        <v>0.13052389490616118</v>
      </c>
      <c r="Y82" s="1">
        <f t="shared" si="43"/>
        <v>0.32394333759648347</v>
      </c>
      <c r="AA82" s="1">
        <f t="shared" si="44"/>
        <v>6.5261947453080588E-2</v>
      </c>
      <c r="AC82" s="1">
        <f t="shared" si="45"/>
        <v>0.16197166879824174</v>
      </c>
      <c r="AE82" s="1">
        <f t="shared" si="46"/>
        <v>-6.5261947453080588E-2</v>
      </c>
      <c r="AG82" s="1">
        <f t="shared" si="47"/>
        <v>-0.16197166879824174</v>
      </c>
      <c r="AI82" s="1">
        <f t="shared" si="36"/>
        <v>-0.12586232723094112</v>
      </c>
      <c r="AK82" s="1">
        <f t="shared" si="37"/>
        <v>-0.31237393268232333</v>
      </c>
      <c r="AN82" s="1">
        <f t="shared" si="48"/>
        <v>-9.323135350440083E-2</v>
      </c>
      <c r="AQ82" s="1">
        <f t="shared" si="49"/>
        <v>-0.23138809828320245</v>
      </c>
    </row>
    <row r="83" spans="1:48" x14ac:dyDescent="0.25">
      <c r="A83" s="10"/>
      <c r="B83" s="1">
        <v>68</v>
      </c>
      <c r="C83" s="1">
        <v>68</v>
      </c>
      <c r="E83" s="2">
        <f t="shared" si="50"/>
        <v>0.95714285714285707</v>
      </c>
      <c r="F83" s="2">
        <f t="shared" si="32"/>
        <v>4.1709183673469463E-3</v>
      </c>
      <c r="G83" s="2">
        <f t="shared" si="34"/>
        <v>-4.0708976683935805E-2</v>
      </c>
      <c r="H83" s="2">
        <f t="shared" si="38"/>
        <v>0.96428571428571419</v>
      </c>
      <c r="I83" s="2">
        <f t="shared" si="39"/>
        <v>0.96428571428571419</v>
      </c>
      <c r="J83" s="2">
        <f t="shared" si="40"/>
        <v>3.4885204081632681E-3</v>
      </c>
      <c r="K83" s="2">
        <f t="shared" si="41"/>
        <v>-4.2638038394544012E-2</v>
      </c>
      <c r="L83" s="2">
        <f t="shared" si="33"/>
        <v>-9.5535714285714265E-2</v>
      </c>
      <c r="M83" s="2">
        <f t="shared" si="35"/>
        <v>-0.2700686394851472</v>
      </c>
      <c r="O83">
        <v>68</v>
      </c>
      <c r="P83" s="4">
        <f t="shared" si="51"/>
        <v>-0.60026859631090679</v>
      </c>
      <c r="Q83" s="4">
        <f t="shared" si="52"/>
        <v>-1.6968913075430576</v>
      </c>
      <c r="S83" s="1">
        <v>5.6962346159194155E-2</v>
      </c>
      <c r="T83">
        <v>69</v>
      </c>
      <c r="U83" s="1">
        <v>0.14054245306024254</v>
      </c>
      <c r="W83" s="1">
        <f t="shared" si="42"/>
        <v>5.7350944193360454E-2</v>
      </c>
      <c r="Y83" s="1">
        <f t="shared" si="43"/>
        <v>0.14149038627821259</v>
      </c>
      <c r="AA83" s="1">
        <f t="shared" si="44"/>
        <v>2.8675472096680227E-2</v>
      </c>
      <c r="AC83" s="1">
        <f t="shared" si="45"/>
        <v>7.0745193139106294E-2</v>
      </c>
      <c r="AE83" s="1">
        <f t="shared" si="46"/>
        <v>-2.8675472096680227E-2</v>
      </c>
      <c r="AG83" s="1">
        <f t="shared" si="47"/>
        <v>-7.0745193139106294E-2</v>
      </c>
      <c r="AI83" s="1">
        <f t="shared" si="36"/>
        <v>-5.6121995389217014E-2</v>
      </c>
      <c r="AK83" s="1">
        <f t="shared" si="37"/>
        <v>-0.13845844942939375</v>
      </c>
      <c r="AN83" s="1">
        <f t="shared" si="48"/>
        <v>-4.17842593408769E-2</v>
      </c>
      <c r="AQ83" s="1">
        <f t="shared" si="49"/>
        <v>-0.10308585285984061</v>
      </c>
      <c r="AV83" s="10"/>
    </row>
    <row r="84" spans="1:48" x14ac:dyDescent="0.25">
      <c r="A84" s="10"/>
      <c r="B84" s="1">
        <v>69</v>
      </c>
      <c r="C84" s="1">
        <v>69</v>
      </c>
      <c r="E84" s="2">
        <f t="shared" si="50"/>
        <v>0.97142857142857142</v>
      </c>
      <c r="F84" s="2">
        <f t="shared" si="32"/>
        <v>2.8061224489795904E-3</v>
      </c>
      <c r="G84" s="2">
        <f t="shared" si="34"/>
        <v>-4.4567100105152219E-2</v>
      </c>
      <c r="H84" s="2">
        <f t="shared" si="38"/>
        <v>0.97857142857142854</v>
      </c>
      <c r="I84" s="2">
        <f t="shared" si="39"/>
        <v>0.97857142857142854</v>
      </c>
      <c r="J84" s="2">
        <f t="shared" si="40"/>
        <v>2.1109693877551026E-3</v>
      </c>
      <c r="K84" s="2">
        <f t="shared" si="41"/>
        <v>-4.6508916917801221E-2</v>
      </c>
      <c r="L84" s="2">
        <f t="shared" si="33"/>
        <v>-9.7321428571428545E-2</v>
      </c>
      <c r="M84" s="2">
        <f t="shared" si="35"/>
        <v>-0.27185435377086148</v>
      </c>
      <c r="O84">
        <v>69</v>
      </c>
      <c r="P84" s="4">
        <f t="shared" si="51"/>
        <v>-0.61148857007372737</v>
      </c>
      <c r="Q84" s="4">
        <f t="shared" si="52"/>
        <v>-1.7081112813058781</v>
      </c>
      <c r="S84" s="1">
        <v>3.8859803416630085E-4</v>
      </c>
      <c r="T84">
        <v>70</v>
      </c>
      <c r="U84" s="1">
        <v>9.4793321797005236E-4</v>
      </c>
      <c r="W84" s="1">
        <f t="shared" si="42"/>
        <v>3.8859803416630085E-4</v>
      </c>
      <c r="Y84" s="1">
        <f t="shared" si="43"/>
        <v>9.4793321797005236E-4</v>
      </c>
      <c r="AA84" s="1">
        <f t="shared" si="44"/>
        <v>1.9429901708315042E-4</v>
      </c>
      <c r="AC84" s="1">
        <f t="shared" si="45"/>
        <v>4.7396660898502618E-4</v>
      </c>
      <c r="AE84" s="1">
        <f t="shared" si="46"/>
        <v>-1.9429901708315042E-4</v>
      </c>
      <c r="AG84" s="1">
        <f t="shared" si="47"/>
        <v>-4.7396660898502618E-4</v>
      </c>
      <c r="AI84" s="1">
        <f t="shared" si="36"/>
        <v>-3.8582233392225586E-4</v>
      </c>
      <c r="AK84" s="1">
        <f t="shared" si="37"/>
        <v>-9.4116226641312339E-4</v>
      </c>
      <c r="AN84" s="1">
        <f t="shared" si="48"/>
        <v>-2.8867282538068065E-4</v>
      </c>
      <c r="AQ84" s="1">
        <f t="shared" si="49"/>
        <v>-7.041789619206103E-4</v>
      </c>
      <c r="AV84" s="10"/>
    </row>
    <row r="85" spans="1:48" x14ac:dyDescent="0.25">
      <c r="A85" s="10"/>
      <c r="B85" s="1">
        <v>70</v>
      </c>
      <c r="C85" s="1">
        <v>70</v>
      </c>
      <c r="E85" s="2">
        <f t="shared" si="50"/>
        <v>0.98571428571428565</v>
      </c>
      <c r="F85" s="2">
        <f t="shared" si="32"/>
        <v>1.4158163265306151E-3</v>
      </c>
      <c r="G85" s="2">
        <f t="shared" si="34"/>
        <v>-4.8450733730450224E-2</v>
      </c>
      <c r="H85" s="2">
        <f t="shared" si="38"/>
        <v>0.99285714285714288</v>
      </c>
      <c r="I85" s="2">
        <f t="shared" si="39"/>
        <v>0.99285714285714288</v>
      </c>
      <c r="J85" s="2">
        <f t="shared" si="40"/>
        <v>7.0790816326530756E-4</v>
      </c>
      <c r="K85" s="2">
        <f t="shared" si="41"/>
        <v>-5.0405305645140057E-2</v>
      </c>
      <c r="L85" s="2">
        <f t="shared" si="33"/>
        <v>-9.9107142857142838E-2</v>
      </c>
      <c r="M85" s="2">
        <f t="shared" si="35"/>
        <v>-0.27364006805657581</v>
      </c>
      <c r="O85">
        <v>70</v>
      </c>
      <c r="P85" s="4">
        <f t="shared" si="51"/>
        <v>-0.62270854383654817</v>
      </c>
      <c r="Q85" s="4">
        <f t="shared" si="52"/>
        <v>-1.7193312550686992</v>
      </c>
      <c r="AS85" s="4" t="s">
        <v>62</v>
      </c>
      <c r="AU85" s="4" t="s">
        <v>63</v>
      </c>
      <c r="AV85" s="10"/>
    </row>
    <row r="86" spans="1:48" x14ac:dyDescent="0.25">
      <c r="A86" s="10"/>
      <c r="B86" s="1">
        <v>71</v>
      </c>
      <c r="C86" s="1">
        <v>71</v>
      </c>
      <c r="E86" s="2">
        <f t="shared" si="50"/>
        <v>1</v>
      </c>
      <c r="F86" s="2">
        <f t="shared" si="32"/>
        <v>0</v>
      </c>
      <c r="G86" s="2">
        <f t="shared" si="34"/>
        <v>-5.235987755982989E-2</v>
      </c>
      <c r="H86" s="2">
        <f t="shared" si="38"/>
        <v>0.5</v>
      </c>
      <c r="I86" s="2">
        <f t="shared" si="39"/>
        <v>0.5</v>
      </c>
      <c r="J86" s="2">
        <f t="shared" si="40"/>
        <v>0</v>
      </c>
      <c r="K86" s="2">
        <f t="shared" si="41"/>
        <v>-2.6179938779914945E-2</v>
      </c>
      <c r="L86" s="2">
        <f t="shared" si="33"/>
        <v>-3.7499999999999992E-2</v>
      </c>
      <c r="M86" s="2">
        <f t="shared" si="35"/>
        <v>-0.21203292519943295</v>
      </c>
      <c r="AS86" s="4"/>
      <c r="AU86" s="4"/>
      <c r="AV86" s="10"/>
    </row>
    <row r="87" spans="1:48" x14ac:dyDescent="0.25">
      <c r="A87" s="10"/>
      <c r="U87" s="11" t="s">
        <v>47</v>
      </c>
      <c r="V87" s="11"/>
      <c r="W87" s="11">
        <f>SUM(W15:W84)*B6</f>
        <v>0.43511660424688359</v>
      </c>
      <c r="X87" s="11"/>
      <c r="Y87" s="11">
        <f>SUM(Y15:Y84)*B6</f>
        <v>1.2180770001862438</v>
      </c>
      <c r="AF87" s="11" t="s">
        <v>50</v>
      </c>
      <c r="AG87" s="11"/>
      <c r="AH87" s="11"/>
      <c r="AI87" s="11">
        <f>SUM(AI15:AI84)*B6</f>
        <v>-0.186564527837868</v>
      </c>
      <c r="AJ87" s="11"/>
      <c r="AK87" s="11">
        <f>SUM(AK15:AK84)*B6</f>
        <v>-0.50024192165125037</v>
      </c>
      <c r="AL87" s="11"/>
      <c r="AM87" s="11" t="s">
        <v>59</v>
      </c>
      <c r="AN87" s="11">
        <f>SUM(AN15:AN84)*B6</f>
        <v>-7.7785376776147136E-2</v>
      </c>
      <c r="AO87" s="11"/>
      <c r="AP87" s="11"/>
      <c r="AQ87" s="11">
        <f>SUM(AQ15:AQ84)*B6</f>
        <v>-0.19572267160468942</v>
      </c>
      <c r="AS87" s="4">
        <f>-AI87/W87</f>
        <v>0.42876903803931132</v>
      </c>
      <c r="AU87" s="4">
        <f>-AK87/Y87</f>
        <v>0.41068169054564158</v>
      </c>
      <c r="AV87" s="10"/>
    </row>
    <row r="89" spans="1:48" x14ac:dyDescent="0.25">
      <c r="A89" s="3" t="s">
        <v>66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48" x14ac:dyDescent="0.25">
      <c r="A90" s="3" t="s">
        <v>67</v>
      </c>
      <c r="B90" s="3"/>
      <c r="C90" s="3"/>
      <c r="D90" s="3"/>
      <c r="E90" s="3"/>
      <c r="F90" s="3"/>
      <c r="G90" s="3"/>
      <c r="H90" s="3"/>
    </row>
    <row r="96" spans="1:48" x14ac:dyDescent="0.25">
      <c r="A96" t="s">
        <v>58</v>
      </c>
    </row>
    <row r="99" spans="32:178" x14ac:dyDescent="0.25">
      <c r="FT99" s="10"/>
      <c r="FU99" s="10"/>
      <c r="FV99" s="10"/>
    </row>
    <row r="100" spans="32:178" x14ac:dyDescent="0.25">
      <c r="FT100" s="10"/>
      <c r="FU100" s="10"/>
      <c r="FV100" s="10"/>
    </row>
    <row r="101" spans="32:178" x14ac:dyDescent="0.25">
      <c r="FT101" s="10"/>
      <c r="FU101" s="10"/>
      <c r="FV101" s="10"/>
    </row>
    <row r="102" spans="32:178" x14ac:dyDescent="0.25">
      <c r="FT102" s="10"/>
      <c r="FU102" s="10"/>
      <c r="FV102" s="10"/>
    </row>
    <row r="103" spans="32:178" x14ac:dyDescent="0.25">
      <c r="AF103" s="10"/>
      <c r="AG103" s="10"/>
      <c r="AH103" s="10"/>
      <c r="AI103" s="10"/>
      <c r="FT103" s="10"/>
      <c r="FU103" s="10"/>
      <c r="FV103" s="10"/>
    </row>
    <row r="104" spans="32:178" x14ac:dyDescent="0.25">
      <c r="AF104" s="10"/>
      <c r="AG104" s="10"/>
      <c r="AH104" s="10"/>
      <c r="AI104" s="10"/>
      <c r="FT104" s="10"/>
      <c r="FU104" s="10"/>
      <c r="FV104" s="10"/>
    </row>
    <row r="105" spans="32:178" x14ac:dyDescent="0.25">
      <c r="AF105" s="10"/>
      <c r="AG105" s="10"/>
      <c r="AH105" s="10"/>
      <c r="AI105" s="10"/>
      <c r="FT105" s="10"/>
      <c r="FU105" s="10"/>
      <c r="FV105" s="10"/>
    </row>
    <row r="106" spans="32:178" x14ac:dyDescent="0.25">
      <c r="AF106" s="10"/>
      <c r="AG106" s="10"/>
      <c r="AH106" s="10"/>
      <c r="AI106" s="10"/>
      <c r="FT106" s="10"/>
      <c r="FU106" s="10"/>
      <c r="FV106" s="10"/>
    </row>
    <row r="107" spans="32:178" x14ac:dyDescent="0.25">
      <c r="AF107" s="10"/>
      <c r="AG107" s="10"/>
      <c r="AH107" s="10"/>
      <c r="AI107" s="10"/>
      <c r="FT107" s="10"/>
      <c r="FU107" s="10"/>
      <c r="FV107" s="10"/>
    </row>
    <row r="108" spans="32:178" x14ac:dyDescent="0.25">
      <c r="AF108" s="10"/>
      <c r="AG108" s="10"/>
      <c r="AH108" s="10"/>
      <c r="AI108" s="10"/>
      <c r="FT108" s="10"/>
      <c r="FU108" s="10"/>
      <c r="FV108" s="10"/>
    </row>
    <row r="109" spans="32:178" x14ac:dyDescent="0.25">
      <c r="AF109" s="10"/>
      <c r="AG109" s="10"/>
      <c r="AH109" s="10"/>
      <c r="AI109" s="10"/>
      <c r="FT109" s="10"/>
      <c r="FU109" s="10"/>
      <c r="FV109" s="10"/>
    </row>
    <row r="110" spans="32:178" x14ac:dyDescent="0.25">
      <c r="AF110" s="10"/>
      <c r="AG110" s="10"/>
      <c r="AH110" s="10"/>
      <c r="AI110" s="10"/>
      <c r="FT110" s="10"/>
      <c r="FU110" s="10"/>
      <c r="FV110" s="10"/>
    </row>
    <row r="111" spans="32:178" x14ac:dyDescent="0.25">
      <c r="AF111" s="10"/>
      <c r="AG111" s="10"/>
      <c r="AH111" s="10"/>
      <c r="AI111" s="10"/>
      <c r="FT111" s="10"/>
      <c r="FU111" s="10"/>
      <c r="FV111" s="10"/>
    </row>
    <row r="112" spans="32:178" x14ac:dyDescent="0.25">
      <c r="AF112" s="10"/>
      <c r="AG112" s="10"/>
      <c r="AH112" s="10"/>
      <c r="AI112" s="10"/>
      <c r="FT112" s="10"/>
      <c r="FU112" s="10"/>
      <c r="FV112" s="10"/>
    </row>
    <row r="113" spans="32:178" x14ac:dyDescent="0.25">
      <c r="AF113" s="10"/>
      <c r="AG113" s="10"/>
      <c r="AH113" s="10"/>
      <c r="AI113" s="10"/>
      <c r="FT113" s="10"/>
      <c r="FU113" s="10"/>
      <c r="FV113" s="10"/>
    </row>
    <row r="114" spans="32:178" x14ac:dyDescent="0.25">
      <c r="AF114" s="10"/>
      <c r="AG114" s="10"/>
      <c r="AH114" s="10"/>
      <c r="AI114" s="10"/>
      <c r="FT114" s="10"/>
      <c r="FU114" s="10"/>
      <c r="FV114" s="10"/>
    </row>
    <row r="115" spans="32:178" x14ac:dyDescent="0.25">
      <c r="AF115" s="10"/>
      <c r="AG115" s="10"/>
      <c r="AH115" s="10"/>
      <c r="AI115" s="10"/>
      <c r="FT115" s="10"/>
      <c r="FU115" s="10"/>
      <c r="FV115" s="10"/>
    </row>
    <row r="116" spans="32:178" x14ac:dyDescent="0.25">
      <c r="AF116" s="10"/>
      <c r="AG116" s="10"/>
      <c r="AH116" s="10"/>
      <c r="AI116" s="10"/>
      <c r="FT116" s="10"/>
      <c r="FU116" s="10"/>
      <c r="FV116" s="10"/>
    </row>
    <row r="117" spans="32:178" x14ac:dyDescent="0.25">
      <c r="AF117" s="10"/>
      <c r="AG117" s="10"/>
      <c r="AH117" s="10"/>
      <c r="AI117" s="10"/>
      <c r="FT117" s="10"/>
      <c r="FU117" s="10"/>
      <c r="FV117" s="10"/>
    </row>
    <row r="118" spans="32:178" x14ac:dyDescent="0.25">
      <c r="AF118" s="10"/>
      <c r="AG118" s="10"/>
      <c r="AH118" s="10"/>
      <c r="AI118" s="10"/>
      <c r="FT118" s="10"/>
      <c r="FU118" s="10"/>
      <c r="FV118" s="10"/>
    </row>
    <row r="119" spans="32:178" x14ac:dyDescent="0.25">
      <c r="AF119" s="10"/>
      <c r="AG119" s="10"/>
      <c r="AH119" s="10"/>
      <c r="AI119" s="10"/>
      <c r="FT119" s="10"/>
      <c r="FU119" s="10"/>
      <c r="FV119" s="10"/>
    </row>
    <row r="120" spans="32:178" x14ac:dyDescent="0.25">
      <c r="AF120" s="10"/>
      <c r="AG120" s="10"/>
      <c r="AH120" s="10"/>
      <c r="AI120" s="10"/>
      <c r="FT120" s="10"/>
      <c r="FU120" s="10"/>
      <c r="FV120" s="10"/>
    </row>
    <row r="121" spans="32:178" x14ac:dyDescent="0.25">
      <c r="AF121" s="10"/>
      <c r="AG121" s="10"/>
      <c r="AH121" s="10"/>
      <c r="AI121" s="10"/>
      <c r="FT121" s="10"/>
      <c r="FU121" s="10"/>
      <c r="FV121" s="10"/>
    </row>
    <row r="122" spans="32:178" x14ac:dyDescent="0.25">
      <c r="AF122" s="10"/>
      <c r="AG122" s="10"/>
      <c r="AH122" s="10"/>
      <c r="AI122" s="10"/>
      <c r="FT122" s="10"/>
      <c r="FU122" s="10"/>
      <c r="FV122" s="10"/>
    </row>
    <row r="123" spans="32:178" x14ac:dyDescent="0.25">
      <c r="AF123" s="10"/>
      <c r="AG123" s="10"/>
      <c r="AH123" s="10"/>
      <c r="AI123" s="10"/>
      <c r="FT123" s="10"/>
      <c r="FU123" s="10"/>
      <c r="FV123" s="10"/>
    </row>
    <row r="124" spans="32:178" x14ac:dyDescent="0.25">
      <c r="AF124" s="10"/>
      <c r="AG124" s="10"/>
      <c r="AH124" s="10"/>
      <c r="AI124" s="10"/>
      <c r="FT124" s="10"/>
      <c r="FU124" s="10"/>
      <c r="FV124" s="10"/>
    </row>
    <row r="125" spans="32:178" x14ac:dyDescent="0.25">
      <c r="AF125" s="10"/>
      <c r="AG125" s="10"/>
      <c r="AH125" s="10"/>
      <c r="AI125" s="10"/>
      <c r="FT125" s="10"/>
      <c r="FU125" s="10"/>
      <c r="FV125" s="10"/>
    </row>
    <row r="126" spans="32:178" x14ac:dyDescent="0.25">
      <c r="AF126" s="10"/>
      <c r="AG126" s="10"/>
      <c r="AH126" s="10"/>
      <c r="AI126" s="10"/>
      <c r="FT126" s="10"/>
      <c r="FU126" s="10"/>
      <c r="FV126" s="10"/>
    </row>
    <row r="127" spans="32:178" x14ac:dyDescent="0.25">
      <c r="AF127" s="10"/>
      <c r="AG127" s="10"/>
      <c r="AH127" s="10"/>
      <c r="AI127" s="10"/>
      <c r="FT127" s="10"/>
      <c r="FU127" s="10"/>
      <c r="FV127" s="10"/>
    </row>
    <row r="128" spans="32:178" x14ac:dyDescent="0.25">
      <c r="AF128" s="10"/>
      <c r="AG128" s="10"/>
      <c r="AH128" s="10"/>
      <c r="AI128" s="10"/>
      <c r="FT128" s="10"/>
      <c r="FU128" s="10"/>
      <c r="FV128" s="10"/>
    </row>
    <row r="129" spans="176:178" x14ac:dyDescent="0.25">
      <c r="FT129" s="10"/>
      <c r="FU129" s="10"/>
      <c r="FV129" s="10"/>
    </row>
    <row r="130" spans="176:178" x14ac:dyDescent="0.25">
      <c r="FT130" s="10"/>
      <c r="FU130" s="10"/>
      <c r="FV130" s="10"/>
    </row>
    <row r="131" spans="176:178" x14ac:dyDescent="0.25">
      <c r="FT131" s="10"/>
      <c r="FU131" s="10"/>
      <c r="FV131" s="10"/>
    </row>
    <row r="132" spans="176:178" x14ac:dyDescent="0.25">
      <c r="FT132" s="10"/>
      <c r="FU132" s="10"/>
      <c r="FV132" s="10"/>
    </row>
    <row r="133" spans="176:178" x14ac:dyDescent="0.25">
      <c r="FT133" s="10"/>
      <c r="FU133" s="10"/>
      <c r="FV133" s="10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6:HU165"/>
  <sheetViews>
    <sheetView zoomScale="55" zoomScaleNormal="55" workbookViewId="0">
      <selection activeCell="F92" sqref="F92"/>
    </sheetView>
  </sheetViews>
  <sheetFormatPr baseColWidth="10" defaultRowHeight="15" x14ac:dyDescent="0.25"/>
  <sheetData>
    <row r="6" spans="4:229" x14ac:dyDescent="0.25">
      <c r="AL6" t="s">
        <v>57</v>
      </c>
      <c r="CA6" t="s">
        <v>37</v>
      </c>
    </row>
    <row r="7" spans="4:229" x14ac:dyDescent="0.25">
      <c r="FD7" s="4" t="s">
        <v>38</v>
      </c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</row>
    <row r="8" spans="4:229" x14ac:dyDescent="0.25">
      <c r="F8">
        <v>1</v>
      </c>
      <c r="G8">
        <v>2</v>
      </c>
      <c r="H8">
        <v>3</v>
      </c>
      <c r="I8">
        <v>4</v>
      </c>
      <c r="J8">
        <v>5</v>
      </c>
      <c r="K8">
        <v>6</v>
      </c>
      <c r="L8">
        <v>7</v>
      </c>
      <c r="M8">
        <v>8</v>
      </c>
      <c r="N8">
        <v>9</v>
      </c>
      <c r="O8">
        <v>10</v>
      </c>
      <c r="P8">
        <v>11</v>
      </c>
      <c r="Q8">
        <v>12</v>
      </c>
      <c r="R8">
        <v>13</v>
      </c>
      <c r="S8">
        <v>14</v>
      </c>
      <c r="T8">
        <v>15</v>
      </c>
      <c r="U8">
        <v>16</v>
      </c>
      <c r="V8">
        <v>17</v>
      </c>
      <c r="W8">
        <v>18</v>
      </c>
      <c r="X8">
        <v>19</v>
      </c>
      <c r="Y8">
        <v>20</v>
      </c>
      <c r="Z8">
        <v>21</v>
      </c>
      <c r="AA8">
        <v>22</v>
      </c>
      <c r="AB8">
        <v>23</v>
      </c>
      <c r="AC8">
        <v>24</v>
      </c>
      <c r="AD8">
        <v>25</v>
      </c>
      <c r="AE8">
        <v>26</v>
      </c>
      <c r="AF8">
        <v>27</v>
      </c>
      <c r="AG8">
        <v>28</v>
      </c>
      <c r="AH8">
        <v>29</v>
      </c>
      <c r="AI8">
        <v>30</v>
      </c>
      <c r="AJ8">
        <v>31</v>
      </c>
      <c r="AK8">
        <v>32</v>
      </c>
      <c r="AL8">
        <v>33</v>
      </c>
      <c r="AM8">
        <v>34</v>
      </c>
      <c r="AN8">
        <v>35</v>
      </c>
      <c r="AO8">
        <v>36</v>
      </c>
      <c r="AP8">
        <v>37</v>
      </c>
      <c r="AQ8">
        <v>38</v>
      </c>
      <c r="AR8">
        <v>39</v>
      </c>
      <c r="AS8">
        <v>40</v>
      </c>
      <c r="AT8">
        <v>41</v>
      </c>
      <c r="AU8">
        <v>42</v>
      </c>
      <c r="AV8">
        <v>43</v>
      </c>
      <c r="AW8">
        <v>44</v>
      </c>
      <c r="AX8">
        <v>45</v>
      </c>
      <c r="AY8">
        <v>46</v>
      </c>
      <c r="AZ8">
        <v>47</v>
      </c>
      <c r="BA8">
        <v>48</v>
      </c>
      <c r="BB8">
        <v>49</v>
      </c>
      <c r="BC8">
        <v>50</v>
      </c>
      <c r="BD8">
        <v>51</v>
      </c>
      <c r="BE8">
        <v>52</v>
      </c>
      <c r="BF8">
        <v>53</v>
      </c>
      <c r="BG8">
        <v>54</v>
      </c>
      <c r="BH8">
        <v>55</v>
      </c>
      <c r="BI8">
        <v>56</v>
      </c>
      <c r="BJ8">
        <v>57</v>
      </c>
      <c r="BK8">
        <v>58</v>
      </c>
      <c r="BL8">
        <v>59</v>
      </c>
      <c r="BM8">
        <v>60</v>
      </c>
      <c r="BN8">
        <v>61</v>
      </c>
      <c r="BO8">
        <v>62</v>
      </c>
      <c r="BP8">
        <v>63</v>
      </c>
      <c r="BQ8">
        <v>64</v>
      </c>
      <c r="BR8">
        <v>65</v>
      </c>
      <c r="BS8">
        <v>66</v>
      </c>
      <c r="BT8">
        <v>67</v>
      </c>
      <c r="BU8">
        <v>68</v>
      </c>
      <c r="BV8">
        <v>69</v>
      </c>
      <c r="BW8">
        <v>70</v>
      </c>
      <c r="CA8">
        <v>1</v>
      </c>
      <c r="CB8">
        <v>2</v>
      </c>
      <c r="CC8">
        <v>3</v>
      </c>
      <c r="CD8">
        <v>4</v>
      </c>
      <c r="CE8">
        <v>5</v>
      </c>
      <c r="CF8">
        <v>6</v>
      </c>
      <c r="CG8">
        <v>7</v>
      </c>
      <c r="CH8">
        <v>8</v>
      </c>
      <c r="CI8">
        <v>9</v>
      </c>
      <c r="CJ8">
        <v>10</v>
      </c>
      <c r="CK8">
        <v>11</v>
      </c>
      <c r="CL8">
        <v>12</v>
      </c>
      <c r="CM8">
        <v>13</v>
      </c>
      <c r="CN8">
        <v>14</v>
      </c>
      <c r="CO8">
        <v>15</v>
      </c>
      <c r="CP8">
        <v>16</v>
      </c>
      <c r="CQ8">
        <v>17</v>
      </c>
      <c r="CR8">
        <v>18</v>
      </c>
      <c r="CS8">
        <v>19</v>
      </c>
      <c r="CT8">
        <v>20</v>
      </c>
      <c r="CU8">
        <v>21</v>
      </c>
      <c r="CV8">
        <v>22</v>
      </c>
      <c r="CW8">
        <v>23</v>
      </c>
      <c r="CX8">
        <v>24</v>
      </c>
      <c r="CY8">
        <v>25</v>
      </c>
      <c r="CZ8">
        <v>26</v>
      </c>
      <c r="DA8">
        <v>27</v>
      </c>
      <c r="DB8">
        <v>28</v>
      </c>
      <c r="DC8">
        <v>29</v>
      </c>
      <c r="DD8">
        <v>30</v>
      </c>
      <c r="DE8">
        <v>31</v>
      </c>
      <c r="DF8">
        <v>32</v>
      </c>
      <c r="DG8">
        <v>33</v>
      </c>
      <c r="DH8">
        <v>34</v>
      </c>
      <c r="DI8">
        <v>35</v>
      </c>
      <c r="DJ8">
        <v>36</v>
      </c>
      <c r="DK8">
        <v>37</v>
      </c>
      <c r="DL8">
        <v>38</v>
      </c>
      <c r="DM8">
        <v>39</v>
      </c>
      <c r="DN8">
        <v>40</v>
      </c>
      <c r="DO8">
        <v>41</v>
      </c>
      <c r="DP8">
        <v>42</v>
      </c>
      <c r="DQ8">
        <v>43</v>
      </c>
      <c r="DR8">
        <v>44</v>
      </c>
      <c r="DS8">
        <v>45</v>
      </c>
      <c r="DT8">
        <v>46</v>
      </c>
      <c r="DU8">
        <v>47</v>
      </c>
      <c r="DV8">
        <v>48</v>
      </c>
      <c r="DW8">
        <v>49</v>
      </c>
      <c r="DX8">
        <v>50</v>
      </c>
      <c r="DY8">
        <v>51</v>
      </c>
      <c r="DZ8">
        <v>52</v>
      </c>
      <c r="EA8">
        <v>53</v>
      </c>
      <c r="EB8">
        <v>54</v>
      </c>
      <c r="EC8">
        <v>55</v>
      </c>
      <c r="ED8">
        <v>56</v>
      </c>
      <c r="EE8">
        <v>57</v>
      </c>
      <c r="EF8">
        <v>58</v>
      </c>
      <c r="EG8">
        <v>59</v>
      </c>
      <c r="EH8">
        <v>60</v>
      </c>
      <c r="EI8">
        <v>61</v>
      </c>
      <c r="EJ8">
        <v>62</v>
      </c>
      <c r="EK8">
        <v>63</v>
      </c>
      <c r="EL8">
        <v>64</v>
      </c>
      <c r="EM8">
        <v>65</v>
      </c>
      <c r="EN8">
        <v>66</v>
      </c>
      <c r="EO8">
        <v>67</v>
      </c>
      <c r="EP8">
        <v>68</v>
      </c>
      <c r="EQ8">
        <v>69</v>
      </c>
      <c r="ER8">
        <v>70</v>
      </c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</row>
    <row r="9" spans="4:229" x14ac:dyDescent="0.25">
      <c r="D9" s="10"/>
      <c r="E9" s="5" t="s">
        <v>19</v>
      </c>
      <c r="F9" s="5" t="s">
        <v>20</v>
      </c>
      <c r="G9" s="5" t="s">
        <v>20</v>
      </c>
      <c r="H9" s="5" t="s">
        <v>20</v>
      </c>
      <c r="I9" s="5" t="s">
        <v>20</v>
      </c>
      <c r="J9" s="5" t="s">
        <v>20</v>
      </c>
      <c r="K9" s="5" t="s">
        <v>20</v>
      </c>
      <c r="L9" s="5" t="s">
        <v>20</v>
      </c>
      <c r="M9" s="5" t="s">
        <v>20</v>
      </c>
      <c r="N9" s="5" t="s">
        <v>20</v>
      </c>
      <c r="O9" s="5" t="s">
        <v>20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20</v>
      </c>
      <c r="U9" s="5" t="s">
        <v>20</v>
      </c>
      <c r="V9" s="5" t="s">
        <v>20</v>
      </c>
      <c r="W9" s="5" t="s">
        <v>20</v>
      </c>
      <c r="X9" s="5" t="s">
        <v>20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 t="s">
        <v>20</v>
      </c>
      <c r="AJ9" s="5" t="s">
        <v>20</v>
      </c>
      <c r="AK9" s="5" t="s">
        <v>20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10"/>
      <c r="ET9" s="10"/>
      <c r="EU9" s="10"/>
      <c r="EV9" s="10"/>
      <c r="EW9" s="10"/>
      <c r="EX9" s="10"/>
      <c r="EY9" s="10"/>
      <c r="EZ9" s="10"/>
      <c r="FA9" s="10"/>
      <c r="FB9" s="10"/>
      <c r="FD9" s="4">
        <v>1</v>
      </c>
      <c r="FE9" s="4">
        <v>2</v>
      </c>
      <c r="FF9" s="4">
        <v>3</v>
      </c>
      <c r="FG9" s="4">
        <v>4</v>
      </c>
      <c r="FH9" s="4">
        <v>5</v>
      </c>
      <c r="FI9" s="4">
        <v>6</v>
      </c>
      <c r="FJ9" s="4">
        <v>7</v>
      </c>
      <c r="FK9" s="4">
        <v>8</v>
      </c>
      <c r="FL9" s="4">
        <v>9</v>
      </c>
      <c r="FM9" s="4">
        <v>10</v>
      </c>
      <c r="FN9" s="4">
        <v>11</v>
      </c>
      <c r="FO9" s="4">
        <v>12</v>
      </c>
      <c r="FP9" s="4">
        <v>13</v>
      </c>
      <c r="FQ9" s="4">
        <v>14</v>
      </c>
      <c r="FR9" s="4">
        <v>15</v>
      </c>
      <c r="FS9" s="4">
        <v>16</v>
      </c>
      <c r="FT9" s="4">
        <v>17</v>
      </c>
      <c r="FU9" s="4">
        <v>18</v>
      </c>
      <c r="FV9" s="4">
        <v>19</v>
      </c>
      <c r="FW9" s="4">
        <v>20</v>
      </c>
      <c r="FX9" s="4">
        <v>21</v>
      </c>
      <c r="FY9" s="4">
        <v>22</v>
      </c>
      <c r="FZ9" s="4">
        <v>23</v>
      </c>
      <c r="GA9" s="4">
        <v>24</v>
      </c>
      <c r="GB9" s="4">
        <v>25</v>
      </c>
      <c r="GC9" s="4">
        <v>26</v>
      </c>
      <c r="GD9" s="4">
        <v>27</v>
      </c>
      <c r="GE9" s="4">
        <v>28</v>
      </c>
      <c r="GF9" s="4">
        <v>29</v>
      </c>
      <c r="GG9" s="4">
        <v>30</v>
      </c>
      <c r="GH9" s="4">
        <v>31</v>
      </c>
      <c r="GI9" s="4">
        <v>32</v>
      </c>
      <c r="GJ9" s="4">
        <v>33</v>
      </c>
      <c r="GK9" s="4">
        <v>34</v>
      </c>
      <c r="GL9" s="4">
        <v>35</v>
      </c>
      <c r="GM9" s="4">
        <v>36</v>
      </c>
      <c r="GN9" s="4">
        <v>37</v>
      </c>
      <c r="GO9" s="4">
        <v>38</v>
      </c>
      <c r="GP9" s="4">
        <v>39</v>
      </c>
      <c r="GQ9" s="4">
        <v>40</v>
      </c>
      <c r="GR9" s="4">
        <v>41</v>
      </c>
      <c r="GS9" s="4">
        <v>42</v>
      </c>
      <c r="GT9" s="4">
        <v>43</v>
      </c>
      <c r="GU9" s="4">
        <v>44</v>
      </c>
      <c r="GV9" s="4">
        <v>45</v>
      </c>
      <c r="GW9" s="4">
        <v>46</v>
      </c>
      <c r="GX9" s="4">
        <v>47</v>
      </c>
      <c r="GY9" s="4">
        <v>48</v>
      </c>
      <c r="GZ9" s="4">
        <v>49</v>
      </c>
      <c r="HA9" s="4">
        <v>50</v>
      </c>
      <c r="HB9" s="4">
        <v>51</v>
      </c>
      <c r="HC9" s="4">
        <v>52</v>
      </c>
      <c r="HD9" s="4">
        <v>53</v>
      </c>
      <c r="HE9" s="4">
        <v>54</v>
      </c>
      <c r="HF9" s="4">
        <v>55</v>
      </c>
      <c r="HG9" s="4">
        <v>56</v>
      </c>
      <c r="HH9" s="4">
        <v>57</v>
      </c>
      <c r="HI9" s="4">
        <v>58</v>
      </c>
      <c r="HJ9" s="4">
        <v>59</v>
      </c>
      <c r="HK9" s="4">
        <v>60</v>
      </c>
      <c r="HL9" s="4">
        <v>61</v>
      </c>
      <c r="HM9" s="4">
        <v>62</v>
      </c>
      <c r="HN9" s="4">
        <v>63</v>
      </c>
      <c r="HO9" s="4">
        <v>64</v>
      </c>
      <c r="HP9" s="4">
        <v>65</v>
      </c>
      <c r="HQ9" s="4">
        <v>66</v>
      </c>
      <c r="HR9" s="4">
        <v>67</v>
      </c>
      <c r="HS9" s="4">
        <v>68</v>
      </c>
      <c r="HT9" s="4">
        <v>69</v>
      </c>
      <c r="HU9" s="4">
        <v>70</v>
      </c>
    </row>
    <row r="10" spans="4:229" x14ac:dyDescent="0.25">
      <c r="D10" s="10">
        <v>1</v>
      </c>
      <c r="E10" s="5">
        <f>'N70'!E17-'N70'!E16</f>
        <v>1.4285714285714285E-2</v>
      </c>
      <c r="F10" s="5">
        <f>'N70'!H16-'N70'!E16</f>
        <v>7.1428571428571426E-3</v>
      </c>
      <c r="G10" s="5">
        <f>'N70'!H16-'N70'!E17</f>
        <v>-7.1428571428571426E-3</v>
      </c>
      <c r="H10" s="5">
        <f>'N70'!H16-'N70'!E18</f>
        <v>-2.1428571428571429E-2</v>
      </c>
      <c r="I10" s="5">
        <f>'N70'!H16-'N70'!E19</f>
        <v>-3.5714285714285712E-2</v>
      </c>
      <c r="J10" s="5">
        <f>'N70'!H16-'N70'!E20</f>
        <v>-4.9999999999999996E-2</v>
      </c>
      <c r="K10" s="5">
        <f>'N70'!H16-'N70'!E21</f>
        <v>-6.4285714285714279E-2</v>
      </c>
      <c r="L10" s="5">
        <f>'N70'!H16-'N70'!E22</f>
        <v>-7.857142857142857E-2</v>
      </c>
      <c r="M10" s="5">
        <f>'N70'!H16-'N70'!E23</f>
        <v>-9.2857142857142846E-2</v>
      </c>
      <c r="N10" s="5">
        <f>'N70'!H16-'N70'!E24</f>
        <v>-0.10714285714285714</v>
      </c>
      <c r="O10" s="5">
        <f>'N70'!H16-'N70'!E25</f>
        <v>-0.12142857142857141</v>
      </c>
      <c r="P10" s="5">
        <f>'N70'!H16-'N70'!E26</f>
        <v>-0.1357142857142857</v>
      </c>
      <c r="Q10" s="5">
        <f>'N70'!H16-'N70'!E27</f>
        <v>-0.15</v>
      </c>
      <c r="R10" s="5">
        <f>'N70'!H16-'N70'!E28</f>
        <v>-0.16428571428571428</v>
      </c>
      <c r="S10" s="5">
        <f>'N70'!H16-'N70'!E29</f>
        <v>-0.17857142857142858</v>
      </c>
      <c r="T10" s="5">
        <f>'N70'!H16-'N70'!E30</f>
        <v>-0.19285714285714284</v>
      </c>
      <c r="U10" s="5">
        <f>'N70'!H16-'N70'!E31</f>
        <v>-0.20714285714285713</v>
      </c>
      <c r="V10" s="5">
        <f>'N70'!H16-'N70'!E32</f>
        <v>-0.22142857142857142</v>
      </c>
      <c r="W10" s="5">
        <f>'N70'!H16-'N70'!E33</f>
        <v>-0.23571428571428571</v>
      </c>
      <c r="X10" s="5">
        <f>'N70'!H16-'N70'!E34</f>
        <v>-0.24999999999999997</v>
      </c>
      <c r="Y10" s="5">
        <f>'N70'!H16-'N70'!E35</f>
        <v>-0.26428571428571429</v>
      </c>
      <c r="Z10" s="5">
        <f>'N70'!H16-'N70'!E36</f>
        <v>-0.27857142857142858</v>
      </c>
      <c r="AA10" s="5">
        <f>'N70'!H16-'N70'!E37</f>
        <v>-0.29285714285714287</v>
      </c>
      <c r="AB10" s="5">
        <f>'N70'!H16-'N70'!E38</f>
        <v>-0.30714285714285716</v>
      </c>
      <c r="AC10" s="5">
        <f>'N70'!H16-'N70'!E39</f>
        <v>-0.32142857142857145</v>
      </c>
      <c r="AD10" s="5">
        <f>'N70'!H16-'N70'!E40</f>
        <v>-0.33571428571428574</v>
      </c>
      <c r="AE10" s="5">
        <f>'N70'!H16-'N70'!E41</f>
        <v>-0.35000000000000003</v>
      </c>
      <c r="AF10" s="5">
        <f>'N70'!H16-'N70'!E42</f>
        <v>-0.36428571428571432</v>
      </c>
      <c r="AG10" s="5">
        <f>'N70'!H16-'N70'!E43</f>
        <v>-0.37857142857142856</v>
      </c>
      <c r="AH10" s="5">
        <f>'N70'!H16-'N70'!E44</f>
        <v>-0.39285714285714285</v>
      </c>
      <c r="AI10" s="5">
        <f>'N70'!H16-'N70'!E45</f>
        <v>-0.40714285714285714</v>
      </c>
      <c r="AJ10" s="5">
        <f>'N70'!H16-'N70'!E46</f>
        <v>-0.42142857142857143</v>
      </c>
      <c r="AK10" s="5">
        <f>'N70'!H16-'N70'!E47</f>
        <v>-0.43571428571428572</v>
      </c>
      <c r="AL10" s="5">
        <f>'N70'!H16-'N70'!$E$48</f>
        <v>-0.45</v>
      </c>
      <c r="AM10" s="5">
        <f>'N70'!H16-'N70'!$E$49</f>
        <v>-0.4642857142857143</v>
      </c>
      <c r="AN10" s="5">
        <f>'N70'!H16-'N70'!$E$50</f>
        <v>-0.47857142857142859</v>
      </c>
      <c r="AO10" s="5">
        <f>'N70'!H16-'N70'!$E$51</f>
        <v>-0.49285714285714288</v>
      </c>
      <c r="AP10" s="5">
        <f>'N70'!H16-'N70'!$E$52</f>
        <v>-0.50714285714285712</v>
      </c>
      <c r="AQ10" s="5">
        <f>'N70'!H16-'N70'!$E$53</f>
        <v>-0.52142857142857146</v>
      </c>
      <c r="AR10" s="5">
        <f>'N70'!H16-'N70'!$E$54</f>
        <v>-0.5357142857142857</v>
      </c>
      <c r="AS10" s="5">
        <f>'N70'!H16-'N70'!$E$55</f>
        <v>-0.55000000000000004</v>
      </c>
      <c r="AT10" s="5">
        <f>'N70'!H16-'N70'!$E$56</f>
        <v>-0.56428571428571428</v>
      </c>
      <c r="AU10" s="5">
        <f>'N70'!H16-'N70'!$E$57</f>
        <v>-0.57857142857142863</v>
      </c>
      <c r="AV10" s="5">
        <f>'N70'!H16-'N70'!$E$58</f>
        <v>-0.59285714285714286</v>
      </c>
      <c r="AW10" s="5">
        <f>'N70'!H16-'N70'!$E$59</f>
        <v>-0.6071428571428571</v>
      </c>
      <c r="AX10" s="5">
        <f>'N70'!H16-'N70'!$E$60</f>
        <v>-0.62142857142857144</v>
      </c>
      <c r="AY10" s="5">
        <f>'N70'!H16-'N70'!$E$61</f>
        <v>-0.63571428571428568</v>
      </c>
      <c r="AZ10" s="5">
        <f>'N70'!H16-'N70'!$E$62</f>
        <v>-0.65</v>
      </c>
      <c r="BA10" s="5">
        <f>'N70'!H16-'N70'!$E$63</f>
        <v>-0.66428571428571426</v>
      </c>
      <c r="BB10" s="5">
        <f>'N70'!H16-'N70'!$E$64</f>
        <v>-0.6785714285714286</v>
      </c>
      <c r="BC10" s="5">
        <f>'N70'!H16-'N70'!$E$65</f>
        <v>-0.69285714285714284</v>
      </c>
      <c r="BD10" s="5">
        <f>'N70'!H16-'N70'!$E$66</f>
        <v>-0.70714285714285718</v>
      </c>
      <c r="BE10" s="5">
        <f>'N70'!H16-'N70'!$E$67</f>
        <v>-0.72142857142857142</v>
      </c>
      <c r="BF10" s="5">
        <f>'N70'!H16-'N70'!$E$68</f>
        <v>-0.73571428571428577</v>
      </c>
      <c r="BG10" s="5">
        <f>'N70'!H16-'N70'!$E$69</f>
        <v>-0.75</v>
      </c>
      <c r="BH10" s="5">
        <f>'N70'!H16-'N70'!$E$70</f>
        <v>-0.76428571428571423</v>
      </c>
      <c r="BI10" s="5">
        <f>'N70'!H16-'N70'!$E$71</f>
        <v>-0.77857142857142858</v>
      </c>
      <c r="BJ10" s="5">
        <f>'N70'!H16-'N70'!$E$72</f>
        <v>-0.79285714285714282</v>
      </c>
      <c r="BK10" s="5">
        <f>'N70'!H16-'N70'!$E$73</f>
        <v>-0.80714285714285716</v>
      </c>
      <c r="BL10" s="5">
        <f>'N70'!H16-'N70'!$E$74</f>
        <v>-0.8214285714285714</v>
      </c>
      <c r="BM10" s="5">
        <f>'N70'!H16-'N70'!$E$75</f>
        <v>-0.83571428571428574</v>
      </c>
      <c r="BN10" s="5">
        <f>'N70'!H16-'N70'!$E$76</f>
        <v>-0.85</v>
      </c>
      <c r="BO10" s="5">
        <f>'N70'!H16-'N70'!$E$77</f>
        <v>-0.86428571428571432</v>
      </c>
      <c r="BP10" s="5">
        <f>'N70'!H16-'N70'!$E$78</f>
        <v>-0.87857142857142856</v>
      </c>
      <c r="BQ10" s="5">
        <f>'N70'!H16-'N70'!$E$79</f>
        <v>-0.8928571428571429</v>
      </c>
      <c r="BR10" s="5">
        <f>'N70'!H16-'N70'!$E$80</f>
        <v>-0.90714285714285714</v>
      </c>
      <c r="BS10" s="5">
        <f>'N70'!H16-'N70'!$E$81</f>
        <v>-0.92142857142857137</v>
      </c>
      <c r="BT10" s="5">
        <f>'N70'!H16-'N70'!$E$82</f>
        <v>-0.93571428571428572</v>
      </c>
      <c r="BU10" s="5">
        <f>'N70'!H16-'N70'!$E$83</f>
        <v>-0.95</v>
      </c>
      <c r="BV10" s="5">
        <f>'N70'!H16-'N70'!$E$84</f>
        <v>-0.9642857142857143</v>
      </c>
      <c r="BW10" s="5">
        <f>'N70'!H16-'N70'!$E$85</f>
        <v>-0.97857142857142854</v>
      </c>
      <c r="BX10" s="5">
        <v>-1</v>
      </c>
      <c r="BY10" s="5"/>
      <c r="BZ10">
        <v>1</v>
      </c>
      <c r="CA10" s="5">
        <f>N70_DESARROLLO!CE95+N70_DESARROLLO!H95</f>
        <v>-1</v>
      </c>
      <c r="CB10" s="5">
        <f>N70_DESARROLLO!CF95+N70_DESARROLLO!I95</f>
        <v>1.6479184659605342</v>
      </c>
      <c r="CC10" s="5">
        <f>N70_DESARROLLO!CG95+N70_DESARROLLO!J95</f>
        <v>0.72775792963608033</v>
      </c>
      <c r="CD10" s="5">
        <f>N70_DESARROLLO!CH95+N70_DESARROLLO!K95</f>
        <v>0.41141440075354718</v>
      </c>
      <c r="CE10" s="5">
        <f>N70_DESARROLLO!CI95+N70_DESARROLLO!L95</f>
        <v>0.28973434150573141</v>
      </c>
      <c r="CF10" s="5">
        <f>N70_DESARROLLO!CJ95+N70_DESARROLLO!M95</f>
        <v>0.22408833054042743</v>
      </c>
      <c r="CG10" s="5">
        <f>N70_DESARROLLO!CK95+N70_DESARROLLO!N95</f>
        <v>0.18283342438756733</v>
      </c>
      <c r="CH10" s="5">
        <f>N70_DESARROLLO!CL95+N70_DESARROLLO!O95</f>
        <v>0.15445886474681458</v>
      </c>
      <c r="CI10" s="5">
        <f>N70_DESARROLLO!CM95+N70_DESARROLLO!P95</f>
        <v>0.13373123411929833</v>
      </c>
      <c r="CJ10" s="5">
        <f>N70_DESARROLLO!CN95+N70_DESARROLLO!Q95</f>
        <v>0.11791996375048608</v>
      </c>
      <c r="CK10" s="5">
        <f>N70_DESARROLLO!CO95+N70_DESARROLLO!R95</f>
        <v>0.10545841852057836</v>
      </c>
      <c r="CL10" s="5">
        <f>N70_DESARROLLO!CP95+N70_DESARROLLO!S95</f>
        <v>9.5382594982175162E-2</v>
      </c>
      <c r="CM10" s="5">
        <f>N70_DESARROLLO!CQ95+N70_DESARROLLO!T95</f>
        <v>8.7066442319335247E-2</v>
      </c>
      <c r="CN10" s="5">
        <f>N70_DESARROLLO!CR95+N70_DESARROLLO!U95</f>
        <v>8.0085554140355009E-2</v>
      </c>
      <c r="CO10" s="5">
        <f>N70_DESARROLLO!CS95+N70_DESARROLLO!V95</f>
        <v>7.4141965022340162E-2</v>
      </c>
      <c r="CP10" s="5">
        <f>N70_DESARROLLO!CT95+N70_DESARROLLO!W95</f>
        <v>6.9020292350869261E-2</v>
      </c>
      <c r="CQ10" s="5">
        <f>N70_DESARROLLO!CU95+N70_DESARROLLO!X95</f>
        <v>6.4560961252480009E-2</v>
      </c>
      <c r="CR10" s="5">
        <f>N70_DESARROLLO!CV95+N70_DESARROLLO!Y95</f>
        <v>6.0643218403522714E-2</v>
      </c>
      <c r="CS10" s="5">
        <f>N70_DESARROLLO!CW95+N70_DESARROLLO!Z95</f>
        <v>5.7173997129082443E-2</v>
      </c>
      <c r="CT10" s="5">
        <f>N70_DESARROLLO!CX95+N70_DESARROLLO!AA95</f>
        <v>5.4080408838146576E-2</v>
      </c>
      <c r="CU10" s="5">
        <f>N70_DESARROLLO!CY95+N70_DESARROLLO!AB95</f>
        <v>5.1304553326341429E-2</v>
      </c>
      <c r="CV10" s="5">
        <f>N70_DESARROLLO!CZ95+N70_DESARROLLO!AC95</f>
        <v>4.8799853039074859E-2</v>
      </c>
      <c r="CW10" s="5">
        <f>N70_DESARROLLO!DA95+N70_DESARROLLO!AD95</f>
        <v>4.6528413377889599E-2</v>
      </c>
      <c r="CX10" s="5">
        <f>N70_DESARROLLO!DB95+N70_DESARROLLO!AE95</f>
        <v>4.4459088822761283E-2</v>
      </c>
      <c r="CY10" s="5">
        <f>N70_DESARROLLO!DC95+N70_DESARROLLO!AF95</f>
        <v>4.2566044021113747E-2</v>
      </c>
      <c r="CZ10" s="5">
        <f>N70_DESARROLLO!DD95+N70_DESARROLLO!AG95</f>
        <v>4.0827668052533239E-2</v>
      </c>
      <c r="DA10" s="5">
        <f>N70_DESARROLLO!DE95+N70_DESARROLLO!AH95</f>
        <v>3.922574468547646E-2</v>
      </c>
      <c r="DB10" s="5">
        <f>N70_DESARROLLO!DF95+N70_DESARROLLO!AI95</f>
        <v>3.7744810855699473E-2</v>
      </c>
      <c r="DC10" s="5">
        <f>N70_DESARROLLO!DG95+N70_DESARROLLO!AJ95</f>
        <v>3.6371655357441024E-2</v>
      </c>
      <c r="DD10" s="5">
        <f>N70_DESARROLLO!DH95+N70_DESARROLLO!AK95</f>
        <v>3.5094923244216703E-2</v>
      </c>
      <c r="DE10" s="5">
        <f>N70_DESARROLLO!DI95+N70_DESARROLLO!AL95</f>
        <v>3.3904800811315305E-2</v>
      </c>
      <c r="DF10" s="5">
        <f>N70_DESARROLLO!DJ95+N70_DESARROLLO!AM95</f>
        <v>3.2792762635876271E-2</v>
      </c>
      <c r="DG10" s="5">
        <f>N70_DESARROLLO!DK95+N70_DESARROLLO!AN95</f>
        <v>3.175136686266955E-2</v>
      </c>
      <c r="DH10" s="5">
        <f>N70_DESARROLLO!DL95+N70_DESARROLLO!AO95</f>
        <v>3.0774088329712401E-2</v>
      </c>
      <c r="DI10" s="5">
        <f>N70_DESARROLLO!DM95+N70_DESARROLLO!AP95</f>
        <v>2.9855181616031734E-2</v>
      </c>
      <c r="DJ10" s="5">
        <f>N70_DESARROLLO!DN95+N70_DESARROLLO!AQ95</f>
        <v>2.8989567932948379E-2</v>
      </c>
      <c r="DK10" s="5">
        <f>N70_DESARROLLO!DO95+N70_DESARROLLO!AR95</f>
        <v>2.8172741151794578E-2</v>
      </c>
      <c r="DL10" s="5">
        <f>N70_DESARROLLO!DP95+N70_DESARROLLO!AS95</f>
        <v>2.7400689293789693E-2</v>
      </c>
      <c r="DM10" s="5">
        <f>N70_DESARROLLO!DQ95+N70_DESARROLLO!AT95</f>
        <v>2.6669828593228417E-2</v>
      </c>
      <c r="DN10" s="5">
        <f>N70_DESARROLLO!DR95+N70_DESARROLLO!AU95</f>
        <v>2.597694784486726E-2</v>
      </c>
      <c r="DO10" s="5">
        <f>N70_DESARROLLO!DS95+N70_DESARROLLO!AV95</f>
        <v>2.5319161212288277E-2</v>
      </c>
      <c r="DP10" s="5">
        <f>N70_DESARROLLO!DT95+N70_DESARROLLO!AW95</f>
        <v>2.4693868032490518E-2</v>
      </c>
      <c r="DQ10" s="5">
        <f>N70_DESARROLLO!DU95+N70_DESARROLLO!AX95</f>
        <v>2.4098718436564415E-2</v>
      </c>
      <c r="DR10" s="5">
        <f>N70_DESARROLLO!DV95+N70_DESARROLLO!AY95</f>
        <v>2.3531583826950309E-2</v>
      </c>
      <c r="DS10" s="5">
        <f>N70_DESARROLLO!DW95+N70_DESARROLLO!AZ95</f>
        <v>2.2990531429692429E-2</v>
      </c>
      <c r="DT10" s="5">
        <f>N70_DESARROLLO!DX95+N70_DESARROLLO!BA95</f>
        <v>2.247380228010265E-2</v>
      </c>
      <c r="DU10" s="5">
        <f>N70_DESARROLLO!DY95+N70_DESARROLLO!BB95</f>
        <v>2.1979792112860164E-2</v>
      </c>
      <c r="DV10" s="5">
        <f>N70_DESARROLLO!DZ95+N70_DESARROLLO!BC95</f>
        <v>2.1507034719707718E-2</v>
      </c>
      <c r="DW10" s="5">
        <f>N70_DESARROLLO!EA95+N70_DESARROLLO!BD95</f>
        <v>2.1054187410165737E-2</v>
      </c>
      <c r="DX10" s="5">
        <f>N70_DESARROLLO!EB95+N70_DESARROLLO!BE95</f>
        <v>2.0620018272172302E-2</v>
      </c>
      <c r="DY10" s="5">
        <f>N70_DESARROLLO!EC95+N70_DESARROLLO!BF95</f>
        <v>2.0203394977322597E-2</v>
      </c>
      <c r="DZ10" s="5">
        <f>N70_DESARROLLO!ED95+N70_DESARROLLO!BG95</f>
        <v>1.9803274917309821E-2</v>
      </c>
      <c r="EA10" s="5">
        <f>N70_DESARROLLO!EE95+N70_DESARROLLO!BH95</f>
        <v>1.9418696489467702E-2</v>
      </c>
      <c r="EB10" s="5">
        <f>N70_DESARROLLO!EF95+N70_DESARROLLO!BI95</f>
        <v>1.9048771379240659E-2</v>
      </c>
      <c r="EC10" s="5">
        <f>N70_DESARROLLO!EG95+N70_DESARROLLO!BJ95</f>
        <v>1.8692677708205485E-2</v>
      </c>
      <c r="ED10" s="5">
        <f>N70_DESARROLLO!EH95+N70_DESARROLLO!BK95</f>
        <v>1.8349653936848398E-2</v>
      </c>
      <c r="EE10" s="5">
        <f>N70_DESARROLLO!EI95+N70_DESARROLLO!BL95</f>
        <v>1.8018993426872409E-2</v>
      </c>
      <c r="EF10" s="5">
        <f>N70_DESARROLLO!EJ95+N70_DESARROLLO!BM95</f>
        <v>1.7700039580939242E-2</v>
      </c>
      <c r="EG10" s="5">
        <f>N70_DESARROLLO!EK95+N70_DESARROLLO!BN95</f>
        <v>1.7392181490066716E-2</v>
      </c>
      <c r="EH10" s="5">
        <f>N70_DESARROLLO!EL95+N70_DESARROLLO!BO95</f>
        <v>1.7094850027297714E-2</v>
      </c>
      <c r="EI10" s="5">
        <f>N70_DESARROLLO!EM95+N70_DESARROLLO!BP95</f>
        <v>1.6807514335735463E-2</v>
      </c>
      <c r="EJ10" s="5">
        <f>N70_DESARROLLO!EN95+N70_DESARROLLO!BQ95</f>
        <v>1.6529678664583436E-2</v>
      </c>
      <c r="EK10" s="5">
        <f>N70_DESARROLLO!EO95+N70_DESARROLLO!BR95</f>
        <v>1.6260879514530591E-2</v>
      </c>
      <c r="EL10" s="5">
        <f>N70_DESARROLLO!EP95+N70_DESARROLLO!BS95</f>
        <v>1.6000683056590526E-2</v>
      </c>
      <c r="EM10" s="5">
        <f>N70_DESARROLLO!EQ95+N70_DESARROLLO!BT95</f>
        <v>1.5748682795550861E-2</v>
      </c>
      <c r="EN10" s="5">
        <f>N70_DESARROLLO!ER95+N70_DESARROLLO!BU95</f>
        <v>1.5504497450362642E-2</v>
      </c>
      <c r="EO10" s="5">
        <f>N70_DESARROLLO!ES95+N70_DESARROLLO!BV95</f>
        <v>1.5267769028979861E-2</v>
      </c>
      <c r="EP10" s="5">
        <f>N70_DESARROLLO!ET95+N70_DESARROLLO!BW95</f>
        <v>1.5038161076932122E-2</v>
      </c>
      <c r="EQ10" s="5">
        <f>N70_DESARROLLO!EU95+N70_DESARROLLO!BX95</f>
        <v>1.4815357081507607E-2</v>
      </c>
      <c r="ER10" s="5">
        <f>N70_DESARROLLO!EV95+N70_DESARROLLO!BY95</f>
        <v>0.52363983635091416</v>
      </c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>
        <v>1</v>
      </c>
      <c r="FD10" s="4">
        <f t="array" ref="FD10:HU79">MINVERSE(CA10:ER79)</f>
        <v>-0.63103513391542354</v>
      </c>
      <c r="FE10" s="4">
        <v>-0.27099053869746836</v>
      </c>
      <c r="FF10" s="4">
        <v>-0.21841863643539625</v>
      </c>
      <c r="FG10" s="4">
        <v>-0.18430771565817941</v>
      </c>
      <c r="FH10" s="4">
        <v>-0.16311913610876494</v>
      </c>
      <c r="FI10" s="4">
        <v>-0.148219940111461</v>
      </c>
      <c r="FJ10" s="4">
        <v>-0.13707989215342067</v>
      </c>
      <c r="FK10" s="4">
        <v>-0.12837924079529078</v>
      </c>
      <c r="FL10" s="4">
        <v>-0.12136709330517245</v>
      </c>
      <c r="FM10" s="4">
        <v>-0.11558049857513818</v>
      </c>
      <c r="FN10" s="4">
        <v>-0.11071684568811818</v>
      </c>
      <c r="FO10" s="4">
        <v>-0.1065690451480568</v>
      </c>
      <c r="FP10" s="4">
        <v>-0.10299006827531855</v>
      </c>
      <c r="FQ10" s="4">
        <v>-9.9872335981595867E-2</v>
      </c>
      <c r="FR10" s="4">
        <v>-9.7135134274285884E-2</v>
      </c>
      <c r="FS10" s="4">
        <v>-9.4716609514789413E-2</v>
      </c>
      <c r="FT10" s="4">
        <v>-9.2568497626635798E-2</v>
      </c>
      <c r="FU10" s="4">
        <v>-9.0652549255991824E-2</v>
      </c>
      <c r="FV10" s="4">
        <v>-8.8938042308671986E-2</v>
      </c>
      <c r="FW10" s="4">
        <v>-8.7400011982552636E-2</v>
      </c>
      <c r="FX10" s="4">
        <v>-8.6017966330734816E-2</v>
      </c>
      <c r="FY10" s="4">
        <v>-8.4774937811366288E-2</v>
      </c>
      <c r="FZ10" s="4">
        <v>-8.3656772029471471E-2</v>
      </c>
      <c r="GA10" s="4">
        <v>-8.2651586964137602E-2</v>
      </c>
      <c r="GB10" s="4">
        <v>-8.1749356750093607E-2</v>
      </c>
      <c r="GC10" s="4">
        <v>-8.0941587824939973E-2</v>
      </c>
      <c r="GD10" s="4">
        <v>-8.0221064521939556E-2</v>
      </c>
      <c r="GE10" s="4">
        <v>-7.9581647550727191E-2</v>
      </c>
      <c r="GF10" s="4">
        <v>-7.901811324770712E-2</v>
      </c>
      <c r="GG10" s="4">
        <v>-7.8526024621581453E-2</v>
      </c>
      <c r="GH10" s="4">
        <v>-7.8101627477292684E-2</v>
      </c>
      <c r="GI10" s="4">
        <v>-7.774176654419207E-2</v>
      </c>
      <c r="GJ10" s="4">
        <v>-7.7443817743336169E-2</v>
      </c>
      <c r="GK10" s="4">
        <v>-7.7205633630174408E-2</v>
      </c>
      <c r="GL10" s="4">
        <v>-7.7025499726056074E-2</v>
      </c>
      <c r="GM10" s="4">
        <v>-7.6902099966954643E-2</v>
      </c>
      <c r="GN10" s="4">
        <v>-7.6834489891304647E-2</v>
      </c>
      <c r="GO10" s="4">
        <v>-7.6822076490043439E-2</v>
      </c>
      <c r="GP10" s="4">
        <v>-7.6864603873119233E-2</v>
      </c>
      <c r="GQ10" s="4">
        <v>-7.6962144073472766E-2</v>
      </c>
      <c r="GR10" s="4">
        <v>-7.7115092432581481E-2</v>
      </c>
      <c r="GS10" s="4">
        <v>-7.7324167070011315E-2</v>
      </c>
      <c r="GT10" s="4">
        <v>-7.7590411952065855E-2</v>
      </c>
      <c r="GU10" s="4">
        <v>-7.7915202998360439E-2</v>
      </c>
      <c r="GV10" s="4">
        <v>-7.8300256494780243E-2</v>
      </c>
      <c r="GW10" s="4">
        <v>-7.8747638748182386E-2</v>
      </c>
      <c r="GX10" s="4">
        <v>-7.9259775344838662E-2</v>
      </c>
      <c r="GY10" s="4">
        <v>-7.9839457428306504E-2</v>
      </c>
      <c r="GZ10" s="4">
        <v>-8.0489840843811972E-2</v>
      </c>
      <c r="HA10" s="4">
        <v>-8.1214431441450394E-2</v>
      </c>
      <c r="HB10" s="4">
        <v>-8.2017045597329807E-2</v>
      </c>
      <c r="HC10" s="4">
        <v>-8.2901727976254599E-2</v>
      </c>
      <c r="HD10" s="4">
        <v>-8.387259664622787E-2</v>
      </c>
      <c r="HE10" s="4">
        <v>-8.4933565178297393E-2</v>
      </c>
      <c r="HF10" s="4">
        <v>-8.6087855371068306E-2</v>
      </c>
      <c r="HG10" s="4">
        <v>-8.7337149450922302E-2</v>
      </c>
      <c r="HH10" s="4">
        <v>-8.868011057575298E-2</v>
      </c>
      <c r="HI10" s="4">
        <v>-9.0109770685505422E-2</v>
      </c>
      <c r="HJ10" s="4">
        <v>-9.1608827617770922E-2</v>
      </c>
      <c r="HK10" s="4">
        <v>-9.3140942253084114E-2</v>
      </c>
      <c r="HL10" s="4">
        <v>-9.4634039586882421E-2</v>
      </c>
      <c r="HM10" s="4">
        <v>-9.5946744124644226E-2</v>
      </c>
      <c r="HN10" s="4">
        <v>-9.6796727592322176E-2</v>
      </c>
      <c r="HO10" s="4">
        <v>-9.6596457499084701E-2</v>
      </c>
      <c r="HP10" s="4">
        <v>-9.4021383218120563E-2</v>
      </c>
      <c r="HQ10" s="4">
        <v>-8.5974692881389841E-2</v>
      </c>
      <c r="HR10" s="4">
        <v>-6.0015925186499654E-2</v>
      </c>
      <c r="HS10" s="4">
        <v>-2.6777284094052781E-2</v>
      </c>
      <c r="HT10" s="4">
        <v>1.0427258314541921</v>
      </c>
      <c r="HU10" s="4">
        <v>-2.934541616876261</v>
      </c>
    </row>
    <row r="11" spans="4:229" x14ac:dyDescent="0.25">
      <c r="D11" s="10">
        <v>2</v>
      </c>
      <c r="E11" s="5">
        <f>'N70'!E18-'N70'!E17</f>
        <v>1.4285714285714285E-2</v>
      </c>
      <c r="F11" s="5">
        <f>'N70'!H17-'N70'!E16</f>
        <v>2.1428571428571429E-2</v>
      </c>
      <c r="G11" s="5">
        <f>'N70'!H17-'N70'!E17</f>
        <v>7.1428571428571435E-3</v>
      </c>
      <c r="H11" s="5">
        <f>'N70'!H17-'N70'!E18</f>
        <v>-7.1428571428571418E-3</v>
      </c>
      <c r="I11" s="5">
        <f>'N70'!H17-'N70'!E19</f>
        <v>-2.1428571428571429E-2</v>
      </c>
      <c r="J11" s="5">
        <f>'N70'!H17-'N70'!E20</f>
        <v>-3.5714285714285712E-2</v>
      </c>
      <c r="K11" s="5">
        <f>'N70'!H17-'N70'!E21</f>
        <v>-4.9999999999999996E-2</v>
      </c>
      <c r="L11" s="5">
        <f>'N70'!H17-'N70'!E22</f>
        <v>-6.4285714285714279E-2</v>
      </c>
      <c r="M11" s="5">
        <f>'N70'!H17-'N70'!E23</f>
        <v>-7.857142857142857E-2</v>
      </c>
      <c r="N11" s="5">
        <f>'N70'!H17-'N70'!E24</f>
        <v>-9.285714285714286E-2</v>
      </c>
      <c r="O11" s="5">
        <f>'N70'!H17-'N70'!E25</f>
        <v>-0.10714285714285712</v>
      </c>
      <c r="P11" s="5">
        <f>'N70'!H17-'N70'!E26</f>
        <v>-0.12142857142857141</v>
      </c>
      <c r="Q11" s="5">
        <f>'N70'!H17-'N70'!E27</f>
        <v>-0.1357142857142857</v>
      </c>
      <c r="R11" s="5">
        <f>'N70'!H17-'N70'!E28</f>
        <v>-0.15</v>
      </c>
      <c r="S11" s="5">
        <f>'N70'!H17-'N70'!E29</f>
        <v>-0.16428571428571428</v>
      </c>
      <c r="T11" s="5">
        <f>'N70'!H17-'N70'!E30</f>
        <v>-0.17857142857142855</v>
      </c>
      <c r="U11" s="5">
        <f>'N70'!H17-'N70'!E31</f>
        <v>-0.19285714285714284</v>
      </c>
      <c r="V11" s="5">
        <f>'N70'!H17-'N70'!E32</f>
        <v>-0.20714285714285713</v>
      </c>
      <c r="W11" s="5">
        <f>'N70'!H17-'N70'!E33</f>
        <v>-0.22142857142857142</v>
      </c>
      <c r="X11" s="5">
        <f>'N70'!H17-'N70'!E34</f>
        <v>-0.23571428571428568</v>
      </c>
      <c r="Y11" s="5">
        <f>'N70'!H17-'N70'!E35</f>
        <v>-0.24999999999999997</v>
      </c>
      <c r="Z11" s="5">
        <f>'N70'!H17-'N70'!E36</f>
        <v>-0.26428571428571429</v>
      </c>
      <c r="AA11" s="5">
        <f>'N70'!H17-'N70'!E37</f>
        <v>-0.27857142857142858</v>
      </c>
      <c r="AB11" s="5">
        <f>'N70'!H17-'N70'!E38</f>
        <v>-0.29285714285714287</v>
      </c>
      <c r="AC11" s="5">
        <f>'N70'!H17-'N70'!E39</f>
        <v>-0.30714285714285716</v>
      </c>
      <c r="AD11" s="5">
        <f>'N70'!H17-'N70'!E40</f>
        <v>-0.32142857142857145</v>
      </c>
      <c r="AE11" s="5">
        <f>'N70'!H17-'N70'!E41</f>
        <v>-0.33571428571428574</v>
      </c>
      <c r="AF11" s="5">
        <f>'N70'!H17-'N70'!E42</f>
        <v>-0.35000000000000003</v>
      </c>
      <c r="AG11" s="5">
        <f>'N70'!H17-'N70'!E43</f>
        <v>-0.36428571428571427</v>
      </c>
      <c r="AH11" s="5">
        <f>'N70'!H17-'N70'!E44</f>
        <v>-0.37857142857142856</v>
      </c>
      <c r="AI11" s="5">
        <f>'N70'!H17-'N70'!E45</f>
        <v>-0.39285714285714285</v>
      </c>
      <c r="AJ11" s="5">
        <f>'N70'!H17-'N70'!E46</f>
        <v>-0.40714285714285714</v>
      </c>
      <c r="AK11" s="5">
        <f>'N70'!H17-'N70'!E47</f>
        <v>-0.42142857142857143</v>
      </c>
      <c r="AL11" s="5">
        <f>'N70'!H17-'N70'!$E$48</f>
        <v>-0.43571428571428572</v>
      </c>
      <c r="AM11" s="5">
        <f>'N70'!H17-'N70'!$E$49</f>
        <v>-0.45</v>
      </c>
      <c r="AN11" s="5">
        <f>'N70'!H17-'N70'!$E$50</f>
        <v>-0.4642857142857143</v>
      </c>
      <c r="AO11" s="5">
        <f>'N70'!H17-'N70'!$E$51</f>
        <v>-0.47857142857142859</v>
      </c>
      <c r="AP11" s="5">
        <f>'N70'!H17-'N70'!$E$52</f>
        <v>-0.49285714285714283</v>
      </c>
      <c r="AQ11" s="5">
        <f>'N70'!H17-'N70'!$E$53</f>
        <v>-0.50714285714285712</v>
      </c>
      <c r="AR11" s="5">
        <f>'N70'!H17-'N70'!$E$54</f>
        <v>-0.52142857142857135</v>
      </c>
      <c r="AS11" s="5">
        <f>'N70'!H17-'N70'!$E$55</f>
        <v>-0.5357142857142857</v>
      </c>
      <c r="AT11" s="5">
        <f>'N70'!H17-'N70'!$E$56</f>
        <v>-0.54999999999999993</v>
      </c>
      <c r="AU11" s="5">
        <f>'N70'!H17-'N70'!$E$57</f>
        <v>-0.56428571428571428</v>
      </c>
      <c r="AV11" s="5">
        <f>'N70'!H17-'N70'!$E$58</f>
        <v>-0.57857142857142851</v>
      </c>
      <c r="AW11" s="5">
        <f>'N70'!H17-'N70'!$E$59</f>
        <v>-0.59285714285714275</v>
      </c>
      <c r="AX11" s="5">
        <f>'N70'!H17-'N70'!$E$60</f>
        <v>-0.6071428571428571</v>
      </c>
      <c r="AY11" s="5">
        <f>'N70'!H17-'N70'!$E$61</f>
        <v>-0.62142857142857133</v>
      </c>
      <c r="AZ11" s="5">
        <f>'N70'!H17-'N70'!$E$62</f>
        <v>-0.63571428571428568</v>
      </c>
      <c r="BA11" s="5">
        <f>'N70'!H17-'N70'!$E$63</f>
        <v>-0.64999999999999991</v>
      </c>
      <c r="BB11" s="5">
        <f>'N70'!H17-'N70'!$E$64</f>
        <v>-0.66428571428571426</v>
      </c>
      <c r="BC11" s="5">
        <f>'N70'!H17-'N70'!$E$65</f>
        <v>-0.67857142857142849</v>
      </c>
      <c r="BD11" s="5">
        <f>'N70'!H17-'N70'!$E$66</f>
        <v>-0.69285714285714284</v>
      </c>
      <c r="BE11" s="5">
        <f>'N70'!H17-'N70'!$E$67</f>
        <v>-0.70714285714285707</v>
      </c>
      <c r="BF11" s="5">
        <f>'N70'!H17-'N70'!$E$68</f>
        <v>-0.72142857142857142</v>
      </c>
      <c r="BG11" s="5">
        <f>'N70'!H17-'N70'!$E$69</f>
        <v>-0.73571428571428565</v>
      </c>
      <c r="BH11" s="5">
        <f>'N70'!H17-'N70'!$E$70</f>
        <v>-0.74999999999999989</v>
      </c>
      <c r="BI11" s="5">
        <f>'N70'!H17-'N70'!$E$71</f>
        <v>-0.76428571428571423</v>
      </c>
      <c r="BJ11" s="5">
        <f>'N70'!H17-'N70'!$E$72</f>
        <v>-0.77857142857142847</v>
      </c>
      <c r="BK11" s="5">
        <f>'N70'!H17-'N70'!$E$73</f>
        <v>-0.79285714285714282</v>
      </c>
      <c r="BL11" s="5">
        <f>'N70'!H17-'N70'!$E$74</f>
        <v>-0.80714285714285705</v>
      </c>
      <c r="BM11" s="5">
        <f>'N70'!H17-'N70'!$E$75</f>
        <v>-0.8214285714285714</v>
      </c>
      <c r="BN11" s="5">
        <f>'N70'!H17-'N70'!$E$76</f>
        <v>-0.83571428571428563</v>
      </c>
      <c r="BO11" s="5">
        <f>'N70'!H17-'N70'!$E$77</f>
        <v>-0.85</v>
      </c>
      <c r="BP11" s="5">
        <f>'N70'!H17-'N70'!$E$78</f>
        <v>-0.86428571428571421</v>
      </c>
      <c r="BQ11" s="5">
        <f>'N70'!H17-'N70'!$E$79</f>
        <v>-0.87857142857142856</v>
      </c>
      <c r="BR11" s="5">
        <f>'N70'!H17-'N70'!$E$80</f>
        <v>-0.89285714285714279</v>
      </c>
      <c r="BS11" s="5">
        <f>'N70'!H17-'N70'!$E$81</f>
        <v>-0.90714285714285703</v>
      </c>
      <c r="BT11" s="5">
        <f>'N70'!H17-'N70'!$E$82</f>
        <v>-0.92142857142857137</v>
      </c>
      <c r="BU11" s="5">
        <f>'N70'!H17-'N70'!$E$83</f>
        <v>-0.93571428571428561</v>
      </c>
      <c r="BV11" s="5">
        <f>'N70'!H17-'N70'!$E$84</f>
        <v>-0.95</v>
      </c>
      <c r="BW11" s="5">
        <f>'N70'!H17-'N70'!$E$85</f>
        <v>-0.96428571428571419</v>
      </c>
      <c r="BX11" s="5">
        <v>-1</v>
      </c>
      <c r="BY11" s="5"/>
      <c r="BZ11">
        <v>2</v>
      </c>
      <c r="CA11" s="5">
        <f>N70_DESARROLLO!CE96+N70_DESARROLLO!H96</f>
        <v>-0.45069384467982199</v>
      </c>
      <c r="CB11" s="5">
        <f>N70_DESARROLLO!CF96+N70_DESARROLLO!I96</f>
        <v>-1.6479184659605337</v>
      </c>
      <c r="CC11" s="5">
        <f>N70_DESARROLLO!CG96+N70_DESARROLLO!J96</f>
        <v>1.6479184659605342</v>
      </c>
      <c r="CD11" s="5">
        <f>N70_DESARROLLO!CH96+N70_DESARROLLO!K96</f>
        <v>0.72775792963608033</v>
      </c>
      <c r="CE11" s="5">
        <f>N70_DESARROLLO!CI96+N70_DESARROLLO!L96</f>
        <v>0.41141440075354718</v>
      </c>
      <c r="CF11" s="5">
        <f>N70_DESARROLLO!CJ96+N70_DESARROLLO!M96</f>
        <v>0.28973434150573141</v>
      </c>
      <c r="CG11" s="5">
        <f>N70_DESARROLLO!CK96+N70_DESARROLLO!N96</f>
        <v>0.22408833054042743</v>
      </c>
      <c r="CH11" s="5">
        <f>N70_DESARROLLO!CL96+N70_DESARROLLO!O96</f>
        <v>0.18283342438756867</v>
      </c>
      <c r="CI11" s="5">
        <f>N70_DESARROLLO!CM96+N70_DESARROLLO!P96</f>
        <v>0.15445886474681081</v>
      </c>
      <c r="CJ11" s="5">
        <f>N70_DESARROLLO!CN96+N70_DESARROLLO!Q96</f>
        <v>0.13373123411930077</v>
      </c>
      <c r="CK11" s="5">
        <f>N70_DESARROLLO!CO96+N70_DESARROLLO!R96</f>
        <v>0.11791996375048619</v>
      </c>
      <c r="CL11" s="5">
        <f>N70_DESARROLLO!CP96+N70_DESARROLLO!S96</f>
        <v>0.10545841852057836</v>
      </c>
      <c r="CM11" s="5">
        <f>N70_DESARROLLO!CQ96+N70_DESARROLLO!T96</f>
        <v>9.5382594982175162E-2</v>
      </c>
      <c r="CN11" s="5">
        <f>N70_DESARROLLO!CR96+N70_DESARROLLO!U96</f>
        <v>8.7066442319335025E-2</v>
      </c>
      <c r="CO11" s="5">
        <f>N70_DESARROLLO!CS96+N70_DESARROLLO!V96</f>
        <v>8.0085554140357895E-2</v>
      </c>
      <c r="CP11" s="5">
        <f>N70_DESARROLLO!CT96+N70_DESARROLLO!W96</f>
        <v>7.4141965022337719E-2</v>
      </c>
      <c r="CQ11" s="5">
        <f>N70_DESARROLLO!CU96+N70_DESARROLLO!X96</f>
        <v>6.9020292350869261E-2</v>
      </c>
      <c r="CR11" s="5">
        <f>N70_DESARROLLO!CV96+N70_DESARROLLO!Y96</f>
        <v>6.4560961252480009E-2</v>
      </c>
      <c r="CS11" s="5">
        <f>N70_DESARROLLO!CW96+N70_DESARROLLO!Z96</f>
        <v>6.0643218403522714E-2</v>
      </c>
      <c r="CT11" s="5">
        <f>N70_DESARROLLO!CX96+N70_DESARROLLO!AA96</f>
        <v>5.7173997129082443E-2</v>
      </c>
      <c r="CU11" s="5">
        <f>N70_DESARROLLO!CY96+N70_DESARROLLO!AB96</f>
        <v>5.4080408838146576E-2</v>
      </c>
      <c r="CV11" s="5">
        <f>N70_DESARROLLO!CZ96+N70_DESARROLLO!AC96</f>
        <v>5.1304553326341429E-2</v>
      </c>
      <c r="CW11" s="5">
        <f>N70_DESARROLLO!DA96+N70_DESARROLLO!AD96</f>
        <v>4.8799853039074859E-2</v>
      </c>
      <c r="CX11" s="5">
        <f>N70_DESARROLLO!DB96+N70_DESARROLLO!AE96</f>
        <v>4.6528413377889599E-2</v>
      </c>
      <c r="CY11" s="5">
        <f>N70_DESARROLLO!DC96+N70_DESARROLLO!AF96</f>
        <v>4.4459088822761283E-2</v>
      </c>
      <c r="CZ11" s="5">
        <f>N70_DESARROLLO!DD96+N70_DESARROLLO!AG96</f>
        <v>4.2566044021113747E-2</v>
      </c>
      <c r="DA11" s="5">
        <f>N70_DESARROLLO!DE96+N70_DESARROLLO!AH96</f>
        <v>4.0827668052527688E-2</v>
      </c>
      <c r="DB11" s="5">
        <f>N70_DESARROLLO!DF96+N70_DESARROLLO!AI96</f>
        <v>3.9225744685487229E-2</v>
      </c>
      <c r="DC11" s="5">
        <f>N70_DESARROLLO!DG96+N70_DESARROLLO!AJ96</f>
        <v>3.7744810855694144E-2</v>
      </c>
      <c r="DD11" s="5">
        <f>N70_DESARROLLO!DH96+N70_DESARROLLO!AK96</f>
        <v>3.6371655357441024E-2</v>
      </c>
      <c r="DE11" s="5">
        <f>N70_DESARROLLO!DI96+N70_DESARROLLO!AL96</f>
        <v>3.5094923244216703E-2</v>
      </c>
      <c r="DF11" s="5">
        <f>N70_DESARROLLO!DJ96+N70_DESARROLLO!AM96</f>
        <v>3.3904800811315305E-2</v>
      </c>
      <c r="DG11" s="5">
        <f>N70_DESARROLLO!DK96+N70_DESARROLLO!AN96</f>
        <v>3.2792762635876271E-2</v>
      </c>
      <c r="DH11" s="5">
        <f>N70_DESARROLLO!DL96+N70_DESARROLLO!AO96</f>
        <v>3.175136686266955E-2</v>
      </c>
      <c r="DI11" s="5">
        <f>N70_DESARROLLO!DM96+N70_DESARROLLO!AP96</f>
        <v>3.0774088329712401E-2</v>
      </c>
      <c r="DJ11" s="5">
        <f>N70_DESARROLLO!DN96+N70_DESARROLLO!AQ96</f>
        <v>2.9855181616024185E-2</v>
      </c>
      <c r="DK11" s="5">
        <f>N70_DESARROLLO!DO96+N70_DESARROLLO!AR96</f>
        <v>2.8989567932955596E-2</v>
      </c>
      <c r="DL11" s="5">
        <f>N70_DESARROLLO!DP96+N70_DESARROLLO!AS96</f>
        <v>2.8172741151786584E-2</v>
      </c>
      <c r="DM11" s="5">
        <f>N70_DESARROLLO!DQ96+N70_DESARROLLO!AT96</f>
        <v>2.7400689293805458E-2</v>
      </c>
      <c r="DN11" s="5">
        <f>N70_DESARROLLO!DR96+N70_DESARROLLO!AU96</f>
        <v>2.6669828593212208E-2</v>
      </c>
      <c r="DO11" s="5">
        <f>N70_DESARROLLO!DS96+N70_DESARROLLO!AV96</f>
        <v>2.5976947844875475E-2</v>
      </c>
      <c r="DP11" s="5">
        <f>N70_DESARROLLO!DT96+N70_DESARROLLO!AW96</f>
        <v>2.5319161212279506E-2</v>
      </c>
      <c r="DQ11" s="5">
        <f>N70_DESARROLLO!DU96+N70_DESARROLLO!AX96</f>
        <v>2.4693868032498956E-2</v>
      </c>
      <c r="DR11" s="5">
        <f>N70_DESARROLLO!DV96+N70_DESARROLLO!AY96</f>
        <v>2.4098718436573741E-2</v>
      </c>
      <c r="DS11" s="5">
        <f>N70_DESARROLLO!DW96+N70_DESARROLLO!AZ96</f>
        <v>2.3531583826931768E-2</v>
      </c>
      <c r="DT11" s="5">
        <f>N70_DESARROLLO!DX96+N70_DESARROLLO!BA96</f>
        <v>2.2990531429711081E-2</v>
      </c>
      <c r="DU11" s="5">
        <f>N70_DESARROLLO!DY96+N70_DESARROLLO!BB96</f>
        <v>2.2473802280083444E-2</v>
      </c>
      <c r="DV11" s="5">
        <f>N70_DESARROLLO!DZ96+N70_DESARROLLO!BC96</f>
        <v>2.1979792112879926E-2</v>
      </c>
      <c r="DW11" s="5">
        <f>N70_DESARROLLO!EA96+N70_DESARROLLO!BD96</f>
        <v>2.1507034719697726E-2</v>
      </c>
      <c r="DX11" s="5">
        <f>N70_DESARROLLO!EB96+N70_DESARROLLO!BE96</f>
        <v>2.1054187410176395E-2</v>
      </c>
      <c r="DY11" s="5">
        <f>N70_DESARROLLO!EC96+N70_DESARROLLO!BF96</f>
        <v>2.0620018272150986E-2</v>
      </c>
      <c r="DZ11" s="5">
        <f>N70_DESARROLLO!ED96+N70_DESARROLLO!BG96</f>
        <v>2.0203394977344136E-2</v>
      </c>
      <c r="EA11" s="5">
        <f>N70_DESARROLLO!EE96+N70_DESARROLLO!BH96</f>
        <v>1.9803274917299052E-2</v>
      </c>
      <c r="EB11" s="5">
        <f>N70_DESARROLLO!EF96+N70_DESARROLLO!BI96</f>
        <v>1.941869648946748E-2</v>
      </c>
      <c r="EC11" s="5">
        <f>N70_DESARROLLO!EG96+N70_DESARROLLO!BJ96</f>
        <v>1.9048771379252427E-2</v>
      </c>
      <c r="ED11" s="5">
        <f>N70_DESARROLLO!EH96+N70_DESARROLLO!BK96</f>
        <v>1.8692677708193939E-2</v>
      </c>
      <c r="EE11" s="5">
        <f>N70_DESARROLLO!EI96+N70_DESARROLLO!BL96</f>
        <v>1.834965393686061E-2</v>
      </c>
      <c r="EF11" s="5">
        <f>N70_DESARROLLO!EJ96+N70_DESARROLLO!BM96</f>
        <v>1.8018993426860641E-2</v>
      </c>
      <c r="EG11" s="5">
        <f>N70_DESARROLLO!EK96+N70_DESARROLLO!BN96</f>
        <v>1.7700039580939242E-2</v>
      </c>
      <c r="EH11" s="5">
        <f>N70_DESARROLLO!EL96+N70_DESARROLLO!BO96</f>
        <v>1.7392181490053948E-2</v>
      </c>
      <c r="EI11" s="5">
        <f>N70_DESARROLLO!EM96+N70_DESARROLLO!BP96</f>
        <v>1.7094850027323361E-2</v>
      </c>
      <c r="EJ11" s="5">
        <f>N70_DESARROLLO!EN96+N70_DESARROLLO!BQ96</f>
        <v>1.6807514335709484E-2</v>
      </c>
      <c r="EK11" s="5">
        <f>N70_DESARROLLO!EO96+N70_DESARROLLO!BR96</f>
        <v>1.652967866460997E-2</v>
      </c>
      <c r="EL11" s="5">
        <f>N70_DESARROLLO!EP96+N70_DESARROLLO!BS96</f>
        <v>1.6260879514503723E-2</v>
      </c>
      <c r="EM11" s="5">
        <f>N70_DESARROLLO!EQ96+N70_DESARROLLO!BT96</f>
        <v>1.6000683056603737E-2</v>
      </c>
      <c r="EN11" s="5">
        <f>N70_DESARROLLO!ER96+N70_DESARROLLO!BU96</f>
        <v>1.5748682795550972E-2</v>
      </c>
      <c r="EO11" s="5">
        <f>N70_DESARROLLO!ES96+N70_DESARROLLO!BV96</f>
        <v>1.5504497450362531E-2</v>
      </c>
      <c r="EP11" s="5">
        <f>N70_DESARROLLO!ET96+N70_DESARROLLO!BW96</f>
        <v>1.5267769028979861E-2</v>
      </c>
      <c r="EQ11" s="5">
        <f>N70_DESARROLLO!EU96+N70_DESARROLLO!BX96</f>
        <v>1.5038161076917467E-2</v>
      </c>
      <c r="ER11" s="5">
        <f>N70_DESARROLLO!EV96+N70_DESARROLLO!BY96</f>
        <v>1.5531793836159125</v>
      </c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>
        <v>2</v>
      </c>
      <c r="FD11" s="4">
        <v>0.20627108814784814</v>
      </c>
      <c r="FE11" s="4">
        <v>-0.28189183260293954</v>
      </c>
      <c r="FF11" s="4">
        <v>-8.7716316189730276E-2</v>
      </c>
      <c r="FG11" s="4">
        <v>-6.8010089365161813E-2</v>
      </c>
      <c r="FH11" s="4">
        <v>-5.4916824849250923E-2</v>
      </c>
      <c r="FI11" s="4">
        <v>-4.7353501823843104E-2</v>
      </c>
      <c r="FJ11" s="4">
        <v>-4.225341341933285E-2</v>
      </c>
      <c r="FK11" s="4">
        <v>-3.8562654095294822E-2</v>
      </c>
      <c r="FL11" s="4">
        <v>-3.5751965616446411E-2</v>
      </c>
      <c r="FM11" s="4">
        <v>-3.3531904244280361E-2</v>
      </c>
      <c r="FN11" s="4">
        <v>-3.1729642810724289E-2</v>
      </c>
      <c r="FO11" s="4">
        <v>-3.023525283741842E-2</v>
      </c>
      <c r="FP11" s="4">
        <v>-2.8975245704290737E-2</v>
      </c>
      <c r="FQ11" s="4">
        <v>-2.7898494015787756E-2</v>
      </c>
      <c r="FR11" s="4">
        <v>-2.696824618049018E-2</v>
      </c>
      <c r="FS11" s="4">
        <v>-2.6157355839044421E-2</v>
      </c>
      <c r="FT11" s="4">
        <v>-2.5445306025572177E-2</v>
      </c>
      <c r="FU11" s="4">
        <v>-2.4816283830377629E-2</v>
      </c>
      <c r="FV11" s="4">
        <v>-2.4257895171453724E-2</v>
      </c>
      <c r="FW11" s="4">
        <v>-2.3760283335597838E-2</v>
      </c>
      <c r="FX11" s="4">
        <v>-2.3315509991198455E-2</v>
      </c>
      <c r="FY11" s="4">
        <v>-2.2917111390366725E-2</v>
      </c>
      <c r="FZ11" s="4">
        <v>-2.2559774272284193E-2</v>
      </c>
      <c r="GA11" s="4">
        <v>-2.2239095281862239E-2</v>
      </c>
      <c r="GB11" s="4">
        <v>-2.1951399762558554E-2</v>
      </c>
      <c r="GC11" s="4">
        <v>-2.1693603485648617E-2</v>
      </c>
      <c r="GD11" s="4">
        <v>-2.1463105915793892E-2</v>
      </c>
      <c r="GE11" s="4">
        <v>-2.1257706973801482E-2</v>
      </c>
      <c r="GF11" s="4">
        <v>-2.1075541541515946E-2</v>
      </c>
      <c r="GG11" s="4">
        <v>-2.0915027532098437E-2</v>
      </c>
      <c r="GH11" s="4">
        <v>-2.0774824456674536E-2</v>
      </c>
      <c r="GI11" s="4">
        <v>-2.0653800206951275E-2</v>
      </c>
      <c r="GJ11" s="4">
        <v>-2.0551004342298257E-2</v>
      </c>
      <c r="GK11" s="4">
        <v>-2.0465646585357482E-2</v>
      </c>
      <c r="GL11" s="4">
        <v>-2.0397079537164717E-2</v>
      </c>
      <c r="GM11" s="4">
        <v>-2.0344784851761756E-2</v>
      </c>
      <c r="GN11" s="4">
        <v>-2.0308362282645404E-2</v>
      </c>
      <c r="GO11" s="4">
        <v>-2.0287521143622034E-2</v>
      </c>
      <c r="GP11" s="4">
        <v>-2.0282073825406855E-2</v>
      </c>
      <c r="GQ11" s="4">
        <v>-2.0291931081827499E-2</v>
      </c>
      <c r="GR11" s="4">
        <v>-2.0317098853060423E-2</v>
      </c>
      <c r="GS11" s="4">
        <v>-2.035767642490962E-2</v>
      </c>
      <c r="GT11" s="4">
        <v>-2.0413855738118904E-2</v>
      </c>
      <c r="GU11" s="4">
        <v>-2.0485921650249449E-2</v>
      </c>
      <c r="GV11" s="4">
        <v>-2.0574252913420615E-2</v>
      </c>
      <c r="GW11" s="4">
        <v>-2.0679323546766916E-2</v>
      </c>
      <c r="GX11" s="4">
        <v>-2.0801704132331723E-2</v>
      </c>
      <c r="GY11" s="4">
        <v>-2.0942062312249748E-2</v>
      </c>
      <c r="GZ11" s="4">
        <v>-2.1101161347326213E-2</v>
      </c>
      <c r="HA11" s="4">
        <v>-2.1279854916172791E-2</v>
      </c>
      <c r="HB11" s="4">
        <v>-2.1479075205901511E-2</v>
      </c>
      <c r="HC11" s="4">
        <v>-2.1699809472389208E-2</v>
      </c>
      <c r="HD11" s="4">
        <v>-2.1943057080373484E-2</v>
      </c>
      <c r="HE11" s="4">
        <v>-2.2209753595101033E-2</v>
      </c>
      <c r="HF11" s="4">
        <v>-2.2500638948532371E-2</v>
      </c>
      <c r="HG11" s="4">
        <v>-2.2816029533720798E-2</v>
      </c>
      <c r="HH11" s="4">
        <v>-2.315542230436023E-2</v>
      </c>
      <c r="HI11" s="4">
        <v>-2.3516798173292771E-2</v>
      </c>
      <c r="HJ11" s="4">
        <v>-2.3895371179246203E-2</v>
      </c>
      <c r="HK11" s="4">
        <v>-2.4281278668435442E-2</v>
      </c>
      <c r="HL11" s="4">
        <v>-2.465515690591431E-2</v>
      </c>
      <c r="HM11" s="4">
        <v>-2.4979260928994163E-2</v>
      </c>
      <c r="HN11" s="4">
        <v>-2.5178530784983451E-2</v>
      </c>
      <c r="HO11" s="4">
        <v>-2.509723341692776E-2</v>
      </c>
      <c r="HP11" s="4">
        <v>-2.4385090030925153E-2</v>
      </c>
      <c r="HQ11" s="4">
        <v>-2.2224342961410709E-2</v>
      </c>
      <c r="HR11" s="4">
        <v>-1.5337376480002446E-2</v>
      </c>
      <c r="HS11" s="4">
        <v>-6.5020228683871631E-3</v>
      </c>
      <c r="HT11" s="4">
        <v>0.27483846241448773</v>
      </c>
      <c r="HU11" s="4">
        <v>-0.76991515187388826</v>
      </c>
    </row>
    <row r="12" spans="4:229" x14ac:dyDescent="0.25">
      <c r="D12" s="10">
        <v>3</v>
      </c>
      <c r="E12" s="5">
        <f>'N70'!E19-'N70'!E18</f>
        <v>1.4285714285714287E-2</v>
      </c>
      <c r="F12" s="5">
        <f>'N70'!H18-'N70'!E16</f>
        <v>3.5714285714285712E-2</v>
      </c>
      <c r="G12" s="5">
        <f>'N70'!H18-'N70'!E17</f>
        <v>2.1428571428571429E-2</v>
      </c>
      <c r="H12" s="5">
        <f>'N70'!H18-'N70'!E18</f>
        <v>7.1428571428571418E-3</v>
      </c>
      <c r="I12" s="5">
        <f>'N70'!H18-'N70'!E19</f>
        <v>-7.1428571428571452E-3</v>
      </c>
      <c r="J12" s="5">
        <f>'N70'!H18-'N70'!E20</f>
        <v>-2.1428571428571429E-2</v>
      </c>
      <c r="K12" s="5">
        <f>'N70'!H18-'N70'!E21</f>
        <v>-3.5714285714285712E-2</v>
      </c>
      <c r="L12" s="5">
        <f>'N70'!H18-'N70'!E22</f>
        <v>-0.05</v>
      </c>
      <c r="M12" s="5">
        <f>'N70'!H18-'N70'!E23</f>
        <v>-6.4285714285714279E-2</v>
      </c>
      <c r="N12" s="5">
        <f>'N70'!H18-'N70'!E24</f>
        <v>-7.857142857142857E-2</v>
      </c>
      <c r="O12" s="5">
        <f>'N70'!H18-'N70'!E25</f>
        <v>-9.2857142857142846E-2</v>
      </c>
      <c r="P12" s="5">
        <f>'N70'!H18-'N70'!E26</f>
        <v>-0.10714285714285714</v>
      </c>
      <c r="Q12" s="5">
        <f>'N70'!H18-'N70'!E27</f>
        <v>-0.12142857142857143</v>
      </c>
      <c r="R12" s="5">
        <f>'N70'!H18-'N70'!E28</f>
        <v>-0.13571428571428573</v>
      </c>
      <c r="S12" s="5">
        <f>'N70'!H18-'N70'!E29</f>
        <v>-0.15000000000000002</v>
      </c>
      <c r="T12" s="5">
        <f>'N70'!H18-'N70'!E30</f>
        <v>-0.16428571428571426</v>
      </c>
      <c r="U12" s="5">
        <f>'N70'!H18-'N70'!E31</f>
        <v>-0.17857142857142855</v>
      </c>
      <c r="V12" s="5">
        <f>'N70'!H18-'N70'!E32</f>
        <v>-0.19285714285714284</v>
      </c>
      <c r="W12" s="5">
        <f>'N70'!H18-'N70'!E33</f>
        <v>-0.20714285714285713</v>
      </c>
      <c r="X12" s="5">
        <f>'N70'!H18-'N70'!E34</f>
        <v>-0.22142857142857142</v>
      </c>
      <c r="Y12" s="5">
        <f>'N70'!H18-'N70'!E35</f>
        <v>-0.23571428571428571</v>
      </c>
      <c r="Z12" s="5">
        <f>'N70'!H18-'N70'!E36</f>
        <v>-0.25</v>
      </c>
      <c r="AA12" s="5">
        <f>'N70'!H18-'N70'!E37</f>
        <v>-0.26428571428571429</v>
      </c>
      <c r="AB12" s="5">
        <f>'N70'!H18-'N70'!E38</f>
        <v>-0.27857142857142858</v>
      </c>
      <c r="AC12" s="5">
        <f>'N70'!H18-'N70'!E39</f>
        <v>-0.29285714285714287</v>
      </c>
      <c r="AD12" s="5">
        <f>'N70'!H18-'N70'!E40</f>
        <v>-0.30714285714285716</v>
      </c>
      <c r="AE12" s="5">
        <f>'N70'!H18-'N70'!E41</f>
        <v>-0.32142857142857145</v>
      </c>
      <c r="AF12" s="5">
        <f>'N70'!H18-'N70'!E42</f>
        <v>-0.33571428571428574</v>
      </c>
      <c r="AG12" s="5">
        <f>'N70'!H18-'N70'!E43</f>
        <v>-0.35</v>
      </c>
      <c r="AH12" s="5">
        <f>'N70'!H18-'N70'!E44</f>
        <v>-0.36428571428571427</v>
      </c>
      <c r="AI12" s="5">
        <f>'N70'!H18-'N70'!E45</f>
        <v>-0.37857142857142856</v>
      </c>
      <c r="AJ12" s="5">
        <f>'N70'!H18-'N70'!E46</f>
        <v>-0.39285714285714285</v>
      </c>
      <c r="AK12" s="5">
        <f>'N70'!H18-'N70'!E47</f>
        <v>-0.40714285714285714</v>
      </c>
      <c r="AL12" s="5">
        <f>'N70'!H18-'N70'!$E$48</f>
        <v>-0.42142857142857143</v>
      </c>
      <c r="AM12" s="5">
        <f>'N70'!H18-'N70'!$E$49</f>
        <v>-0.43571428571428572</v>
      </c>
      <c r="AN12" s="5">
        <f>'N70'!H18-'N70'!$E$50</f>
        <v>-0.45</v>
      </c>
      <c r="AO12" s="5">
        <f>'N70'!H18-'N70'!$E$51</f>
        <v>-0.4642857142857143</v>
      </c>
      <c r="AP12" s="5">
        <f>'N70'!H18-'N70'!$E$52</f>
        <v>-0.47857142857142854</v>
      </c>
      <c r="AQ12" s="5">
        <f>'N70'!H18-'N70'!$E$53</f>
        <v>-0.49285714285714288</v>
      </c>
      <c r="AR12" s="5">
        <f>'N70'!H18-'N70'!$E$54</f>
        <v>-0.50714285714285712</v>
      </c>
      <c r="AS12" s="5">
        <f>'N70'!H18-'N70'!$E$55</f>
        <v>-0.52142857142857146</v>
      </c>
      <c r="AT12" s="5">
        <f>'N70'!H18-'N70'!$E$56</f>
        <v>-0.5357142857142857</v>
      </c>
      <c r="AU12" s="5">
        <f>'N70'!H18-'N70'!$E$57</f>
        <v>-0.55000000000000004</v>
      </c>
      <c r="AV12" s="5">
        <f>'N70'!H18-'N70'!$E$58</f>
        <v>-0.56428571428571428</v>
      </c>
      <c r="AW12" s="5">
        <f>'N70'!H18-'N70'!$E$59</f>
        <v>-0.57857142857142851</v>
      </c>
      <c r="AX12" s="5">
        <f>'N70'!H18-'N70'!$E$60</f>
        <v>-0.59285714285714286</v>
      </c>
      <c r="AY12" s="5">
        <f>'N70'!H18-'N70'!$E$61</f>
        <v>-0.6071428571428571</v>
      </c>
      <c r="AZ12" s="5">
        <f>'N70'!H18-'N70'!$E$62</f>
        <v>-0.62142857142857144</v>
      </c>
      <c r="BA12" s="5">
        <f>'N70'!H18-'N70'!$E$63</f>
        <v>-0.63571428571428568</v>
      </c>
      <c r="BB12" s="5">
        <f>'N70'!H18-'N70'!$E$64</f>
        <v>-0.65</v>
      </c>
      <c r="BC12" s="5">
        <f>'N70'!H18-'N70'!$E$65</f>
        <v>-0.66428571428571426</v>
      </c>
      <c r="BD12" s="5">
        <f>'N70'!H18-'N70'!$E$66</f>
        <v>-0.6785714285714286</v>
      </c>
      <c r="BE12" s="5">
        <f>'N70'!H18-'N70'!$E$67</f>
        <v>-0.69285714285714284</v>
      </c>
      <c r="BF12" s="5">
        <f>'N70'!H18-'N70'!$E$68</f>
        <v>-0.70714285714285718</v>
      </c>
      <c r="BG12" s="5">
        <f>'N70'!H18-'N70'!$E$69</f>
        <v>-0.72142857142857142</v>
      </c>
      <c r="BH12" s="5">
        <f>'N70'!H18-'N70'!$E$70</f>
        <v>-0.73571428571428565</v>
      </c>
      <c r="BI12" s="5">
        <f>'N70'!H18-'N70'!$E$71</f>
        <v>-0.75</v>
      </c>
      <c r="BJ12" s="5">
        <f>'N70'!H18-'N70'!$E$72</f>
        <v>-0.76428571428571423</v>
      </c>
      <c r="BK12" s="5">
        <f>'N70'!H18-'N70'!$E$73</f>
        <v>-0.77857142857142858</v>
      </c>
      <c r="BL12" s="5">
        <f>'N70'!H18-'N70'!$E$74</f>
        <v>-0.79285714285714282</v>
      </c>
      <c r="BM12" s="5">
        <f>'N70'!H18-'N70'!$E$75</f>
        <v>-0.80714285714285716</v>
      </c>
      <c r="BN12" s="5">
        <f>'N70'!H18-'N70'!$E$76</f>
        <v>-0.8214285714285714</v>
      </c>
      <c r="BO12" s="5">
        <f>'N70'!H18-'N70'!$E$77</f>
        <v>-0.83571428571428574</v>
      </c>
      <c r="BP12" s="5">
        <f>'N70'!H18-'N70'!$E$78</f>
        <v>-0.85</v>
      </c>
      <c r="BQ12" s="5">
        <f>'N70'!H18-'N70'!$E$79</f>
        <v>-0.86428571428571432</v>
      </c>
      <c r="BR12" s="5">
        <f>'N70'!H18-'N70'!$E$80</f>
        <v>-0.87857142857142856</v>
      </c>
      <c r="BS12" s="5">
        <f>'N70'!H18-'N70'!$E$81</f>
        <v>-0.89285714285714279</v>
      </c>
      <c r="BT12" s="5">
        <f>'N70'!H18-'N70'!$E$82</f>
        <v>-0.90714285714285714</v>
      </c>
      <c r="BU12" s="5">
        <f>'N70'!H18-'N70'!$E$83</f>
        <v>-0.92142857142857137</v>
      </c>
      <c r="BV12" s="5">
        <f>'N70'!H18-'N70'!$E$84</f>
        <v>-0.93571428571428572</v>
      </c>
      <c r="BW12" s="5">
        <f>'N70'!H18-'N70'!$E$85</f>
        <v>-0.95</v>
      </c>
      <c r="BX12" s="5">
        <v>-1</v>
      </c>
      <c r="BY12" s="5"/>
      <c r="BZ12">
        <v>3</v>
      </c>
      <c r="CA12" s="5">
        <f>N70_DESARROLLO!CE97+N70_DESARROLLO!H97</f>
        <v>-0.23376154902624513</v>
      </c>
      <c r="CB12" s="5">
        <f>N70_DESARROLLO!CF97+N70_DESARROLLO!I97</f>
        <v>-0.72775792963607999</v>
      </c>
      <c r="CC12" s="5">
        <f>N70_DESARROLLO!CG97+N70_DESARROLLO!J97</f>
        <v>-1.6479184659605344</v>
      </c>
      <c r="CD12" s="5">
        <f>N70_DESARROLLO!CH97+N70_DESARROLLO!K97</f>
        <v>1.6479184659605335</v>
      </c>
      <c r="CE12" s="5">
        <f>N70_DESARROLLO!CI97+N70_DESARROLLO!L97</f>
        <v>0.72775792963608021</v>
      </c>
      <c r="CF12" s="5">
        <f>N70_DESARROLLO!CJ97+N70_DESARROLLO!M97</f>
        <v>0.41141440075354763</v>
      </c>
      <c r="CG12" s="5">
        <f>N70_DESARROLLO!CK97+N70_DESARROLLO!N97</f>
        <v>0.28973434150573119</v>
      </c>
      <c r="CH12" s="5">
        <f>N70_DESARROLLO!CL97+N70_DESARROLLO!O97</f>
        <v>0.22408833054042732</v>
      </c>
      <c r="CI12" s="5">
        <f>N70_DESARROLLO!CM97+N70_DESARROLLO!P97</f>
        <v>0.18283342438756733</v>
      </c>
      <c r="CJ12" s="5">
        <f>N70_DESARROLLO!CN97+N70_DESARROLLO!Q97</f>
        <v>0.15445886474681458</v>
      </c>
      <c r="CK12" s="5">
        <f>N70_DESARROLLO!CO97+N70_DESARROLLO!R97</f>
        <v>0.13373123411929833</v>
      </c>
      <c r="CL12" s="5">
        <f>N70_DESARROLLO!CP97+N70_DESARROLLO!S97</f>
        <v>0.11791996375048808</v>
      </c>
      <c r="CM12" s="5">
        <f>N70_DESARROLLO!CQ97+N70_DESARROLLO!T97</f>
        <v>0.10545841852057725</v>
      </c>
      <c r="CN12" s="5">
        <f>N70_DESARROLLO!CR97+N70_DESARROLLO!U97</f>
        <v>9.5382594982170055E-2</v>
      </c>
      <c r="CO12" s="5">
        <f>N70_DESARROLLO!CS97+N70_DESARROLLO!V97</f>
        <v>8.706644231933891E-2</v>
      </c>
      <c r="CP12" s="5">
        <f>N70_DESARROLLO!CT97+N70_DESARROLLO!W97</f>
        <v>8.0085554140358006E-2</v>
      </c>
      <c r="CQ12" s="5">
        <f>N70_DESARROLLO!CU97+N70_DESARROLLO!X97</f>
        <v>7.4141965022337719E-2</v>
      </c>
      <c r="CR12" s="5">
        <f>N70_DESARROLLO!CV97+N70_DESARROLLO!Y97</f>
        <v>6.9020292350869261E-2</v>
      </c>
      <c r="CS12" s="5">
        <f>N70_DESARROLLO!CW97+N70_DESARROLLO!Z97</f>
        <v>6.4560961252480009E-2</v>
      </c>
      <c r="CT12" s="5">
        <f>N70_DESARROLLO!CX97+N70_DESARROLLO!AA97</f>
        <v>6.0643218403522936E-2</v>
      </c>
      <c r="CU12" s="5">
        <f>N70_DESARROLLO!CY97+N70_DESARROLLO!AB97</f>
        <v>5.7173997129078669E-2</v>
      </c>
      <c r="CV12" s="5">
        <f>N70_DESARROLLO!CZ97+N70_DESARROLLO!AC97</f>
        <v>5.4080408838150018E-2</v>
      </c>
      <c r="CW12" s="5">
        <f>N70_DESARROLLO!DA97+N70_DESARROLLO!AD97</f>
        <v>5.1304553326341429E-2</v>
      </c>
      <c r="CX12" s="5">
        <f>N70_DESARROLLO!DB97+N70_DESARROLLO!AE97</f>
        <v>4.8799853039074859E-2</v>
      </c>
      <c r="CY12" s="5">
        <f>N70_DESARROLLO!DC97+N70_DESARROLLO!AF97</f>
        <v>4.6528413377889599E-2</v>
      </c>
      <c r="CZ12" s="5">
        <f>N70_DESARROLLO!DD97+N70_DESARROLLO!AG97</f>
        <v>4.4459088822761283E-2</v>
      </c>
      <c r="DA12" s="5">
        <f>N70_DESARROLLO!DE97+N70_DESARROLLO!AH97</f>
        <v>4.256604402110864E-2</v>
      </c>
      <c r="DB12" s="5">
        <f>N70_DESARROLLO!DF97+N70_DESARROLLO!AI97</f>
        <v>4.0827668052538124E-2</v>
      </c>
      <c r="DC12" s="5">
        <f>N70_DESARROLLO!DG97+N70_DESARROLLO!AJ97</f>
        <v>3.9225744685482122E-2</v>
      </c>
      <c r="DD12" s="5">
        <f>N70_DESARROLLO!DH97+N70_DESARROLLO!AK97</f>
        <v>3.7744810855694144E-2</v>
      </c>
      <c r="DE12" s="5">
        <f>N70_DESARROLLO!DI97+N70_DESARROLLO!AL97</f>
        <v>3.6371655357441024E-2</v>
      </c>
      <c r="DF12" s="5">
        <f>N70_DESARROLLO!DJ97+N70_DESARROLLO!AM97</f>
        <v>3.5094923244216703E-2</v>
      </c>
      <c r="DG12" s="5">
        <f>N70_DESARROLLO!DK97+N70_DESARROLLO!AN97</f>
        <v>3.3904800811315305E-2</v>
      </c>
      <c r="DH12" s="5">
        <f>N70_DESARROLLO!DL97+N70_DESARROLLO!AO97</f>
        <v>3.2792762635876271E-2</v>
      </c>
      <c r="DI12" s="5">
        <f>N70_DESARROLLO!DM97+N70_DESARROLLO!AP97</f>
        <v>3.175136686266955E-2</v>
      </c>
      <c r="DJ12" s="5">
        <f>N70_DESARROLLO!DN97+N70_DESARROLLO!AQ97</f>
        <v>3.0774088329705296E-2</v>
      </c>
      <c r="DK12" s="5">
        <f>N70_DESARROLLO!DO97+N70_DESARROLLO!AR97</f>
        <v>2.9855181616038617E-2</v>
      </c>
      <c r="DL12" s="5">
        <f>N70_DESARROLLO!DP97+N70_DESARROLLO!AS97</f>
        <v>2.8989567932948379E-2</v>
      </c>
      <c r="DM12" s="5">
        <f>N70_DESARROLLO!DQ97+N70_DESARROLLO!AT97</f>
        <v>2.8172741151794578E-2</v>
      </c>
      <c r="DN12" s="5">
        <f>N70_DESARROLLO!DR97+N70_DESARROLLO!AU97</f>
        <v>2.7400689293789693E-2</v>
      </c>
      <c r="DO12" s="5">
        <f>N70_DESARROLLO!DS97+N70_DESARROLLO!AV97</f>
        <v>2.6669828593228417E-2</v>
      </c>
      <c r="DP12" s="5">
        <f>N70_DESARROLLO!DT97+N70_DESARROLLO!AW97</f>
        <v>2.597694784486726E-2</v>
      </c>
      <c r="DQ12" s="5">
        <f>N70_DESARROLLO!DU97+N70_DESARROLLO!AX97</f>
        <v>2.5319161212279395E-2</v>
      </c>
      <c r="DR12" s="5">
        <f>N70_DESARROLLO!DV97+N70_DESARROLLO!AY97</f>
        <v>2.469386803250806E-2</v>
      </c>
      <c r="DS12" s="5">
        <f>N70_DESARROLLO!DW97+N70_DESARROLLO!AZ97</f>
        <v>2.4098718436555866E-2</v>
      </c>
      <c r="DT12" s="5">
        <f>N70_DESARROLLO!DX97+N70_DESARROLLO!BA97</f>
        <v>2.3531583826950309E-2</v>
      </c>
      <c r="DU12" s="5">
        <f>N70_DESARROLLO!DY97+N70_DESARROLLO!BB97</f>
        <v>2.2990531429692429E-2</v>
      </c>
      <c r="DV12" s="5">
        <f>N70_DESARROLLO!DZ97+N70_DESARROLLO!BC97</f>
        <v>2.247380228010265E-2</v>
      </c>
      <c r="DW12" s="5">
        <f>N70_DESARROLLO!EA97+N70_DESARROLLO!BD97</f>
        <v>2.1979792112860164E-2</v>
      </c>
      <c r="DX12" s="5">
        <f>N70_DESARROLLO!EB97+N70_DESARROLLO!BE97</f>
        <v>2.1507034719707718E-2</v>
      </c>
      <c r="DY12" s="5">
        <f>N70_DESARROLLO!EC97+N70_DESARROLLO!BF97</f>
        <v>2.1054187410165737E-2</v>
      </c>
      <c r="DZ12" s="5">
        <f>N70_DESARROLLO!ED97+N70_DESARROLLO!BG97</f>
        <v>2.0620018272172302E-2</v>
      </c>
      <c r="EA12" s="5">
        <f>N70_DESARROLLO!EE97+N70_DESARROLLO!BH97</f>
        <v>2.0203394977322597E-2</v>
      </c>
      <c r="EB12" s="5">
        <f>N70_DESARROLLO!EF97+N70_DESARROLLO!BI97</f>
        <v>1.9803274917309599E-2</v>
      </c>
      <c r="EC12" s="5">
        <f>N70_DESARROLLO!EG97+N70_DESARROLLO!BJ97</f>
        <v>1.9418696489467702E-2</v>
      </c>
      <c r="ED12" s="5">
        <f>N70_DESARROLLO!EH97+N70_DESARROLLO!BK97</f>
        <v>1.9048771379240881E-2</v>
      </c>
      <c r="EE12" s="5">
        <f>N70_DESARROLLO!EI97+N70_DESARROLLO!BL97</f>
        <v>1.8692677708205485E-2</v>
      </c>
      <c r="EF12" s="5">
        <f>N70_DESARROLLO!EJ97+N70_DESARROLLO!BM97</f>
        <v>1.8349653936848398E-2</v>
      </c>
      <c r="EG12" s="5">
        <f>N70_DESARROLLO!EK97+N70_DESARROLLO!BN97</f>
        <v>1.8018993426872409E-2</v>
      </c>
      <c r="EH12" s="5">
        <f>N70_DESARROLLO!EL97+N70_DESARROLLO!BO97</f>
        <v>1.7700039580939242E-2</v>
      </c>
      <c r="EI12" s="5">
        <f>N70_DESARROLLO!EM97+N70_DESARROLLO!BP97</f>
        <v>1.7392181490066716E-2</v>
      </c>
      <c r="EJ12" s="5">
        <f>N70_DESARROLLO!EN97+N70_DESARROLLO!BQ97</f>
        <v>1.7094850027297714E-2</v>
      </c>
      <c r="EK12" s="5">
        <f>N70_DESARROLLO!EO97+N70_DESARROLLO!BR97</f>
        <v>1.6807514335735463E-2</v>
      </c>
      <c r="EL12" s="5">
        <f>N70_DESARROLLO!EP97+N70_DESARROLLO!BS97</f>
        <v>1.6529678664583436E-2</v>
      </c>
      <c r="EM12" s="5">
        <f>N70_DESARROLLO!EQ97+N70_DESARROLLO!BT97</f>
        <v>1.6260879514516824E-2</v>
      </c>
      <c r="EN12" s="5">
        <f>N70_DESARROLLO!ER97+N70_DESARROLLO!BU97</f>
        <v>1.6000683056603959E-2</v>
      </c>
      <c r="EO12" s="5">
        <f>N70_DESARROLLO!ES97+N70_DESARROLLO!BV97</f>
        <v>1.5748682795550972E-2</v>
      </c>
      <c r="EP12" s="5">
        <f>N70_DESARROLLO!ET97+N70_DESARROLLO!BW97</f>
        <v>1.5504497450362642E-2</v>
      </c>
      <c r="EQ12" s="5">
        <f>N70_DESARROLLO!EU97+N70_DESARROLLO!BX97</f>
        <v>1.5267769028979861E-2</v>
      </c>
      <c r="ER12" s="5">
        <f>N70_DESARROLLO!EV97+N70_DESARROLLO!BY97</f>
        <v>2.5980874302408354</v>
      </c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>
        <v>3</v>
      </c>
      <c r="FD12" s="4">
        <v>2.1502024625154055E-2</v>
      </c>
      <c r="FE12" s="4">
        <v>0.22061193325293479</v>
      </c>
      <c r="FF12" s="4">
        <v>-0.27226369591266769</v>
      </c>
      <c r="FG12" s="4">
        <v>-7.9679371885692712E-2</v>
      </c>
      <c r="FH12" s="4">
        <v>-6.0974088432600972E-2</v>
      </c>
      <c r="FI12" s="4">
        <v>-4.8562561682790495E-2</v>
      </c>
      <c r="FJ12" s="4">
        <v>-4.1501813735886753E-2</v>
      </c>
      <c r="FK12" s="4">
        <v>-3.6790655958727839E-2</v>
      </c>
      <c r="FL12" s="4">
        <v>-3.3411493081161037E-2</v>
      </c>
      <c r="FM12" s="4">
        <v>-3.0856947547603583E-2</v>
      </c>
      <c r="FN12" s="4">
        <v>-2.8851654486008405E-2</v>
      </c>
      <c r="FO12" s="4">
        <v>-2.7232308332174014E-2</v>
      </c>
      <c r="FP12" s="4">
        <v>-2.5895679611767763E-2</v>
      </c>
      <c r="FQ12" s="4">
        <v>-2.4773146473080265E-2</v>
      </c>
      <c r="FR12" s="4">
        <v>-2.3817212345236621E-2</v>
      </c>
      <c r="FS12" s="4">
        <v>-2.2993895572722297E-2</v>
      </c>
      <c r="FT12" s="4">
        <v>-2.2278203541626008E-2</v>
      </c>
      <c r="FU12" s="4">
        <v>-2.1651321540465816E-2</v>
      </c>
      <c r="FV12" s="4">
        <v>-2.1098801291981824E-2</v>
      </c>
      <c r="FW12" s="4">
        <v>-2.0609356310118832E-2</v>
      </c>
      <c r="FX12" s="4">
        <v>-2.017403865358516E-2</v>
      </c>
      <c r="FY12" s="4">
        <v>-1.978566275890772E-2</v>
      </c>
      <c r="FZ12" s="4">
        <v>-1.9438393653070617E-2</v>
      </c>
      <c r="GA12" s="4">
        <v>-1.9127447134550613E-2</v>
      </c>
      <c r="GB12" s="4">
        <v>-1.8848867845022602E-2</v>
      </c>
      <c r="GC12" s="4">
        <v>-1.8599362561677178E-2</v>
      </c>
      <c r="GD12" s="4">
        <v>-1.8376173316215869E-2</v>
      </c>
      <c r="GE12" s="4">
        <v>-1.8176979692015816E-2</v>
      </c>
      <c r="GF12" s="4">
        <v>-1.7999822809201423E-2</v>
      </c>
      <c r="GG12" s="4">
        <v>-1.7843045648141116E-2</v>
      </c>
      <c r="GH12" s="4">
        <v>-1.7705245837923239E-2</v>
      </c>
      <c r="GI12" s="4">
        <v>-1.7585238069781212E-2</v>
      </c>
      <c r="GJ12" s="4">
        <v>-1.74820240294907E-2</v>
      </c>
      <c r="GK12" s="4">
        <v>-1.7394768271276239E-2</v>
      </c>
      <c r="GL12" s="4">
        <v>-1.732277884053798E-2</v>
      </c>
      <c r="GM12" s="4">
        <v>-1.726549173646209E-2</v>
      </c>
      <c r="GN12" s="4">
        <v>-1.7222458516353231E-2</v>
      </c>
      <c r="GO12" s="4">
        <v>-1.7193336501363073E-2</v>
      </c>
      <c r="GP12" s="4">
        <v>-1.7177881162022228E-2</v>
      </c>
      <c r="GQ12" s="4">
        <v>-1.7175940349299243E-2</v>
      </c>
      <c r="GR12" s="4">
        <v>-1.71874501019223E-2</v>
      </c>
      <c r="GS12" s="4">
        <v>-1.7212431801752318E-2</v>
      </c>
      <c r="GT12" s="4">
        <v>-1.7250990472722882E-2</v>
      </c>
      <c r="GU12" s="4">
        <v>-1.7303314016981351E-2</v>
      </c>
      <c r="GV12" s="4">
        <v>-1.7369673154472416E-2</v>
      </c>
      <c r="GW12" s="4">
        <v>-1.7450421764462674E-2</v>
      </c>
      <c r="GX12" s="4">
        <v>-1.754599720259294E-2</v>
      </c>
      <c r="GY12" s="4">
        <v>-1.7656919955167751E-2</v>
      </c>
      <c r="GZ12" s="4">
        <v>-1.7783791637826254E-2</v>
      </c>
      <c r="HA12" s="4">
        <v>-1.7927289766094832E-2</v>
      </c>
      <c r="HB12" s="4">
        <v>-1.8088156765380854E-2</v>
      </c>
      <c r="HC12" s="4">
        <v>-1.8267179094124269E-2</v>
      </c>
      <c r="HD12" s="4">
        <v>-1.8465149660358754E-2</v>
      </c>
      <c r="HE12" s="4">
        <v>-1.868280209088553E-2</v>
      </c>
      <c r="HF12" s="4">
        <v>-1.8920697304706562E-2</v>
      </c>
      <c r="HG12" s="4">
        <v>-1.9179028274456399E-2</v>
      </c>
      <c r="HH12" s="4">
        <v>-1.9457281914546116E-2</v>
      </c>
      <c r="HI12" s="4">
        <v>-1.9753645523783409E-2</v>
      </c>
      <c r="HJ12" s="4">
        <v>-2.0063942870607587E-2</v>
      </c>
      <c r="HK12" s="4">
        <v>-2.0379672323574148E-2</v>
      </c>
      <c r="HL12" s="4">
        <v>-2.0684253298958118E-2</v>
      </c>
      <c r="HM12" s="4">
        <v>-2.0945499815267294E-2</v>
      </c>
      <c r="HN12" s="4">
        <v>-2.1099586188226157E-2</v>
      </c>
      <c r="HO12" s="4">
        <v>-2.1014353925987241E-2</v>
      </c>
      <c r="HP12" s="4">
        <v>-2.03930089536495E-2</v>
      </c>
      <c r="HQ12" s="4">
        <v>-1.8543339358743412E-2</v>
      </c>
      <c r="HR12" s="4">
        <v>-1.2695165687783319E-2</v>
      </c>
      <c r="HS12" s="4">
        <v>-5.1829680019654283E-3</v>
      </c>
      <c r="HT12" s="4">
        <v>0.23235335776616836</v>
      </c>
      <c r="HU12" s="4">
        <v>-0.64888163634643636</v>
      </c>
    </row>
    <row r="13" spans="4:229" x14ac:dyDescent="0.25">
      <c r="D13" s="10">
        <v>4</v>
      </c>
      <c r="E13" s="5">
        <f>'N70'!E20-'N70'!E19</f>
        <v>1.4285714285714284E-2</v>
      </c>
      <c r="F13" s="5">
        <f>'N70'!H19-'N70'!E16</f>
        <v>0.05</v>
      </c>
      <c r="G13" s="5">
        <f>'N70'!H19-'N70'!E17</f>
        <v>3.5714285714285719E-2</v>
      </c>
      <c r="H13" s="5">
        <f>'N70'!H19-'N70'!E18</f>
        <v>2.1428571428571432E-2</v>
      </c>
      <c r="I13" s="5">
        <f>'N70'!H19-'N70'!E19</f>
        <v>7.1428571428571452E-3</v>
      </c>
      <c r="J13" s="5">
        <f>'N70'!H19-'N70'!E20</f>
        <v>-7.1428571428571383E-3</v>
      </c>
      <c r="K13" s="5">
        <f>'N70'!H19-'N70'!E21</f>
        <v>-2.1428571428571422E-2</v>
      </c>
      <c r="L13" s="5">
        <f>'N70'!H19-'N70'!E22</f>
        <v>-3.5714285714285712E-2</v>
      </c>
      <c r="M13" s="5">
        <f>'N70'!H19-'N70'!E23</f>
        <v>-4.9999999999999989E-2</v>
      </c>
      <c r="N13" s="5">
        <f>'N70'!H19-'N70'!E24</f>
        <v>-6.4285714285714279E-2</v>
      </c>
      <c r="O13" s="5">
        <f>'N70'!H19-'N70'!E25</f>
        <v>-7.8571428571428556E-2</v>
      </c>
      <c r="P13" s="5">
        <f>'N70'!H19-'N70'!E26</f>
        <v>-9.2857142857142846E-2</v>
      </c>
      <c r="Q13" s="5">
        <f>'N70'!H19-'N70'!E27</f>
        <v>-0.10714285714285714</v>
      </c>
      <c r="R13" s="5">
        <f>'N70'!H19-'N70'!E28</f>
        <v>-0.12142857142857143</v>
      </c>
      <c r="S13" s="5">
        <f>'N70'!H19-'N70'!E29</f>
        <v>-0.13571428571428573</v>
      </c>
      <c r="T13" s="5">
        <f>'N70'!H19-'N70'!E30</f>
        <v>-0.14999999999999997</v>
      </c>
      <c r="U13" s="5">
        <f>'N70'!H19-'N70'!E31</f>
        <v>-0.16428571428571426</v>
      </c>
      <c r="V13" s="5">
        <f>'N70'!H19-'N70'!E32</f>
        <v>-0.17857142857142855</v>
      </c>
      <c r="W13" s="5">
        <f>'N70'!H19-'N70'!E33</f>
        <v>-0.19285714285714284</v>
      </c>
      <c r="X13" s="5">
        <f>'N70'!H19-'N70'!E34</f>
        <v>-0.20714285714285713</v>
      </c>
      <c r="Y13" s="5">
        <f>'N70'!H19-'N70'!E35</f>
        <v>-0.22142857142857142</v>
      </c>
      <c r="Z13" s="5">
        <f>'N70'!H19-'N70'!E36</f>
        <v>-0.23571428571428571</v>
      </c>
      <c r="AA13" s="5">
        <f>'N70'!H19-'N70'!E37</f>
        <v>-0.25</v>
      </c>
      <c r="AB13" s="5">
        <f>'N70'!H19-'N70'!E38</f>
        <v>-0.26428571428571429</v>
      </c>
      <c r="AC13" s="5">
        <f>'N70'!H19-'N70'!E39</f>
        <v>-0.27857142857142858</v>
      </c>
      <c r="AD13" s="5">
        <f>'N70'!H19-'N70'!E40</f>
        <v>-0.29285714285714287</v>
      </c>
      <c r="AE13" s="5">
        <f>'N70'!H19-'N70'!E41</f>
        <v>-0.30714285714285716</v>
      </c>
      <c r="AF13" s="5">
        <f>'N70'!H19-'N70'!E42</f>
        <v>-0.32142857142857145</v>
      </c>
      <c r="AG13" s="5">
        <f>'N70'!H19-'N70'!E43</f>
        <v>-0.33571428571428569</v>
      </c>
      <c r="AH13" s="5">
        <f>'N70'!H19-'N70'!E44</f>
        <v>-0.35</v>
      </c>
      <c r="AI13" s="5">
        <f>'N70'!H19-'N70'!E45</f>
        <v>-0.36428571428571427</v>
      </c>
      <c r="AJ13" s="5">
        <f>'N70'!H19-'N70'!E46</f>
        <v>-0.37857142857142856</v>
      </c>
      <c r="AK13" s="5">
        <f>'N70'!H19-'N70'!E47</f>
        <v>-0.39285714285714285</v>
      </c>
      <c r="AL13" s="5">
        <f>'N70'!H19-'N70'!$E$48</f>
        <v>-0.40714285714285714</v>
      </c>
      <c r="AM13" s="5">
        <f>'N70'!H19-'N70'!$E$49</f>
        <v>-0.42142857142857143</v>
      </c>
      <c r="AN13" s="5">
        <f>'N70'!H19-'N70'!$E$50</f>
        <v>-0.43571428571428572</v>
      </c>
      <c r="AO13" s="5">
        <f>'N70'!H19-'N70'!$E$51</f>
        <v>-0.45</v>
      </c>
      <c r="AP13" s="5">
        <f>'N70'!H19-'N70'!$E$52</f>
        <v>-0.46428571428571425</v>
      </c>
      <c r="AQ13" s="5">
        <f>'N70'!H19-'N70'!$E$53</f>
        <v>-0.47857142857142859</v>
      </c>
      <c r="AR13" s="5">
        <f>'N70'!H19-'N70'!$E$54</f>
        <v>-0.49285714285714283</v>
      </c>
      <c r="AS13" s="5">
        <f>'N70'!H19-'N70'!$E$55</f>
        <v>-0.50714285714285712</v>
      </c>
      <c r="AT13" s="5">
        <f>'N70'!H19-'N70'!$E$56</f>
        <v>-0.52142857142857135</v>
      </c>
      <c r="AU13" s="5">
        <f>'N70'!H19-'N70'!$E$57</f>
        <v>-0.5357142857142857</v>
      </c>
      <c r="AV13" s="5">
        <f>'N70'!H19-'N70'!$E$58</f>
        <v>-0.54999999999999993</v>
      </c>
      <c r="AW13" s="5">
        <f>'N70'!H19-'N70'!$E$59</f>
        <v>-0.56428571428571417</v>
      </c>
      <c r="AX13" s="5">
        <f>'N70'!H19-'N70'!$E$60</f>
        <v>-0.57857142857142851</v>
      </c>
      <c r="AY13" s="5">
        <f>'N70'!H19-'N70'!$E$61</f>
        <v>-0.59285714285714275</v>
      </c>
      <c r="AZ13" s="5">
        <f>'N70'!H19-'N70'!$E$62</f>
        <v>-0.6071428571428571</v>
      </c>
      <c r="BA13" s="5">
        <f>'N70'!H19-'N70'!$E$63</f>
        <v>-0.62142857142857133</v>
      </c>
      <c r="BB13" s="5">
        <f>'N70'!H19-'N70'!$E$64</f>
        <v>-0.63571428571428568</v>
      </c>
      <c r="BC13" s="5">
        <f>'N70'!H19-'N70'!$E$65</f>
        <v>-0.64999999999999991</v>
      </c>
      <c r="BD13" s="5">
        <f>'N70'!H19-'N70'!$E$66</f>
        <v>-0.66428571428571426</v>
      </c>
      <c r="BE13" s="5">
        <f>'N70'!H19-'N70'!$E$67</f>
        <v>-0.67857142857142849</v>
      </c>
      <c r="BF13" s="5">
        <f>'N70'!H19-'N70'!$E$68</f>
        <v>-0.69285714285714284</v>
      </c>
      <c r="BG13" s="5">
        <f>'N70'!H19-'N70'!$E$69</f>
        <v>-0.70714285714285707</v>
      </c>
      <c r="BH13" s="5">
        <f>'N70'!H19-'N70'!$E$70</f>
        <v>-0.72142857142857131</v>
      </c>
      <c r="BI13" s="5">
        <f>'N70'!H19-'N70'!$E$71</f>
        <v>-0.73571428571428565</v>
      </c>
      <c r="BJ13" s="5">
        <f>'N70'!H19-'N70'!$E$72</f>
        <v>-0.74999999999999989</v>
      </c>
      <c r="BK13" s="5">
        <f>'N70'!H19-'N70'!$E$73</f>
        <v>-0.76428571428571423</v>
      </c>
      <c r="BL13" s="5">
        <f>'N70'!H19-'N70'!$E$74</f>
        <v>-0.77857142857142847</v>
      </c>
      <c r="BM13" s="5">
        <f>'N70'!H19-'N70'!$E$75</f>
        <v>-0.79285714285714282</v>
      </c>
      <c r="BN13" s="5">
        <f>'N70'!H19-'N70'!$E$76</f>
        <v>-0.80714285714285705</v>
      </c>
      <c r="BO13" s="5">
        <f>'N70'!H19-'N70'!$E$77</f>
        <v>-0.8214285714285714</v>
      </c>
      <c r="BP13" s="5">
        <f>'N70'!H19-'N70'!$E$78</f>
        <v>-0.83571428571428563</v>
      </c>
      <c r="BQ13" s="5">
        <f>'N70'!H19-'N70'!$E$79</f>
        <v>-0.85</v>
      </c>
      <c r="BR13" s="5">
        <f>'N70'!H19-'N70'!$E$80</f>
        <v>-0.86428571428571421</v>
      </c>
      <c r="BS13" s="5">
        <f>'N70'!H19-'N70'!$E$81</f>
        <v>-0.87857142857142845</v>
      </c>
      <c r="BT13" s="5">
        <f>'N70'!H19-'N70'!$E$82</f>
        <v>-0.89285714285714279</v>
      </c>
      <c r="BU13" s="5">
        <f>'N70'!H19-'N70'!$E$83</f>
        <v>-0.90714285714285703</v>
      </c>
      <c r="BV13" s="5">
        <f>'N70'!H19-'N70'!$E$84</f>
        <v>-0.92142857142857137</v>
      </c>
      <c r="BW13" s="5">
        <f>'N70'!H19-'N70'!$E$85</f>
        <v>-0.93571428571428561</v>
      </c>
      <c r="BX13" s="5">
        <v>-1</v>
      </c>
      <c r="BY13" s="5"/>
      <c r="BZ13">
        <v>4</v>
      </c>
      <c r="CA13" s="5">
        <f>N70_DESARROLLO!CE98+N70_DESARROLLO!H98</f>
        <v>-0.15881939162335545</v>
      </c>
      <c r="CB13" s="5">
        <f>N70_DESARROLLO!CF98+N70_DESARROLLO!I98</f>
        <v>-0.41141440075354707</v>
      </c>
      <c r="CC13" s="5">
        <f>N70_DESARROLLO!CG98+N70_DESARROLLO!J98</f>
        <v>-0.72775792963608055</v>
      </c>
      <c r="CD13" s="5">
        <f>N70_DESARROLLO!CH98+N70_DESARROLLO!K98</f>
        <v>-1.6479184659605339</v>
      </c>
      <c r="CE13" s="5">
        <f>N70_DESARROLLO!CI98+N70_DESARROLLO!L98</f>
        <v>1.6479184659605339</v>
      </c>
      <c r="CF13" s="5">
        <f>N70_DESARROLLO!CJ98+N70_DESARROLLO!M98</f>
        <v>0.72775792963608132</v>
      </c>
      <c r="CG13" s="5">
        <f>N70_DESARROLLO!CK98+N70_DESARROLLO!N98</f>
        <v>0.41141440075354618</v>
      </c>
      <c r="CH13" s="5">
        <f>N70_DESARROLLO!CL98+N70_DESARROLLO!O98</f>
        <v>0.28973434150573252</v>
      </c>
      <c r="CI13" s="5">
        <f>N70_DESARROLLO!CM98+N70_DESARROLLO!P98</f>
        <v>0.22408833054042565</v>
      </c>
      <c r="CJ13" s="5">
        <f>N70_DESARROLLO!CN98+N70_DESARROLLO!Q98</f>
        <v>0.18283342438756933</v>
      </c>
      <c r="CK13" s="5">
        <f>N70_DESARROLLO!CO98+N70_DESARROLLO!R98</f>
        <v>0.15445886474681381</v>
      </c>
      <c r="CL13" s="5">
        <f>N70_DESARROLLO!CP98+N70_DESARROLLO!S98</f>
        <v>0.13373123411929833</v>
      </c>
      <c r="CM13" s="5">
        <f>N70_DESARROLLO!CQ98+N70_DESARROLLO!T98</f>
        <v>0.11791996375048808</v>
      </c>
      <c r="CN13" s="5">
        <f>N70_DESARROLLO!CR98+N70_DESARROLLO!U98</f>
        <v>0.10545841852057236</v>
      </c>
      <c r="CO13" s="5">
        <f>N70_DESARROLLO!CS98+N70_DESARROLLO!V98</f>
        <v>9.5382594982178492E-2</v>
      </c>
      <c r="CP13" s="5">
        <f>N70_DESARROLLO!CT98+N70_DESARROLLO!W98</f>
        <v>8.7066442319335136E-2</v>
      </c>
      <c r="CQ13" s="5">
        <f>N70_DESARROLLO!CU98+N70_DESARROLLO!X98</f>
        <v>8.0085554140358006E-2</v>
      </c>
      <c r="CR13" s="5">
        <f>N70_DESARROLLO!CV98+N70_DESARROLLO!Y98</f>
        <v>7.4141965022337719E-2</v>
      </c>
      <c r="CS13" s="5">
        <f>N70_DESARROLLO!CW98+N70_DESARROLLO!Z98</f>
        <v>6.9020292350869261E-2</v>
      </c>
      <c r="CT13" s="5">
        <f>N70_DESARROLLO!CX98+N70_DESARROLLO!AA98</f>
        <v>6.4560961252480009E-2</v>
      </c>
      <c r="CU13" s="5">
        <f>N70_DESARROLLO!CY98+N70_DESARROLLO!AB98</f>
        <v>6.0643218403522936E-2</v>
      </c>
      <c r="CV13" s="5">
        <f>N70_DESARROLLO!CZ98+N70_DESARROLLO!AC98</f>
        <v>5.7173997129078669E-2</v>
      </c>
      <c r="CW13" s="5">
        <f>N70_DESARROLLO!DA98+N70_DESARROLLO!AD98</f>
        <v>5.4080408838150018E-2</v>
      </c>
      <c r="CX13" s="5">
        <f>N70_DESARROLLO!DB98+N70_DESARROLLO!AE98</f>
        <v>5.1304553326341429E-2</v>
      </c>
      <c r="CY13" s="5">
        <f>N70_DESARROLLO!DC98+N70_DESARROLLO!AF98</f>
        <v>4.8799853039074859E-2</v>
      </c>
      <c r="CZ13" s="5">
        <f>N70_DESARROLLO!DD98+N70_DESARROLLO!AG98</f>
        <v>4.6528413377889599E-2</v>
      </c>
      <c r="DA13" s="5">
        <f>N70_DESARROLLO!DE98+N70_DESARROLLO!AH98</f>
        <v>4.4459088822755954E-2</v>
      </c>
      <c r="DB13" s="5">
        <f>N70_DESARROLLO!DF98+N70_DESARROLLO!AI98</f>
        <v>4.2566044021118521E-2</v>
      </c>
      <c r="DC13" s="5">
        <f>N70_DESARROLLO!DG98+N70_DESARROLLO!AJ98</f>
        <v>4.0827668052533461E-2</v>
      </c>
      <c r="DD13" s="5">
        <f>N70_DESARROLLO!DH98+N70_DESARROLLO!AK98</f>
        <v>3.9225744685482122E-2</v>
      </c>
      <c r="DE13" s="5">
        <f>N70_DESARROLLO!DI98+N70_DESARROLLO!AL98</f>
        <v>3.7744810855694144E-2</v>
      </c>
      <c r="DF13" s="5">
        <f>N70_DESARROLLO!DJ98+N70_DESARROLLO!AM98</f>
        <v>3.6371655357441024E-2</v>
      </c>
      <c r="DG13" s="5">
        <f>N70_DESARROLLO!DK98+N70_DESARROLLO!AN98</f>
        <v>3.5094923244216703E-2</v>
      </c>
      <c r="DH13" s="5">
        <f>N70_DESARROLLO!DL98+N70_DESARROLLO!AO98</f>
        <v>3.3904800811315305E-2</v>
      </c>
      <c r="DI13" s="5">
        <f>N70_DESARROLLO!DM98+N70_DESARROLLO!AP98</f>
        <v>3.2792762635876271E-2</v>
      </c>
      <c r="DJ13" s="5">
        <f>N70_DESARROLLO!DN98+N70_DESARROLLO!AQ98</f>
        <v>3.1751366862662445E-2</v>
      </c>
      <c r="DK13" s="5">
        <f>N70_DESARROLLO!DO98+N70_DESARROLLO!AR98</f>
        <v>3.0774088329719174E-2</v>
      </c>
      <c r="DL13" s="5">
        <f>N70_DESARROLLO!DP98+N70_DESARROLLO!AS98</f>
        <v>2.9855181616024296E-2</v>
      </c>
      <c r="DM13" s="5">
        <f>N70_DESARROLLO!DQ98+N70_DESARROLLO!AT98</f>
        <v>2.8989567932955596E-2</v>
      </c>
      <c r="DN13" s="5">
        <f>N70_DESARROLLO!DR98+N70_DESARROLLO!AU98</f>
        <v>2.8172741151786584E-2</v>
      </c>
      <c r="DO13" s="5">
        <f>N70_DESARROLLO!DS98+N70_DESARROLLO!AV98</f>
        <v>2.7400689293805458E-2</v>
      </c>
      <c r="DP13" s="5">
        <f>N70_DESARROLLO!DT98+N70_DESARROLLO!AW98</f>
        <v>2.6669828593212208E-2</v>
      </c>
      <c r="DQ13" s="5">
        <f>N70_DESARROLLO!DU98+N70_DESARROLLO!AX98</f>
        <v>2.5976947844875253E-2</v>
      </c>
      <c r="DR13" s="5">
        <f>N70_DESARROLLO!DV98+N70_DESARROLLO!AY98</f>
        <v>2.5319161212288166E-2</v>
      </c>
      <c r="DS13" s="5">
        <f>N70_DESARROLLO!DW98+N70_DESARROLLO!AZ98</f>
        <v>2.4693868032490629E-2</v>
      </c>
      <c r="DT13" s="5">
        <f>N70_DESARROLLO!DX98+N70_DESARROLLO!BA98</f>
        <v>2.4098718436573741E-2</v>
      </c>
      <c r="DU13" s="5">
        <f>N70_DESARROLLO!DY98+N70_DESARROLLO!BB98</f>
        <v>2.3531583826931768E-2</v>
      </c>
      <c r="DV13" s="5">
        <f>N70_DESARROLLO!DZ98+N70_DESARROLLO!BC98</f>
        <v>2.2990531429711081E-2</v>
      </c>
      <c r="DW13" s="5">
        <f>N70_DESARROLLO!EA98+N70_DESARROLLO!BD98</f>
        <v>2.2473802280083444E-2</v>
      </c>
      <c r="DX13" s="5">
        <f>N70_DESARROLLO!EB98+N70_DESARROLLO!BE98</f>
        <v>2.1979792112879926E-2</v>
      </c>
      <c r="DY13" s="5">
        <f>N70_DESARROLLO!EC98+N70_DESARROLLO!BF98</f>
        <v>2.1507034719697726E-2</v>
      </c>
      <c r="DZ13" s="5">
        <f>N70_DESARROLLO!ED98+N70_DESARROLLO!BG98</f>
        <v>2.1054187410176395E-2</v>
      </c>
      <c r="EA13" s="5">
        <f>N70_DESARROLLO!EE98+N70_DESARROLLO!BH98</f>
        <v>2.0620018272150986E-2</v>
      </c>
      <c r="EB13" s="5">
        <f>N70_DESARROLLO!EF98+N70_DESARROLLO!BI98</f>
        <v>2.0203394977333256E-2</v>
      </c>
      <c r="EC13" s="5">
        <f>N70_DESARROLLO!EG98+N70_DESARROLLO!BJ98</f>
        <v>1.980327491730971E-2</v>
      </c>
      <c r="ED13" s="5">
        <f>N70_DESARROLLO!EH98+N70_DESARROLLO!BK98</f>
        <v>1.9418696489467591E-2</v>
      </c>
      <c r="EE13" s="5">
        <f>N70_DESARROLLO!EI98+N70_DESARROLLO!BL98</f>
        <v>1.9048771379252427E-2</v>
      </c>
      <c r="EF13" s="5">
        <f>N70_DESARROLLO!EJ98+N70_DESARROLLO!BM98</f>
        <v>1.8692677708193939E-2</v>
      </c>
      <c r="EG13" s="5">
        <f>N70_DESARROLLO!EK98+N70_DESARROLLO!BN98</f>
        <v>1.834965393686061E-2</v>
      </c>
      <c r="EH13" s="5">
        <f>N70_DESARROLLO!EL98+N70_DESARROLLO!BO98</f>
        <v>1.8018993426860641E-2</v>
      </c>
      <c r="EI13" s="5">
        <f>N70_DESARROLLO!EM98+N70_DESARROLLO!BP98</f>
        <v>1.7700039580939242E-2</v>
      </c>
      <c r="EJ13" s="5">
        <f>N70_DESARROLLO!EN98+N70_DESARROLLO!BQ98</f>
        <v>1.7392181490053948E-2</v>
      </c>
      <c r="EK13" s="5">
        <f>N70_DESARROLLO!EO98+N70_DESARROLLO!BR98</f>
        <v>1.7094850027323361E-2</v>
      </c>
      <c r="EL13" s="5">
        <f>N70_DESARROLLO!EP98+N70_DESARROLLO!BS98</f>
        <v>1.6807514335709484E-2</v>
      </c>
      <c r="EM13" s="5">
        <f>N70_DESARROLLO!EQ98+N70_DESARROLLO!BT98</f>
        <v>1.6529678664596426E-2</v>
      </c>
      <c r="EN13" s="5">
        <f>N70_DESARROLLO!ER98+N70_DESARROLLO!BU98</f>
        <v>1.6260879514530702E-2</v>
      </c>
      <c r="EO13" s="5">
        <f>N70_DESARROLLO!ES98+N70_DESARROLLO!BV98</f>
        <v>1.6000683056590415E-2</v>
      </c>
      <c r="EP13" s="5">
        <f>N70_DESARROLLO!ET98+N70_DESARROLLO!BW98</f>
        <v>1.5748682795550972E-2</v>
      </c>
      <c r="EQ13" s="5">
        <f>N70_DESARROLLO!EU98+N70_DESARROLLO!BX98</f>
        <v>1.5504497450362531E-2</v>
      </c>
      <c r="ER13" s="5">
        <f>N70_DESARROLLO!EV98+N70_DESARROLLO!BY98</f>
        <v>3.6588297666008782</v>
      </c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>
        <v>4</v>
      </c>
      <c r="FD13" s="4">
        <v>1.4875441989448655E-2</v>
      </c>
      <c r="FE13" s="4">
        <v>3.7270711077089146E-2</v>
      </c>
      <c r="FF13" s="4">
        <v>0.22978310381174283</v>
      </c>
      <c r="FG13" s="4">
        <v>-0.2646808818969128</v>
      </c>
      <c r="FH13" s="4">
        <v>-7.3105443214893442E-2</v>
      </c>
      <c r="FI13" s="4">
        <v>-5.5068433041619409E-2</v>
      </c>
      <c r="FJ13" s="4">
        <v>-4.3142932043657219E-2</v>
      </c>
      <c r="FK13" s="4">
        <v>-3.645474330674818E-2</v>
      </c>
      <c r="FL13" s="4">
        <v>-3.2040032565070514E-2</v>
      </c>
      <c r="FM13" s="4">
        <v>-2.8903303354461077E-2</v>
      </c>
      <c r="FN13" s="4">
        <v>-2.655121039641898E-2</v>
      </c>
      <c r="FO13" s="4">
        <v>-2.4717781977306081E-2</v>
      </c>
      <c r="FP13" s="4">
        <v>-2.3246267483428257E-2</v>
      </c>
      <c r="FQ13" s="4">
        <v>-2.2038168048216851E-2</v>
      </c>
      <c r="FR13" s="4">
        <v>-2.1028371679188917E-2</v>
      </c>
      <c r="FS13" s="4">
        <v>-2.0172047050136092E-2</v>
      </c>
      <c r="FT13" s="4">
        <v>-1.9437276633393393E-2</v>
      </c>
      <c r="FU13" s="4">
        <v>-1.880069363563627E-2</v>
      </c>
      <c r="FV13" s="4">
        <v>-1.8244782781482952E-2</v>
      </c>
      <c r="FW13" s="4">
        <v>-1.7756147661752444E-2</v>
      </c>
      <c r="FX13" s="4">
        <v>-1.732436277770345E-2</v>
      </c>
      <c r="FY13" s="4">
        <v>-1.6941191832475007E-2</v>
      </c>
      <c r="FZ13" s="4">
        <v>-1.6600042509266697E-2</v>
      </c>
      <c r="GA13" s="4">
        <v>-1.6295578080944808E-2</v>
      </c>
      <c r="GB13" s="4">
        <v>-1.6023435516898846E-2</v>
      </c>
      <c r="GC13" s="4">
        <v>-1.5780017453015917E-2</v>
      </c>
      <c r="GD13" s="4">
        <v>-1.5562336375341714E-2</v>
      </c>
      <c r="GE13" s="4">
        <v>-1.5367896356084564E-2</v>
      </c>
      <c r="GF13" s="4">
        <v>-1.5194602226782988E-2</v>
      </c>
      <c r="GG13" s="4">
        <v>-1.5040689091405351E-2</v>
      </c>
      <c r="GH13" s="4">
        <v>-1.4904667123068831E-2</v>
      </c>
      <c r="GI13" s="4">
        <v>-1.4785277991728121E-2</v>
      </c>
      <c r="GJ13" s="4">
        <v>-1.4681460250624653E-2</v>
      </c>
      <c r="GK13" s="4">
        <v>-1.4592321704192168E-2</v>
      </c>
      <c r="GL13" s="4">
        <v>-1.4517117278898942E-2</v>
      </c>
      <c r="GM13" s="4">
        <v>-1.4455231280940136E-2</v>
      </c>
      <c r="GN13" s="4">
        <v>-1.4406163190946984E-2</v>
      </c>
      <c r="GO13" s="4">
        <v>-1.4369516342801853E-2</v>
      </c>
      <c r="GP13" s="4">
        <v>-1.4344988980513985E-2</v>
      </c>
      <c r="GQ13" s="4">
        <v>-1.4332367295256672E-2</v>
      </c>
      <c r="GR13" s="4">
        <v>-1.4331520124902297E-2</v>
      </c>
      <c r="GS13" s="4">
        <v>-1.4342395052326725E-2</v>
      </c>
      <c r="GT13" s="4">
        <v>-1.4365015672786511E-2</v>
      </c>
      <c r="GU13" s="4">
        <v>-1.4399479810073088E-2</v>
      </c>
      <c r="GV13" s="4">
        <v>-1.4445958445946983E-2</v>
      </c>
      <c r="GW13" s="4">
        <v>-1.450469507628087E-2</v>
      </c>
      <c r="GX13" s="4">
        <v>-1.4576005106625592E-2</v>
      </c>
      <c r="GY13" s="4">
        <v>-1.4660274724649144E-2</v>
      </c>
      <c r="GZ13" s="4">
        <v>-1.4757958390978843E-2</v>
      </c>
      <c r="HA13" s="4">
        <v>-1.4869573604342042E-2</v>
      </c>
      <c r="HB13" s="4">
        <v>-1.4995690791624652E-2</v>
      </c>
      <c r="HC13" s="4">
        <v>-1.5136914836979726E-2</v>
      </c>
      <c r="HD13" s="4">
        <v>-1.5293852506450392E-2</v>
      </c>
      <c r="HE13" s="4">
        <v>-1.5467056154533596E-2</v>
      </c>
      <c r="HF13" s="4">
        <v>-1.5656927314812493E-2</v>
      </c>
      <c r="HG13" s="4">
        <v>-1.5863551595750557E-2</v>
      </c>
      <c r="HH13" s="4">
        <v>-1.6086413789861559E-2</v>
      </c>
      <c r="HI13" s="4">
        <v>-1.6323899094921965E-2</v>
      </c>
      <c r="HJ13" s="4">
        <v>-1.6572400950206009E-2</v>
      </c>
      <c r="HK13" s="4">
        <v>-1.6824678618663314E-2</v>
      </c>
      <c r="HL13" s="4">
        <v>-1.7066719111262788E-2</v>
      </c>
      <c r="HM13" s="4">
        <v>-1.7271452026650418E-2</v>
      </c>
      <c r="HN13" s="4">
        <v>-1.738537264152976E-2</v>
      </c>
      <c r="HO13" s="4">
        <v>-1.7297954922440545E-2</v>
      </c>
      <c r="HP13" s="4">
        <v>-1.6761438916313216E-2</v>
      </c>
      <c r="HQ13" s="4">
        <v>-1.5198645781314581E-2</v>
      </c>
      <c r="HR13" s="4">
        <v>-1.030392830637286E-2</v>
      </c>
      <c r="HS13" s="4">
        <v>-4.0071962245389987E-3</v>
      </c>
      <c r="HT13" s="4">
        <v>0.1934528551814961</v>
      </c>
      <c r="HU13" s="4">
        <v>-0.53826158465689522</v>
      </c>
    </row>
    <row r="14" spans="4:229" x14ac:dyDescent="0.25">
      <c r="D14" s="10">
        <v>5</v>
      </c>
      <c r="E14" s="5">
        <f>'N70'!E21-'N70'!E20</f>
        <v>1.4285714285714284E-2</v>
      </c>
      <c r="F14" s="5">
        <f>'N70'!H20-'N70'!E16</f>
        <v>6.4285714285714279E-2</v>
      </c>
      <c r="G14" s="5">
        <f>'N70'!H20-'N70'!E17</f>
        <v>4.9999999999999996E-2</v>
      </c>
      <c r="H14" s="5">
        <f>'N70'!H20-'N70'!E18</f>
        <v>3.5714285714285712E-2</v>
      </c>
      <c r="I14" s="5">
        <f>'N70'!H20-'N70'!E19</f>
        <v>2.1428571428571422E-2</v>
      </c>
      <c r="J14" s="5">
        <f>'N70'!H20-'N70'!E20</f>
        <v>7.1428571428571383E-3</v>
      </c>
      <c r="K14" s="5">
        <f>'N70'!H20-'N70'!E21</f>
        <v>-7.1428571428571452E-3</v>
      </c>
      <c r="L14" s="5">
        <f>'N70'!H20-'N70'!E22</f>
        <v>-2.1428571428571436E-2</v>
      </c>
      <c r="M14" s="5">
        <f>'N70'!H20-'N70'!E23</f>
        <v>-3.5714285714285712E-2</v>
      </c>
      <c r="N14" s="5">
        <f>'N70'!H20-'N70'!E24</f>
        <v>-0.05</v>
      </c>
      <c r="O14" s="5">
        <f>'N70'!H20-'N70'!E25</f>
        <v>-6.4285714285714279E-2</v>
      </c>
      <c r="P14" s="5">
        <f>'N70'!H20-'N70'!E26</f>
        <v>-7.857142857142857E-2</v>
      </c>
      <c r="Q14" s="5">
        <f>'N70'!H20-'N70'!E27</f>
        <v>-9.285714285714286E-2</v>
      </c>
      <c r="R14" s="5">
        <f>'N70'!H20-'N70'!E28</f>
        <v>-0.10714285714285715</v>
      </c>
      <c r="S14" s="5">
        <f>'N70'!H20-'N70'!E29</f>
        <v>-0.12142857142857144</v>
      </c>
      <c r="T14" s="5">
        <f>'N70'!H20-'N70'!E30</f>
        <v>-0.1357142857142857</v>
      </c>
      <c r="U14" s="5">
        <f>'N70'!H20-'N70'!E31</f>
        <v>-0.15</v>
      </c>
      <c r="V14" s="5">
        <f>'N70'!H20-'N70'!E32</f>
        <v>-0.16428571428571428</v>
      </c>
      <c r="W14" s="5">
        <f>'N70'!H20-'N70'!E33</f>
        <v>-0.17857142857142858</v>
      </c>
      <c r="X14" s="5">
        <f>'N70'!H20-'N70'!E34</f>
        <v>-0.19285714285714284</v>
      </c>
      <c r="Y14" s="5">
        <f>'N70'!H20-'N70'!E35</f>
        <v>-0.20714285714285713</v>
      </c>
      <c r="Z14" s="5">
        <f>'N70'!H20-'N70'!E36</f>
        <v>-0.22142857142857142</v>
      </c>
      <c r="AA14" s="5">
        <f>'N70'!H20-'N70'!E37</f>
        <v>-0.23571428571428571</v>
      </c>
      <c r="AB14" s="5">
        <f>'N70'!H20-'N70'!E38</f>
        <v>-0.25</v>
      </c>
      <c r="AC14" s="5">
        <f>'N70'!H20-'N70'!E39</f>
        <v>-0.26428571428571429</v>
      </c>
      <c r="AD14" s="5">
        <f>'N70'!H20-'N70'!E40</f>
        <v>-0.27857142857142858</v>
      </c>
      <c r="AE14" s="5">
        <f>'N70'!H20-'N70'!E41</f>
        <v>-0.29285714285714287</v>
      </c>
      <c r="AF14" s="5">
        <f>'N70'!H20-'N70'!E42</f>
        <v>-0.30714285714285716</v>
      </c>
      <c r="AG14" s="5">
        <f>'N70'!H20-'N70'!E43</f>
        <v>-0.3214285714285714</v>
      </c>
      <c r="AH14" s="5">
        <f>'N70'!H20-'N70'!E44</f>
        <v>-0.33571428571428569</v>
      </c>
      <c r="AI14" s="5">
        <f>'N70'!H20-'N70'!E45</f>
        <v>-0.35</v>
      </c>
      <c r="AJ14" s="5">
        <f>'N70'!H20-'N70'!E46</f>
        <v>-0.36428571428571427</v>
      </c>
      <c r="AK14" s="5">
        <f>'N70'!H20-'N70'!E47</f>
        <v>-0.37857142857142856</v>
      </c>
      <c r="AL14" s="5">
        <f>'N70'!H20-'N70'!$E$48</f>
        <v>-0.39285714285714285</v>
      </c>
      <c r="AM14" s="5">
        <f>'N70'!H20-'N70'!$E$49</f>
        <v>-0.40714285714285714</v>
      </c>
      <c r="AN14" s="5">
        <f>'N70'!H20-'N70'!$E$50</f>
        <v>-0.42142857142857143</v>
      </c>
      <c r="AO14" s="5">
        <f>'N70'!H20-'N70'!$E$51</f>
        <v>-0.43571428571428572</v>
      </c>
      <c r="AP14" s="5">
        <f>'N70'!H20-'N70'!$E$52</f>
        <v>-0.44999999999999996</v>
      </c>
      <c r="AQ14" s="5">
        <f>'N70'!H20-'N70'!$E$53</f>
        <v>-0.4642857142857143</v>
      </c>
      <c r="AR14" s="5">
        <f>'N70'!H20-'N70'!$E$54</f>
        <v>-0.47857142857142854</v>
      </c>
      <c r="AS14" s="5">
        <f>'N70'!H20-'N70'!$E$55</f>
        <v>-0.49285714285714288</v>
      </c>
      <c r="AT14" s="5">
        <f>'N70'!H20-'N70'!$E$56</f>
        <v>-0.50714285714285712</v>
      </c>
      <c r="AU14" s="5">
        <f>'N70'!H20-'N70'!$E$57</f>
        <v>-0.52142857142857146</v>
      </c>
      <c r="AV14" s="5">
        <f>'N70'!H20-'N70'!$E$58</f>
        <v>-0.5357142857142857</v>
      </c>
      <c r="AW14" s="5">
        <f>'N70'!H20-'N70'!$E$59</f>
        <v>-0.54999999999999993</v>
      </c>
      <c r="AX14" s="5">
        <f>'N70'!H20-'N70'!$E$60</f>
        <v>-0.56428571428571428</v>
      </c>
      <c r="AY14" s="5">
        <f>'N70'!H20-'N70'!$E$61</f>
        <v>-0.57857142857142851</v>
      </c>
      <c r="AZ14" s="5">
        <f>'N70'!H20-'N70'!$E$62</f>
        <v>-0.59285714285714286</v>
      </c>
      <c r="BA14" s="5">
        <f>'N70'!H20-'N70'!$E$63</f>
        <v>-0.6071428571428571</v>
      </c>
      <c r="BB14" s="5">
        <f>'N70'!H20-'N70'!$E$64</f>
        <v>-0.62142857142857144</v>
      </c>
      <c r="BC14" s="5">
        <f>'N70'!H20-'N70'!$E$65</f>
        <v>-0.63571428571428568</v>
      </c>
      <c r="BD14" s="5">
        <f>'N70'!H20-'N70'!$E$66</f>
        <v>-0.65</v>
      </c>
      <c r="BE14" s="5">
        <f>'N70'!H20-'N70'!$E$67</f>
        <v>-0.66428571428571426</v>
      </c>
      <c r="BF14" s="5">
        <f>'N70'!H20-'N70'!$E$68</f>
        <v>-0.6785714285714286</v>
      </c>
      <c r="BG14" s="5">
        <f>'N70'!H20-'N70'!$E$69</f>
        <v>-0.69285714285714284</v>
      </c>
      <c r="BH14" s="5">
        <f>'N70'!H20-'N70'!$E$70</f>
        <v>-0.70714285714285707</v>
      </c>
      <c r="BI14" s="5">
        <f>'N70'!H20-'N70'!$E$71</f>
        <v>-0.72142857142857142</v>
      </c>
      <c r="BJ14" s="5">
        <f>'N70'!H20-'N70'!$E$72</f>
        <v>-0.73571428571428565</v>
      </c>
      <c r="BK14" s="5">
        <f>'N70'!H20-'N70'!$E$73</f>
        <v>-0.75</v>
      </c>
      <c r="BL14" s="5">
        <f>'N70'!H20-'N70'!$E$74</f>
        <v>-0.76428571428571423</v>
      </c>
      <c r="BM14" s="5">
        <f>'N70'!H20-'N70'!$E$75</f>
        <v>-0.77857142857142858</v>
      </c>
      <c r="BN14" s="5">
        <f>'N70'!H20-'N70'!$E$76</f>
        <v>-0.79285714285714282</v>
      </c>
      <c r="BO14" s="5">
        <f>'N70'!H20-'N70'!$E$77</f>
        <v>-0.80714285714285716</v>
      </c>
      <c r="BP14" s="5">
        <f>'N70'!H20-'N70'!$E$78</f>
        <v>-0.8214285714285714</v>
      </c>
      <c r="BQ14" s="5">
        <f>'N70'!H20-'N70'!$E$79</f>
        <v>-0.83571428571428574</v>
      </c>
      <c r="BR14" s="5">
        <f>'N70'!H20-'N70'!$E$80</f>
        <v>-0.85</v>
      </c>
      <c r="BS14" s="5">
        <f>'N70'!H20-'N70'!$E$81</f>
        <v>-0.86428571428571421</v>
      </c>
      <c r="BT14" s="5">
        <f>'N70'!H20-'N70'!$E$82</f>
        <v>-0.87857142857142856</v>
      </c>
      <c r="BU14" s="5">
        <f>'N70'!H20-'N70'!$E$83</f>
        <v>-0.89285714285714279</v>
      </c>
      <c r="BV14" s="5">
        <f>'N70'!H20-'N70'!$E$84</f>
        <v>-0.90714285714285714</v>
      </c>
      <c r="BW14" s="5">
        <f>'N70'!H20-'N70'!$E$85</f>
        <v>-0.92142857142857137</v>
      </c>
      <c r="BX14" s="5">
        <v>-1</v>
      </c>
      <c r="BY14" s="5"/>
      <c r="BZ14">
        <v>5</v>
      </c>
      <c r="CA14" s="5">
        <f>N70_DESARROLLO!CE99+N70_DESARROLLO!H99</f>
        <v>-0.12039948342481854</v>
      </c>
      <c r="CB14" s="5">
        <f>N70_DESARROLLO!CF99+N70_DESARROLLO!I99</f>
        <v>-0.28973434150573163</v>
      </c>
      <c r="CC14" s="5">
        <f>N70_DESARROLLO!CG99+N70_DESARROLLO!J99</f>
        <v>-0.41141440075354685</v>
      </c>
      <c r="CD14" s="5">
        <f>N70_DESARROLLO!CH99+N70_DESARROLLO!K99</f>
        <v>-0.72775792963608132</v>
      </c>
      <c r="CE14" s="5">
        <f>N70_DESARROLLO!CI99+N70_DESARROLLO!L99</f>
        <v>-1.6479184659605339</v>
      </c>
      <c r="CF14" s="5">
        <f>N70_DESARROLLO!CJ99+N70_DESARROLLO!M99</f>
        <v>1.6479184659605346</v>
      </c>
      <c r="CG14" s="5">
        <f>N70_DESARROLLO!CK99+N70_DESARROLLO!N99</f>
        <v>0.7277579296360791</v>
      </c>
      <c r="CH14" s="5">
        <f>N70_DESARROLLO!CL99+N70_DESARROLLO!O99</f>
        <v>0.41141440075354785</v>
      </c>
      <c r="CI14" s="5">
        <f>N70_DESARROLLO!CM99+N70_DESARROLLO!P99</f>
        <v>0.28973434150573119</v>
      </c>
      <c r="CJ14" s="5">
        <f>N70_DESARROLLO!CN99+N70_DESARROLLO!Q99</f>
        <v>0.22408833054042732</v>
      </c>
      <c r="CK14" s="5">
        <f>N70_DESARROLLO!CO99+N70_DESARROLLO!R99</f>
        <v>0.18283342438756867</v>
      </c>
      <c r="CL14" s="5">
        <f>N70_DESARROLLO!CP99+N70_DESARROLLO!S99</f>
        <v>0.15445886474681392</v>
      </c>
      <c r="CM14" s="5">
        <f>N70_DESARROLLO!CQ99+N70_DESARROLLO!T99</f>
        <v>0.13373123411929844</v>
      </c>
      <c r="CN14" s="5">
        <f>N70_DESARROLLO!CR99+N70_DESARROLLO!U99</f>
        <v>0.11791996375048419</v>
      </c>
      <c r="CO14" s="5">
        <f>N70_DESARROLLO!CS99+N70_DESARROLLO!V99</f>
        <v>0.10545841852057991</v>
      </c>
      <c r="CP14" s="5">
        <f>N70_DESARROLLO!CT99+N70_DESARROLLO!W99</f>
        <v>9.5382594982175162E-2</v>
      </c>
      <c r="CQ14" s="5">
        <f>N70_DESARROLLO!CU99+N70_DESARROLLO!X99</f>
        <v>8.7066442319335247E-2</v>
      </c>
      <c r="CR14" s="5">
        <f>N70_DESARROLLO!CV99+N70_DESARROLLO!Y99</f>
        <v>8.0085554140355009E-2</v>
      </c>
      <c r="CS14" s="5">
        <f>N70_DESARROLLO!CW99+N70_DESARROLLO!Z99</f>
        <v>7.4141965022340162E-2</v>
      </c>
      <c r="CT14" s="5">
        <f>N70_DESARROLLO!CX99+N70_DESARROLLO!AA99</f>
        <v>6.9020292350869261E-2</v>
      </c>
      <c r="CU14" s="5">
        <f>N70_DESARROLLO!CY99+N70_DESARROLLO!AB99</f>
        <v>6.4560961252480009E-2</v>
      </c>
      <c r="CV14" s="5">
        <f>N70_DESARROLLO!CZ99+N70_DESARROLLO!AC99</f>
        <v>6.0643218403522936E-2</v>
      </c>
      <c r="CW14" s="5">
        <f>N70_DESARROLLO!DA99+N70_DESARROLLO!AD99</f>
        <v>5.7173997129078669E-2</v>
      </c>
      <c r="CX14" s="5">
        <f>N70_DESARROLLO!DB99+N70_DESARROLLO!AE99</f>
        <v>5.4080408838150018E-2</v>
      </c>
      <c r="CY14" s="5">
        <f>N70_DESARROLLO!DC99+N70_DESARROLLO!AF99</f>
        <v>5.1304553326341429E-2</v>
      </c>
      <c r="CZ14" s="5">
        <f>N70_DESARROLLO!DD99+N70_DESARROLLO!AG99</f>
        <v>4.8799853039074859E-2</v>
      </c>
      <c r="DA14" s="5">
        <f>N70_DESARROLLO!DE99+N70_DESARROLLO!AH99</f>
        <v>4.6528413377884714E-2</v>
      </c>
      <c r="DB14" s="5">
        <f>N70_DESARROLLO!DF99+N70_DESARROLLO!AI99</f>
        <v>4.4459088822765724E-2</v>
      </c>
      <c r="DC14" s="5">
        <f>N70_DESARROLLO!DG99+N70_DESARROLLO!AJ99</f>
        <v>4.2566044021113858E-2</v>
      </c>
      <c r="DD14" s="5">
        <f>N70_DESARROLLO!DH99+N70_DESARROLLO!AK99</f>
        <v>4.0827668052533461E-2</v>
      </c>
      <c r="DE14" s="5">
        <f>N70_DESARROLLO!DI99+N70_DESARROLLO!AL99</f>
        <v>3.9225744685482122E-2</v>
      </c>
      <c r="DF14" s="5">
        <f>N70_DESARROLLO!DJ99+N70_DESARROLLO!AM99</f>
        <v>3.7744810855694144E-2</v>
      </c>
      <c r="DG14" s="5">
        <f>N70_DESARROLLO!DK99+N70_DESARROLLO!AN99</f>
        <v>3.6371655357441024E-2</v>
      </c>
      <c r="DH14" s="5">
        <f>N70_DESARROLLO!DL99+N70_DESARROLLO!AO99</f>
        <v>3.5094923244216703E-2</v>
      </c>
      <c r="DI14" s="5">
        <f>N70_DESARROLLO!DM99+N70_DESARROLLO!AP99</f>
        <v>3.3904800811315305E-2</v>
      </c>
      <c r="DJ14" s="5">
        <f>N70_DESARROLLO!DN99+N70_DESARROLLO!AQ99</f>
        <v>3.2792762635869388E-2</v>
      </c>
      <c r="DK14" s="5">
        <f>N70_DESARROLLO!DO99+N70_DESARROLLO!AR99</f>
        <v>3.17513668626761E-2</v>
      </c>
      <c r="DL14" s="5">
        <f>N70_DESARROLLO!DP99+N70_DESARROLLO!AS99</f>
        <v>3.0774088329705407E-2</v>
      </c>
      <c r="DM14" s="5">
        <f>N70_DESARROLLO!DQ99+N70_DESARROLLO!AT99</f>
        <v>2.9855181616038617E-2</v>
      </c>
      <c r="DN14" s="5">
        <f>N70_DESARROLLO!DR99+N70_DESARROLLO!AU99</f>
        <v>2.8989567932948379E-2</v>
      </c>
      <c r="DO14" s="5">
        <f>N70_DESARROLLO!DS99+N70_DESARROLLO!AV99</f>
        <v>2.8172741151794578E-2</v>
      </c>
      <c r="DP14" s="5">
        <f>N70_DESARROLLO!DT99+N70_DESARROLLO!AW99</f>
        <v>2.7400689293789693E-2</v>
      </c>
      <c r="DQ14" s="5">
        <f>N70_DESARROLLO!DU99+N70_DESARROLLO!AX99</f>
        <v>2.666982859321998E-2</v>
      </c>
      <c r="DR14" s="5">
        <f>N70_DESARROLLO!DV99+N70_DESARROLLO!AY99</f>
        <v>2.5976947844875475E-2</v>
      </c>
      <c r="DS14" s="5">
        <f>N70_DESARROLLO!DW99+N70_DESARROLLO!AZ99</f>
        <v>2.5319161212279506E-2</v>
      </c>
      <c r="DT14" s="5">
        <f>N70_DESARROLLO!DX99+N70_DESARROLLO!BA99</f>
        <v>2.469386803250806E-2</v>
      </c>
      <c r="DU14" s="5">
        <f>N70_DESARROLLO!DY99+N70_DESARROLLO!BB99</f>
        <v>2.4098718436555866E-2</v>
      </c>
      <c r="DV14" s="5">
        <f>N70_DESARROLLO!DZ99+N70_DESARROLLO!BC99</f>
        <v>2.3531583826950309E-2</v>
      </c>
      <c r="DW14" s="5">
        <f>N70_DESARROLLO!EA99+N70_DESARROLLO!BD99</f>
        <v>2.2990531429692429E-2</v>
      </c>
      <c r="DX14" s="5">
        <f>N70_DESARROLLO!EB99+N70_DESARROLLO!BE99</f>
        <v>2.247380228010265E-2</v>
      </c>
      <c r="DY14" s="5">
        <f>N70_DESARROLLO!EC99+N70_DESARROLLO!BF99</f>
        <v>2.1979792112860164E-2</v>
      </c>
      <c r="DZ14" s="5">
        <f>N70_DESARROLLO!ED99+N70_DESARROLLO!BG99</f>
        <v>2.1507034719707718E-2</v>
      </c>
      <c r="EA14" s="5">
        <f>N70_DESARROLLO!EE99+N70_DESARROLLO!BH99</f>
        <v>2.1054187410165737E-2</v>
      </c>
      <c r="EB14" s="5">
        <f>N70_DESARROLLO!EF99+N70_DESARROLLO!BI99</f>
        <v>2.06200182721612E-2</v>
      </c>
      <c r="EC14" s="5">
        <f>N70_DESARROLLO!EG99+N70_DESARROLLO!BJ99</f>
        <v>2.0203394977344136E-2</v>
      </c>
      <c r="ED14" s="5">
        <f>N70_DESARROLLO!EH99+N70_DESARROLLO!BK99</f>
        <v>1.9803274917299052E-2</v>
      </c>
      <c r="EE14" s="5">
        <f>N70_DESARROLLO!EI99+N70_DESARROLLO!BL99</f>
        <v>1.9418696489467702E-2</v>
      </c>
      <c r="EF14" s="5">
        <f>N70_DESARROLLO!EJ99+N70_DESARROLLO!BM99</f>
        <v>1.9048771379240881E-2</v>
      </c>
      <c r="EG14" s="5">
        <f>N70_DESARROLLO!EK99+N70_DESARROLLO!BN99</f>
        <v>1.8692677708205485E-2</v>
      </c>
      <c r="EH14" s="5">
        <f>N70_DESARROLLO!EL99+N70_DESARROLLO!BO99</f>
        <v>1.8349653936848398E-2</v>
      </c>
      <c r="EI14" s="5">
        <f>N70_DESARROLLO!EM99+N70_DESARROLLO!BP99</f>
        <v>1.8018993426872409E-2</v>
      </c>
      <c r="EJ14" s="5">
        <f>N70_DESARROLLO!EN99+N70_DESARROLLO!BQ99</f>
        <v>1.7700039580939242E-2</v>
      </c>
      <c r="EK14" s="5">
        <f>N70_DESARROLLO!EO99+N70_DESARROLLO!BR99</f>
        <v>1.7392181490066716E-2</v>
      </c>
      <c r="EL14" s="5">
        <f>N70_DESARROLLO!EP99+N70_DESARROLLO!BS99</f>
        <v>1.7094850027297714E-2</v>
      </c>
      <c r="EM14" s="5">
        <f>N70_DESARROLLO!EQ99+N70_DESARROLLO!BT99</f>
        <v>1.680751433572214E-2</v>
      </c>
      <c r="EN14" s="5">
        <f>N70_DESARROLLO!ER99+N70_DESARROLLO!BU99</f>
        <v>1.652967866460997E-2</v>
      </c>
      <c r="EO14" s="5">
        <f>N70_DESARROLLO!ES99+N70_DESARROLLO!BV99</f>
        <v>1.6260879514503723E-2</v>
      </c>
      <c r="EP14" s="5">
        <f>N70_DESARROLLO!ET99+N70_DESARROLLO!BW99</f>
        <v>1.6000683056603959E-2</v>
      </c>
      <c r="EQ14" s="5">
        <f>N70_DESARROLLO!EU99+N70_DESARROLLO!BX99</f>
        <v>1.5748682795550972E-2</v>
      </c>
      <c r="ER14" s="5">
        <f>N70_DESARROLLO!EV99+N70_DESARROLLO!BY99</f>
        <v>4.7358936852065039</v>
      </c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>
        <v>5</v>
      </c>
      <c r="FD14" s="4">
        <v>8.9152391364676759E-3</v>
      </c>
      <c r="FE14" s="4">
        <v>2.3881170083919691E-2</v>
      </c>
      <c r="FF14" s="4">
        <v>4.2574724678732336E-2</v>
      </c>
      <c r="FG14" s="4">
        <v>0.23417156311292558</v>
      </c>
      <c r="FH14" s="4">
        <v>-0.26087359607360922</v>
      </c>
      <c r="FI14" s="4">
        <v>-6.9684240450742424E-2</v>
      </c>
      <c r="FJ14" s="4">
        <v>-5.1928487574197456E-2</v>
      </c>
      <c r="FK14" s="4">
        <v>-4.0218870625740144E-2</v>
      </c>
      <c r="FL14" s="4">
        <v>-3.3702658265521282E-2</v>
      </c>
      <c r="FM14" s="4">
        <v>-2.9428736947067921E-2</v>
      </c>
      <c r="FN14" s="4">
        <v>-2.6409697859341885E-2</v>
      </c>
      <c r="FO14" s="4">
        <v>-2.4157615123252402E-2</v>
      </c>
      <c r="FP14" s="4">
        <v>-2.2410302159459668E-2</v>
      </c>
      <c r="FQ14" s="4">
        <v>-2.1013742070307189E-2</v>
      </c>
      <c r="FR14" s="4">
        <v>-1.9871465639387371E-2</v>
      </c>
      <c r="FS14" s="4">
        <v>-1.8919903102502231E-2</v>
      </c>
      <c r="FT14" s="4">
        <v>-1.8115418293499757E-2</v>
      </c>
      <c r="FU14" s="4">
        <v>-1.7427035682377124E-2</v>
      </c>
      <c r="FV14" s="4">
        <v>-1.6832141904217307E-2</v>
      </c>
      <c r="FW14" s="4">
        <v>-1.6313832054047468E-2</v>
      </c>
      <c r="FX14" s="4">
        <v>-1.5859209785165466E-2</v>
      </c>
      <c r="FY14" s="4">
        <v>-1.5458263363461771E-2</v>
      </c>
      <c r="FZ14" s="4">
        <v>-1.510310185557639E-2</v>
      </c>
      <c r="GA14" s="4">
        <v>-1.4787423446344657E-2</v>
      </c>
      <c r="GB14" s="4">
        <v>-1.4506137428624433E-2</v>
      </c>
      <c r="GC14" s="4">
        <v>-1.4255090364624091E-2</v>
      </c>
      <c r="GD14" s="4">
        <v>-1.4030864374025459E-2</v>
      </c>
      <c r="GE14" s="4">
        <v>-1.3830626322734138E-2</v>
      </c>
      <c r="GF14" s="4">
        <v>-1.3652013559236616E-2</v>
      </c>
      <c r="GG14" s="4">
        <v>-1.3493046310683609E-2</v>
      </c>
      <c r="GH14" s="4">
        <v>-1.3352059811168319E-2</v>
      </c>
      <c r="GI14" s="4">
        <v>-1.3227651233758471E-2</v>
      </c>
      <c r="GJ14" s="4">
        <v>-1.3118637870893299E-2</v>
      </c>
      <c r="GK14" s="4">
        <v>-1.3024023965592208E-2</v>
      </c>
      <c r="GL14" s="4">
        <v>-1.2942974273528814E-2</v>
      </c>
      <c r="GM14" s="4">
        <v>-1.287479292184681E-2</v>
      </c>
      <c r="GN14" s="4">
        <v>-1.2818906482717496E-2</v>
      </c>
      <c r="GO14" s="4">
        <v>-1.2774850437623549E-2</v>
      </c>
      <c r="GP14" s="4">
        <v>-1.2742258398562573E-2</v>
      </c>
      <c r="GQ14" s="4">
        <v>-1.2720853592217515E-2</v>
      </c>
      <c r="GR14" s="4">
        <v>-1.2710442216612917E-2</v>
      </c>
      <c r="GS14" s="4">
        <v>-1.2710908351366412E-2</v>
      </c>
      <c r="GT14" s="4">
        <v>-1.272221015077777E-2</v>
      </c>
      <c r="GU14" s="4">
        <v>-1.2744377070281993E-2</v>
      </c>
      <c r="GV14" s="4">
        <v>-1.2777507873115834E-2</v>
      </c>
      <c r="GW14" s="4">
        <v>-1.282176912564063E-2</v>
      </c>
      <c r="GX14" s="4">
        <v>-1.2877393805180267E-2</v>
      </c>
      <c r="GY14" s="4">
        <v>-1.2944679491612222E-2</v>
      </c>
      <c r="GZ14" s="4">
        <v>-1.3023985352630984E-2</v>
      </c>
      <c r="HA14" s="4">
        <v>-1.3115726701189096E-2</v>
      </c>
      <c r="HB14" s="4">
        <v>-1.3220365187117177E-2</v>
      </c>
      <c r="HC14" s="4">
        <v>-1.333839149477219E-2</v>
      </c>
      <c r="HD14" s="4">
        <v>-1.3470295409469809E-2</v>
      </c>
      <c r="HE14" s="4">
        <v>-1.3616514672947642E-2</v>
      </c>
      <c r="HF14" s="4">
        <v>-1.3777348017965416E-2</v>
      </c>
      <c r="HG14" s="4">
        <v>-1.3952806952825867E-2</v>
      </c>
      <c r="HH14" s="4">
        <v>-1.4142360883747478E-2</v>
      </c>
      <c r="HI14" s="4">
        <v>-1.4344492011150975E-2</v>
      </c>
      <c r="HJ14" s="4">
        <v>-1.4555900728603265E-2</v>
      </c>
      <c r="HK14" s="4">
        <v>-1.4770045087617974E-2</v>
      </c>
      <c r="HL14" s="4">
        <v>-1.4974353785380251E-2</v>
      </c>
      <c r="HM14" s="4">
        <v>-1.5144650066215437E-2</v>
      </c>
      <c r="HN14" s="4">
        <v>-1.5233294660993782E-2</v>
      </c>
      <c r="HO14" s="4">
        <v>-1.5142094615660922E-2</v>
      </c>
      <c r="HP14" s="4">
        <v>-1.4651311532399763E-2</v>
      </c>
      <c r="HQ14" s="4">
        <v>-1.3249601120118347E-2</v>
      </c>
      <c r="HR14" s="4">
        <v>-8.8977624606487501E-3</v>
      </c>
      <c r="HS14" s="4">
        <v>-3.2918336565897297E-3</v>
      </c>
      <c r="HT14" s="4">
        <v>0.1711475639077687</v>
      </c>
      <c r="HU14" s="4">
        <v>-0.47456226407033814</v>
      </c>
    </row>
    <row r="15" spans="4:229" x14ac:dyDescent="0.25">
      <c r="D15" s="10">
        <v>6</v>
      </c>
      <c r="E15" s="5">
        <f>'N70'!E22-'N70'!E21</f>
        <v>1.428571428571429E-2</v>
      </c>
      <c r="F15" s="5">
        <f>'N70'!H21-'N70'!E16</f>
        <v>7.857142857142857E-2</v>
      </c>
      <c r="G15" s="5">
        <f>'N70'!H21-'N70'!E17</f>
        <v>6.4285714285714279E-2</v>
      </c>
      <c r="H15" s="5">
        <f>'N70'!H21-'N70'!E18</f>
        <v>0.05</v>
      </c>
      <c r="I15" s="5">
        <f>'N70'!H21-'N70'!E19</f>
        <v>3.5714285714285712E-2</v>
      </c>
      <c r="J15" s="5">
        <f>'N70'!H21-'N70'!E20</f>
        <v>2.1428571428571429E-2</v>
      </c>
      <c r="K15" s="5">
        <f>'N70'!H21-'N70'!E21</f>
        <v>7.1428571428571452E-3</v>
      </c>
      <c r="L15" s="5">
        <f>'N70'!H21-'N70'!E22</f>
        <v>-7.1428571428571452E-3</v>
      </c>
      <c r="M15" s="5">
        <f>'N70'!H21-'N70'!E23</f>
        <v>-2.1428571428571422E-2</v>
      </c>
      <c r="N15" s="5">
        <f>'N70'!H21-'N70'!E24</f>
        <v>-3.5714285714285712E-2</v>
      </c>
      <c r="O15" s="5">
        <f>'N70'!H21-'N70'!E25</f>
        <v>-4.9999999999999989E-2</v>
      </c>
      <c r="P15" s="5">
        <f>'N70'!H21-'N70'!E26</f>
        <v>-6.4285714285714279E-2</v>
      </c>
      <c r="Q15" s="5">
        <f>'N70'!H21-'N70'!E27</f>
        <v>-7.857142857142857E-2</v>
      </c>
      <c r="R15" s="5">
        <f>'N70'!H21-'N70'!E28</f>
        <v>-9.285714285714286E-2</v>
      </c>
      <c r="S15" s="5">
        <f>'N70'!H21-'N70'!E29</f>
        <v>-0.10714285714285715</v>
      </c>
      <c r="T15" s="5">
        <f>'N70'!H21-'N70'!E30</f>
        <v>-0.12142857142857141</v>
      </c>
      <c r="U15" s="5">
        <f>'N70'!H21-'N70'!E31</f>
        <v>-0.1357142857142857</v>
      </c>
      <c r="V15" s="5">
        <f>'N70'!H21-'N70'!E32</f>
        <v>-0.15</v>
      </c>
      <c r="W15" s="5">
        <f>'N70'!H21-'N70'!E33</f>
        <v>-0.16428571428571428</v>
      </c>
      <c r="X15" s="5">
        <f>'N70'!H21-'N70'!E34</f>
        <v>-0.17857142857142855</v>
      </c>
      <c r="Y15" s="5">
        <f>'N70'!H21-'N70'!E35</f>
        <v>-0.19285714285714284</v>
      </c>
      <c r="Z15" s="5">
        <f>'N70'!H21-'N70'!E36</f>
        <v>-0.20714285714285713</v>
      </c>
      <c r="AA15" s="5">
        <f>'N70'!H21-'N70'!E37</f>
        <v>-0.22142857142857142</v>
      </c>
      <c r="AB15" s="5">
        <f>'N70'!H21-'N70'!E38</f>
        <v>-0.23571428571428571</v>
      </c>
      <c r="AC15" s="5">
        <f>'N70'!H21-'N70'!E39</f>
        <v>-0.25</v>
      </c>
      <c r="AD15" s="5">
        <f>'N70'!H21-'N70'!E40</f>
        <v>-0.26428571428571429</v>
      </c>
      <c r="AE15" s="5">
        <f>'N70'!H21-'N70'!E41</f>
        <v>-0.27857142857142858</v>
      </c>
      <c r="AF15" s="5">
        <f>'N70'!H21-'N70'!E42</f>
        <v>-0.29285714285714287</v>
      </c>
      <c r="AG15" s="5">
        <f>'N70'!H21-'N70'!E43</f>
        <v>-0.30714285714285711</v>
      </c>
      <c r="AH15" s="5">
        <f>'N70'!H21-'N70'!E44</f>
        <v>-0.3214285714285714</v>
      </c>
      <c r="AI15" s="5">
        <f>'N70'!H21-'N70'!E45</f>
        <v>-0.33571428571428569</v>
      </c>
      <c r="AJ15" s="5">
        <f>'N70'!H21-'N70'!E46</f>
        <v>-0.35</v>
      </c>
      <c r="AK15" s="5">
        <f>'N70'!H21-'N70'!E47</f>
        <v>-0.36428571428571427</v>
      </c>
      <c r="AL15" s="5">
        <f>'N70'!H21-'N70'!$E$48</f>
        <v>-0.37857142857142856</v>
      </c>
      <c r="AM15" s="5">
        <f>'N70'!H21-'N70'!$E$49</f>
        <v>-0.39285714285714285</v>
      </c>
      <c r="AN15" s="5">
        <f>'N70'!H21-'N70'!$E$50</f>
        <v>-0.40714285714285714</v>
      </c>
      <c r="AO15" s="5">
        <f>'N70'!H21-'N70'!$E$51</f>
        <v>-0.42142857142857143</v>
      </c>
      <c r="AP15" s="5">
        <f>'N70'!H21-'N70'!$E$52</f>
        <v>-0.43571428571428567</v>
      </c>
      <c r="AQ15" s="5">
        <f>'N70'!H21-'N70'!$E$53</f>
        <v>-0.45</v>
      </c>
      <c r="AR15" s="5">
        <f>'N70'!H21-'N70'!$E$54</f>
        <v>-0.46428571428571425</v>
      </c>
      <c r="AS15" s="5">
        <f>'N70'!H21-'N70'!$E$55</f>
        <v>-0.47857142857142859</v>
      </c>
      <c r="AT15" s="5">
        <f>'N70'!H21-'N70'!$E$56</f>
        <v>-0.49285714285714283</v>
      </c>
      <c r="AU15" s="5">
        <f>'N70'!H21-'N70'!$E$57</f>
        <v>-0.50714285714285712</v>
      </c>
      <c r="AV15" s="5">
        <f>'N70'!H21-'N70'!$E$58</f>
        <v>-0.52142857142857135</v>
      </c>
      <c r="AW15" s="5">
        <f>'N70'!H21-'N70'!$E$59</f>
        <v>-0.53571428571428559</v>
      </c>
      <c r="AX15" s="5">
        <f>'N70'!H21-'N70'!$E$60</f>
        <v>-0.55000000000000004</v>
      </c>
      <c r="AY15" s="5">
        <f>'N70'!H21-'N70'!$E$61</f>
        <v>-0.56428571428571428</v>
      </c>
      <c r="AZ15" s="5">
        <f>'N70'!H21-'N70'!$E$62</f>
        <v>-0.57857142857142851</v>
      </c>
      <c r="BA15" s="5">
        <f>'N70'!H21-'N70'!$E$63</f>
        <v>-0.59285714285714275</v>
      </c>
      <c r="BB15" s="5">
        <f>'N70'!H21-'N70'!$E$64</f>
        <v>-0.60714285714285721</v>
      </c>
      <c r="BC15" s="5">
        <f>'N70'!H21-'N70'!$E$65</f>
        <v>-0.62142857142857144</v>
      </c>
      <c r="BD15" s="5">
        <f>'N70'!H21-'N70'!$E$66</f>
        <v>-0.63571428571428568</v>
      </c>
      <c r="BE15" s="5">
        <f>'N70'!H21-'N70'!$E$67</f>
        <v>-0.64999999999999991</v>
      </c>
      <c r="BF15" s="5">
        <f>'N70'!H21-'N70'!$E$68</f>
        <v>-0.66428571428571437</v>
      </c>
      <c r="BG15" s="5">
        <f>'N70'!H21-'N70'!$E$69</f>
        <v>-0.6785714285714286</v>
      </c>
      <c r="BH15" s="5">
        <f>'N70'!H21-'N70'!$E$70</f>
        <v>-0.69285714285714284</v>
      </c>
      <c r="BI15" s="5">
        <f>'N70'!H21-'N70'!$E$71</f>
        <v>-0.70714285714285707</v>
      </c>
      <c r="BJ15" s="5">
        <f>'N70'!H21-'N70'!$E$72</f>
        <v>-0.72142857142857131</v>
      </c>
      <c r="BK15" s="5">
        <f>'N70'!H21-'N70'!$E$73</f>
        <v>-0.73571428571428577</v>
      </c>
      <c r="BL15" s="5">
        <f>'N70'!H21-'N70'!$E$74</f>
        <v>-0.75</v>
      </c>
      <c r="BM15" s="5">
        <f>'N70'!H21-'N70'!$E$75</f>
        <v>-0.76428571428571423</v>
      </c>
      <c r="BN15" s="5">
        <f>'N70'!H21-'N70'!$E$76</f>
        <v>-0.77857142857142847</v>
      </c>
      <c r="BO15" s="5">
        <f>'N70'!H21-'N70'!$E$77</f>
        <v>-0.79285714285714293</v>
      </c>
      <c r="BP15" s="5">
        <f>'N70'!H21-'N70'!$E$78</f>
        <v>-0.80714285714285716</v>
      </c>
      <c r="BQ15" s="5">
        <f>'N70'!H21-'N70'!$E$79</f>
        <v>-0.8214285714285714</v>
      </c>
      <c r="BR15" s="5">
        <f>'N70'!H21-'N70'!$E$80</f>
        <v>-0.83571428571428563</v>
      </c>
      <c r="BS15" s="5">
        <f>'N70'!H21-'N70'!$E$81</f>
        <v>-0.84999999999999987</v>
      </c>
      <c r="BT15" s="5">
        <f>'N70'!H21-'N70'!$E$82</f>
        <v>-0.86428571428571432</v>
      </c>
      <c r="BU15" s="5">
        <f>'N70'!H21-'N70'!$E$83</f>
        <v>-0.87857142857142856</v>
      </c>
      <c r="BV15" s="5">
        <f>'N70'!H21-'N70'!$E$84</f>
        <v>-0.89285714285714279</v>
      </c>
      <c r="BW15" s="5">
        <f>'N70'!H21-'N70'!$E$85</f>
        <v>-0.90714285714285703</v>
      </c>
      <c r="BX15" s="5">
        <v>-1</v>
      </c>
      <c r="BY15" s="5"/>
      <c r="BZ15">
        <v>6</v>
      </c>
      <c r="CA15" s="5">
        <f>N70_DESARROLLO!CE100+N70_DESARROLLO!H100</f>
        <v>-9.69818523599566E-2</v>
      </c>
      <c r="CB15" s="5">
        <f>N70_DESARROLLO!CF100+N70_DESARROLLO!I100</f>
        <v>-0.22408833054042754</v>
      </c>
      <c r="CC15" s="5">
        <f>N70_DESARROLLO!CG100+N70_DESARROLLO!J100</f>
        <v>-0.28973434150573074</v>
      </c>
      <c r="CD15" s="5">
        <f>N70_DESARROLLO!CH100+N70_DESARROLLO!K100</f>
        <v>-0.41141440075354796</v>
      </c>
      <c r="CE15" s="5">
        <f>N70_DESARROLLO!CI100+N70_DESARROLLO!L100</f>
        <v>-0.72775792963607999</v>
      </c>
      <c r="CF15" s="5">
        <f>N70_DESARROLLO!CJ100+N70_DESARROLLO!M100</f>
        <v>-1.6479184659605335</v>
      </c>
      <c r="CG15" s="5">
        <f>N70_DESARROLLO!CK100+N70_DESARROLLO!N100</f>
        <v>1.6479184659605326</v>
      </c>
      <c r="CH15" s="5">
        <f>N70_DESARROLLO!CL100+N70_DESARROLLO!O100</f>
        <v>0.72775792963608121</v>
      </c>
      <c r="CI15" s="5">
        <f>N70_DESARROLLO!CM100+N70_DESARROLLO!P100</f>
        <v>0.41141440075354618</v>
      </c>
      <c r="CJ15" s="5">
        <f>N70_DESARROLLO!CN100+N70_DESARROLLO!Q100</f>
        <v>0.28973434150573252</v>
      </c>
      <c r="CK15" s="5">
        <f>N70_DESARROLLO!CO100+N70_DESARROLLO!R100</f>
        <v>0.22408833054042698</v>
      </c>
      <c r="CL15" s="5">
        <f>N70_DESARROLLO!CP100+N70_DESARROLLO!S100</f>
        <v>0.18283342438756867</v>
      </c>
      <c r="CM15" s="5">
        <f>N70_DESARROLLO!CQ100+N70_DESARROLLO!T100</f>
        <v>0.15445886474681392</v>
      </c>
      <c r="CN15" s="5">
        <f>N70_DESARROLLO!CR100+N70_DESARROLLO!U100</f>
        <v>0.13373123411929666</v>
      </c>
      <c r="CO15" s="5">
        <f>N70_DESARROLLO!CS100+N70_DESARROLLO!V100</f>
        <v>0.11791996375048741</v>
      </c>
      <c r="CP15" s="5">
        <f>N70_DESARROLLO!CT100+N70_DESARROLLO!W100</f>
        <v>0.10545841852057836</v>
      </c>
      <c r="CQ15" s="5">
        <f>N70_DESARROLLO!CU100+N70_DESARROLLO!X100</f>
        <v>9.5382594982175162E-2</v>
      </c>
      <c r="CR15" s="5">
        <f>N70_DESARROLLO!CV100+N70_DESARROLLO!Y100</f>
        <v>8.7066442319335025E-2</v>
      </c>
      <c r="CS15" s="5">
        <f>N70_DESARROLLO!CW100+N70_DESARROLLO!Z100</f>
        <v>8.0085554140357895E-2</v>
      </c>
      <c r="CT15" s="5">
        <f>N70_DESARROLLO!CX100+N70_DESARROLLO!AA100</f>
        <v>7.4141965022337719E-2</v>
      </c>
      <c r="CU15" s="5">
        <f>N70_DESARROLLO!CY100+N70_DESARROLLO!AB100</f>
        <v>6.9020292350869261E-2</v>
      </c>
      <c r="CV15" s="5">
        <f>N70_DESARROLLO!CZ100+N70_DESARROLLO!AC100</f>
        <v>6.4560961252480009E-2</v>
      </c>
      <c r="CW15" s="5">
        <f>N70_DESARROLLO!DA100+N70_DESARROLLO!AD100</f>
        <v>6.0643218403522936E-2</v>
      </c>
      <c r="CX15" s="5">
        <f>N70_DESARROLLO!DB100+N70_DESARROLLO!AE100</f>
        <v>5.7173997129078669E-2</v>
      </c>
      <c r="CY15" s="5">
        <f>N70_DESARROLLO!DC100+N70_DESARROLLO!AF100</f>
        <v>5.4080408838150018E-2</v>
      </c>
      <c r="CZ15" s="5">
        <f>N70_DESARROLLO!DD100+N70_DESARROLLO!AG100</f>
        <v>5.1304553326341429E-2</v>
      </c>
      <c r="DA15" s="5">
        <f>N70_DESARROLLO!DE100+N70_DESARROLLO!AH100</f>
        <v>4.8799853039069974E-2</v>
      </c>
      <c r="DB15" s="5">
        <f>N70_DESARROLLO!DF100+N70_DESARROLLO!AI100</f>
        <v>4.6528413377893707E-2</v>
      </c>
      <c r="DC15" s="5">
        <f>N70_DESARROLLO!DG100+N70_DESARROLLO!AJ100</f>
        <v>4.4459088822761283E-2</v>
      </c>
      <c r="DD15" s="5">
        <f>N70_DESARROLLO!DH100+N70_DESARROLLO!AK100</f>
        <v>4.2566044021113858E-2</v>
      </c>
      <c r="DE15" s="5">
        <f>N70_DESARROLLO!DI100+N70_DESARROLLO!AL100</f>
        <v>4.0827668052533461E-2</v>
      </c>
      <c r="DF15" s="5">
        <f>N70_DESARROLLO!DJ100+N70_DESARROLLO!AM100</f>
        <v>3.9225744685482122E-2</v>
      </c>
      <c r="DG15" s="5">
        <f>N70_DESARROLLO!DK100+N70_DESARROLLO!AN100</f>
        <v>3.7744810855694144E-2</v>
      </c>
      <c r="DH15" s="5">
        <f>N70_DESARROLLO!DL100+N70_DESARROLLO!AO100</f>
        <v>3.6371655357441024E-2</v>
      </c>
      <c r="DI15" s="5">
        <f>N70_DESARROLLO!DM100+N70_DESARROLLO!AP100</f>
        <v>3.5094923244216703E-2</v>
      </c>
      <c r="DJ15" s="5">
        <f>N70_DESARROLLO!DN100+N70_DESARROLLO!AQ100</f>
        <v>3.3904800811315083E-2</v>
      </c>
      <c r="DK15" s="5">
        <f>N70_DESARROLLO!DO100+N70_DESARROLLO!AR100</f>
        <v>3.2792762635876271E-2</v>
      </c>
      <c r="DL15" s="5">
        <f>N70_DESARROLLO!DP100+N70_DESARROLLO!AS100</f>
        <v>3.1751366862662667E-2</v>
      </c>
      <c r="DM15" s="5">
        <f>N70_DESARROLLO!DQ100+N70_DESARROLLO!AT100</f>
        <v>3.0774088329719174E-2</v>
      </c>
      <c r="DN15" s="5">
        <f>N70_DESARROLLO!DR100+N70_DESARROLLO!AU100</f>
        <v>2.9855181616024296E-2</v>
      </c>
      <c r="DO15" s="5">
        <f>N70_DESARROLLO!DS100+N70_DESARROLLO!AV100</f>
        <v>2.8989567932955596E-2</v>
      </c>
      <c r="DP15" s="5">
        <f>N70_DESARROLLO!DT100+N70_DESARROLLO!AW100</f>
        <v>2.8172741151786584E-2</v>
      </c>
      <c r="DQ15" s="5">
        <f>N70_DESARROLLO!DU100+N70_DESARROLLO!AX100</f>
        <v>2.740068929379702E-2</v>
      </c>
      <c r="DR15" s="5">
        <f>N70_DESARROLLO!DV100+N70_DESARROLLO!AY100</f>
        <v>2.6669828593237077E-2</v>
      </c>
      <c r="DS15" s="5">
        <f>N70_DESARROLLO!DW100+N70_DESARROLLO!AZ100</f>
        <v>2.5976947844859377E-2</v>
      </c>
      <c r="DT15" s="5">
        <f>N70_DESARROLLO!DX100+N70_DESARROLLO!BA100</f>
        <v>2.5319161212279395E-2</v>
      </c>
      <c r="DU15" s="5">
        <f>N70_DESARROLLO!DY100+N70_DESARROLLO!BB100</f>
        <v>2.4693868032498956E-2</v>
      </c>
      <c r="DV15" s="5">
        <f>N70_DESARROLLO!DZ100+N70_DESARROLLO!BC100</f>
        <v>2.4098718436583288E-2</v>
      </c>
      <c r="DW15" s="5">
        <f>N70_DESARROLLO!EA100+N70_DESARROLLO!BD100</f>
        <v>2.3531583826923108E-2</v>
      </c>
      <c r="DX15" s="5">
        <f>N70_DESARROLLO!EB100+N70_DESARROLLO!BE100</f>
        <v>2.2990531429701422E-2</v>
      </c>
      <c r="DY15" s="5">
        <f>N70_DESARROLLO!EC100+N70_DESARROLLO!BF100</f>
        <v>2.2473802280092658E-2</v>
      </c>
      <c r="DZ15" s="5">
        <f>N70_DESARROLLO!ED100+N70_DESARROLLO!BG100</f>
        <v>2.1979792112889918E-2</v>
      </c>
      <c r="EA15" s="5">
        <f>N70_DESARROLLO!EE100+N70_DESARROLLO!BH100</f>
        <v>2.1507034719688178E-2</v>
      </c>
      <c r="EB15" s="5">
        <f>N70_DESARROLLO!EF100+N70_DESARROLLO!BI100</f>
        <v>2.1054187410165515E-2</v>
      </c>
      <c r="EC15" s="5">
        <f>N70_DESARROLLO!EG100+N70_DESARROLLO!BJ100</f>
        <v>2.06200182721612E-2</v>
      </c>
      <c r="ED15" s="5">
        <f>N70_DESARROLLO!EH100+N70_DESARROLLO!BK100</f>
        <v>2.0203394977333256E-2</v>
      </c>
      <c r="EE15" s="5">
        <f>N70_DESARROLLO!EI100+N70_DESARROLLO!BL100</f>
        <v>1.9803274917321256E-2</v>
      </c>
      <c r="EF15" s="5">
        <f>N70_DESARROLLO!EJ100+N70_DESARROLLO!BM100</f>
        <v>1.941869648945671E-2</v>
      </c>
      <c r="EG15" s="5">
        <f>N70_DESARROLLO!EK100+N70_DESARROLLO!BN100</f>
        <v>1.9048771379240659E-2</v>
      </c>
      <c r="EH15" s="5">
        <f>N70_DESARROLLO!EL100+N70_DESARROLLO!BO100</f>
        <v>1.8692677708205263E-2</v>
      </c>
      <c r="EI15" s="5">
        <f>N70_DESARROLLO!EM100+N70_DESARROLLO!BP100</f>
        <v>1.8349653936860832E-2</v>
      </c>
      <c r="EJ15" s="5">
        <f>N70_DESARROLLO!EN100+N70_DESARROLLO!BQ100</f>
        <v>1.8018993426860641E-2</v>
      </c>
      <c r="EK15" s="5">
        <f>N70_DESARROLLO!EO100+N70_DESARROLLO!BR100</f>
        <v>1.7700039580939131E-2</v>
      </c>
      <c r="EL15" s="5">
        <f>N70_DESARROLLO!EP100+N70_DESARROLLO!BS100</f>
        <v>1.7392181490053837E-2</v>
      </c>
      <c r="EM15" s="5">
        <f>N70_DESARROLLO!EQ100+N70_DESARROLLO!BT100</f>
        <v>1.7094850027310038E-2</v>
      </c>
      <c r="EN15" s="5">
        <f>N70_DESARROLLO!ER100+N70_DESARROLLO!BU100</f>
        <v>1.6807514335735574E-2</v>
      </c>
      <c r="EO15" s="5">
        <f>N70_DESARROLLO!ES100+N70_DESARROLLO!BV100</f>
        <v>1.6529678664583547E-2</v>
      </c>
      <c r="EP15" s="5">
        <f>N70_DESARROLLO!ET100+N70_DESARROLLO!BW100</f>
        <v>1.6260879514516824E-2</v>
      </c>
      <c r="EQ15" s="5">
        <f>N70_DESARROLLO!EU100+N70_DESARROLLO!BX100</f>
        <v>1.6000683056603737E-2</v>
      </c>
      <c r="ER15" s="5">
        <f>N70_DESARROLLO!EV100+N70_DESARROLLO!BY100</f>
        <v>5.8297893248775647</v>
      </c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>
        <v>6</v>
      </c>
      <c r="FD15" s="4">
        <v>6.1814761024734021E-3</v>
      </c>
      <c r="FE15" s="4">
        <v>1.5127596793801049E-2</v>
      </c>
      <c r="FF15" s="4">
        <v>2.754411123428031E-2</v>
      </c>
      <c r="FG15" s="4">
        <v>4.5605066489559733E-2</v>
      </c>
      <c r="FH15" s="4">
        <v>0.23680028810800388</v>
      </c>
      <c r="FI15" s="4">
        <v>-0.25851183095850916</v>
      </c>
      <c r="FJ15" s="4">
        <v>-6.7517048296832624E-2</v>
      </c>
      <c r="FK15" s="4">
        <v>-4.9910717792685022E-2</v>
      </c>
      <c r="FL15" s="4">
        <v>-3.8320195002260513E-2</v>
      </c>
      <c r="FM15" s="4">
        <v>-3.1901534475089643E-2</v>
      </c>
      <c r="FN15" s="4">
        <v>-2.7709209665391789E-2</v>
      </c>
      <c r="FO15" s="4">
        <v>-2.4759556172318804E-2</v>
      </c>
      <c r="FP15" s="4">
        <v>-2.2567263822738631E-2</v>
      </c>
      <c r="FQ15" s="4">
        <v>-2.087203551023023E-2</v>
      </c>
      <c r="FR15" s="4">
        <v>-1.9521257464639865E-2</v>
      </c>
      <c r="FS15" s="4">
        <v>-1.8419526887323217E-2</v>
      </c>
      <c r="FT15" s="4">
        <v>-1.7504100674705349E-2</v>
      </c>
      <c r="FU15" s="4">
        <v>-1.6731994438679031E-2</v>
      </c>
      <c r="FV15" s="4">
        <v>-1.6072754173661441E-2</v>
      </c>
      <c r="FW15" s="4">
        <v>-1.5504189234153788E-2</v>
      </c>
      <c r="FX15" s="4">
        <v>-1.5009741263419517E-2</v>
      </c>
      <c r="FY15" s="4">
        <v>-1.4576800888289283E-2</v>
      </c>
      <c r="FZ15" s="4">
        <v>-1.4195596147013287E-2</v>
      </c>
      <c r="GA15" s="4">
        <v>-1.3858438041050266E-2</v>
      </c>
      <c r="GB15" s="4">
        <v>-1.3559196034225576E-2</v>
      </c>
      <c r="GC15" s="4">
        <v>-1.3292925618120587E-2</v>
      </c>
      <c r="GD15" s="4">
        <v>-1.3055598850154082E-2</v>
      </c>
      <c r="GE15" s="4">
        <v>-1.2843906112198046E-2</v>
      </c>
      <c r="GF15" s="4">
        <v>-1.2655108076733017E-2</v>
      </c>
      <c r="GG15" s="4">
        <v>-1.2486923684687424E-2</v>
      </c>
      <c r="GH15" s="4">
        <v>-1.2337444364496417E-2</v>
      </c>
      <c r="GI15" s="4">
        <v>-1.2205067653333799E-2</v>
      </c>
      <c r="GJ15" s="4">
        <v>-1.2088445359408459E-2</v>
      </c>
      <c r="GK15" s="4">
        <v>-1.1986442761654429E-2</v>
      </c>
      <c r="GL15" s="4">
        <v>-1.1898106288942629E-2</v>
      </c>
      <c r="GM15" s="4">
        <v>-1.1822637789562109E-2</v>
      </c>
      <c r="GN15" s="4">
        <v>-1.1759373980266302E-2</v>
      </c>
      <c r="GO15" s="4">
        <v>-1.1707770010450314E-2</v>
      </c>
      <c r="GP15" s="4">
        <v>-1.1667386330049061E-2</v>
      </c>
      <c r="GQ15" s="4">
        <v>-1.1637878234608946E-2</v>
      </c>
      <c r="GR15" s="4">
        <v>-1.1618987597121874E-2</v>
      </c>
      <c r="GS15" s="4">
        <v>-1.1610536392297824E-2</v>
      </c>
      <c r="GT15" s="4">
        <v>-1.1612421685362017E-2</v>
      </c>
      <c r="GU15" s="4">
        <v>-1.1624611793845887E-2</v>
      </c>
      <c r="GV15" s="4">
        <v>-1.1647143339550733E-2</v>
      </c>
      <c r="GW15" s="4">
        <v>-1.168011888207365E-2</v>
      </c>
      <c r="GX15" s="4">
        <v>-1.1723704754115513E-2</v>
      </c>
      <c r="GY15" s="4">
        <v>-1.1778128583774623E-2</v>
      </c>
      <c r="GZ15" s="4">
        <v>-1.1843675752610064E-2</v>
      </c>
      <c r="HA15" s="4">
        <v>-1.1920683644753575E-2</v>
      </c>
      <c r="HB15" s="4">
        <v>-1.2009531886751801E-2</v>
      </c>
      <c r="HC15" s="4">
        <v>-1.2110625687778076E-2</v>
      </c>
      <c r="HD15" s="4">
        <v>-1.2224367549510945E-2</v>
      </c>
      <c r="HE15" s="4">
        <v>-1.2351109463462819E-2</v>
      </c>
      <c r="HF15" s="4">
        <v>-1.2491072195906006E-2</v>
      </c>
      <c r="HG15" s="4">
        <v>-1.2644208367664439E-2</v>
      </c>
      <c r="HH15" s="4">
        <v>-1.2809967775313423E-2</v>
      </c>
      <c r="HI15" s="4">
        <v>-1.2986888557179803E-2</v>
      </c>
      <c r="HJ15" s="4">
        <v>-1.3171868703538345E-2</v>
      </c>
      <c r="HK15" s="4">
        <v>-1.3358829024669465E-2</v>
      </c>
      <c r="HL15" s="4">
        <v>-1.3536164899102436E-2</v>
      </c>
      <c r="HM15" s="4">
        <v>-1.3681653024217543E-2</v>
      </c>
      <c r="HN15" s="4">
        <v>-1.3751630406666441E-2</v>
      </c>
      <c r="HO15" s="4">
        <v>-1.3656288261507211E-2</v>
      </c>
      <c r="HP15" s="4">
        <v>-1.3194976515709014E-2</v>
      </c>
      <c r="HQ15" s="4">
        <v>-1.1901253756876524E-2</v>
      </c>
      <c r="HR15" s="4">
        <v>-7.9179901353802172E-3</v>
      </c>
      <c r="HS15" s="4">
        <v>-2.7803744472862111E-3</v>
      </c>
      <c r="HT15" s="4">
        <v>0.15590910718952294</v>
      </c>
      <c r="HU15" s="4">
        <v>-0.43089247783210627</v>
      </c>
    </row>
    <row r="16" spans="4:229" x14ac:dyDescent="0.25">
      <c r="D16" s="10">
        <v>7</v>
      </c>
      <c r="E16" s="5">
        <f>'N70'!E23-'N70'!E22</f>
        <v>1.4285714285714277E-2</v>
      </c>
      <c r="F16" s="5">
        <f>'N70'!H22-'N70'!E16</f>
        <v>9.285714285714286E-2</v>
      </c>
      <c r="G16" s="5">
        <f>'N70'!H22-'N70'!E17</f>
        <v>7.857142857142857E-2</v>
      </c>
      <c r="H16" s="5">
        <f>'N70'!H22-'N70'!E18</f>
        <v>6.4285714285714293E-2</v>
      </c>
      <c r="I16" s="5">
        <f>'N70'!H22-'N70'!E19</f>
        <v>0.05</v>
      </c>
      <c r="J16" s="5">
        <f>'N70'!H22-'N70'!E20</f>
        <v>3.5714285714285719E-2</v>
      </c>
      <c r="K16" s="5">
        <f>'N70'!H22-'N70'!E21</f>
        <v>2.1428571428571436E-2</v>
      </c>
      <c r="L16" s="5">
        <f>'N70'!H22-'N70'!E22</f>
        <v>7.1428571428571452E-3</v>
      </c>
      <c r="M16" s="5">
        <f>'N70'!H22-'N70'!E23</f>
        <v>-7.1428571428571314E-3</v>
      </c>
      <c r="N16" s="5">
        <f>'N70'!H22-'N70'!E24</f>
        <v>-2.1428571428571422E-2</v>
      </c>
      <c r="O16" s="5">
        <f>'N70'!H22-'N70'!E25</f>
        <v>-3.5714285714285698E-2</v>
      </c>
      <c r="P16" s="5">
        <f>'N70'!H22-'N70'!E26</f>
        <v>-4.9999999999999989E-2</v>
      </c>
      <c r="Q16" s="5">
        <f>'N70'!H22-'N70'!E27</f>
        <v>-6.4285714285714279E-2</v>
      </c>
      <c r="R16" s="5">
        <f>'N70'!H22-'N70'!E28</f>
        <v>-7.857142857142857E-2</v>
      </c>
      <c r="S16" s="5">
        <f>'N70'!H22-'N70'!E29</f>
        <v>-9.285714285714286E-2</v>
      </c>
      <c r="T16" s="5">
        <f>'N70'!H22-'N70'!E30</f>
        <v>-0.10714285714285712</v>
      </c>
      <c r="U16" s="5">
        <f>'N70'!H22-'N70'!E31</f>
        <v>-0.12142857142857141</v>
      </c>
      <c r="V16" s="5">
        <f>'N70'!H22-'N70'!E32</f>
        <v>-0.1357142857142857</v>
      </c>
      <c r="W16" s="5">
        <f>'N70'!H22-'N70'!E33</f>
        <v>-0.15</v>
      </c>
      <c r="X16" s="5">
        <f>'N70'!H22-'N70'!E34</f>
        <v>-0.16428571428571426</v>
      </c>
      <c r="Y16" s="5">
        <f>'N70'!H22-'N70'!E35</f>
        <v>-0.17857142857142855</v>
      </c>
      <c r="Z16" s="5">
        <f>'N70'!H22-'N70'!E36</f>
        <v>-0.19285714285714284</v>
      </c>
      <c r="AA16" s="5">
        <f>'N70'!H22-'N70'!E37</f>
        <v>-0.20714285714285713</v>
      </c>
      <c r="AB16" s="5">
        <f>'N70'!H22-'N70'!E38</f>
        <v>-0.22142857142857142</v>
      </c>
      <c r="AC16" s="5">
        <f>'N70'!H22-'N70'!E39</f>
        <v>-0.23571428571428571</v>
      </c>
      <c r="AD16" s="5">
        <f>'N70'!H22-'N70'!E40</f>
        <v>-0.25</v>
      </c>
      <c r="AE16" s="5">
        <f>'N70'!H22-'N70'!E41</f>
        <v>-0.26428571428571429</v>
      </c>
      <c r="AF16" s="5">
        <f>'N70'!H22-'N70'!E42</f>
        <v>-0.27857142857142858</v>
      </c>
      <c r="AG16" s="5">
        <f>'N70'!H22-'N70'!E43</f>
        <v>-0.29285714285714282</v>
      </c>
      <c r="AH16" s="5">
        <f>'N70'!H22-'N70'!E44</f>
        <v>-0.30714285714285711</v>
      </c>
      <c r="AI16" s="5">
        <f>'N70'!H22-'N70'!E45</f>
        <v>-0.3214285714285714</v>
      </c>
      <c r="AJ16" s="5">
        <f>'N70'!H22-'N70'!E46</f>
        <v>-0.33571428571428569</v>
      </c>
      <c r="AK16" s="5">
        <f>'N70'!H22-'N70'!E47</f>
        <v>-0.35</v>
      </c>
      <c r="AL16" s="5">
        <f>'N70'!H22-'N70'!$E$48</f>
        <v>-0.36428571428571427</v>
      </c>
      <c r="AM16" s="5">
        <f>'N70'!H22-'N70'!$E$49</f>
        <v>-0.37857142857142856</v>
      </c>
      <c r="AN16" s="5">
        <f>'N70'!H22-'N70'!$E$50</f>
        <v>-0.39285714285714285</v>
      </c>
      <c r="AO16" s="5">
        <f>'N70'!H22-'N70'!$E$51</f>
        <v>-0.40714285714285714</v>
      </c>
      <c r="AP16" s="5">
        <f>'N70'!H22-'N70'!$E$52</f>
        <v>-0.42142857142857137</v>
      </c>
      <c r="AQ16" s="5">
        <f>'N70'!H22-'N70'!$E$53</f>
        <v>-0.43571428571428572</v>
      </c>
      <c r="AR16" s="5">
        <f>'N70'!H22-'N70'!$E$54</f>
        <v>-0.44999999999999996</v>
      </c>
      <c r="AS16" s="5">
        <f>'N70'!H22-'N70'!$E$55</f>
        <v>-0.4642857142857143</v>
      </c>
      <c r="AT16" s="5">
        <f>'N70'!H22-'N70'!$E$56</f>
        <v>-0.47857142857142854</v>
      </c>
      <c r="AU16" s="5">
        <f>'N70'!H22-'N70'!$E$57</f>
        <v>-0.49285714285714288</v>
      </c>
      <c r="AV16" s="5">
        <f>'N70'!H22-'N70'!$E$58</f>
        <v>-0.50714285714285712</v>
      </c>
      <c r="AW16" s="5">
        <f>'N70'!H22-'N70'!$E$59</f>
        <v>-0.52142857142857135</v>
      </c>
      <c r="AX16" s="5">
        <f>'N70'!H22-'N70'!$E$60</f>
        <v>-0.5357142857142857</v>
      </c>
      <c r="AY16" s="5">
        <f>'N70'!H22-'N70'!$E$61</f>
        <v>-0.54999999999999993</v>
      </c>
      <c r="AZ16" s="5">
        <f>'N70'!H22-'N70'!$E$62</f>
        <v>-0.56428571428571428</v>
      </c>
      <c r="BA16" s="5">
        <f>'N70'!H22-'N70'!$E$63</f>
        <v>-0.57857142857142851</v>
      </c>
      <c r="BB16" s="5">
        <f>'N70'!H22-'N70'!$E$64</f>
        <v>-0.59285714285714286</v>
      </c>
      <c r="BC16" s="5">
        <f>'N70'!H22-'N70'!$E$65</f>
        <v>-0.6071428571428571</v>
      </c>
      <c r="BD16" s="5">
        <f>'N70'!H22-'N70'!$E$66</f>
        <v>-0.62142857142857144</v>
      </c>
      <c r="BE16" s="5">
        <f>'N70'!H22-'N70'!$E$67</f>
        <v>-0.63571428571428568</v>
      </c>
      <c r="BF16" s="5">
        <f>'N70'!H22-'N70'!$E$68</f>
        <v>-0.65</v>
      </c>
      <c r="BG16" s="5">
        <f>'N70'!H22-'N70'!$E$69</f>
        <v>-0.66428571428571426</v>
      </c>
      <c r="BH16" s="5">
        <f>'N70'!H22-'N70'!$E$70</f>
        <v>-0.67857142857142849</v>
      </c>
      <c r="BI16" s="5">
        <f>'N70'!H22-'N70'!$E$71</f>
        <v>-0.69285714285714284</v>
      </c>
      <c r="BJ16" s="5">
        <f>'N70'!H22-'N70'!$E$72</f>
        <v>-0.70714285714285707</v>
      </c>
      <c r="BK16" s="5">
        <f>'N70'!H22-'N70'!$E$73</f>
        <v>-0.72142857142857142</v>
      </c>
      <c r="BL16" s="5">
        <f>'N70'!H22-'N70'!$E$74</f>
        <v>-0.73571428571428565</v>
      </c>
      <c r="BM16" s="5">
        <f>'N70'!H22-'N70'!$E$75</f>
        <v>-0.75</v>
      </c>
      <c r="BN16" s="5">
        <f>'N70'!H22-'N70'!$E$76</f>
        <v>-0.76428571428571423</v>
      </c>
      <c r="BO16" s="5">
        <f>'N70'!H22-'N70'!$E$77</f>
        <v>-0.77857142857142858</v>
      </c>
      <c r="BP16" s="5">
        <f>'N70'!H22-'N70'!$E$78</f>
        <v>-0.79285714285714282</v>
      </c>
      <c r="BQ16" s="5">
        <f>'N70'!H22-'N70'!$E$79</f>
        <v>-0.80714285714285716</v>
      </c>
      <c r="BR16" s="5">
        <f>'N70'!H22-'N70'!$E$80</f>
        <v>-0.8214285714285714</v>
      </c>
      <c r="BS16" s="5">
        <f>'N70'!H22-'N70'!$E$81</f>
        <v>-0.83571428571428563</v>
      </c>
      <c r="BT16" s="5">
        <f>'N70'!H22-'N70'!$E$82</f>
        <v>-0.85</v>
      </c>
      <c r="BU16" s="5">
        <f>'N70'!H22-'N70'!$E$83</f>
        <v>-0.86428571428571421</v>
      </c>
      <c r="BV16" s="5">
        <f>'N70'!H22-'N70'!$E$84</f>
        <v>-0.87857142857142856</v>
      </c>
      <c r="BW16" s="5">
        <f>'N70'!H22-'N70'!$E$85</f>
        <v>-0.89285714285714279</v>
      </c>
      <c r="BX16" s="5">
        <v>-1</v>
      </c>
      <c r="BY16" s="5"/>
      <c r="BZ16">
        <v>7</v>
      </c>
      <c r="CA16" s="5">
        <f>N70_DESARROLLO!CE101+N70_DESARROLLO!H101</f>
        <v>-8.1202515976636191E-2</v>
      </c>
      <c r="CB16" s="5">
        <f>N70_DESARROLLO!CF101+N70_DESARROLLO!I101</f>
        <v>-0.18283342438756944</v>
      </c>
      <c r="CC16" s="5">
        <f>N70_DESARROLLO!CG101+N70_DESARROLLO!J101</f>
        <v>-0.22408833054042498</v>
      </c>
      <c r="CD16" s="5">
        <f>N70_DESARROLLO!CH101+N70_DESARROLLO!K101</f>
        <v>-0.28973434150573263</v>
      </c>
      <c r="CE16" s="5">
        <f>N70_DESARROLLO!CI101+N70_DESARROLLO!L101</f>
        <v>-0.41141440075354729</v>
      </c>
      <c r="CF16" s="5">
        <f>N70_DESARROLLO!CJ101+N70_DESARROLLO!M101</f>
        <v>-0.72775792963607999</v>
      </c>
      <c r="CG16" s="5">
        <f>N70_DESARROLLO!CK101+N70_DESARROLLO!N101</f>
        <v>-1.6479184659605346</v>
      </c>
      <c r="CH16" s="5">
        <f>N70_DESARROLLO!CL101+N70_DESARROLLO!O101</f>
        <v>1.6479184659605357</v>
      </c>
      <c r="CI16" s="5">
        <f>N70_DESARROLLO!CM101+N70_DESARROLLO!P101</f>
        <v>0.72775792963607999</v>
      </c>
      <c r="CJ16" s="5">
        <f>N70_DESARROLLO!CN101+N70_DESARROLLO!Q101</f>
        <v>0.41141440075354829</v>
      </c>
      <c r="CK16" s="5">
        <f>N70_DESARROLLO!CO101+N70_DESARROLLO!R101</f>
        <v>0.28973434150573174</v>
      </c>
      <c r="CL16" s="5">
        <f>N70_DESARROLLO!CP101+N70_DESARROLLO!S101</f>
        <v>0.22408833054042698</v>
      </c>
      <c r="CM16" s="5">
        <f>N70_DESARROLLO!CQ101+N70_DESARROLLO!T101</f>
        <v>0.18283342438756867</v>
      </c>
      <c r="CN16" s="5">
        <f>N70_DESARROLLO!CR101+N70_DESARROLLO!U101</f>
        <v>0.15445886474681081</v>
      </c>
      <c r="CO16" s="5">
        <f>N70_DESARROLLO!CS101+N70_DESARROLLO!V101</f>
        <v>0.13373123411930077</v>
      </c>
      <c r="CP16" s="5">
        <f>N70_DESARROLLO!CT101+N70_DESARROLLO!W101</f>
        <v>0.11791996375048619</v>
      </c>
      <c r="CQ16" s="5">
        <f>N70_DESARROLLO!CU101+N70_DESARROLLO!X101</f>
        <v>0.10545841852057836</v>
      </c>
      <c r="CR16" s="5">
        <f>N70_DESARROLLO!CV101+N70_DESARROLLO!Y101</f>
        <v>9.5382594982172719E-2</v>
      </c>
      <c r="CS16" s="5">
        <f>N70_DESARROLLO!CW101+N70_DESARROLLO!Z101</f>
        <v>8.7066442319337023E-2</v>
      </c>
      <c r="CT16" s="5">
        <f>N70_DESARROLLO!CX101+N70_DESARROLLO!AA101</f>
        <v>8.0085554140358006E-2</v>
      </c>
      <c r="CU16" s="5">
        <f>N70_DESARROLLO!CY101+N70_DESARROLLO!AB101</f>
        <v>7.4141965022337719E-2</v>
      </c>
      <c r="CV16" s="5">
        <f>N70_DESARROLLO!CZ101+N70_DESARROLLO!AC101</f>
        <v>6.9020292350869261E-2</v>
      </c>
      <c r="CW16" s="5">
        <f>N70_DESARROLLO!DA101+N70_DESARROLLO!AD101</f>
        <v>6.4560961252480009E-2</v>
      </c>
      <c r="CX16" s="5">
        <f>N70_DESARROLLO!DB101+N70_DESARROLLO!AE101</f>
        <v>6.0643218403522936E-2</v>
      </c>
      <c r="CY16" s="5">
        <f>N70_DESARROLLO!DC101+N70_DESARROLLO!AF101</f>
        <v>5.7173997129078669E-2</v>
      </c>
      <c r="CZ16" s="5">
        <f>N70_DESARROLLO!DD101+N70_DESARROLLO!AG101</f>
        <v>5.4080408838150018E-2</v>
      </c>
      <c r="DA16" s="5">
        <f>N70_DESARROLLO!DE101+N70_DESARROLLO!AH101</f>
        <v>5.1304553326336766E-2</v>
      </c>
      <c r="DB16" s="5">
        <f>N70_DESARROLLO!DF101+N70_DESARROLLO!AI101</f>
        <v>4.8799853039078855E-2</v>
      </c>
      <c r="DC16" s="5">
        <f>N70_DESARROLLO!DG101+N70_DESARROLLO!AJ101</f>
        <v>4.6528413377889488E-2</v>
      </c>
      <c r="DD16" s="5">
        <f>N70_DESARROLLO!DH101+N70_DESARROLLO!AK101</f>
        <v>4.4459088822761283E-2</v>
      </c>
      <c r="DE16" s="5">
        <f>N70_DESARROLLO!DI101+N70_DESARROLLO!AL101</f>
        <v>4.2566044021113858E-2</v>
      </c>
      <c r="DF16" s="5">
        <f>N70_DESARROLLO!DJ101+N70_DESARROLLO!AM101</f>
        <v>4.0827668052533461E-2</v>
      </c>
      <c r="DG16" s="5">
        <f>N70_DESARROLLO!DK101+N70_DESARROLLO!AN101</f>
        <v>3.9225744685482122E-2</v>
      </c>
      <c r="DH16" s="5">
        <f>N70_DESARROLLO!DL101+N70_DESARROLLO!AO101</f>
        <v>3.7744810855694144E-2</v>
      </c>
      <c r="DI16" s="5">
        <f>N70_DESARROLLO!DM101+N70_DESARROLLO!AP101</f>
        <v>3.6371655357441024E-2</v>
      </c>
      <c r="DJ16" s="5">
        <f>N70_DESARROLLO!DN101+N70_DESARROLLO!AQ101</f>
        <v>3.5094923244210263E-2</v>
      </c>
      <c r="DK16" s="5">
        <f>N70_DESARROLLO!DO101+N70_DESARROLLO!AR101</f>
        <v>3.3904800811327962E-2</v>
      </c>
      <c r="DL16" s="5">
        <f>N70_DESARROLLO!DP101+N70_DESARROLLO!AS101</f>
        <v>3.2792762635863171E-2</v>
      </c>
      <c r="DM16" s="5">
        <f>N70_DESARROLLO!DQ101+N70_DESARROLLO!AT101</f>
        <v>3.17513668626761E-2</v>
      </c>
      <c r="DN16" s="5">
        <f>N70_DESARROLLO!DR101+N70_DESARROLLO!AU101</f>
        <v>3.0774088329705407E-2</v>
      </c>
      <c r="DO16" s="5">
        <f>N70_DESARROLLO!DS101+N70_DESARROLLO!AV101</f>
        <v>2.9855181616038617E-2</v>
      </c>
      <c r="DP16" s="5">
        <f>N70_DESARROLLO!DT101+N70_DESARROLLO!AW101</f>
        <v>2.8989567932948379E-2</v>
      </c>
      <c r="DQ16" s="5">
        <f>N70_DESARROLLO!DU101+N70_DESARROLLO!AX101</f>
        <v>2.8172741151786584E-2</v>
      </c>
      <c r="DR16" s="5">
        <f>N70_DESARROLLO!DV101+N70_DESARROLLO!AY101</f>
        <v>2.7400689293805458E-2</v>
      </c>
      <c r="DS16" s="5">
        <f>N70_DESARROLLO!DW101+N70_DESARROLLO!AZ101</f>
        <v>2.6669828593212208E-2</v>
      </c>
      <c r="DT16" s="5">
        <f>N70_DESARROLLO!DX101+N70_DESARROLLO!BA101</f>
        <v>2.5976947844875475E-2</v>
      </c>
      <c r="DU16" s="5">
        <f>N70_DESARROLLO!DY101+N70_DESARROLLO!BB101</f>
        <v>2.5319161212279506E-2</v>
      </c>
      <c r="DV16" s="5">
        <f>N70_DESARROLLO!DZ101+N70_DESARROLLO!BC101</f>
        <v>2.469386803250806E-2</v>
      </c>
      <c r="DW16" s="5">
        <f>N70_DESARROLLO!EA101+N70_DESARROLLO!BD101</f>
        <v>2.4098718436555866E-2</v>
      </c>
      <c r="DX16" s="5">
        <f>N70_DESARROLLO!EB101+N70_DESARROLLO!BE101</f>
        <v>2.3531583826950309E-2</v>
      </c>
      <c r="DY16" s="5">
        <f>N70_DESARROLLO!EC101+N70_DESARROLLO!BF101</f>
        <v>2.2990531429692429E-2</v>
      </c>
      <c r="DZ16" s="5">
        <f>N70_DESARROLLO!ED101+N70_DESARROLLO!BG101</f>
        <v>2.247380228010265E-2</v>
      </c>
      <c r="EA16" s="5">
        <f>N70_DESARROLLO!EE101+N70_DESARROLLO!BH101</f>
        <v>2.1979792112860164E-2</v>
      </c>
      <c r="EB16" s="5">
        <f>N70_DESARROLLO!EF101+N70_DESARROLLO!BI101</f>
        <v>2.1507034719707496E-2</v>
      </c>
      <c r="EC16" s="5">
        <f>N70_DESARROLLO!EG101+N70_DESARROLLO!BJ101</f>
        <v>2.1054187410176395E-2</v>
      </c>
      <c r="ED16" s="5">
        <f>N70_DESARROLLO!EH101+N70_DESARROLLO!BK101</f>
        <v>2.0620018272150986E-2</v>
      </c>
      <c r="EE16" s="5">
        <f>N70_DESARROLLO!EI101+N70_DESARROLLO!BL101</f>
        <v>2.0203394977344136E-2</v>
      </c>
      <c r="EF16" s="5">
        <f>N70_DESARROLLO!EJ101+N70_DESARROLLO!BM101</f>
        <v>1.9803274917299052E-2</v>
      </c>
      <c r="EG16" s="5">
        <f>N70_DESARROLLO!EK101+N70_DESARROLLO!BN101</f>
        <v>1.9418696489467702E-2</v>
      </c>
      <c r="EH16" s="5">
        <f>N70_DESARROLLO!EL101+N70_DESARROLLO!BO101</f>
        <v>1.9048771379240881E-2</v>
      </c>
      <c r="EI16" s="5">
        <f>N70_DESARROLLO!EM101+N70_DESARROLLO!BP101</f>
        <v>1.8692677708205485E-2</v>
      </c>
      <c r="EJ16" s="5">
        <f>N70_DESARROLLO!EN101+N70_DESARROLLO!BQ101</f>
        <v>1.8349653936848398E-2</v>
      </c>
      <c r="EK16" s="5">
        <f>N70_DESARROLLO!EO101+N70_DESARROLLO!BR101</f>
        <v>1.8018993426872409E-2</v>
      </c>
      <c r="EL16" s="5">
        <f>N70_DESARROLLO!EP101+N70_DESARROLLO!BS101</f>
        <v>1.7700039580939242E-2</v>
      </c>
      <c r="EM16" s="5">
        <f>N70_DESARROLLO!EQ101+N70_DESARROLLO!BT101</f>
        <v>1.7392181490053837E-2</v>
      </c>
      <c r="EN16" s="5">
        <f>N70_DESARROLLO!ER101+N70_DESARROLLO!BU101</f>
        <v>1.7094850027323361E-2</v>
      </c>
      <c r="EO16" s="5">
        <f>N70_DESARROLLO!ES101+N70_DESARROLLO!BV101</f>
        <v>1.6807514335709484E-2</v>
      </c>
      <c r="EP16" s="5">
        <f>N70_DESARROLLO!ET101+N70_DESARROLLO!BW101</f>
        <v>1.652967866460997E-2</v>
      </c>
      <c r="EQ16" s="5">
        <f>N70_DESARROLLO!EU101+N70_DESARROLLO!BX101</f>
        <v>1.6260879514503723E-2</v>
      </c>
      <c r="ER16" s="5">
        <f>N70_DESARROLLO!EV101+N70_DESARROLLO!BY101</f>
        <v>6.941051121623417</v>
      </c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>
        <v>7</v>
      </c>
      <c r="FD16" s="4">
        <v>4.5781244881914849E-3</v>
      </c>
      <c r="FE16" s="4">
        <v>1.0752828626806188E-2</v>
      </c>
      <c r="FF16" s="4">
        <v>1.7826960634375964E-2</v>
      </c>
      <c r="FG16" s="4">
        <v>2.9777084439381343E-2</v>
      </c>
      <c r="FH16" s="4">
        <v>4.7541904917469617E-2</v>
      </c>
      <c r="FI16" s="4">
        <v>0.23854014640867588</v>
      </c>
      <c r="FJ16" s="4">
        <v>-0.25691561965445769</v>
      </c>
      <c r="FK16" s="4">
        <v>-6.6031210946187233E-2</v>
      </c>
      <c r="FL16" s="4">
        <v>-4.851290146149799E-2</v>
      </c>
      <c r="FM16" s="4">
        <v>-3.6994521398788463E-2</v>
      </c>
      <c r="FN16" s="4">
        <v>-3.0636243508135281E-2</v>
      </c>
      <c r="FO16" s="4">
        <v>-2.6495301833278785E-2</v>
      </c>
      <c r="FP16" s="4">
        <v>-2.3589960805171898E-2</v>
      </c>
      <c r="FQ16" s="4">
        <v>-2.1436303844543599E-2</v>
      </c>
      <c r="FR16" s="4">
        <v>-1.9775068966289187E-2</v>
      </c>
      <c r="FS16" s="4">
        <v>-1.8454429326461665E-2</v>
      </c>
      <c r="FT16" s="4">
        <v>-1.7379592318339163E-2</v>
      </c>
      <c r="FU16" s="4">
        <v>-1.648829611905769E-2</v>
      </c>
      <c r="FV16" s="4">
        <v>-1.573794161306423E-2</v>
      </c>
      <c r="FW16" s="4">
        <v>-1.5098387248099391E-2</v>
      </c>
      <c r="FX16" s="4">
        <v>-1.454769870470402E-2</v>
      </c>
      <c r="FY16" s="4">
        <v>-1.4069530066804378E-2</v>
      </c>
      <c r="FZ16" s="4">
        <v>-1.3651449645702529E-2</v>
      </c>
      <c r="GA16" s="4">
        <v>-1.3283835318604179E-2</v>
      </c>
      <c r="GB16" s="4">
        <v>-1.2959125382971708E-2</v>
      </c>
      <c r="GC16" s="4">
        <v>-1.2671298174646633E-2</v>
      </c>
      <c r="GD16" s="4">
        <v>-1.2415502868992477E-2</v>
      </c>
      <c r="GE16" s="4">
        <v>-1.2187792587283214E-2</v>
      </c>
      <c r="GF16" s="4">
        <v>-1.1984928213455506E-2</v>
      </c>
      <c r="GG16" s="4">
        <v>-1.1804232024192096E-2</v>
      </c>
      <c r="GH16" s="4">
        <v>-1.1643477023168798E-2</v>
      </c>
      <c r="GI16" s="4">
        <v>-1.1500802274339455E-2</v>
      </c>
      <c r="GJ16" s="4">
        <v>-1.137464744494323E-2</v>
      </c>
      <c r="GK16" s="4">
        <v>-1.1263701735351787E-2</v>
      </c>
      <c r="GL16" s="4">
        <v>-1.1166863721358986E-2</v>
      </c>
      <c r="GM16" s="4">
        <v>-1.1083209573659662E-2</v>
      </c>
      <c r="GN16" s="4">
        <v>-1.1011967782418761E-2</v>
      </c>
      <c r="GO16" s="4">
        <v>-1.0952498988857364E-2</v>
      </c>
      <c r="GP16" s="4">
        <v>-1.0904279868297289E-2</v>
      </c>
      <c r="GQ16" s="4">
        <v>-1.0866890257569721E-2</v>
      </c>
      <c r="GR16" s="4">
        <v>-1.0840002901577423E-2</v>
      </c>
      <c r="GS16" s="4">
        <v>-1.0823375323273068E-2</v>
      </c>
      <c r="GT16" s="4">
        <v>-1.0816843412639174E-2</v>
      </c>
      <c r="GU16" s="4">
        <v>-1.0820316385600402E-2</v>
      </c>
      <c r="GV16" s="4">
        <v>-1.0833772788158851E-2</v>
      </c>
      <c r="GW16" s="4">
        <v>-1.0857257208351375E-2</v>
      </c>
      <c r="GX16" s="4">
        <v>-1.0890877301192351E-2</v>
      </c>
      <c r="GY16" s="4">
        <v>-1.0934800611590259E-2</v>
      </c>
      <c r="GZ16" s="4">
        <v>-1.0989250463900247E-2</v>
      </c>
      <c r="HA16" s="4">
        <v>-1.10544998220995E-2</v>
      </c>
      <c r="HB16" s="4">
        <v>-1.1130861414125157E-2</v>
      </c>
      <c r="HC16" s="4">
        <v>-1.1218671396922038E-2</v>
      </c>
      <c r="HD16" s="4">
        <v>-1.1318262121434806E-2</v>
      </c>
      <c r="HE16" s="4">
        <v>-1.1429916616124055E-2</v>
      </c>
      <c r="HF16" s="4">
        <v>-1.1553792262312908E-2</v>
      </c>
      <c r="HG16" s="4">
        <v>-1.1689791913751564E-2</v>
      </c>
      <c r="HH16" s="4">
        <v>-1.1837343702961349E-2</v>
      </c>
      <c r="HI16" s="4">
        <v>-1.1995018337910659E-2</v>
      </c>
      <c r="HJ16" s="4">
        <v>-1.215984838963791E-2</v>
      </c>
      <c r="HK16" s="4">
        <v>-1.2326080710689753E-2</v>
      </c>
      <c r="HL16" s="4">
        <v>-1.2482801398187799E-2</v>
      </c>
      <c r="HM16" s="4">
        <v>-1.2609193294972388E-2</v>
      </c>
      <c r="HN16" s="4">
        <v>-1.2664468383752483E-2</v>
      </c>
      <c r="HO16" s="4">
        <v>-1.256489757593995E-2</v>
      </c>
      <c r="HP16" s="4">
        <v>-1.2123701521805622E-2</v>
      </c>
      <c r="HQ16" s="4">
        <v>-1.0907109535655149E-2</v>
      </c>
      <c r="HR16" s="4">
        <v>-7.1907121552044519E-3</v>
      </c>
      <c r="HS16" s="4">
        <v>-2.3916964959808246E-3</v>
      </c>
      <c r="HT16" s="4">
        <v>0.14480306425013298</v>
      </c>
      <c r="HU16" s="4">
        <v>-0.39895704099704288</v>
      </c>
    </row>
    <row r="17" spans="4:229" x14ac:dyDescent="0.25">
      <c r="D17" s="10">
        <v>8</v>
      </c>
      <c r="E17" s="5">
        <f>'N70'!E24-'N70'!E23</f>
        <v>1.428571428571429E-2</v>
      </c>
      <c r="F17" s="5">
        <f>'N70'!H23-'N70'!E16</f>
        <v>0.10714285714285714</v>
      </c>
      <c r="G17" s="5">
        <f>'N70'!H23-'N70'!E17</f>
        <v>9.2857142857142846E-2</v>
      </c>
      <c r="H17" s="5">
        <f>'N70'!H23-'N70'!E18</f>
        <v>7.857142857142857E-2</v>
      </c>
      <c r="I17" s="5">
        <f>'N70'!H23-'N70'!E19</f>
        <v>6.4285714285714279E-2</v>
      </c>
      <c r="J17" s="5">
        <f>'N70'!H23-'N70'!E20</f>
        <v>4.9999999999999996E-2</v>
      </c>
      <c r="K17" s="5">
        <f>'N70'!H23-'N70'!E21</f>
        <v>3.5714285714285712E-2</v>
      </c>
      <c r="L17" s="5">
        <f>'N70'!H23-'N70'!E22</f>
        <v>2.1428571428571422E-2</v>
      </c>
      <c r="M17" s="5">
        <f>'N70'!H23-'N70'!E23</f>
        <v>7.1428571428571452E-3</v>
      </c>
      <c r="N17" s="5">
        <f>'N70'!H23-'N70'!E24</f>
        <v>-7.1428571428571452E-3</v>
      </c>
      <c r="O17" s="5">
        <f>'N70'!H23-'N70'!E25</f>
        <v>-2.1428571428571422E-2</v>
      </c>
      <c r="P17" s="5">
        <f>'N70'!H23-'N70'!E26</f>
        <v>-3.5714285714285712E-2</v>
      </c>
      <c r="Q17" s="5">
        <f>'N70'!H23-'N70'!E27</f>
        <v>-0.05</v>
      </c>
      <c r="R17" s="5">
        <f>'N70'!H23-'N70'!E28</f>
        <v>-6.4285714285714293E-2</v>
      </c>
      <c r="S17" s="5">
        <f>'N70'!H23-'N70'!E29</f>
        <v>-7.8571428571428584E-2</v>
      </c>
      <c r="T17" s="5">
        <f>'N70'!H23-'N70'!E30</f>
        <v>-9.2857142857142846E-2</v>
      </c>
      <c r="U17" s="5">
        <f>'N70'!H23-'N70'!E31</f>
        <v>-0.10714285714285714</v>
      </c>
      <c r="V17" s="5">
        <f>'N70'!H23-'N70'!E32</f>
        <v>-0.12142857142857143</v>
      </c>
      <c r="W17" s="5">
        <f>'N70'!H23-'N70'!E33</f>
        <v>-0.13571428571428573</v>
      </c>
      <c r="X17" s="5">
        <f>'N70'!H23-'N70'!E34</f>
        <v>-0.14999999999999997</v>
      </c>
      <c r="Y17" s="5">
        <f>'N70'!H23-'N70'!E35</f>
        <v>-0.16428571428571426</v>
      </c>
      <c r="Z17" s="5">
        <f>'N70'!H23-'N70'!E36</f>
        <v>-0.17857142857142855</v>
      </c>
      <c r="AA17" s="5">
        <f>'N70'!H23-'N70'!E37</f>
        <v>-0.19285714285714284</v>
      </c>
      <c r="AB17" s="5">
        <f>'N70'!H23-'N70'!E38</f>
        <v>-0.20714285714285713</v>
      </c>
      <c r="AC17" s="5">
        <f>'N70'!H23-'N70'!E39</f>
        <v>-0.22142857142857142</v>
      </c>
      <c r="AD17" s="5">
        <f>'N70'!H23-'N70'!E40</f>
        <v>-0.23571428571428571</v>
      </c>
      <c r="AE17" s="5">
        <f>'N70'!H23-'N70'!E41</f>
        <v>-0.25</v>
      </c>
      <c r="AF17" s="5">
        <f>'N70'!H23-'N70'!E42</f>
        <v>-0.26428571428571429</v>
      </c>
      <c r="AG17" s="5">
        <f>'N70'!H23-'N70'!E43</f>
        <v>-0.27857142857142853</v>
      </c>
      <c r="AH17" s="5">
        <f>'N70'!H23-'N70'!E44</f>
        <v>-0.29285714285714282</v>
      </c>
      <c r="AI17" s="5">
        <f>'N70'!H23-'N70'!E45</f>
        <v>-0.30714285714285711</v>
      </c>
      <c r="AJ17" s="5">
        <f>'N70'!H23-'N70'!E46</f>
        <v>-0.3214285714285714</v>
      </c>
      <c r="AK17" s="5">
        <f>'N70'!H23-'N70'!E47</f>
        <v>-0.33571428571428569</v>
      </c>
      <c r="AL17" s="5">
        <f>'N70'!H23-'N70'!$E$48</f>
        <v>-0.35</v>
      </c>
      <c r="AM17" s="5">
        <f>'N70'!H23-'N70'!$E$49</f>
        <v>-0.36428571428571427</v>
      </c>
      <c r="AN17" s="5">
        <f>'N70'!H23-'N70'!$E$50</f>
        <v>-0.37857142857142856</v>
      </c>
      <c r="AO17" s="5">
        <f>'N70'!H23-'N70'!$E$51</f>
        <v>-0.39285714285714285</v>
      </c>
      <c r="AP17" s="5">
        <f>'N70'!H23-'N70'!$E$52</f>
        <v>-0.40714285714285708</v>
      </c>
      <c r="AQ17" s="5">
        <f>'N70'!H23-'N70'!$E$53</f>
        <v>-0.42142857142857143</v>
      </c>
      <c r="AR17" s="5">
        <f>'N70'!H23-'N70'!$E$54</f>
        <v>-0.43571428571428567</v>
      </c>
      <c r="AS17" s="5">
        <f>'N70'!H23-'N70'!$E$55</f>
        <v>-0.45</v>
      </c>
      <c r="AT17" s="5">
        <f>'N70'!H23-'N70'!$E$56</f>
        <v>-0.46428571428571425</v>
      </c>
      <c r="AU17" s="5">
        <f>'N70'!H23-'N70'!$E$57</f>
        <v>-0.47857142857142859</v>
      </c>
      <c r="AV17" s="5">
        <f>'N70'!H23-'N70'!$E$58</f>
        <v>-0.49285714285714283</v>
      </c>
      <c r="AW17" s="5">
        <f>'N70'!H23-'N70'!$E$59</f>
        <v>-0.50714285714285712</v>
      </c>
      <c r="AX17" s="5">
        <f>'N70'!H23-'N70'!$E$60</f>
        <v>-0.52142857142857146</v>
      </c>
      <c r="AY17" s="5">
        <f>'N70'!H23-'N70'!$E$61</f>
        <v>-0.5357142857142857</v>
      </c>
      <c r="AZ17" s="5">
        <f>'N70'!H23-'N70'!$E$62</f>
        <v>-0.55000000000000004</v>
      </c>
      <c r="BA17" s="5">
        <f>'N70'!H23-'N70'!$E$63</f>
        <v>-0.56428571428571428</v>
      </c>
      <c r="BB17" s="5">
        <f>'N70'!H23-'N70'!$E$64</f>
        <v>-0.57857142857142863</v>
      </c>
      <c r="BC17" s="5">
        <f>'N70'!H23-'N70'!$E$65</f>
        <v>-0.59285714285714286</v>
      </c>
      <c r="BD17" s="5">
        <f>'N70'!H23-'N70'!$E$66</f>
        <v>-0.60714285714285721</v>
      </c>
      <c r="BE17" s="5">
        <f>'N70'!H23-'N70'!$E$67</f>
        <v>-0.62142857142857144</v>
      </c>
      <c r="BF17" s="5">
        <f>'N70'!H23-'N70'!$E$68</f>
        <v>-0.63571428571428579</v>
      </c>
      <c r="BG17" s="5">
        <f>'N70'!H23-'N70'!$E$69</f>
        <v>-0.65</v>
      </c>
      <c r="BH17" s="5">
        <f>'N70'!H23-'N70'!$E$70</f>
        <v>-0.66428571428571426</v>
      </c>
      <c r="BI17" s="5">
        <f>'N70'!H23-'N70'!$E$71</f>
        <v>-0.6785714285714286</v>
      </c>
      <c r="BJ17" s="5">
        <f>'N70'!H23-'N70'!$E$72</f>
        <v>-0.69285714285714284</v>
      </c>
      <c r="BK17" s="5">
        <f>'N70'!H23-'N70'!$E$73</f>
        <v>-0.70714285714285718</v>
      </c>
      <c r="BL17" s="5">
        <f>'N70'!H23-'N70'!$E$74</f>
        <v>-0.72142857142857142</v>
      </c>
      <c r="BM17" s="5">
        <f>'N70'!H23-'N70'!$E$75</f>
        <v>-0.73571428571428577</v>
      </c>
      <c r="BN17" s="5">
        <f>'N70'!H23-'N70'!$E$76</f>
        <v>-0.75</v>
      </c>
      <c r="BO17" s="5">
        <f>'N70'!H23-'N70'!$E$77</f>
        <v>-0.76428571428571435</v>
      </c>
      <c r="BP17" s="5">
        <f>'N70'!H23-'N70'!$E$78</f>
        <v>-0.77857142857142858</v>
      </c>
      <c r="BQ17" s="5">
        <f>'N70'!H23-'N70'!$E$79</f>
        <v>-0.79285714285714293</v>
      </c>
      <c r="BR17" s="5">
        <f>'N70'!H23-'N70'!$E$80</f>
        <v>-0.80714285714285716</v>
      </c>
      <c r="BS17" s="5">
        <f>'N70'!H23-'N70'!$E$81</f>
        <v>-0.8214285714285714</v>
      </c>
      <c r="BT17" s="5">
        <f>'N70'!H23-'N70'!$E$82</f>
        <v>-0.83571428571428574</v>
      </c>
      <c r="BU17" s="5">
        <f>'N70'!H23-'N70'!$E$83</f>
        <v>-0.85</v>
      </c>
      <c r="BV17" s="5">
        <f>'N70'!H23-'N70'!$E$84</f>
        <v>-0.86428571428571432</v>
      </c>
      <c r="BW17" s="5">
        <f>'N70'!H23-'N70'!$E$85</f>
        <v>-0.87857142857142856</v>
      </c>
      <c r="BX17" s="5">
        <v>-1</v>
      </c>
      <c r="BY17" s="5"/>
      <c r="BZ17">
        <v>8</v>
      </c>
      <c r="CA17" s="5">
        <f>N70_DESARROLLO!CE102+N70_DESARROLLO!H102</f>
        <v>-6.9844497732512667E-2</v>
      </c>
      <c r="CB17" s="5">
        <f>N70_DESARROLLO!CF102+N70_DESARROLLO!I102</f>
        <v>-0.15445886474681458</v>
      </c>
      <c r="CC17" s="5">
        <f>N70_DESARROLLO!CG102+N70_DESARROLLO!J102</f>
        <v>-0.18283342438756733</v>
      </c>
      <c r="CD17" s="5">
        <f>N70_DESARROLLO!CH102+N70_DESARROLLO!K102</f>
        <v>-0.22408833054042732</v>
      </c>
      <c r="CE17" s="5">
        <f>N70_DESARROLLO!CI102+N70_DESARROLLO!L102</f>
        <v>-0.28973434150573163</v>
      </c>
      <c r="CF17" s="5">
        <f>N70_DESARROLLO!CJ102+N70_DESARROLLO!M102</f>
        <v>-0.41141440075354685</v>
      </c>
      <c r="CG17" s="5">
        <f>N70_DESARROLLO!CK102+N70_DESARROLLO!N102</f>
        <v>-0.72775792963608121</v>
      </c>
      <c r="CH17" s="5">
        <f>N70_DESARROLLO!CL102+N70_DESARROLLO!O102</f>
        <v>-1.6479184659605326</v>
      </c>
      <c r="CI17" s="5">
        <f>N70_DESARROLLO!CM102+N70_DESARROLLO!P102</f>
        <v>1.6479184659605326</v>
      </c>
      <c r="CJ17" s="5">
        <f>N70_DESARROLLO!CN102+N70_DESARROLLO!Q102</f>
        <v>0.72775792963608121</v>
      </c>
      <c r="CK17" s="5">
        <f>N70_DESARROLLO!CO102+N70_DESARROLLO!R102</f>
        <v>0.41141440075354729</v>
      </c>
      <c r="CL17" s="5">
        <f>N70_DESARROLLO!CP102+N70_DESARROLLO!S102</f>
        <v>0.28973434150573207</v>
      </c>
      <c r="CM17" s="5">
        <f>N70_DESARROLLO!CQ102+N70_DESARROLLO!T102</f>
        <v>0.22408833054042698</v>
      </c>
      <c r="CN17" s="5">
        <f>N70_DESARROLLO!CR102+N70_DESARROLLO!U102</f>
        <v>0.18283342438756578</v>
      </c>
      <c r="CO17" s="5">
        <f>N70_DESARROLLO!CS102+N70_DESARROLLO!V102</f>
        <v>0.15445886474681547</v>
      </c>
      <c r="CP17" s="5">
        <f>N70_DESARROLLO!CT102+N70_DESARROLLO!W102</f>
        <v>0.13373123411929833</v>
      </c>
      <c r="CQ17" s="5">
        <f>N70_DESARROLLO!CU102+N70_DESARROLLO!X102</f>
        <v>0.11791996375048808</v>
      </c>
      <c r="CR17" s="5">
        <f>N70_DESARROLLO!CV102+N70_DESARROLLO!Y102</f>
        <v>0.10545841852057236</v>
      </c>
      <c r="CS17" s="5">
        <f>N70_DESARROLLO!CW102+N70_DESARROLLO!Z102</f>
        <v>9.5382594982178492E-2</v>
      </c>
      <c r="CT17" s="5">
        <f>N70_DESARROLLO!CX102+N70_DESARROLLO!AA102</f>
        <v>8.7066442319335136E-2</v>
      </c>
      <c r="CU17" s="5">
        <f>N70_DESARROLLO!CY102+N70_DESARROLLO!AB102</f>
        <v>8.0085554140358006E-2</v>
      </c>
      <c r="CV17" s="5">
        <f>N70_DESARROLLO!CZ102+N70_DESARROLLO!AC102</f>
        <v>7.4141965022337719E-2</v>
      </c>
      <c r="CW17" s="5">
        <f>N70_DESARROLLO!DA102+N70_DESARROLLO!AD102</f>
        <v>6.9020292350869261E-2</v>
      </c>
      <c r="CX17" s="5">
        <f>N70_DESARROLLO!DB102+N70_DESARROLLO!AE102</f>
        <v>6.4560961252480009E-2</v>
      </c>
      <c r="CY17" s="5">
        <f>N70_DESARROLLO!DC102+N70_DESARROLLO!AF102</f>
        <v>6.0643218403522936E-2</v>
      </c>
      <c r="CZ17" s="5">
        <f>N70_DESARROLLO!DD102+N70_DESARROLLO!AG102</f>
        <v>5.7173997129078669E-2</v>
      </c>
      <c r="DA17" s="5">
        <f>N70_DESARROLLO!DE102+N70_DESARROLLO!AH102</f>
        <v>5.4080408838145799E-2</v>
      </c>
      <c r="DB17" s="5">
        <f>N70_DESARROLLO!DF102+N70_DESARROLLO!AI102</f>
        <v>5.1304553326344982E-2</v>
      </c>
      <c r="DC17" s="5">
        <f>N70_DESARROLLO!DG102+N70_DESARROLLO!AJ102</f>
        <v>4.8799853039074859E-2</v>
      </c>
      <c r="DD17" s="5">
        <f>N70_DESARROLLO!DH102+N70_DESARROLLO!AK102</f>
        <v>4.6528413377889488E-2</v>
      </c>
      <c r="DE17" s="5">
        <f>N70_DESARROLLO!DI102+N70_DESARROLLO!AL102</f>
        <v>4.4459088822761283E-2</v>
      </c>
      <c r="DF17" s="5">
        <f>N70_DESARROLLO!DJ102+N70_DESARROLLO!AM102</f>
        <v>4.2566044021113858E-2</v>
      </c>
      <c r="DG17" s="5">
        <f>N70_DESARROLLO!DK102+N70_DESARROLLO!AN102</f>
        <v>4.0827668052533461E-2</v>
      </c>
      <c r="DH17" s="5">
        <f>N70_DESARROLLO!DL102+N70_DESARROLLO!AO102</f>
        <v>3.9225744685482122E-2</v>
      </c>
      <c r="DI17" s="5">
        <f>N70_DESARROLLO!DM102+N70_DESARROLLO!AP102</f>
        <v>3.7744810855694144E-2</v>
      </c>
      <c r="DJ17" s="5">
        <f>N70_DESARROLLO!DN102+N70_DESARROLLO!AQ102</f>
        <v>3.6371655357434807E-2</v>
      </c>
      <c r="DK17" s="5">
        <f>N70_DESARROLLO!DO102+N70_DESARROLLO!AR102</f>
        <v>3.5094923244222587E-2</v>
      </c>
      <c r="DL17" s="5">
        <f>N70_DESARROLLO!DP102+N70_DESARROLLO!AS102</f>
        <v>3.3904800811315305E-2</v>
      </c>
      <c r="DM17" s="5">
        <f>N70_DESARROLLO!DQ102+N70_DESARROLLO!AT102</f>
        <v>3.2792762635876271E-2</v>
      </c>
      <c r="DN17" s="5">
        <f>N70_DESARROLLO!DR102+N70_DESARROLLO!AU102</f>
        <v>3.1751366862662667E-2</v>
      </c>
      <c r="DO17" s="5">
        <f>N70_DESARROLLO!DS102+N70_DESARROLLO!AV102</f>
        <v>3.0774088329719174E-2</v>
      </c>
      <c r="DP17" s="5">
        <f>N70_DESARROLLO!DT102+N70_DESARROLLO!AW102</f>
        <v>2.9855181616024296E-2</v>
      </c>
      <c r="DQ17" s="5">
        <f>N70_DESARROLLO!DU102+N70_DESARROLLO!AX102</f>
        <v>2.8989567932955596E-2</v>
      </c>
      <c r="DR17" s="5">
        <f>N70_DESARROLLO!DV102+N70_DESARROLLO!AY102</f>
        <v>2.8172741151794578E-2</v>
      </c>
      <c r="DS17" s="5">
        <f>N70_DESARROLLO!DW102+N70_DESARROLLO!AZ102</f>
        <v>2.7400689293789693E-2</v>
      </c>
      <c r="DT17" s="5">
        <f>N70_DESARROLLO!DX102+N70_DESARROLLO!BA102</f>
        <v>2.6669828593228417E-2</v>
      </c>
      <c r="DU17" s="5">
        <f>N70_DESARROLLO!DY102+N70_DESARROLLO!BB102</f>
        <v>2.597694784486726E-2</v>
      </c>
      <c r="DV17" s="5">
        <f>N70_DESARROLLO!DZ102+N70_DESARROLLO!BC102</f>
        <v>2.5319161212288277E-2</v>
      </c>
      <c r="DW17" s="5">
        <f>N70_DESARROLLO!EA102+N70_DESARROLLO!BD102</f>
        <v>2.4693868032490518E-2</v>
      </c>
      <c r="DX17" s="5">
        <f>N70_DESARROLLO!EB102+N70_DESARROLLO!BE102</f>
        <v>2.4098718436573741E-2</v>
      </c>
      <c r="DY17" s="5">
        <f>N70_DESARROLLO!EC102+N70_DESARROLLO!BF102</f>
        <v>2.353158382693199E-2</v>
      </c>
      <c r="DZ17" s="5">
        <f>N70_DESARROLLO!ED102+N70_DESARROLLO!BG102</f>
        <v>2.2990531429711192E-2</v>
      </c>
      <c r="EA17" s="5">
        <f>N70_DESARROLLO!EE102+N70_DESARROLLO!BH102</f>
        <v>2.2473802280083333E-2</v>
      </c>
      <c r="EB17" s="5">
        <f>N70_DESARROLLO!EF102+N70_DESARROLLO!BI102</f>
        <v>2.1979792112869601E-2</v>
      </c>
      <c r="EC17" s="5">
        <f>N70_DESARROLLO!EG102+N70_DESARROLLO!BJ102</f>
        <v>2.1507034719707718E-2</v>
      </c>
      <c r="ED17" s="5">
        <f>N70_DESARROLLO!EH102+N70_DESARROLLO!BK102</f>
        <v>2.1054187410165737E-2</v>
      </c>
      <c r="EE17" s="5">
        <f>N70_DESARROLLO!EI102+N70_DESARROLLO!BL102</f>
        <v>2.0620018272172302E-2</v>
      </c>
      <c r="EF17" s="5">
        <f>N70_DESARROLLO!EJ102+N70_DESARROLLO!BM102</f>
        <v>2.0203394977322597E-2</v>
      </c>
      <c r="EG17" s="5">
        <f>N70_DESARROLLO!EK102+N70_DESARROLLO!BN102</f>
        <v>1.9803274917309821E-2</v>
      </c>
      <c r="EH17" s="5">
        <f>N70_DESARROLLO!EL102+N70_DESARROLLO!BO102</f>
        <v>1.9418696489467702E-2</v>
      </c>
      <c r="EI17" s="5">
        <f>N70_DESARROLLO!EM102+N70_DESARROLLO!BP102</f>
        <v>1.9048771379252427E-2</v>
      </c>
      <c r="EJ17" s="5">
        <f>N70_DESARROLLO!EN102+N70_DESARROLLO!BQ102</f>
        <v>1.8692677708193939E-2</v>
      </c>
      <c r="EK17" s="5">
        <f>N70_DESARROLLO!EO102+N70_DESARROLLO!BR102</f>
        <v>1.834965393686061E-2</v>
      </c>
      <c r="EL17" s="5">
        <f>N70_DESARROLLO!EP102+N70_DESARROLLO!BS102</f>
        <v>1.801899342686053E-2</v>
      </c>
      <c r="EM17" s="5">
        <f>N70_DESARROLLO!EQ102+N70_DESARROLLO!BT102</f>
        <v>1.7700039580939131E-2</v>
      </c>
      <c r="EN17" s="5">
        <f>N70_DESARROLLO!ER102+N70_DESARROLLO!BU102</f>
        <v>1.7392181490066716E-2</v>
      </c>
      <c r="EO17" s="5">
        <f>N70_DESARROLLO!ES102+N70_DESARROLLO!BV102</f>
        <v>1.7094850027297714E-2</v>
      </c>
      <c r="EP17" s="5">
        <f>N70_DESARROLLO!ET102+N70_DESARROLLO!BW102</f>
        <v>1.6807514335735463E-2</v>
      </c>
      <c r="EQ17" s="5">
        <f>N70_DESARROLLO!EU102+N70_DESARROLLO!BX102</f>
        <v>1.6529678664583436E-2</v>
      </c>
      <c r="ER17" s="5">
        <f>N70_DESARROLLO!EV102+N70_DESARROLLO!BY102</f>
        <v>8.0702393765584421</v>
      </c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>
        <v>8</v>
      </c>
      <c r="FD17" s="4">
        <v>3.5555919909311638E-3</v>
      </c>
      <c r="FE17" s="4">
        <v>8.1125409737441249E-3</v>
      </c>
      <c r="FF17" s="4">
        <v>1.2841846045761628E-2</v>
      </c>
      <c r="FG17" s="4">
        <v>1.9554806568449785E-2</v>
      </c>
      <c r="FH17" s="4">
        <v>3.127556448602184E-2</v>
      </c>
      <c r="FI17" s="4">
        <v>4.8887727131380065E-2</v>
      </c>
      <c r="FJ17" s="4">
        <v>0.23977458717227451</v>
      </c>
      <c r="FK17" s="4">
        <v>-0.25576680552161007</v>
      </c>
      <c r="FL17" s="4">
        <v>-6.4950719912761565E-2</v>
      </c>
      <c r="FM17" s="4">
        <v>-4.748844190776734E-2</v>
      </c>
      <c r="FN17" s="4">
        <v>-3.6016990106204592E-2</v>
      </c>
      <c r="FO17" s="4">
        <v>-2.9698674929552679E-2</v>
      </c>
      <c r="FP17" s="4">
        <v>-2.5592224275375761E-2</v>
      </c>
      <c r="FQ17" s="4">
        <v>-2.2716982094045938E-2</v>
      </c>
      <c r="FR17" s="4">
        <v>-2.0589833810486086E-2</v>
      </c>
      <c r="FS17" s="4">
        <v>-1.8952127294313247E-2</v>
      </c>
      <c r="FT17" s="4">
        <v>-1.7652508730327643E-2</v>
      </c>
      <c r="FU17" s="4">
        <v>-1.6596558741971121E-2</v>
      </c>
      <c r="FV17" s="4">
        <v>-1.5722314416203125E-2</v>
      </c>
      <c r="FW17" s="4">
        <v>-1.4987419185272514E-2</v>
      </c>
      <c r="FX17" s="4">
        <v>-1.4361930611443884E-2</v>
      </c>
      <c r="FY17" s="4">
        <v>-1.3824079540172335E-2</v>
      </c>
      <c r="FZ17" s="4">
        <v>-1.3357658344626181E-2</v>
      </c>
      <c r="GA17" s="4">
        <v>-1.2950352106209333E-2</v>
      </c>
      <c r="GB17" s="4">
        <v>-1.2592638064858315E-2</v>
      </c>
      <c r="GC17" s="4">
        <v>-1.2277039669130492E-2</v>
      </c>
      <c r="GD17" s="4">
        <v>-1.1997608706682601E-2</v>
      </c>
      <c r="GE17" s="4">
        <v>-1.1749558101521089E-2</v>
      </c>
      <c r="GF17" s="4">
        <v>-1.1528996622117494E-2</v>
      </c>
      <c r="GG17" s="4">
        <v>-1.1332733995360873E-2</v>
      </c>
      <c r="GH17" s="4">
        <v>-1.1158135596530229E-2</v>
      </c>
      <c r="GI17" s="4">
        <v>-1.1003012656784886E-2</v>
      </c>
      <c r="GJ17" s="4">
        <v>-1.0865538321610678E-2</v>
      </c>
      <c r="GK17" s="4">
        <v>-1.0744182800574247E-2</v>
      </c>
      <c r="GL17" s="4">
        <v>-1.0637662808160451E-2</v>
      </c>
      <c r="GM17" s="4">
        <v>-1.054490183879103E-2</v>
      </c>
      <c r="GN17" s="4">
        <v>-1.0464998753906891E-2</v>
      </c>
      <c r="GO17" s="4">
        <v>-1.0397202818567201E-2</v>
      </c>
      <c r="GP17" s="4">
        <v>-1.0340893795896401E-2</v>
      </c>
      <c r="GQ17" s="4">
        <v>-1.0295566046359242E-2</v>
      </c>
      <c r="GR17" s="4">
        <v>-1.0260815824655168E-2</v>
      </c>
      <c r="GS17" s="4">
        <v>-1.0236331142822495E-2</v>
      </c>
      <c r="GT17" s="4">
        <v>-1.022188369309558E-2</v>
      </c>
      <c r="GU17" s="4">
        <v>-1.0217322404857784E-2</v>
      </c>
      <c r="GV17" s="4">
        <v>-1.0222568253807789E-2</v>
      </c>
      <c r="GW17" s="4">
        <v>-1.0237609944995419E-2</v>
      </c>
      <c r="GX17" s="4">
        <v>-1.0262500048158651E-2</v>
      </c>
      <c r="GY17" s="4">
        <v>-1.0297351058544903E-2</v>
      </c>
      <c r="GZ17" s="4">
        <v>-1.0342330657452119E-2</v>
      </c>
      <c r="HA17" s="4">
        <v>-1.0397655105876013E-2</v>
      </c>
      <c r="HB17" s="4">
        <v>-1.0463579129748398E-2</v>
      </c>
      <c r="HC17" s="4">
        <v>-1.0540379694866519E-2</v>
      </c>
      <c r="HD17" s="4">
        <v>-1.0628329446481699E-2</v>
      </c>
      <c r="HE17" s="4">
        <v>-1.0727652809066412E-2</v>
      </c>
      <c r="HF17" s="4">
        <v>-1.0838452880013963E-2</v>
      </c>
      <c r="HG17" s="4">
        <v>-1.096058854283931E-2</v>
      </c>
      <c r="HH17" s="4">
        <v>-1.1093465169236294E-2</v>
      </c>
      <c r="HI17" s="4">
        <v>-1.123567167480765E-2</v>
      </c>
      <c r="HJ17" s="4">
        <v>-1.1384336055607989E-2</v>
      </c>
      <c r="HK17" s="4">
        <v>-1.1533945829083521E-2</v>
      </c>
      <c r="HL17" s="4">
        <v>-1.1674104939697089E-2</v>
      </c>
      <c r="HM17" s="4">
        <v>-1.1785058781413763E-2</v>
      </c>
      <c r="HN17" s="4">
        <v>-1.1828201816316785E-2</v>
      </c>
      <c r="HO17" s="4">
        <v>-1.1724433823548505E-2</v>
      </c>
      <c r="HP17" s="4">
        <v>-1.1297558070796056E-2</v>
      </c>
      <c r="HQ17" s="4">
        <v>-1.0138761017687596E-2</v>
      </c>
      <c r="HR17" s="4">
        <v>-6.6252008227511419E-3</v>
      </c>
      <c r="HS17" s="4">
        <v>-2.0832138638112526E-3</v>
      </c>
      <c r="HT17" s="4">
        <v>0.13630487007321984</v>
      </c>
      <c r="HU17" s="4">
        <v>-0.37444340010428795</v>
      </c>
    </row>
    <row r="18" spans="4:229" x14ac:dyDescent="0.25">
      <c r="D18" s="10">
        <v>9</v>
      </c>
      <c r="E18" s="5">
        <f>'N70'!E25-'N70'!E24</f>
        <v>1.4285714285714277E-2</v>
      </c>
      <c r="F18" s="5">
        <f>'N70'!H24-'N70'!E16</f>
        <v>0.12142857142857141</v>
      </c>
      <c r="G18" s="5">
        <f>'N70'!H24-'N70'!E17</f>
        <v>0.10714285714285712</v>
      </c>
      <c r="H18" s="5">
        <f>'N70'!H24-'N70'!E18</f>
        <v>9.2857142857142846E-2</v>
      </c>
      <c r="I18" s="5">
        <f>'N70'!H24-'N70'!E19</f>
        <v>7.8571428571428556E-2</v>
      </c>
      <c r="J18" s="5">
        <f>'N70'!H24-'N70'!E20</f>
        <v>6.4285714285714279E-2</v>
      </c>
      <c r="K18" s="5">
        <f>'N70'!H24-'N70'!E21</f>
        <v>4.9999999999999989E-2</v>
      </c>
      <c r="L18" s="5">
        <f>'N70'!H24-'N70'!E22</f>
        <v>3.5714285714285698E-2</v>
      </c>
      <c r="M18" s="5">
        <f>'N70'!H24-'N70'!E23</f>
        <v>2.1428571428571422E-2</v>
      </c>
      <c r="N18" s="5">
        <f>'N70'!H24-'N70'!E24</f>
        <v>7.1428571428571314E-3</v>
      </c>
      <c r="O18" s="5">
        <f>'N70'!H24-'N70'!E25</f>
        <v>-7.1428571428571452E-3</v>
      </c>
      <c r="P18" s="5">
        <f>'N70'!H24-'N70'!E26</f>
        <v>-2.1428571428571436E-2</v>
      </c>
      <c r="Q18" s="5">
        <f>'N70'!H24-'N70'!E27</f>
        <v>-3.5714285714285726E-2</v>
      </c>
      <c r="R18" s="5">
        <f>'N70'!H24-'N70'!E28</f>
        <v>-5.0000000000000017E-2</v>
      </c>
      <c r="S18" s="5">
        <f>'N70'!H24-'N70'!E29</f>
        <v>-6.4285714285714307E-2</v>
      </c>
      <c r="T18" s="5">
        <f>'N70'!H24-'N70'!E30</f>
        <v>-7.857142857142857E-2</v>
      </c>
      <c r="U18" s="5">
        <f>'N70'!H24-'N70'!E31</f>
        <v>-9.285714285714286E-2</v>
      </c>
      <c r="V18" s="5">
        <f>'N70'!H24-'N70'!E32</f>
        <v>-0.10714285714285715</v>
      </c>
      <c r="W18" s="5">
        <f>'N70'!H24-'N70'!E33</f>
        <v>-0.12142857142857144</v>
      </c>
      <c r="X18" s="5">
        <f>'N70'!H24-'N70'!E34</f>
        <v>-0.1357142857142857</v>
      </c>
      <c r="Y18" s="5">
        <f>'N70'!H24-'N70'!E35</f>
        <v>-0.15</v>
      </c>
      <c r="Z18" s="5">
        <f>'N70'!H24-'N70'!E36</f>
        <v>-0.16428571428571428</v>
      </c>
      <c r="AA18" s="5">
        <f>'N70'!H24-'N70'!E37</f>
        <v>-0.17857142857142858</v>
      </c>
      <c r="AB18" s="5">
        <f>'N70'!H24-'N70'!E38</f>
        <v>-0.19285714285714287</v>
      </c>
      <c r="AC18" s="5">
        <f>'N70'!H24-'N70'!E39</f>
        <v>-0.20714285714285716</v>
      </c>
      <c r="AD18" s="5">
        <f>'N70'!H24-'N70'!E40</f>
        <v>-0.22142857142857145</v>
      </c>
      <c r="AE18" s="5">
        <f>'N70'!H24-'N70'!E41</f>
        <v>-0.23571428571428574</v>
      </c>
      <c r="AF18" s="5">
        <f>'N70'!H24-'N70'!E42</f>
        <v>-0.25</v>
      </c>
      <c r="AG18" s="5">
        <f>'N70'!H24-'N70'!E43</f>
        <v>-0.26428571428571423</v>
      </c>
      <c r="AH18" s="5">
        <f>'N70'!H24-'N70'!E44</f>
        <v>-0.27857142857142858</v>
      </c>
      <c r="AI18" s="5">
        <f>'N70'!H24-'N70'!E45</f>
        <v>-0.29285714285714282</v>
      </c>
      <c r="AJ18" s="5">
        <f>'N70'!H24-'N70'!E46</f>
        <v>-0.30714285714285716</v>
      </c>
      <c r="AK18" s="5">
        <f>'N70'!H24-'N70'!E47</f>
        <v>-0.3214285714285714</v>
      </c>
      <c r="AL18" s="5">
        <f>'N70'!H24-'N70'!$E$48</f>
        <v>-0.33571428571428574</v>
      </c>
      <c r="AM18" s="5">
        <f>'N70'!H24-'N70'!$E$49</f>
        <v>-0.35</v>
      </c>
      <c r="AN18" s="5">
        <f>'N70'!H24-'N70'!$E$50</f>
        <v>-0.36428571428571432</v>
      </c>
      <c r="AO18" s="5">
        <f>'N70'!H24-'N70'!$E$51</f>
        <v>-0.37857142857142856</v>
      </c>
      <c r="AP18" s="5">
        <f>'N70'!H24-'N70'!$E$52</f>
        <v>-0.39285714285714279</v>
      </c>
      <c r="AQ18" s="5">
        <f>'N70'!H24-'N70'!$E$53</f>
        <v>-0.40714285714285714</v>
      </c>
      <c r="AR18" s="5">
        <f>'N70'!H24-'N70'!$E$54</f>
        <v>-0.42142857142857137</v>
      </c>
      <c r="AS18" s="5">
        <f>'N70'!H24-'N70'!$E$55</f>
        <v>-0.43571428571428572</v>
      </c>
      <c r="AT18" s="5">
        <f>'N70'!H24-'N70'!$E$56</f>
        <v>-0.44999999999999996</v>
      </c>
      <c r="AU18" s="5">
        <f>'N70'!H24-'N70'!$E$57</f>
        <v>-0.4642857142857143</v>
      </c>
      <c r="AV18" s="5">
        <f>'N70'!H24-'N70'!$E$58</f>
        <v>-0.47857142857142854</v>
      </c>
      <c r="AW18" s="5">
        <f>'N70'!H24-'N70'!$E$59</f>
        <v>-0.49285714285714277</v>
      </c>
      <c r="AX18" s="5">
        <f>'N70'!H24-'N70'!$E$60</f>
        <v>-0.50714285714285712</v>
      </c>
      <c r="AY18" s="5">
        <f>'N70'!H24-'N70'!$E$61</f>
        <v>-0.52142857142857135</v>
      </c>
      <c r="AZ18" s="5">
        <f>'N70'!H24-'N70'!$E$62</f>
        <v>-0.5357142857142857</v>
      </c>
      <c r="BA18" s="5">
        <f>'N70'!H24-'N70'!$E$63</f>
        <v>-0.54999999999999993</v>
      </c>
      <c r="BB18" s="5">
        <f>'N70'!H24-'N70'!$E$64</f>
        <v>-0.56428571428571428</v>
      </c>
      <c r="BC18" s="5">
        <f>'N70'!H24-'N70'!$E$65</f>
        <v>-0.57857142857142851</v>
      </c>
      <c r="BD18" s="5">
        <f>'N70'!H24-'N70'!$E$66</f>
        <v>-0.59285714285714286</v>
      </c>
      <c r="BE18" s="5">
        <f>'N70'!H24-'N70'!$E$67</f>
        <v>-0.6071428571428571</v>
      </c>
      <c r="BF18" s="5">
        <f>'N70'!H24-'N70'!$E$68</f>
        <v>-0.62142857142857144</v>
      </c>
      <c r="BG18" s="5">
        <f>'N70'!H24-'N70'!$E$69</f>
        <v>-0.63571428571428568</v>
      </c>
      <c r="BH18" s="5">
        <f>'N70'!H24-'N70'!$E$70</f>
        <v>-0.64999999999999991</v>
      </c>
      <c r="BI18" s="5">
        <f>'N70'!H24-'N70'!$E$71</f>
        <v>-0.66428571428571426</v>
      </c>
      <c r="BJ18" s="5">
        <f>'N70'!H24-'N70'!$E$72</f>
        <v>-0.67857142857142849</v>
      </c>
      <c r="BK18" s="5">
        <f>'N70'!H24-'N70'!$E$73</f>
        <v>-0.69285714285714284</v>
      </c>
      <c r="BL18" s="5">
        <f>'N70'!H24-'N70'!$E$74</f>
        <v>-0.70714285714285707</v>
      </c>
      <c r="BM18" s="5">
        <f>'N70'!H24-'N70'!$E$75</f>
        <v>-0.72142857142857142</v>
      </c>
      <c r="BN18" s="5">
        <f>'N70'!H24-'N70'!$E$76</f>
        <v>-0.73571428571428565</v>
      </c>
      <c r="BO18" s="5">
        <f>'N70'!H24-'N70'!$E$77</f>
        <v>-0.75</v>
      </c>
      <c r="BP18" s="5">
        <f>'N70'!H24-'N70'!$E$78</f>
        <v>-0.76428571428571423</v>
      </c>
      <c r="BQ18" s="5">
        <f>'N70'!H24-'N70'!$E$79</f>
        <v>-0.77857142857142858</v>
      </c>
      <c r="BR18" s="5">
        <f>'N70'!H24-'N70'!$E$80</f>
        <v>-0.79285714285714282</v>
      </c>
      <c r="BS18" s="5">
        <f>'N70'!H24-'N70'!$E$81</f>
        <v>-0.80714285714285705</v>
      </c>
      <c r="BT18" s="5">
        <f>'N70'!H24-'N70'!$E$82</f>
        <v>-0.8214285714285714</v>
      </c>
      <c r="BU18" s="5">
        <f>'N70'!H24-'N70'!$E$83</f>
        <v>-0.83571428571428563</v>
      </c>
      <c r="BV18" s="5">
        <f>'N70'!H24-'N70'!$E$84</f>
        <v>-0.85</v>
      </c>
      <c r="BW18" s="5">
        <f>'N70'!H24-'N70'!$E$85</f>
        <v>-0.86428571428571421</v>
      </c>
      <c r="BX18" s="5">
        <v>-1</v>
      </c>
      <c r="BY18" s="5"/>
      <c r="BZ18">
        <v>9</v>
      </c>
      <c r="CA18" s="5">
        <f>N70_DESARROLLO!CE103+N70_DESARROLLO!H103</f>
        <v>-6.127640907048304E-2</v>
      </c>
      <c r="CB18" s="5">
        <f>N70_DESARROLLO!CF103+N70_DESARROLLO!I103</f>
        <v>-0.13373123411929977</v>
      </c>
      <c r="CC18" s="5">
        <f>N70_DESARROLLO!CG103+N70_DESARROLLO!J103</f>
        <v>-0.15445886474681214</v>
      </c>
      <c r="CD18" s="5">
        <f>N70_DESARROLLO!CH103+N70_DESARROLLO!K103</f>
        <v>-0.18283342438756967</v>
      </c>
      <c r="CE18" s="5">
        <f>N70_DESARROLLO!CI103+N70_DESARROLLO!L103</f>
        <v>-0.22408833054042587</v>
      </c>
      <c r="CF18" s="5">
        <f>N70_DESARROLLO!CJ103+N70_DESARROLLO!M103</f>
        <v>-0.28973434150573196</v>
      </c>
      <c r="CG18" s="5">
        <f>N70_DESARROLLO!CK103+N70_DESARROLLO!N103</f>
        <v>-0.41141440075354863</v>
      </c>
      <c r="CH18" s="5">
        <f>N70_DESARROLLO!CL103+N70_DESARROLLO!O103</f>
        <v>-0.72775792963607988</v>
      </c>
      <c r="CI18" s="5">
        <f>N70_DESARROLLO!CM103+N70_DESARROLLO!P103</f>
        <v>-1.6479184659605353</v>
      </c>
      <c r="CJ18" s="5">
        <f>N70_DESARROLLO!CN103+N70_DESARROLLO!Q103</f>
        <v>1.6479184659605346</v>
      </c>
      <c r="CK18" s="5">
        <f>N70_DESARROLLO!CO103+N70_DESARROLLO!R103</f>
        <v>0.72775792963608066</v>
      </c>
      <c r="CL18" s="5">
        <f>N70_DESARROLLO!CP103+N70_DESARROLLO!S103</f>
        <v>0.41141440075354718</v>
      </c>
      <c r="CM18" s="5">
        <f>N70_DESARROLLO!CQ103+N70_DESARROLLO!T103</f>
        <v>0.28973434150573218</v>
      </c>
      <c r="CN18" s="5">
        <f>N70_DESARROLLO!CR103+N70_DESARROLLO!U103</f>
        <v>0.22408833054042454</v>
      </c>
      <c r="CO18" s="5">
        <f>N70_DESARROLLO!CS103+N70_DESARROLLO!V103</f>
        <v>0.18283342438756989</v>
      </c>
      <c r="CP18" s="5">
        <f>N70_DESARROLLO!CT103+N70_DESARROLLO!W103</f>
        <v>0.15445886474681392</v>
      </c>
      <c r="CQ18" s="5">
        <f>N70_DESARROLLO!CU103+N70_DESARROLLO!X103</f>
        <v>0.13373123411929844</v>
      </c>
      <c r="CR18" s="5">
        <f>N70_DESARROLLO!CV103+N70_DESARROLLO!Y103</f>
        <v>0.11791996375048419</v>
      </c>
      <c r="CS18" s="5">
        <f>N70_DESARROLLO!CW103+N70_DESARROLLO!Z103</f>
        <v>0.10545841852057991</v>
      </c>
      <c r="CT18" s="5">
        <f>N70_DESARROLLO!CX103+N70_DESARROLLO!AA103</f>
        <v>9.5382594982175162E-2</v>
      </c>
      <c r="CU18" s="5">
        <f>N70_DESARROLLO!CY103+N70_DESARROLLO!AB103</f>
        <v>8.7066442319335247E-2</v>
      </c>
      <c r="CV18" s="5">
        <f>N70_DESARROLLO!CZ103+N70_DESARROLLO!AC103</f>
        <v>8.0085554140357895E-2</v>
      </c>
      <c r="CW18" s="5">
        <f>N70_DESARROLLO!DA103+N70_DESARROLLO!AD103</f>
        <v>7.4141965022337497E-2</v>
      </c>
      <c r="CX18" s="5">
        <f>N70_DESARROLLO!DB103+N70_DESARROLLO!AE103</f>
        <v>6.9020292350866042E-2</v>
      </c>
      <c r="CY18" s="5">
        <f>N70_DESARROLLO!DC103+N70_DESARROLLO!AF103</f>
        <v>6.4560961252483118E-2</v>
      </c>
      <c r="CZ18" s="5">
        <f>N70_DESARROLLO!DD103+N70_DESARROLLO!AG103</f>
        <v>6.0643218403522825E-2</v>
      </c>
      <c r="DA18" s="5">
        <f>N70_DESARROLLO!DE103+N70_DESARROLLO!AH103</f>
        <v>5.7173997129074228E-2</v>
      </c>
      <c r="DB18" s="5">
        <f>N70_DESARROLLO!DF103+N70_DESARROLLO!AI103</f>
        <v>5.4080408838158012E-2</v>
      </c>
      <c r="DC18" s="5">
        <f>N70_DESARROLLO!DG103+N70_DESARROLLO!AJ103</f>
        <v>5.130455332633288E-2</v>
      </c>
      <c r="DD18" s="5">
        <f>N70_DESARROLLO!DH103+N70_DESARROLLO!AK103</f>
        <v>4.8799853039083518E-2</v>
      </c>
      <c r="DE18" s="5">
        <f>N70_DESARROLLO!DI103+N70_DESARROLLO!AL103</f>
        <v>4.6528413377880606E-2</v>
      </c>
      <c r="DF18" s="5">
        <f>N70_DESARROLLO!DJ103+N70_DESARROLLO!AM103</f>
        <v>4.4459088822771053E-2</v>
      </c>
      <c r="DG18" s="5">
        <f>N70_DESARROLLO!DK103+N70_DESARROLLO!AN103</f>
        <v>4.2566044021103977E-2</v>
      </c>
      <c r="DH18" s="5">
        <f>N70_DESARROLLO!DL103+N70_DESARROLLO!AO103</f>
        <v>4.0827668052543675E-2</v>
      </c>
      <c r="DI18" s="5">
        <f>N70_DESARROLLO!DM103+N70_DESARROLLO!AP103</f>
        <v>3.9225744685471353E-2</v>
      </c>
      <c r="DJ18" s="5">
        <f>N70_DESARROLLO!DN103+N70_DESARROLLO!AQ103</f>
        <v>3.7744810855693478E-2</v>
      </c>
      <c r="DK18" s="5">
        <f>N70_DESARROLLO!DO103+N70_DESARROLLO!AR103</f>
        <v>3.6371655357452903E-2</v>
      </c>
      <c r="DL18" s="5">
        <f>N70_DESARROLLO!DP103+N70_DESARROLLO!AS103</f>
        <v>3.509492324420449E-2</v>
      </c>
      <c r="DM18" s="5">
        <f>N70_DESARROLLO!DQ103+N70_DESARROLLO!AT103</f>
        <v>3.3904800811327962E-2</v>
      </c>
      <c r="DN18" s="5">
        <f>N70_DESARROLLO!DR103+N70_DESARROLLO!AU103</f>
        <v>3.2792762635863171E-2</v>
      </c>
      <c r="DO18" s="5">
        <f>N70_DESARROLLO!DS103+N70_DESARROLLO!AV103</f>
        <v>3.17513668626761E-2</v>
      </c>
      <c r="DP18" s="5">
        <f>N70_DESARROLLO!DT103+N70_DESARROLLO!AW103</f>
        <v>3.0774088329705407E-2</v>
      </c>
      <c r="DQ18" s="5">
        <f>N70_DESARROLLO!DU103+N70_DESARROLLO!AX103</f>
        <v>2.9855181616030846E-2</v>
      </c>
      <c r="DR18" s="5">
        <f>N70_DESARROLLO!DV103+N70_DESARROLLO!AY103</f>
        <v>2.8989567932963367E-2</v>
      </c>
      <c r="DS18" s="5">
        <f>N70_DESARROLLO!DW103+N70_DESARROLLO!AZ103</f>
        <v>2.8172741151779368E-2</v>
      </c>
      <c r="DT18" s="5">
        <f>N70_DESARROLLO!DX103+N70_DESARROLLO!BA103</f>
        <v>2.7400689293805458E-2</v>
      </c>
      <c r="DU18" s="5">
        <f>N70_DESARROLLO!DY103+N70_DESARROLLO!BB103</f>
        <v>2.6669828593212208E-2</v>
      </c>
      <c r="DV18" s="5">
        <f>N70_DESARROLLO!DZ103+N70_DESARROLLO!BC103</f>
        <v>2.5976947844875475E-2</v>
      </c>
      <c r="DW18" s="5">
        <f>N70_DESARROLLO!EA103+N70_DESARROLLO!BD103</f>
        <v>2.5319161212279506E-2</v>
      </c>
      <c r="DX18" s="5">
        <f>N70_DESARROLLO!EB103+N70_DESARROLLO!BE103</f>
        <v>2.469386803250806E-2</v>
      </c>
      <c r="DY18" s="5">
        <f>N70_DESARROLLO!EC103+N70_DESARROLLO!BF103</f>
        <v>2.4098718436555866E-2</v>
      </c>
      <c r="DZ18" s="5">
        <f>N70_DESARROLLO!ED103+N70_DESARROLLO!BG103</f>
        <v>2.3531583826950309E-2</v>
      </c>
      <c r="EA18" s="5">
        <f>N70_DESARROLLO!EE103+N70_DESARROLLO!BH103</f>
        <v>2.2990531429692429E-2</v>
      </c>
      <c r="EB18" s="5">
        <f>N70_DESARROLLO!EF103+N70_DESARROLLO!BI103</f>
        <v>2.2473802280092658E-2</v>
      </c>
      <c r="EC18" s="5">
        <f>N70_DESARROLLO!EG103+N70_DESARROLLO!BJ103</f>
        <v>2.1979792112879926E-2</v>
      </c>
      <c r="ED18" s="5">
        <f>N70_DESARROLLO!EH103+N70_DESARROLLO!BK103</f>
        <v>2.1507034719697726E-2</v>
      </c>
      <c r="EE18" s="5">
        <f>N70_DESARROLLO!EI103+N70_DESARROLLO!BL103</f>
        <v>2.1054187410176395E-2</v>
      </c>
      <c r="EF18" s="5">
        <f>N70_DESARROLLO!EJ103+N70_DESARROLLO!BM103</f>
        <v>2.0620018272150986E-2</v>
      </c>
      <c r="EG18" s="5">
        <f>N70_DESARROLLO!EK103+N70_DESARROLLO!BN103</f>
        <v>2.0203394977344136E-2</v>
      </c>
      <c r="EH18" s="5">
        <f>N70_DESARROLLO!EL103+N70_DESARROLLO!BO103</f>
        <v>1.9803274917299052E-2</v>
      </c>
      <c r="EI18" s="5">
        <f>N70_DESARROLLO!EM103+N70_DESARROLLO!BP103</f>
        <v>1.9418696489467702E-2</v>
      </c>
      <c r="EJ18" s="5">
        <f>N70_DESARROLLO!EN103+N70_DESARROLLO!BQ103</f>
        <v>1.9048771379240881E-2</v>
      </c>
      <c r="EK18" s="5">
        <f>N70_DESARROLLO!EO103+N70_DESARROLLO!BR103</f>
        <v>1.8692677708205485E-2</v>
      </c>
      <c r="EL18" s="5">
        <f>N70_DESARROLLO!EP103+N70_DESARROLLO!BS103</f>
        <v>1.8349653936848398E-2</v>
      </c>
      <c r="EM18" s="5">
        <f>N70_DESARROLLO!EQ103+N70_DESARROLLO!BT103</f>
        <v>1.8018993426872409E-2</v>
      </c>
      <c r="EN18" s="5">
        <f>N70_DESARROLLO!ER103+N70_DESARROLLO!BU103</f>
        <v>1.7700039580939242E-2</v>
      </c>
      <c r="EO18" s="5">
        <f>N70_DESARROLLO!ES103+N70_DESARROLLO!BV103</f>
        <v>1.7392181490053948E-2</v>
      </c>
      <c r="EP18" s="5">
        <f>N70_DESARROLLO!ET103+N70_DESARROLLO!BW103</f>
        <v>1.7094850027323361E-2</v>
      </c>
      <c r="EQ18" s="5">
        <f>N70_DESARROLLO!EU103+N70_DESARROLLO!BX103</f>
        <v>1.6807514335709484E-2</v>
      </c>
      <c r="ER18" s="5">
        <f>N70_DESARROLLO!EV103+N70_DESARROLLO!BY103</f>
        <v>9.2179419523681805</v>
      </c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>
        <v>9</v>
      </c>
      <c r="FD18" s="4">
        <v>2.857283703698075E-3</v>
      </c>
      <c r="FE18" s="4">
        <v>6.3860526195787196E-3</v>
      </c>
      <c r="FF18" s="4">
        <v>9.7865693092931885E-3</v>
      </c>
      <c r="FG18" s="4">
        <v>1.4226223977657401E-2</v>
      </c>
      <c r="FH18" s="4">
        <v>2.0755201673348302E-2</v>
      </c>
      <c r="FI18" s="4">
        <v>3.2353440087950734E-2</v>
      </c>
      <c r="FJ18" s="4">
        <v>4.9876166875923868E-2</v>
      </c>
      <c r="FK18" s="4">
        <v>0.24069423608354193</v>
      </c>
      <c r="FL18" s="4">
        <v>-0.25490207628601519</v>
      </c>
      <c r="FM18" s="4">
        <v>-6.4131057046288034E-2</v>
      </c>
      <c r="FN18" s="4">
        <v>-4.670654851481032E-2</v>
      </c>
      <c r="FO18" s="4">
        <v>-3.5267283502644284E-2</v>
      </c>
      <c r="FP18" s="4">
        <v>-2.8976770551285107E-2</v>
      </c>
      <c r="FQ18" s="4">
        <v>-2.4894603520455787E-2</v>
      </c>
      <c r="FR18" s="4">
        <v>-2.2040769838022816E-2</v>
      </c>
      <c r="FS18" s="4">
        <v>-1.9932644356512322E-2</v>
      </c>
      <c r="FT18" s="4">
        <v>-1.8311954678090873E-2</v>
      </c>
      <c r="FU18" s="4">
        <v>-1.702764671390886E-2</v>
      </c>
      <c r="FV18" s="4">
        <v>-1.5985541238230386E-2</v>
      </c>
      <c r="FW18" s="4">
        <v>-1.5123870315478238E-2</v>
      </c>
      <c r="FX18" s="4">
        <v>-1.4400437552009395E-2</v>
      </c>
      <c r="FY18" s="4">
        <v>-1.3785433488938665E-2</v>
      </c>
      <c r="FZ18" s="4">
        <v>-1.3257200431552435E-2</v>
      </c>
      <c r="GA18" s="4">
        <v>-1.2799624993322118E-2</v>
      </c>
      <c r="GB18" s="4">
        <v>-1.2400472578161872E-2</v>
      </c>
      <c r="GC18" s="4">
        <v>-1.2050289398306831E-2</v>
      </c>
      <c r="GD18" s="4">
        <v>-1.1741658544445361E-2</v>
      </c>
      <c r="GE18" s="4">
        <v>-1.1468683722751538E-2</v>
      </c>
      <c r="GF18" s="4">
        <v>-1.1226623342987418E-2</v>
      </c>
      <c r="GG18" s="4">
        <v>-1.1011626273884887E-2</v>
      </c>
      <c r="GH18" s="4">
        <v>-1.0820537814701147E-2</v>
      </c>
      <c r="GI18" s="4">
        <v>-1.0650755093875763E-2</v>
      </c>
      <c r="GJ18" s="4">
        <v>-1.0500117867167393E-2</v>
      </c>
      <c r="GK18" s="4">
        <v>-1.0366825072632957E-2</v>
      </c>
      <c r="GL18" s="4">
        <v>-1.0249370400854959E-2</v>
      </c>
      <c r="GM18" s="4">
        <v>-1.0146492094285137E-2</v>
      </c>
      <c r="GN18" s="4">
        <v>-1.0057133529107823E-2</v>
      </c>
      <c r="GO18" s="4">
        <v>-9.980412065007117E-3</v>
      </c>
      <c r="GP18" s="4">
        <v>-9.9155943049922361E-3</v>
      </c>
      <c r="GQ18" s="4">
        <v>-9.8620763749105583E-3</v>
      </c>
      <c r="GR18" s="4">
        <v>-9.8193681685663191E-3</v>
      </c>
      <c r="GS18" s="4">
        <v>-9.7870807444371873E-3</v>
      </c>
      <c r="GT18" s="4">
        <v>-9.7649162314693734E-3</v>
      </c>
      <c r="GU18" s="4">
        <v>-9.752659716324821E-3</v>
      </c>
      <c r="GV18" s="4">
        <v>-9.7501726539206204E-3</v>
      </c>
      <c r="GW18" s="4">
        <v>-9.7573873667678914E-3</v>
      </c>
      <c r="GX18" s="4">
        <v>-9.7743021723390566E-3</v>
      </c>
      <c r="GY18" s="4">
        <v>-9.8009765879653234E-3</v>
      </c>
      <c r="GZ18" s="4">
        <v>-9.8375258808524654E-3</v>
      </c>
      <c r="HA18" s="4">
        <v>-9.8841139107352077E-3</v>
      </c>
      <c r="HB18" s="4">
        <v>-9.9409426676018518E-3</v>
      </c>
      <c r="HC18" s="4">
        <v>-1.0008235992320522E-2</v>
      </c>
      <c r="HD18" s="4">
        <v>-1.0086213420018648E-2</v>
      </c>
      <c r="HE18" s="4">
        <v>-1.0175047434254226E-2</v>
      </c>
      <c r="HF18" s="4">
        <v>-1.027479278259325E-2</v>
      </c>
      <c r="HG18" s="4">
        <v>-1.0385268200557449E-2</v>
      </c>
      <c r="HH18" s="4">
        <v>-1.0505855588255375E-2</v>
      </c>
      <c r="HI18" s="4">
        <v>-1.063515252862041E-2</v>
      </c>
      <c r="HJ18" s="4">
        <v>-1.0770356295860302E-2</v>
      </c>
      <c r="HK18" s="4">
        <v>-1.0906137855093522E-2</v>
      </c>
      <c r="HL18" s="4">
        <v>-1.1032502832987299E-2</v>
      </c>
      <c r="HM18" s="4">
        <v>-1.113052780824189E-2</v>
      </c>
      <c r="HN18" s="4">
        <v>-1.1163322656021768E-2</v>
      </c>
      <c r="HO18" s="4">
        <v>-1.1055436229275217E-2</v>
      </c>
      <c r="HP18" s="4">
        <v>-1.0639031486631458E-2</v>
      </c>
      <c r="HQ18" s="4">
        <v>-9.5250336492852614E-3</v>
      </c>
      <c r="HR18" s="4">
        <v>-6.1710691336528253E-3</v>
      </c>
      <c r="HS18" s="4">
        <v>-1.8310895191505868E-3</v>
      </c>
      <c r="HT18" s="4">
        <v>0.12957234264923545</v>
      </c>
      <c r="HU18" s="4">
        <v>-0.35496724442752925</v>
      </c>
    </row>
    <row r="19" spans="4:229" x14ac:dyDescent="0.25">
      <c r="D19" s="10">
        <v>10</v>
      </c>
      <c r="E19" s="5">
        <f>'N70'!E26-'N70'!E25</f>
        <v>1.428571428571429E-2</v>
      </c>
      <c r="F19" s="5">
        <f>'N70'!H25-'N70'!E16</f>
        <v>0.1357142857142857</v>
      </c>
      <c r="G19" s="5">
        <f>'N70'!H25-'N70'!E17</f>
        <v>0.12142857142857141</v>
      </c>
      <c r="H19" s="5">
        <f>'N70'!H25-'N70'!E18</f>
        <v>0.10714285714285714</v>
      </c>
      <c r="I19" s="5">
        <f>'N70'!H25-'N70'!E19</f>
        <v>9.2857142857142846E-2</v>
      </c>
      <c r="J19" s="5">
        <f>'N70'!H25-'N70'!E20</f>
        <v>7.857142857142857E-2</v>
      </c>
      <c r="K19" s="5">
        <f>'N70'!H25-'N70'!E21</f>
        <v>6.4285714285714279E-2</v>
      </c>
      <c r="L19" s="5">
        <f>'N70'!H25-'N70'!E22</f>
        <v>4.9999999999999989E-2</v>
      </c>
      <c r="M19" s="5">
        <f>'N70'!H25-'N70'!E23</f>
        <v>3.5714285714285712E-2</v>
      </c>
      <c r="N19" s="5">
        <f>'N70'!H25-'N70'!E24</f>
        <v>2.1428571428571422E-2</v>
      </c>
      <c r="O19" s="5">
        <f>'N70'!H25-'N70'!E25</f>
        <v>7.1428571428571452E-3</v>
      </c>
      <c r="P19" s="5">
        <f>'N70'!H25-'N70'!E26</f>
        <v>-7.1428571428571452E-3</v>
      </c>
      <c r="Q19" s="5">
        <f>'N70'!H25-'N70'!E27</f>
        <v>-2.1428571428571436E-2</v>
      </c>
      <c r="R19" s="5">
        <f>'N70'!H25-'N70'!E28</f>
        <v>-3.5714285714285726E-2</v>
      </c>
      <c r="S19" s="5">
        <f>'N70'!H25-'N70'!E29</f>
        <v>-5.0000000000000017E-2</v>
      </c>
      <c r="T19" s="5">
        <f>'N70'!H25-'N70'!E30</f>
        <v>-6.4285714285714279E-2</v>
      </c>
      <c r="U19" s="5">
        <f>'N70'!H25-'N70'!E31</f>
        <v>-7.857142857142857E-2</v>
      </c>
      <c r="V19" s="5">
        <f>'N70'!H25-'N70'!E32</f>
        <v>-9.285714285714286E-2</v>
      </c>
      <c r="W19" s="5">
        <f>'N70'!H25-'N70'!E33</f>
        <v>-0.10714285714285715</v>
      </c>
      <c r="X19" s="5">
        <f>'N70'!H25-'N70'!E34</f>
        <v>-0.12142857142857141</v>
      </c>
      <c r="Y19" s="5">
        <f>'N70'!H25-'N70'!E35</f>
        <v>-0.1357142857142857</v>
      </c>
      <c r="Z19" s="5">
        <f>'N70'!H25-'N70'!E36</f>
        <v>-0.15</v>
      </c>
      <c r="AA19" s="5">
        <f>'N70'!H25-'N70'!E37</f>
        <v>-0.16428571428571428</v>
      </c>
      <c r="AB19" s="5">
        <f>'N70'!H25-'N70'!E38</f>
        <v>-0.17857142857142858</v>
      </c>
      <c r="AC19" s="5">
        <f>'N70'!H25-'N70'!E39</f>
        <v>-0.19285714285714287</v>
      </c>
      <c r="AD19" s="5">
        <f>'N70'!H25-'N70'!E40</f>
        <v>-0.20714285714285716</v>
      </c>
      <c r="AE19" s="5">
        <f>'N70'!H25-'N70'!E41</f>
        <v>-0.22142857142857145</v>
      </c>
      <c r="AF19" s="5">
        <f>'N70'!H25-'N70'!E42</f>
        <v>-0.23571428571428574</v>
      </c>
      <c r="AG19" s="5">
        <f>'N70'!H25-'N70'!E43</f>
        <v>-0.24999999999999997</v>
      </c>
      <c r="AH19" s="5">
        <f>'N70'!H25-'N70'!E44</f>
        <v>-0.26428571428571423</v>
      </c>
      <c r="AI19" s="5">
        <f>'N70'!H25-'N70'!E45</f>
        <v>-0.27857142857142858</v>
      </c>
      <c r="AJ19" s="5">
        <f>'N70'!H25-'N70'!E46</f>
        <v>-0.29285714285714282</v>
      </c>
      <c r="AK19" s="5">
        <f>'N70'!H25-'N70'!E47</f>
        <v>-0.30714285714285716</v>
      </c>
      <c r="AL19" s="5">
        <f>'N70'!H25-'N70'!$E$48</f>
        <v>-0.3214285714285714</v>
      </c>
      <c r="AM19" s="5">
        <f>'N70'!H25-'N70'!$E$49</f>
        <v>-0.33571428571428574</v>
      </c>
      <c r="AN19" s="5">
        <f>'N70'!H25-'N70'!$E$50</f>
        <v>-0.35</v>
      </c>
      <c r="AO19" s="5">
        <f>'N70'!H25-'N70'!$E$51</f>
        <v>-0.36428571428571432</v>
      </c>
      <c r="AP19" s="5">
        <f>'N70'!H25-'N70'!$E$52</f>
        <v>-0.37857142857142856</v>
      </c>
      <c r="AQ19" s="5">
        <f>'N70'!H25-'N70'!$E$53</f>
        <v>-0.3928571428571429</v>
      </c>
      <c r="AR19" s="5">
        <f>'N70'!H25-'N70'!$E$54</f>
        <v>-0.40714285714285714</v>
      </c>
      <c r="AS19" s="5">
        <f>'N70'!H25-'N70'!$E$55</f>
        <v>-0.42142857142857149</v>
      </c>
      <c r="AT19" s="5">
        <f>'N70'!H25-'N70'!$E$56</f>
        <v>-0.43571428571428572</v>
      </c>
      <c r="AU19" s="5">
        <f>'N70'!H25-'N70'!$E$57</f>
        <v>-0.45000000000000007</v>
      </c>
      <c r="AV19" s="5">
        <f>'N70'!H25-'N70'!$E$58</f>
        <v>-0.4642857142857143</v>
      </c>
      <c r="AW19" s="5">
        <f>'N70'!H25-'N70'!$E$59</f>
        <v>-0.47857142857142854</v>
      </c>
      <c r="AX19" s="5">
        <f>'N70'!H25-'N70'!$E$60</f>
        <v>-0.49285714285714288</v>
      </c>
      <c r="AY19" s="5">
        <f>'N70'!H25-'N70'!$E$61</f>
        <v>-0.50714285714285712</v>
      </c>
      <c r="AZ19" s="5">
        <f>'N70'!H25-'N70'!$E$62</f>
        <v>-0.52142857142857146</v>
      </c>
      <c r="BA19" s="5">
        <f>'N70'!H25-'N70'!$E$63</f>
        <v>-0.5357142857142857</v>
      </c>
      <c r="BB19" s="5">
        <f>'N70'!H25-'N70'!$E$64</f>
        <v>-0.55000000000000004</v>
      </c>
      <c r="BC19" s="5">
        <f>'N70'!H25-'N70'!$E$65</f>
        <v>-0.56428571428571428</v>
      </c>
      <c r="BD19" s="5">
        <f>'N70'!H25-'N70'!$E$66</f>
        <v>-0.57857142857142863</v>
      </c>
      <c r="BE19" s="5">
        <f>'N70'!H25-'N70'!$E$67</f>
        <v>-0.59285714285714286</v>
      </c>
      <c r="BF19" s="5">
        <f>'N70'!H25-'N70'!$E$68</f>
        <v>-0.60714285714285721</v>
      </c>
      <c r="BG19" s="5">
        <f>'N70'!H25-'N70'!$E$69</f>
        <v>-0.62142857142857144</v>
      </c>
      <c r="BH19" s="5">
        <f>'N70'!H25-'N70'!$E$70</f>
        <v>-0.63571428571428568</v>
      </c>
      <c r="BI19" s="5">
        <f>'N70'!H25-'N70'!$E$71</f>
        <v>-0.65</v>
      </c>
      <c r="BJ19" s="5">
        <f>'N70'!H25-'N70'!$E$72</f>
        <v>-0.66428571428571426</v>
      </c>
      <c r="BK19" s="5">
        <f>'N70'!H25-'N70'!$E$73</f>
        <v>-0.6785714285714286</v>
      </c>
      <c r="BL19" s="5">
        <f>'N70'!H25-'N70'!$E$74</f>
        <v>-0.69285714285714284</v>
      </c>
      <c r="BM19" s="5">
        <f>'N70'!H25-'N70'!$E$75</f>
        <v>-0.70714285714285718</v>
      </c>
      <c r="BN19" s="5">
        <f>'N70'!H25-'N70'!$E$76</f>
        <v>-0.72142857142857142</v>
      </c>
      <c r="BO19" s="5">
        <f>'N70'!H25-'N70'!$E$77</f>
        <v>-0.73571428571428577</v>
      </c>
      <c r="BP19" s="5">
        <f>'N70'!H25-'N70'!$E$78</f>
        <v>-0.75</v>
      </c>
      <c r="BQ19" s="5">
        <f>'N70'!H25-'N70'!$E$79</f>
        <v>-0.76428571428571435</v>
      </c>
      <c r="BR19" s="5">
        <f>'N70'!H25-'N70'!$E$80</f>
        <v>-0.77857142857142858</v>
      </c>
      <c r="BS19" s="5">
        <f>'N70'!H25-'N70'!$E$81</f>
        <v>-0.79285714285714282</v>
      </c>
      <c r="BT19" s="5">
        <f>'N70'!H25-'N70'!$E$82</f>
        <v>-0.80714285714285716</v>
      </c>
      <c r="BU19" s="5">
        <f>'N70'!H25-'N70'!$E$83</f>
        <v>-0.8214285714285714</v>
      </c>
      <c r="BV19" s="5">
        <f>'N70'!H25-'N70'!$E$84</f>
        <v>-0.83571428571428574</v>
      </c>
      <c r="BW19" s="5">
        <f>'N70'!H25-'N70'!$E$85</f>
        <v>-0.85</v>
      </c>
      <c r="BX19" s="5">
        <v>-1</v>
      </c>
      <c r="BY19" s="5"/>
      <c r="BZ19">
        <v>10</v>
      </c>
      <c r="CA19" s="5">
        <f>N70_DESARROLLO!CE104+N70_DESARROLLO!H104</f>
        <v>-5.4582082654734521E-2</v>
      </c>
      <c r="CB19" s="5">
        <f>N70_DESARROLLO!CF104+N70_DESARROLLO!I104</f>
        <v>-0.11791996375048652</v>
      </c>
      <c r="CC19" s="5">
        <f>N70_DESARROLLO!CG104+N70_DESARROLLO!J104</f>
        <v>-0.13373123411929766</v>
      </c>
      <c r="CD19" s="5">
        <f>N70_DESARROLLO!CH104+N70_DESARROLLO!K104</f>
        <v>-0.15445886474681458</v>
      </c>
      <c r="CE19" s="5">
        <f>N70_DESARROLLO!CI104+N70_DESARROLLO!L104</f>
        <v>-0.18283342438756733</v>
      </c>
      <c r="CF19" s="5">
        <f>N70_DESARROLLO!CJ104+N70_DESARROLLO!M104</f>
        <v>-0.22408833054042676</v>
      </c>
      <c r="CG19" s="5">
        <f>N70_DESARROLLO!CK104+N70_DESARROLLO!N104</f>
        <v>-0.28973434150573296</v>
      </c>
      <c r="CH19" s="5">
        <f>N70_DESARROLLO!CL104+N70_DESARROLLO!O104</f>
        <v>-0.41141440075354618</v>
      </c>
      <c r="CI19" s="5">
        <f>N70_DESARROLLO!CM104+N70_DESARROLLO!P104</f>
        <v>-0.72775792963608121</v>
      </c>
      <c r="CJ19" s="5">
        <f>N70_DESARROLLO!CN104+N70_DESARROLLO!Q104</f>
        <v>-1.6479184659605326</v>
      </c>
      <c r="CK19" s="5">
        <f>N70_DESARROLLO!CO104+N70_DESARROLLO!R104</f>
        <v>1.6479184659605346</v>
      </c>
      <c r="CL19" s="5">
        <f>N70_DESARROLLO!CP104+N70_DESARROLLO!S104</f>
        <v>0.72775792963608066</v>
      </c>
      <c r="CM19" s="5">
        <f>N70_DESARROLLO!CQ104+N70_DESARROLLO!T104</f>
        <v>0.41141440075354718</v>
      </c>
      <c r="CN19" s="5">
        <f>N70_DESARROLLO!CR104+N70_DESARROLLO!U104</f>
        <v>0.2897343415057293</v>
      </c>
      <c r="CO19" s="5">
        <f>N70_DESARROLLO!CS104+N70_DESARROLLO!V104</f>
        <v>0.22408833054042843</v>
      </c>
      <c r="CP19" s="5">
        <f>N70_DESARROLLO!CT104+N70_DESARROLLO!W104</f>
        <v>0.18283342438756867</v>
      </c>
      <c r="CQ19" s="5">
        <f>N70_DESARROLLO!CU104+N70_DESARROLLO!X104</f>
        <v>0.15445886474681392</v>
      </c>
      <c r="CR19" s="5">
        <f>N70_DESARROLLO!CV104+N70_DESARROLLO!Y104</f>
        <v>0.13373123411929666</v>
      </c>
      <c r="CS19" s="5">
        <f>N70_DESARROLLO!CW104+N70_DESARROLLO!Z104</f>
        <v>0.11791996375048741</v>
      </c>
      <c r="CT19" s="5">
        <f>N70_DESARROLLO!CX104+N70_DESARROLLO!AA104</f>
        <v>0.10545841852057836</v>
      </c>
      <c r="CU19" s="5">
        <f>N70_DESARROLLO!CY104+N70_DESARROLLO!AB104</f>
        <v>9.5382594982175162E-2</v>
      </c>
      <c r="CV19" s="5">
        <f>N70_DESARROLLO!CZ104+N70_DESARROLLO!AC104</f>
        <v>8.7066442319335247E-2</v>
      </c>
      <c r="CW19" s="5">
        <f>N70_DESARROLLO!DA104+N70_DESARROLLO!AD104</f>
        <v>8.0085554140357895E-2</v>
      </c>
      <c r="CX19" s="5">
        <f>N70_DESARROLLO!DB104+N70_DESARROLLO!AE104</f>
        <v>7.4141965022337497E-2</v>
      </c>
      <c r="CY19" s="5">
        <f>N70_DESARROLLO!DC104+N70_DESARROLLO!AF104</f>
        <v>6.9020292350866042E-2</v>
      </c>
      <c r="CZ19" s="5">
        <f>N70_DESARROLLO!DD104+N70_DESARROLLO!AG104</f>
        <v>6.4560961252483118E-2</v>
      </c>
      <c r="DA19" s="5">
        <f>N70_DESARROLLO!DE104+N70_DESARROLLO!AH104</f>
        <v>6.0643218403518828E-2</v>
      </c>
      <c r="DB19" s="5">
        <f>N70_DESARROLLO!DF104+N70_DESARROLLO!AI104</f>
        <v>5.7173997129081666E-2</v>
      </c>
      <c r="DC19" s="5">
        <f>N70_DESARROLLO!DG104+N70_DESARROLLO!AJ104</f>
        <v>5.4080408838154459E-2</v>
      </c>
      <c r="DD19" s="5">
        <f>N70_DESARROLLO!DH104+N70_DESARROLLO!AK104</f>
        <v>5.130455332633288E-2</v>
      </c>
      <c r="DE19" s="5">
        <f>N70_DESARROLLO!DI104+N70_DESARROLLO!AL104</f>
        <v>4.8799853039083518E-2</v>
      </c>
      <c r="DF19" s="5">
        <f>N70_DESARROLLO!DJ104+N70_DESARROLLO!AM104</f>
        <v>4.6528413377880606E-2</v>
      </c>
      <c r="DG19" s="5">
        <f>N70_DESARROLLO!DK104+N70_DESARROLLO!AN104</f>
        <v>4.4459088822771053E-2</v>
      </c>
      <c r="DH19" s="5">
        <f>N70_DESARROLLO!DL104+N70_DESARROLLO!AO104</f>
        <v>4.2566044021103977E-2</v>
      </c>
      <c r="DI19" s="5">
        <f>N70_DESARROLLO!DM104+N70_DESARROLLO!AP104</f>
        <v>4.0827668052543675E-2</v>
      </c>
      <c r="DJ19" s="5">
        <f>N70_DESARROLLO!DN104+N70_DESARROLLO!AQ104</f>
        <v>3.9225744685471353E-2</v>
      </c>
      <c r="DK19" s="5">
        <f>N70_DESARROLLO!DO104+N70_DESARROLLO!AR104</f>
        <v>3.7744810855705468E-2</v>
      </c>
      <c r="DL19" s="5">
        <f>N70_DESARROLLO!DP104+N70_DESARROLLO!AS104</f>
        <v>3.6371655357429256E-2</v>
      </c>
      <c r="DM19" s="5">
        <f>N70_DESARROLLO!DQ104+N70_DESARROLLO!AT104</f>
        <v>3.5094923244222698E-2</v>
      </c>
      <c r="DN19" s="5">
        <f>N70_DESARROLLO!DR104+N70_DESARROLLO!AU104</f>
        <v>3.3904800811315305E-2</v>
      </c>
      <c r="DO19" s="5">
        <f>N70_DESARROLLO!DS104+N70_DESARROLLO!AV104</f>
        <v>3.279276263587616E-2</v>
      </c>
      <c r="DP19" s="5">
        <f>N70_DESARROLLO!DT104+N70_DESARROLLO!AW104</f>
        <v>3.1751366862662667E-2</v>
      </c>
      <c r="DQ19" s="5">
        <f>N70_DESARROLLO!DU104+N70_DESARROLLO!AX104</f>
        <v>3.0774088329711957E-2</v>
      </c>
      <c r="DR19" s="5">
        <f>N70_DESARROLLO!DV104+N70_DESARROLLO!AY104</f>
        <v>2.9855181616038617E-2</v>
      </c>
      <c r="DS19" s="5">
        <f>N70_DESARROLLO!DW104+N70_DESARROLLO!AZ104</f>
        <v>2.8989567932948379E-2</v>
      </c>
      <c r="DT19" s="5">
        <f>N70_DESARROLLO!DX104+N70_DESARROLLO!BA104</f>
        <v>2.8172741151794578E-2</v>
      </c>
      <c r="DU19" s="5">
        <f>N70_DESARROLLO!DY104+N70_DESARROLLO!BB104</f>
        <v>2.7400689293789693E-2</v>
      </c>
      <c r="DV19" s="5">
        <f>N70_DESARROLLO!DZ104+N70_DESARROLLO!BC104</f>
        <v>2.6669828593228417E-2</v>
      </c>
      <c r="DW19" s="5">
        <f>N70_DESARROLLO!EA104+N70_DESARROLLO!BD104</f>
        <v>2.597694784486726E-2</v>
      </c>
      <c r="DX19" s="5">
        <f>N70_DESARROLLO!EB104+N70_DESARROLLO!BE104</f>
        <v>2.5319161212288277E-2</v>
      </c>
      <c r="DY19" s="5">
        <f>N70_DESARROLLO!EC104+N70_DESARROLLO!BF104</f>
        <v>2.4693868032490518E-2</v>
      </c>
      <c r="DZ19" s="5">
        <f>N70_DESARROLLO!ED104+N70_DESARROLLO!BG104</f>
        <v>2.4098718436573741E-2</v>
      </c>
      <c r="EA19" s="5">
        <f>N70_DESARROLLO!EE104+N70_DESARROLLO!BH104</f>
        <v>2.353158382693199E-2</v>
      </c>
      <c r="EB19" s="5">
        <f>N70_DESARROLLO!EF104+N70_DESARROLLO!BI104</f>
        <v>2.2990531429701422E-2</v>
      </c>
      <c r="EC19" s="5">
        <f>N70_DESARROLLO!EG104+N70_DESARROLLO!BJ104</f>
        <v>2.247380228010265E-2</v>
      </c>
      <c r="ED19" s="5">
        <f>N70_DESARROLLO!EH104+N70_DESARROLLO!BK104</f>
        <v>2.1979792112860164E-2</v>
      </c>
      <c r="EE19" s="5">
        <f>N70_DESARROLLO!EI104+N70_DESARROLLO!BL104</f>
        <v>2.1507034719707718E-2</v>
      </c>
      <c r="EF19" s="5">
        <f>N70_DESARROLLO!EJ104+N70_DESARROLLO!BM104</f>
        <v>2.1054187410165737E-2</v>
      </c>
      <c r="EG19" s="5">
        <f>N70_DESARROLLO!EK104+N70_DESARROLLO!BN104</f>
        <v>2.0620018272172302E-2</v>
      </c>
      <c r="EH19" s="5">
        <f>N70_DESARROLLO!EL104+N70_DESARROLLO!BO104</f>
        <v>2.0203394977322597E-2</v>
      </c>
      <c r="EI19" s="5">
        <f>N70_DESARROLLO!EM104+N70_DESARROLLO!BP104</f>
        <v>1.9803274917309821E-2</v>
      </c>
      <c r="EJ19" s="5">
        <f>N70_DESARROLLO!EN104+N70_DESARROLLO!BQ104</f>
        <v>1.9418696489467702E-2</v>
      </c>
      <c r="EK19" s="5">
        <f>N70_DESARROLLO!EO104+N70_DESARROLLO!BR104</f>
        <v>1.9048771379252427E-2</v>
      </c>
      <c r="EL19" s="5">
        <f>N70_DESARROLLO!EP104+N70_DESARROLLO!BS104</f>
        <v>1.8692677708193939E-2</v>
      </c>
      <c r="EM19" s="5">
        <f>N70_DESARROLLO!EQ104+N70_DESARROLLO!BT104</f>
        <v>1.8349653936848176E-2</v>
      </c>
      <c r="EN19" s="5">
        <f>N70_DESARROLLO!ER104+N70_DESARROLLO!BU104</f>
        <v>1.8018993426872409E-2</v>
      </c>
      <c r="EO19" s="5">
        <f>N70_DESARROLLO!ES104+N70_DESARROLLO!BV104</f>
        <v>1.7700039580939242E-2</v>
      </c>
      <c r="EP19" s="5">
        <f>N70_DESARROLLO!ET104+N70_DESARROLLO!BW104</f>
        <v>1.7392181490066716E-2</v>
      </c>
      <c r="EQ19" s="5">
        <f>N70_DESARROLLO!EU104+N70_DESARROLLO!BX104</f>
        <v>1.7094850027297714E-2</v>
      </c>
      <c r="ER19" s="5">
        <f>N70_DESARROLLO!EV104+N70_DESARROLLO!BY104</f>
        <v>10.384776111184035</v>
      </c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>
        <v>10</v>
      </c>
      <c r="FD19" s="4">
        <v>2.3561326330990913E-3</v>
      </c>
      <c r="FE19" s="4">
        <v>5.1849300288901081E-3</v>
      </c>
      <c r="FF19" s="4">
        <v>7.7633053512980183E-3</v>
      </c>
      <c r="FG19" s="4">
        <v>1.0925310315904548E-2</v>
      </c>
      <c r="FH19" s="4">
        <v>1.5213430949887663E-2</v>
      </c>
      <c r="FI19" s="4">
        <v>2.1641445380348963E-2</v>
      </c>
      <c r="FJ19" s="4">
        <v>3.3165947876442968E-2</v>
      </c>
      <c r="FK19" s="4">
        <v>5.0631930607009455E-2</v>
      </c>
      <c r="FL19" s="4">
        <v>0.24140467270175792</v>
      </c>
      <c r="FM19" s="4">
        <v>-0.25422885704733877</v>
      </c>
      <c r="FN19" s="4">
        <v>-6.3489050001941133E-2</v>
      </c>
      <c r="FO19" s="4">
        <v>-4.6091159889267354E-2</v>
      </c>
      <c r="FP19" s="4">
        <v>-3.467490614976404E-2</v>
      </c>
      <c r="FQ19" s="4">
        <v>-2.8404510549612245E-2</v>
      </c>
      <c r="FR19" s="4">
        <v>-2.4340097036154053E-2</v>
      </c>
      <c r="FS19" s="4">
        <v>-2.1502056318198789E-2</v>
      </c>
      <c r="FT19" s="4">
        <v>-1.9408076234980233E-2</v>
      </c>
      <c r="FU19" s="4">
        <v>-1.7800131522676996E-2</v>
      </c>
      <c r="FV19" s="4">
        <v>-1.6527366194997818E-2</v>
      </c>
      <c r="FW19" s="4">
        <v>-1.5495761956360099E-2</v>
      </c>
      <c r="FX19" s="4">
        <v>-1.4643683168967324E-2</v>
      </c>
      <c r="FY19" s="4">
        <v>-1.3929043371205657E-2</v>
      </c>
      <c r="FZ19" s="4">
        <v>-1.3322125346920885E-2</v>
      </c>
      <c r="GA19" s="4">
        <v>-1.2801349498133507E-2</v>
      </c>
      <c r="GB19" s="4">
        <v>-1.2350669111207066E-2</v>
      </c>
      <c r="GC19" s="4">
        <v>-1.1957906957178801E-2</v>
      </c>
      <c r="GD19" s="4">
        <v>-1.1613658977266694E-2</v>
      </c>
      <c r="GE19" s="4">
        <v>-1.1310551680619547E-2</v>
      </c>
      <c r="GF19" s="4">
        <v>-1.1042726949511028E-2</v>
      </c>
      <c r="GG19" s="4">
        <v>-1.0805476995511432E-2</v>
      </c>
      <c r="GH19" s="4">
        <v>-1.059498082740329E-2</v>
      </c>
      <c r="GI19" s="4">
        <v>-1.0408110813152804E-2</v>
      </c>
      <c r="GJ19" s="4">
        <v>-1.024228857252262E-2</v>
      </c>
      <c r="GK19" s="4">
        <v>-1.0095376192202101E-2</v>
      </c>
      <c r="GL19" s="4">
        <v>-9.9655931358982111E-3</v>
      </c>
      <c r="GM19" s="4">
        <v>-9.8514521191082963E-3</v>
      </c>
      <c r="GN19" s="4">
        <v>-9.7517091710253006E-3</v>
      </c>
      <c r="GO19" s="4">
        <v>-9.665324442769475E-3</v>
      </c>
      <c r="GP19" s="4">
        <v>-9.5914312509195222E-3</v>
      </c>
      <c r="GQ19" s="4">
        <v>-9.529311498894126E-3</v>
      </c>
      <c r="GR19" s="4">
        <v>-9.4783760840439664E-3</v>
      </c>
      <c r="GS19" s="4">
        <v>-9.4381492291681687E-3</v>
      </c>
      <c r="GT19" s="4">
        <v>-9.4082559130940907E-3</v>
      </c>
      <c r="GU19" s="4">
        <v>-9.3884117367154102E-3</v>
      </c>
      <c r="GV19" s="4">
        <v>-9.3784146647153625E-3</v>
      </c>
      <c r="GW19" s="4">
        <v>-9.3781381330802303E-3</v>
      </c>
      <c r="GX19" s="4">
        <v>-9.3875250070682582E-3</v>
      </c>
      <c r="GY19" s="4">
        <v>-9.4065818025898442E-3</v>
      </c>
      <c r="GZ19" s="4">
        <v>-9.4353724194843752E-3</v>
      </c>
      <c r="HA19" s="4">
        <v>-9.4740103351005061E-3</v>
      </c>
      <c r="HB19" s="4">
        <v>-9.5226476875411425E-3</v>
      </c>
      <c r="HC19" s="4">
        <v>-9.5814588021557977E-3</v>
      </c>
      <c r="HD19" s="4">
        <v>-9.650614228812927E-3</v>
      </c>
      <c r="HE19" s="4">
        <v>-9.7302388099295544E-3</v>
      </c>
      <c r="HF19" s="4">
        <v>-9.8203428440337918E-3</v>
      </c>
      <c r="HG19" s="4">
        <v>-9.9207074345419432E-3</v>
      </c>
      <c r="HH19" s="4">
        <v>-1.0030690421612707E-2</v>
      </c>
      <c r="HI19" s="4">
        <v>-1.0148891315706164E-2</v>
      </c>
      <c r="HJ19" s="4">
        <v>-1.0272558262465934E-2</v>
      </c>
      <c r="HK19" s="4">
        <v>-1.0396505338134101E-2</v>
      </c>
      <c r="HL19" s="4">
        <v>-1.0511057791702635E-2</v>
      </c>
      <c r="HM19" s="4">
        <v>-1.0597959635753156E-2</v>
      </c>
      <c r="HN19" s="4">
        <v>-1.0621705049344976E-2</v>
      </c>
      <c r="HO19" s="4">
        <v>-1.0509796432046447E-2</v>
      </c>
      <c r="HP19" s="4">
        <v>-1.0101176633087757E-2</v>
      </c>
      <c r="HQ19" s="4">
        <v>-9.0227982026794291E-3</v>
      </c>
      <c r="HR19" s="4">
        <v>-5.7977305830441391E-3</v>
      </c>
      <c r="HS19" s="4">
        <v>-1.6207515973666047E-3</v>
      </c>
      <c r="HT19" s="4">
        <v>0.12409667671507188</v>
      </c>
      <c r="HU19" s="4">
        <v>-0.33908696922525206</v>
      </c>
    </row>
    <row r="20" spans="4:229" x14ac:dyDescent="0.25">
      <c r="D20" s="10">
        <v>11</v>
      </c>
      <c r="E20" s="5">
        <f>'N70'!E27-'N70'!E26</f>
        <v>1.428571428571429E-2</v>
      </c>
      <c r="F20" s="5">
        <f>'N70'!H26-'N70'!E16</f>
        <v>0.15</v>
      </c>
      <c r="G20" s="5">
        <f>'N70'!H26-'N70'!E17</f>
        <v>0.1357142857142857</v>
      </c>
      <c r="H20" s="5">
        <f>'N70'!H26-'N70'!E18</f>
        <v>0.12142857142857143</v>
      </c>
      <c r="I20" s="5">
        <f>'N70'!H26-'N70'!E19</f>
        <v>0.10714285714285714</v>
      </c>
      <c r="J20" s="5">
        <f>'N70'!H26-'N70'!E20</f>
        <v>9.285714285714286E-2</v>
      </c>
      <c r="K20" s="5">
        <f>'N70'!H26-'N70'!E21</f>
        <v>7.857142857142857E-2</v>
      </c>
      <c r="L20" s="5">
        <f>'N70'!H26-'N70'!E22</f>
        <v>6.4285714285714279E-2</v>
      </c>
      <c r="M20" s="5">
        <f>'N70'!H26-'N70'!E23</f>
        <v>0.05</v>
      </c>
      <c r="N20" s="5">
        <f>'N70'!H26-'N70'!E24</f>
        <v>3.5714285714285712E-2</v>
      </c>
      <c r="O20" s="5">
        <f>'N70'!H26-'N70'!E25</f>
        <v>2.1428571428571436E-2</v>
      </c>
      <c r="P20" s="5">
        <f>'N70'!H26-'N70'!E26</f>
        <v>7.1428571428571452E-3</v>
      </c>
      <c r="Q20" s="5">
        <f>'N70'!H26-'N70'!E27</f>
        <v>-7.1428571428571452E-3</v>
      </c>
      <c r="R20" s="5">
        <f>'N70'!H26-'N70'!E28</f>
        <v>-2.1428571428571436E-2</v>
      </c>
      <c r="S20" s="5">
        <f>'N70'!H26-'N70'!E29</f>
        <v>-3.5714285714285726E-2</v>
      </c>
      <c r="T20" s="5">
        <f>'N70'!H26-'N70'!E30</f>
        <v>-4.9999999999999989E-2</v>
      </c>
      <c r="U20" s="5">
        <f>'N70'!H26-'N70'!E31</f>
        <v>-6.4285714285714279E-2</v>
      </c>
      <c r="V20" s="5">
        <f>'N70'!H26-'N70'!E32</f>
        <v>-7.857142857142857E-2</v>
      </c>
      <c r="W20" s="5">
        <f>'N70'!H26-'N70'!E33</f>
        <v>-9.285714285714286E-2</v>
      </c>
      <c r="X20" s="5">
        <f>'N70'!H26-'N70'!E34</f>
        <v>-0.10714285714285712</v>
      </c>
      <c r="Y20" s="5">
        <f>'N70'!H26-'N70'!E35</f>
        <v>-0.12142857142857141</v>
      </c>
      <c r="Z20" s="5">
        <f>'N70'!H26-'N70'!E36</f>
        <v>-0.1357142857142857</v>
      </c>
      <c r="AA20" s="5">
        <f>'N70'!H26-'N70'!E37</f>
        <v>-0.15</v>
      </c>
      <c r="AB20" s="5">
        <f>'N70'!H26-'N70'!E38</f>
        <v>-0.16428571428571428</v>
      </c>
      <c r="AC20" s="5">
        <f>'N70'!H26-'N70'!E39</f>
        <v>-0.17857142857142858</v>
      </c>
      <c r="AD20" s="5">
        <f>'N70'!H26-'N70'!E40</f>
        <v>-0.19285714285714287</v>
      </c>
      <c r="AE20" s="5">
        <f>'N70'!H26-'N70'!E41</f>
        <v>-0.20714285714285716</v>
      </c>
      <c r="AF20" s="5">
        <f>'N70'!H26-'N70'!E42</f>
        <v>-0.22142857142857145</v>
      </c>
      <c r="AG20" s="5">
        <f>'N70'!H26-'N70'!E43</f>
        <v>-0.23571428571428568</v>
      </c>
      <c r="AH20" s="5">
        <f>'N70'!H26-'N70'!E44</f>
        <v>-0.24999999999999997</v>
      </c>
      <c r="AI20" s="5">
        <f>'N70'!H26-'N70'!E45</f>
        <v>-0.26428571428571423</v>
      </c>
      <c r="AJ20" s="5">
        <f>'N70'!H26-'N70'!E46</f>
        <v>-0.27857142857142858</v>
      </c>
      <c r="AK20" s="5">
        <f>'N70'!H26-'N70'!E47</f>
        <v>-0.29285714285714282</v>
      </c>
      <c r="AL20" s="5">
        <f>'N70'!H26-'N70'!$E$48</f>
        <v>-0.30714285714285716</v>
      </c>
      <c r="AM20" s="5">
        <f>'N70'!H26-'N70'!$E$49</f>
        <v>-0.3214285714285714</v>
      </c>
      <c r="AN20" s="5">
        <f>'N70'!H26-'N70'!$E$50</f>
        <v>-0.33571428571428574</v>
      </c>
      <c r="AO20" s="5">
        <f>'N70'!H26-'N70'!$E$51</f>
        <v>-0.35</v>
      </c>
      <c r="AP20" s="5">
        <f>'N70'!H26-'N70'!$E$52</f>
        <v>-0.36428571428571421</v>
      </c>
      <c r="AQ20" s="5">
        <f>'N70'!H26-'N70'!$E$53</f>
        <v>-0.37857142857142856</v>
      </c>
      <c r="AR20" s="5">
        <f>'N70'!H26-'N70'!$E$54</f>
        <v>-0.39285714285714279</v>
      </c>
      <c r="AS20" s="5">
        <f>'N70'!H26-'N70'!$E$55</f>
        <v>-0.40714285714285714</v>
      </c>
      <c r="AT20" s="5">
        <f>'N70'!H26-'N70'!$E$56</f>
        <v>-0.42142857142857137</v>
      </c>
      <c r="AU20" s="5">
        <f>'N70'!H26-'N70'!$E$57</f>
        <v>-0.43571428571428572</v>
      </c>
      <c r="AV20" s="5">
        <f>'N70'!H26-'N70'!$E$58</f>
        <v>-0.44999999999999996</v>
      </c>
      <c r="AW20" s="5">
        <f>'N70'!H26-'N70'!$E$59</f>
        <v>-0.46428571428571419</v>
      </c>
      <c r="AX20" s="5">
        <f>'N70'!H26-'N70'!$E$60</f>
        <v>-0.47857142857142854</v>
      </c>
      <c r="AY20" s="5">
        <f>'N70'!H26-'N70'!$E$61</f>
        <v>-0.49285714285714277</v>
      </c>
      <c r="AZ20" s="5">
        <f>'N70'!H26-'N70'!$E$62</f>
        <v>-0.50714285714285712</v>
      </c>
      <c r="BA20" s="5">
        <f>'N70'!H26-'N70'!$E$63</f>
        <v>-0.52142857142857135</v>
      </c>
      <c r="BB20" s="5">
        <f>'N70'!H26-'N70'!$E$64</f>
        <v>-0.5357142857142857</v>
      </c>
      <c r="BC20" s="5">
        <f>'N70'!H26-'N70'!$E$65</f>
        <v>-0.54999999999999993</v>
      </c>
      <c r="BD20" s="5">
        <f>'N70'!H26-'N70'!$E$66</f>
        <v>-0.56428571428571428</v>
      </c>
      <c r="BE20" s="5">
        <f>'N70'!H26-'N70'!$E$67</f>
        <v>-0.57857142857142851</v>
      </c>
      <c r="BF20" s="5">
        <f>'N70'!H26-'N70'!$E$68</f>
        <v>-0.59285714285714286</v>
      </c>
      <c r="BG20" s="5">
        <f>'N70'!H26-'N70'!$E$69</f>
        <v>-0.6071428571428571</v>
      </c>
      <c r="BH20" s="5">
        <f>'N70'!H26-'N70'!$E$70</f>
        <v>-0.62142857142857133</v>
      </c>
      <c r="BI20" s="5">
        <f>'N70'!H26-'N70'!$E$71</f>
        <v>-0.63571428571428568</v>
      </c>
      <c r="BJ20" s="5">
        <f>'N70'!H26-'N70'!$E$72</f>
        <v>-0.64999999999999991</v>
      </c>
      <c r="BK20" s="5">
        <f>'N70'!H26-'N70'!$E$73</f>
        <v>-0.66428571428571426</v>
      </c>
      <c r="BL20" s="5">
        <f>'N70'!H26-'N70'!$E$74</f>
        <v>-0.67857142857142849</v>
      </c>
      <c r="BM20" s="5">
        <f>'N70'!H26-'N70'!$E$75</f>
        <v>-0.69285714285714284</v>
      </c>
      <c r="BN20" s="5">
        <f>'N70'!H26-'N70'!$E$76</f>
        <v>-0.70714285714285707</v>
      </c>
      <c r="BO20" s="5">
        <f>'N70'!H26-'N70'!$E$77</f>
        <v>-0.72142857142857142</v>
      </c>
      <c r="BP20" s="5">
        <f>'N70'!H26-'N70'!$E$78</f>
        <v>-0.73571428571428565</v>
      </c>
      <c r="BQ20" s="5">
        <f>'N70'!H26-'N70'!$E$79</f>
        <v>-0.75</v>
      </c>
      <c r="BR20" s="5">
        <f>'N70'!H26-'N70'!$E$80</f>
        <v>-0.76428571428571423</v>
      </c>
      <c r="BS20" s="5">
        <f>'N70'!H26-'N70'!$E$81</f>
        <v>-0.77857142857142847</v>
      </c>
      <c r="BT20" s="5">
        <f>'N70'!H26-'N70'!$E$82</f>
        <v>-0.79285714285714282</v>
      </c>
      <c r="BU20" s="5">
        <f>'N70'!H26-'N70'!$E$83</f>
        <v>-0.80714285714285705</v>
      </c>
      <c r="BV20" s="5">
        <f>'N70'!H26-'N70'!$E$84</f>
        <v>-0.8214285714285714</v>
      </c>
      <c r="BW20" s="5">
        <f>'N70'!H26-'N70'!$E$85</f>
        <v>-0.83571428571428563</v>
      </c>
      <c r="BX20" s="5">
        <v>-1</v>
      </c>
      <c r="BY20" s="5"/>
      <c r="BZ20">
        <v>11</v>
      </c>
      <c r="CA20" s="5">
        <f>N70_DESARROLLO!CE105+N70_DESARROLLO!H105</f>
        <v>-4.9207124692808524E-2</v>
      </c>
      <c r="CB20" s="5">
        <f>N70_DESARROLLO!CF105+N70_DESARROLLO!I105</f>
        <v>-0.1054584185205778</v>
      </c>
      <c r="CC20" s="5">
        <f>N70_DESARROLLO!CG105+N70_DESARROLLO!J105</f>
        <v>-0.11791996375048552</v>
      </c>
      <c r="CD20" s="5">
        <f>N70_DESARROLLO!CH105+N70_DESARROLLO!K105</f>
        <v>-0.13373123411929955</v>
      </c>
      <c r="CE20" s="5">
        <f>N70_DESARROLLO!CI105+N70_DESARROLLO!L105</f>
        <v>-0.15445886474681292</v>
      </c>
      <c r="CF20" s="5">
        <f>N70_DESARROLLO!CJ105+N70_DESARROLLO!M105</f>
        <v>-0.18283342438756844</v>
      </c>
      <c r="CG20" s="5">
        <f>N70_DESARROLLO!CK105+N70_DESARROLLO!N105</f>
        <v>-0.22408833054042754</v>
      </c>
      <c r="CH20" s="5">
        <f>N70_DESARROLLO!CL105+N70_DESARROLLO!O105</f>
        <v>-0.28973434150573074</v>
      </c>
      <c r="CI20" s="5">
        <f>N70_DESARROLLO!CM105+N70_DESARROLLO!P105</f>
        <v>-0.41141440075354796</v>
      </c>
      <c r="CJ20" s="5">
        <f>N70_DESARROLLO!CN105+N70_DESARROLLO!Q105</f>
        <v>-0.72775792963607955</v>
      </c>
      <c r="CK20" s="5">
        <f>N70_DESARROLLO!CO105+N70_DESARROLLO!R105</f>
        <v>-1.6479184659605346</v>
      </c>
      <c r="CL20" s="5">
        <f>N70_DESARROLLO!CP105+N70_DESARROLLO!S105</f>
        <v>1.6479184659605346</v>
      </c>
      <c r="CM20" s="5">
        <f>N70_DESARROLLO!CQ105+N70_DESARROLLO!T105</f>
        <v>0.72775792963608066</v>
      </c>
      <c r="CN20" s="5">
        <f>N70_DESARROLLO!CR105+N70_DESARROLLO!U105</f>
        <v>0.41141440075354474</v>
      </c>
      <c r="CO20" s="5">
        <f>N70_DESARROLLO!CS105+N70_DESARROLLO!V105</f>
        <v>0.28973434150573307</v>
      </c>
      <c r="CP20" s="5">
        <f>N70_DESARROLLO!CT105+N70_DESARROLLO!W105</f>
        <v>0.22408833054042698</v>
      </c>
      <c r="CQ20" s="5">
        <f>N70_DESARROLLO!CU105+N70_DESARROLLO!X105</f>
        <v>0.18283342438756867</v>
      </c>
      <c r="CR20" s="5">
        <f>N70_DESARROLLO!CV105+N70_DESARROLLO!Y105</f>
        <v>0.15445886474681081</v>
      </c>
      <c r="CS20" s="5">
        <f>N70_DESARROLLO!CW105+N70_DESARROLLO!Z105</f>
        <v>0.13373123411930077</v>
      </c>
      <c r="CT20" s="5">
        <f>N70_DESARROLLO!CX105+N70_DESARROLLO!AA105</f>
        <v>0.11791996375048619</v>
      </c>
      <c r="CU20" s="5">
        <f>N70_DESARROLLO!CY105+N70_DESARROLLO!AB105</f>
        <v>0.10545841852057836</v>
      </c>
      <c r="CV20" s="5">
        <f>N70_DESARROLLO!CZ105+N70_DESARROLLO!AC105</f>
        <v>9.5382594982175162E-2</v>
      </c>
      <c r="CW20" s="5">
        <f>N70_DESARROLLO!DA105+N70_DESARROLLO!AD105</f>
        <v>8.7066442319335247E-2</v>
      </c>
      <c r="CX20" s="5">
        <f>N70_DESARROLLO!DB105+N70_DESARROLLO!AE105</f>
        <v>8.0085554140357895E-2</v>
      </c>
      <c r="CY20" s="5">
        <f>N70_DESARROLLO!DC105+N70_DESARROLLO!AF105</f>
        <v>7.4141965022337497E-2</v>
      </c>
      <c r="CZ20" s="5">
        <f>N70_DESARROLLO!DD105+N70_DESARROLLO!AG105</f>
        <v>6.9020292350866042E-2</v>
      </c>
      <c r="DA20" s="5">
        <f>N70_DESARROLLO!DE105+N70_DESARROLLO!AH105</f>
        <v>6.4560961252479565E-2</v>
      </c>
      <c r="DB20" s="5">
        <f>N70_DESARROLLO!DF105+N70_DESARROLLO!AI105</f>
        <v>6.0643218403525934E-2</v>
      </c>
      <c r="DC20" s="5">
        <f>N70_DESARROLLO!DG105+N70_DESARROLLO!AJ105</f>
        <v>5.7173997129078447E-2</v>
      </c>
      <c r="DD20" s="5">
        <f>N70_DESARROLLO!DH105+N70_DESARROLLO!AK105</f>
        <v>5.4080408838154459E-2</v>
      </c>
      <c r="DE20" s="5">
        <f>N70_DESARROLLO!DI105+N70_DESARROLLO!AL105</f>
        <v>5.130455332633288E-2</v>
      </c>
      <c r="DF20" s="5">
        <f>N70_DESARROLLO!DJ105+N70_DESARROLLO!AM105</f>
        <v>4.8799853039083518E-2</v>
      </c>
      <c r="DG20" s="5">
        <f>N70_DESARROLLO!DK105+N70_DESARROLLO!AN105</f>
        <v>4.6528413377880606E-2</v>
      </c>
      <c r="DH20" s="5">
        <f>N70_DESARROLLO!DL105+N70_DESARROLLO!AO105</f>
        <v>4.4459088822771053E-2</v>
      </c>
      <c r="DI20" s="5">
        <f>N70_DESARROLLO!DM105+N70_DESARROLLO!AP105</f>
        <v>4.2566044021103977E-2</v>
      </c>
      <c r="DJ20" s="5">
        <f>N70_DESARROLLO!DN105+N70_DESARROLLO!AQ105</f>
        <v>4.0827668052532351E-2</v>
      </c>
      <c r="DK20" s="5">
        <f>N70_DESARROLLO!DO105+N70_DESARROLLO!AR105</f>
        <v>3.9225744685487451E-2</v>
      </c>
      <c r="DL20" s="5">
        <f>N70_DESARROLLO!DP105+N70_DESARROLLO!AS105</f>
        <v>3.774481085568826E-2</v>
      </c>
      <c r="DM20" s="5">
        <f>N70_DESARROLLO!DQ105+N70_DESARROLLO!AT105</f>
        <v>3.6371655357452903E-2</v>
      </c>
      <c r="DN20" s="5">
        <f>N70_DESARROLLO!DR105+N70_DESARROLLO!AU105</f>
        <v>3.509492324420449E-2</v>
      </c>
      <c r="DO20" s="5">
        <f>N70_DESARROLLO!DS105+N70_DESARROLLO!AV105</f>
        <v>3.3904800811327962E-2</v>
      </c>
      <c r="DP20" s="5">
        <f>N70_DESARROLLO!DT105+N70_DESARROLLO!AW105</f>
        <v>3.2792762635863171E-2</v>
      </c>
      <c r="DQ20" s="5">
        <f>N70_DESARROLLO!DU105+N70_DESARROLLO!AX105</f>
        <v>3.1751366862668773E-2</v>
      </c>
      <c r="DR20" s="5">
        <f>N70_DESARROLLO!DV105+N70_DESARROLLO!AY105</f>
        <v>3.0774088329719285E-2</v>
      </c>
      <c r="DS20" s="5">
        <f>N70_DESARROLLO!DW105+N70_DESARROLLO!AZ105</f>
        <v>2.9855181616024296E-2</v>
      </c>
      <c r="DT20" s="5">
        <f>N70_DESARROLLO!DX105+N70_DESARROLLO!BA105</f>
        <v>2.8989567932963367E-2</v>
      </c>
      <c r="DU20" s="5">
        <f>N70_DESARROLLO!DY105+N70_DESARROLLO!BB105</f>
        <v>2.8172741151779368E-2</v>
      </c>
      <c r="DV20" s="5">
        <f>N70_DESARROLLO!DZ105+N70_DESARROLLO!BC105</f>
        <v>2.7400689293805458E-2</v>
      </c>
      <c r="DW20" s="5">
        <f>N70_DESARROLLO!EA105+N70_DESARROLLO!BD105</f>
        <v>2.6669828593212208E-2</v>
      </c>
      <c r="DX20" s="5">
        <f>N70_DESARROLLO!EB105+N70_DESARROLLO!BE105</f>
        <v>2.5976947844875475E-2</v>
      </c>
      <c r="DY20" s="5">
        <f>N70_DESARROLLO!EC105+N70_DESARROLLO!BF105</f>
        <v>2.5319161212279506E-2</v>
      </c>
      <c r="DZ20" s="5">
        <f>N70_DESARROLLO!ED105+N70_DESARROLLO!BG105</f>
        <v>2.469386803250806E-2</v>
      </c>
      <c r="EA20" s="5">
        <f>N70_DESARROLLO!EE105+N70_DESARROLLO!BH105</f>
        <v>2.4098718436555866E-2</v>
      </c>
      <c r="EB20" s="5">
        <f>N70_DESARROLLO!EF105+N70_DESARROLLO!BI105</f>
        <v>2.3531583826940539E-2</v>
      </c>
      <c r="EC20" s="5">
        <f>N70_DESARROLLO!EG105+N70_DESARROLLO!BJ105</f>
        <v>2.2990531429711081E-2</v>
      </c>
      <c r="ED20" s="5">
        <f>N70_DESARROLLO!EH105+N70_DESARROLLO!BK105</f>
        <v>2.2473802280083444E-2</v>
      </c>
      <c r="EE20" s="5">
        <f>N70_DESARROLLO!EI105+N70_DESARROLLO!BL105</f>
        <v>2.1979792112879926E-2</v>
      </c>
      <c r="EF20" s="5">
        <f>N70_DESARROLLO!EJ105+N70_DESARROLLO!BM105</f>
        <v>2.1507034719697726E-2</v>
      </c>
      <c r="EG20" s="5">
        <f>N70_DESARROLLO!EK105+N70_DESARROLLO!BN105</f>
        <v>2.1054187410176395E-2</v>
      </c>
      <c r="EH20" s="5">
        <f>N70_DESARROLLO!EL105+N70_DESARROLLO!BO105</f>
        <v>2.0620018272150986E-2</v>
      </c>
      <c r="EI20" s="5">
        <f>N70_DESARROLLO!EM105+N70_DESARROLLO!BP105</f>
        <v>2.0203394977344136E-2</v>
      </c>
      <c r="EJ20" s="5">
        <f>N70_DESARROLLO!EN105+N70_DESARROLLO!BQ105</f>
        <v>1.9803274917299052E-2</v>
      </c>
      <c r="EK20" s="5">
        <f>N70_DESARROLLO!EO105+N70_DESARROLLO!BR105</f>
        <v>1.9418696489467702E-2</v>
      </c>
      <c r="EL20" s="5">
        <f>N70_DESARROLLO!EP105+N70_DESARROLLO!BS105</f>
        <v>1.9048771379240881E-2</v>
      </c>
      <c r="EM20" s="5">
        <f>N70_DESARROLLO!EQ105+N70_DESARROLLO!BT105</f>
        <v>1.8692677708205263E-2</v>
      </c>
      <c r="EN20" s="5">
        <f>N70_DESARROLLO!ER105+N70_DESARROLLO!BU105</f>
        <v>1.834965393686061E-2</v>
      </c>
      <c r="EO20" s="5">
        <f>N70_DESARROLLO!ES105+N70_DESARROLLO!BV105</f>
        <v>1.8018993426860641E-2</v>
      </c>
      <c r="EP20" s="5">
        <f>N70_DESARROLLO!ET105+N70_DESARROLLO!BW105</f>
        <v>1.7700039580939242E-2</v>
      </c>
      <c r="EQ20" s="5">
        <f>N70_DESARROLLO!EU105+N70_DESARROLLO!BX105</f>
        <v>1.7392181490053948E-2</v>
      </c>
      <c r="ER20" s="5">
        <f>N70_DESARROLLO!EV105+N70_DESARROLLO!BY105</f>
        <v>11.571390508252101</v>
      </c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>
        <v>11</v>
      </c>
      <c r="FD20" s="4">
        <v>1.9824424450966107E-3</v>
      </c>
      <c r="FE20" s="4">
        <v>4.3102653738241372E-3</v>
      </c>
      <c r="FF20" s="4">
        <v>6.341511601850554E-3</v>
      </c>
      <c r="FG20" s="4">
        <v>8.7193963884083705E-3</v>
      </c>
      <c r="FH20" s="4">
        <v>1.1753992523222756E-2</v>
      </c>
      <c r="FI20" s="4">
        <v>1.5957181282192673E-2</v>
      </c>
      <c r="FJ20" s="4">
        <v>2.2323138127757988E-2</v>
      </c>
      <c r="FK20" s="4">
        <v>3.3799859106121835E-2</v>
      </c>
      <c r="FL20" s="4">
        <v>5.1227652608145061E-2</v>
      </c>
      <c r="FM20" s="4">
        <v>0.24196901882379462</v>
      </c>
      <c r="FN20" s="4">
        <v>-0.25369084206201464</v>
      </c>
      <c r="FO20" s="4">
        <v>-6.2973507678695029E-2</v>
      </c>
      <c r="FP20" s="4">
        <v>-4.5595061119972156E-2</v>
      </c>
      <c r="FQ20" s="4">
        <v>-3.4195821467273874E-2</v>
      </c>
      <c r="FR20" s="4">
        <v>-2.7940456244741691E-2</v>
      </c>
      <c r="FS20" s="4">
        <v>-2.3889428606581734E-2</v>
      </c>
      <c r="FT20" s="4">
        <v>-2.1063392599343405E-2</v>
      </c>
      <c r="FU20" s="4">
        <v>-1.8980244071038505E-2</v>
      </c>
      <c r="FV20" s="4">
        <v>-1.7382124575143355E-2</v>
      </c>
      <c r="FW20" s="4">
        <v>-1.6118313719192822E-2</v>
      </c>
      <c r="FX20" s="4">
        <v>-1.5094904757181449E-2</v>
      </c>
      <c r="FY20" s="4">
        <v>-1.4250354825614132E-2</v>
      </c>
      <c r="FZ20" s="4">
        <v>-1.354265539477449E-2</v>
      </c>
      <c r="GA20" s="4">
        <v>-1.2942155318825857E-2</v>
      </c>
      <c r="GB20" s="4">
        <v>-1.2427331499523075E-2</v>
      </c>
      <c r="GC20" s="4">
        <v>-1.1982185935978041E-2</v>
      </c>
      <c r="GD20" s="4">
        <v>-1.1594583730349637E-2</v>
      </c>
      <c r="GE20" s="4">
        <v>-1.1255157893300494E-2</v>
      </c>
      <c r="GF20" s="4">
        <v>-1.0956567644031733E-2</v>
      </c>
      <c r="GG20" s="4">
        <v>-1.0692983950029558E-2</v>
      </c>
      <c r="GH20" s="4">
        <v>-1.0459725087513859E-2</v>
      </c>
      <c r="GI20" s="4">
        <v>-1.0252993611519979E-2</v>
      </c>
      <c r="GJ20" s="4">
        <v>-1.0069683339445782E-2</v>
      </c>
      <c r="GK20" s="4">
        <v>-9.9072356011247423E-3</v>
      </c>
      <c r="GL20" s="4">
        <v>-9.7635307598737484E-3</v>
      </c>
      <c r="GM20" s="4">
        <v>-9.6368053864926886E-3</v>
      </c>
      <c r="GN20" s="4">
        <v>-9.5255883629762825E-3</v>
      </c>
      <c r="GO20" s="4">
        <v>-9.4286511430649225E-3</v>
      </c>
      <c r="GP20" s="4">
        <v>-9.3449687315233527E-3</v>
      </c>
      <c r="GQ20" s="4">
        <v>-9.2736888708473963E-3</v>
      </c>
      <c r="GR20" s="4">
        <v>-9.2141075756430497E-3</v>
      </c>
      <c r="GS20" s="4">
        <v>-9.1656496150602056E-3</v>
      </c>
      <c r="GT20" s="4">
        <v>-9.1278528704682779E-3</v>
      </c>
      <c r="GU20" s="4">
        <v>-9.1003557220239537E-3</v>
      </c>
      <c r="GV20" s="4">
        <v>-9.082886768720164E-3</v>
      </c>
      <c r="GW20" s="4">
        <v>-9.0752562711817319E-3</v>
      </c>
      <c r="GX20" s="4">
        <v>-9.0773487278666166E-3</v>
      </c>
      <c r="GY20" s="4">
        <v>-9.0891159453995174E-3</v>
      </c>
      <c r="GZ20" s="4">
        <v>-9.1105698189990324E-3</v>
      </c>
      <c r="HA20" s="4">
        <v>-9.1417737588985193E-3</v>
      </c>
      <c r="HB20" s="4">
        <v>-9.1828312042504592E-3</v>
      </c>
      <c r="HC20" s="4">
        <v>-9.2338688241411417E-3</v>
      </c>
      <c r="HD20" s="4">
        <v>-9.2950105721682445E-3</v>
      </c>
      <c r="HE20" s="4">
        <v>-9.3663363007862564E-3</v>
      </c>
      <c r="HF20" s="4">
        <v>-9.4478143380100511E-3</v>
      </c>
      <c r="HG20" s="4">
        <v>-9.5391897263119932E-3</v>
      </c>
      <c r="HH20" s="4">
        <v>-9.6397956381008357E-3</v>
      </c>
      <c r="HI20" s="4">
        <v>-9.7482284768605591E-3</v>
      </c>
      <c r="HJ20" s="4">
        <v>-9.8617737327242588E-3</v>
      </c>
      <c r="HK20" s="4">
        <v>-9.9753590064530044E-3</v>
      </c>
      <c r="HL20" s="4">
        <v>-1.0079568919792581E-2</v>
      </c>
      <c r="HM20" s="4">
        <v>-1.0156694498978273E-2</v>
      </c>
      <c r="HN20" s="4">
        <v>-1.0172370345555442E-2</v>
      </c>
      <c r="HO20" s="4">
        <v>-1.0056539387907333E-2</v>
      </c>
      <c r="HP20" s="4">
        <v>-9.6537576712007502E-3</v>
      </c>
      <c r="HQ20" s="4">
        <v>-8.6042618864951934E-3</v>
      </c>
      <c r="HR20" s="4">
        <v>-5.4854435376394187E-3</v>
      </c>
      <c r="HS20" s="4">
        <v>-1.4427354853953913E-3</v>
      </c>
      <c r="HT20" s="4">
        <v>0.11955084123426973</v>
      </c>
      <c r="HU20" s="4">
        <v>-0.32587533042396527</v>
      </c>
    </row>
    <row r="21" spans="4:229" x14ac:dyDescent="0.25">
      <c r="D21" s="10">
        <v>12</v>
      </c>
      <c r="E21" s="5">
        <f>'N70'!E28-'N70'!E27</f>
        <v>1.428571428571429E-2</v>
      </c>
      <c r="F21" s="5">
        <f>'N70'!H27-'N70'!E16</f>
        <v>0.16428571428571428</v>
      </c>
      <c r="G21" s="5">
        <f>'N70'!H27-'N70'!E17</f>
        <v>0.15</v>
      </c>
      <c r="H21" s="5">
        <f>'N70'!H27-'N70'!E18</f>
        <v>0.1357142857142857</v>
      </c>
      <c r="I21" s="5">
        <f>'N70'!H27-'N70'!E19</f>
        <v>0.12142857142857143</v>
      </c>
      <c r="J21" s="5">
        <f>'N70'!H27-'N70'!E20</f>
        <v>0.10714285714285715</v>
      </c>
      <c r="K21" s="5">
        <f>'N70'!H27-'N70'!E21</f>
        <v>9.285714285714286E-2</v>
      </c>
      <c r="L21" s="5">
        <f>'N70'!H27-'N70'!E22</f>
        <v>7.857142857142857E-2</v>
      </c>
      <c r="M21" s="5">
        <f>'N70'!H27-'N70'!E23</f>
        <v>6.4285714285714293E-2</v>
      </c>
      <c r="N21" s="5">
        <f>'N70'!H27-'N70'!E24</f>
        <v>0.05</v>
      </c>
      <c r="O21" s="5">
        <f>'N70'!H27-'N70'!E25</f>
        <v>3.5714285714285726E-2</v>
      </c>
      <c r="P21" s="5">
        <f>'N70'!H27-'N70'!E26</f>
        <v>2.1428571428571436E-2</v>
      </c>
      <c r="Q21" s="5">
        <f>'N70'!H27-'N70'!E27</f>
        <v>7.1428571428571452E-3</v>
      </c>
      <c r="R21" s="5">
        <f>'N70'!H27-'N70'!E28</f>
        <v>-7.1428571428571452E-3</v>
      </c>
      <c r="S21" s="5">
        <f>'N70'!H27-'N70'!E29</f>
        <v>-2.1428571428571436E-2</v>
      </c>
      <c r="T21" s="5">
        <f>'N70'!H27-'N70'!E30</f>
        <v>-3.5714285714285698E-2</v>
      </c>
      <c r="U21" s="5">
        <f>'N70'!H27-'N70'!E31</f>
        <v>-4.9999999999999989E-2</v>
      </c>
      <c r="V21" s="5">
        <f>'N70'!H27-'N70'!E32</f>
        <v>-6.4285714285714279E-2</v>
      </c>
      <c r="W21" s="5">
        <f>'N70'!H27-'N70'!E33</f>
        <v>-7.857142857142857E-2</v>
      </c>
      <c r="X21" s="5">
        <f>'N70'!H27-'N70'!E34</f>
        <v>-9.2857142857142833E-2</v>
      </c>
      <c r="Y21" s="5">
        <f>'N70'!H27-'N70'!E35</f>
        <v>-0.10714285714285712</v>
      </c>
      <c r="Z21" s="5">
        <f>'N70'!H27-'N70'!E36</f>
        <v>-0.12142857142857141</v>
      </c>
      <c r="AA21" s="5">
        <f>'N70'!H27-'N70'!E37</f>
        <v>-0.1357142857142857</v>
      </c>
      <c r="AB21" s="5">
        <f>'N70'!H27-'N70'!E38</f>
        <v>-0.15</v>
      </c>
      <c r="AC21" s="5">
        <f>'N70'!H27-'N70'!E39</f>
        <v>-0.16428571428571428</v>
      </c>
      <c r="AD21" s="5">
        <f>'N70'!H27-'N70'!E40</f>
        <v>-0.17857142857142858</v>
      </c>
      <c r="AE21" s="5">
        <f>'N70'!H27-'N70'!E41</f>
        <v>-0.19285714285714287</v>
      </c>
      <c r="AF21" s="5">
        <f>'N70'!H27-'N70'!E42</f>
        <v>-0.20714285714285716</v>
      </c>
      <c r="AG21" s="5">
        <f>'N70'!H27-'N70'!E43</f>
        <v>-0.22142857142857139</v>
      </c>
      <c r="AH21" s="5">
        <f>'N70'!H27-'N70'!E44</f>
        <v>-0.23571428571428568</v>
      </c>
      <c r="AI21" s="5">
        <f>'N70'!H27-'N70'!E45</f>
        <v>-0.24999999999999997</v>
      </c>
      <c r="AJ21" s="5">
        <f>'N70'!H27-'N70'!E46</f>
        <v>-0.26428571428571423</v>
      </c>
      <c r="AK21" s="5">
        <f>'N70'!H27-'N70'!E47</f>
        <v>-0.27857142857142858</v>
      </c>
      <c r="AL21" s="5">
        <f>'N70'!H27-'N70'!$E$48</f>
        <v>-0.29285714285714282</v>
      </c>
      <c r="AM21" s="5">
        <f>'N70'!H27-'N70'!$E$49</f>
        <v>-0.30714285714285716</v>
      </c>
      <c r="AN21" s="5">
        <f>'N70'!H27-'N70'!$E$50</f>
        <v>-0.3214285714285714</v>
      </c>
      <c r="AO21" s="5">
        <f>'N70'!H27-'N70'!$E$51</f>
        <v>-0.33571428571428574</v>
      </c>
      <c r="AP21" s="5">
        <f>'N70'!H27-'N70'!$E$52</f>
        <v>-0.35</v>
      </c>
      <c r="AQ21" s="5">
        <f>'N70'!H27-'N70'!$E$53</f>
        <v>-0.36428571428571432</v>
      </c>
      <c r="AR21" s="5">
        <f>'N70'!H27-'N70'!$E$54</f>
        <v>-0.37857142857142856</v>
      </c>
      <c r="AS21" s="5">
        <f>'N70'!H27-'N70'!$E$55</f>
        <v>-0.3928571428571429</v>
      </c>
      <c r="AT21" s="5">
        <f>'N70'!H27-'N70'!$E$56</f>
        <v>-0.40714285714285714</v>
      </c>
      <c r="AU21" s="5">
        <f>'N70'!H27-'N70'!$E$57</f>
        <v>-0.42142857142857149</v>
      </c>
      <c r="AV21" s="5">
        <f>'N70'!H27-'N70'!$E$58</f>
        <v>-0.43571428571428572</v>
      </c>
      <c r="AW21" s="5">
        <f>'N70'!H27-'N70'!$E$59</f>
        <v>-0.44999999999999996</v>
      </c>
      <c r="AX21" s="5">
        <f>'N70'!H27-'N70'!$E$60</f>
        <v>-0.4642857142857143</v>
      </c>
      <c r="AY21" s="5">
        <f>'N70'!H27-'N70'!$E$61</f>
        <v>-0.47857142857142854</v>
      </c>
      <c r="AZ21" s="5">
        <f>'N70'!H27-'N70'!$E$62</f>
        <v>-0.49285714285714288</v>
      </c>
      <c r="BA21" s="5">
        <f>'N70'!H27-'N70'!$E$63</f>
        <v>-0.50714285714285712</v>
      </c>
      <c r="BB21" s="5">
        <f>'N70'!H27-'N70'!$E$64</f>
        <v>-0.52142857142857146</v>
      </c>
      <c r="BC21" s="5">
        <f>'N70'!H27-'N70'!$E$65</f>
        <v>-0.5357142857142857</v>
      </c>
      <c r="BD21" s="5">
        <f>'N70'!H27-'N70'!$E$66</f>
        <v>-0.55000000000000004</v>
      </c>
      <c r="BE21" s="5">
        <f>'N70'!H27-'N70'!$E$67</f>
        <v>-0.56428571428571428</v>
      </c>
      <c r="BF21" s="5">
        <f>'N70'!H27-'N70'!$E$68</f>
        <v>-0.57857142857142863</v>
      </c>
      <c r="BG21" s="5">
        <f>'N70'!H27-'N70'!$E$69</f>
        <v>-0.59285714285714286</v>
      </c>
      <c r="BH21" s="5">
        <f>'N70'!H27-'N70'!$E$70</f>
        <v>-0.6071428571428571</v>
      </c>
      <c r="BI21" s="5">
        <f>'N70'!H27-'N70'!$E$71</f>
        <v>-0.62142857142857144</v>
      </c>
      <c r="BJ21" s="5">
        <f>'N70'!H27-'N70'!$E$72</f>
        <v>-0.63571428571428568</v>
      </c>
      <c r="BK21" s="5">
        <f>'N70'!H27-'N70'!$E$73</f>
        <v>-0.65</v>
      </c>
      <c r="BL21" s="5">
        <f>'N70'!H27-'N70'!$E$74</f>
        <v>-0.66428571428571426</v>
      </c>
      <c r="BM21" s="5">
        <f>'N70'!H27-'N70'!$E$75</f>
        <v>-0.6785714285714286</v>
      </c>
      <c r="BN21" s="5">
        <f>'N70'!H27-'N70'!$E$76</f>
        <v>-0.69285714285714284</v>
      </c>
      <c r="BO21" s="5">
        <f>'N70'!H27-'N70'!$E$77</f>
        <v>-0.70714285714285718</v>
      </c>
      <c r="BP21" s="5">
        <f>'N70'!H27-'N70'!$E$78</f>
        <v>-0.72142857142857142</v>
      </c>
      <c r="BQ21" s="5">
        <f>'N70'!H27-'N70'!$E$79</f>
        <v>-0.73571428571428577</v>
      </c>
      <c r="BR21" s="5">
        <f>'N70'!H27-'N70'!$E$80</f>
        <v>-0.75</v>
      </c>
      <c r="BS21" s="5">
        <f>'N70'!H27-'N70'!$E$81</f>
        <v>-0.76428571428571423</v>
      </c>
      <c r="BT21" s="5">
        <f>'N70'!H27-'N70'!$E$82</f>
        <v>-0.77857142857142858</v>
      </c>
      <c r="BU21" s="5">
        <f>'N70'!H27-'N70'!$E$83</f>
        <v>-0.79285714285714282</v>
      </c>
      <c r="BV21" s="5">
        <f>'N70'!H27-'N70'!$E$84</f>
        <v>-0.80714285714285716</v>
      </c>
      <c r="BW21" s="5">
        <f>'N70'!H27-'N70'!$E$85</f>
        <v>-0.8214285714285714</v>
      </c>
      <c r="BX21" s="5">
        <v>-1</v>
      </c>
      <c r="BY21" s="5"/>
      <c r="BZ21">
        <v>12</v>
      </c>
      <c r="CA21" s="5">
        <f>N70_DESARROLLO!CE106+N70_DESARROLLO!H106</f>
        <v>-4.4796309735795292E-2</v>
      </c>
      <c r="CB21" s="5">
        <f>N70_DESARROLLO!CF106+N70_DESARROLLO!I106</f>
        <v>-9.5382594982175606E-2</v>
      </c>
      <c r="CC21" s="5">
        <f>N70_DESARROLLO!CG106+N70_DESARROLLO!J106</f>
        <v>-0.1054584185205778</v>
      </c>
      <c r="CD21" s="5">
        <f>N70_DESARROLLO!CH106+N70_DESARROLLO!K106</f>
        <v>-0.11791996375048641</v>
      </c>
      <c r="CE21" s="5">
        <f>N70_DESARROLLO!CI106+N70_DESARROLLO!L106</f>
        <v>-0.13373123411929755</v>
      </c>
      <c r="CF21" s="5">
        <f>N70_DESARROLLO!CJ106+N70_DESARROLLO!M106</f>
        <v>-0.15445886474681403</v>
      </c>
      <c r="CG21" s="5">
        <f>N70_DESARROLLO!CK106+N70_DESARROLLO!N106</f>
        <v>-0.18283342438756944</v>
      </c>
      <c r="CH21" s="5">
        <f>N70_DESARROLLO!CL106+N70_DESARROLLO!O106</f>
        <v>-0.22408833054042498</v>
      </c>
      <c r="CI21" s="5">
        <f>N70_DESARROLLO!CM106+N70_DESARROLLO!P106</f>
        <v>-0.28973434150573318</v>
      </c>
      <c r="CJ21" s="5">
        <f>N70_DESARROLLO!CN106+N70_DESARROLLO!Q106</f>
        <v>-0.41141440075354585</v>
      </c>
      <c r="CK21" s="5">
        <f>N70_DESARROLLO!CO106+N70_DESARROLLO!R106</f>
        <v>-0.72775792963608066</v>
      </c>
      <c r="CL21" s="5">
        <f>N70_DESARROLLO!CP106+N70_DESARROLLO!S106</f>
        <v>-1.6479184659605346</v>
      </c>
      <c r="CM21" s="5">
        <f>N70_DESARROLLO!CQ106+N70_DESARROLLO!T106</f>
        <v>1.6479184659605346</v>
      </c>
      <c r="CN21" s="5">
        <f>N70_DESARROLLO!CR106+N70_DESARROLLO!U106</f>
        <v>0.72775792963607799</v>
      </c>
      <c r="CO21" s="5">
        <f>N70_DESARROLLO!CS106+N70_DESARROLLO!V106</f>
        <v>0.41141440075354885</v>
      </c>
      <c r="CP21" s="5">
        <f>N70_DESARROLLO!CT106+N70_DESARROLLO!W106</f>
        <v>0.28973434150573174</v>
      </c>
      <c r="CQ21" s="5">
        <f>N70_DESARROLLO!CU106+N70_DESARROLLO!X106</f>
        <v>0.22408833054042698</v>
      </c>
      <c r="CR21" s="5">
        <f>N70_DESARROLLO!CV106+N70_DESARROLLO!Y106</f>
        <v>0.182833424387566</v>
      </c>
      <c r="CS21" s="5">
        <f>N70_DESARROLLO!CW106+N70_DESARROLLO!Z106</f>
        <v>0.15445886474681569</v>
      </c>
      <c r="CT21" s="5">
        <f>N70_DESARROLLO!CX106+N70_DESARROLLO!AA106</f>
        <v>0.13373123411929855</v>
      </c>
      <c r="CU21" s="5">
        <f>N70_DESARROLLO!CY106+N70_DESARROLLO!AB106</f>
        <v>0.11791996375048619</v>
      </c>
      <c r="CV21" s="5">
        <f>N70_DESARROLLO!CZ106+N70_DESARROLLO!AC106</f>
        <v>0.10545841852057836</v>
      </c>
      <c r="CW21" s="5">
        <f>N70_DESARROLLO!DA106+N70_DESARROLLO!AD106</f>
        <v>9.5382594982175162E-2</v>
      </c>
      <c r="CX21" s="5">
        <f>N70_DESARROLLO!DB106+N70_DESARROLLO!AE106</f>
        <v>8.7066442319335247E-2</v>
      </c>
      <c r="CY21" s="5">
        <f>N70_DESARROLLO!DC106+N70_DESARROLLO!AF106</f>
        <v>8.0085554140357895E-2</v>
      </c>
      <c r="CZ21" s="5">
        <f>N70_DESARROLLO!DD106+N70_DESARROLLO!AG106</f>
        <v>7.4141965022337497E-2</v>
      </c>
      <c r="DA21" s="5">
        <f>N70_DESARROLLO!DE106+N70_DESARROLLO!AH106</f>
        <v>6.9020292350862489E-2</v>
      </c>
      <c r="DB21" s="5">
        <f>N70_DESARROLLO!DF106+N70_DESARROLLO!AI106</f>
        <v>6.4560961252485893E-2</v>
      </c>
      <c r="DC21" s="5">
        <f>N70_DESARROLLO!DG106+N70_DESARROLLO!AJ106</f>
        <v>6.0643218403522825E-2</v>
      </c>
      <c r="DD21" s="5">
        <f>N70_DESARROLLO!DH106+N70_DESARROLLO!AK106</f>
        <v>5.7173997129078447E-2</v>
      </c>
      <c r="DE21" s="5">
        <f>N70_DESARROLLO!DI106+N70_DESARROLLO!AL106</f>
        <v>5.4080408838154459E-2</v>
      </c>
      <c r="DF21" s="5">
        <f>N70_DESARROLLO!DJ106+N70_DESARROLLO!AM106</f>
        <v>5.130455332633288E-2</v>
      </c>
      <c r="DG21" s="5">
        <f>N70_DESARROLLO!DK106+N70_DESARROLLO!AN106</f>
        <v>4.8799853039083518E-2</v>
      </c>
      <c r="DH21" s="5">
        <f>N70_DESARROLLO!DL106+N70_DESARROLLO!AO106</f>
        <v>4.6528413377880606E-2</v>
      </c>
      <c r="DI21" s="5">
        <f>N70_DESARROLLO!DM106+N70_DESARROLLO!AP106</f>
        <v>4.4459088822771053E-2</v>
      </c>
      <c r="DJ21" s="5">
        <f>N70_DESARROLLO!DN106+N70_DESARROLLO!AQ106</f>
        <v>4.2566044021103977E-2</v>
      </c>
      <c r="DK21" s="5">
        <f>N70_DESARROLLO!DO106+N70_DESARROLLO!AR106</f>
        <v>4.0827668052543675E-2</v>
      </c>
      <c r="DL21" s="5">
        <f>N70_DESARROLLO!DP106+N70_DESARROLLO!AS106</f>
        <v>3.9225744685471353E-2</v>
      </c>
      <c r="DM21" s="5">
        <f>N70_DESARROLLO!DQ106+N70_DESARROLLO!AT106</f>
        <v>3.7744810855705468E-2</v>
      </c>
      <c r="DN21" s="5">
        <f>N70_DESARROLLO!DR106+N70_DESARROLLO!AU106</f>
        <v>3.6371655357429256E-2</v>
      </c>
      <c r="DO21" s="5">
        <f>N70_DESARROLLO!DS106+N70_DESARROLLO!AV106</f>
        <v>3.5094923244222698E-2</v>
      </c>
      <c r="DP21" s="5">
        <f>N70_DESARROLLO!DT106+N70_DESARROLLO!AW106</f>
        <v>3.3904800811315305E-2</v>
      </c>
      <c r="DQ21" s="5">
        <f>N70_DESARROLLO!DU106+N70_DESARROLLO!AX106</f>
        <v>3.2792762635869277E-2</v>
      </c>
      <c r="DR21" s="5">
        <f>N70_DESARROLLO!DV106+N70_DESARROLLO!AY106</f>
        <v>3.17513668626761E-2</v>
      </c>
      <c r="DS21" s="5">
        <f>N70_DESARROLLO!DW106+N70_DESARROLLO!AZ106</f>
        <v>3.0774088329705407E-2</v>
      </c>
      <c r="DT21" s="5">
        <f>N70_DESARROLLO!DX106+N70_DESARROLLO!BA106</f>
        <v>2.9855181616038617E-2</v>
      </c>
      <c r="DU21" s="5">
        <f>N70_DESARROLLO!DY106+N70_DESARROLLO!BB106</f>
        <v>2.8989567932948379E-2</v>
      </c>
      <c r="DV21" s="5">
        <f>N70_DESARROLLO!DZ106+N70_DESARROLLO!BC106</f>
        <v>2.8172741151794578E-2</v>
      </c>
      <c r="DW21" s="5">
        <f>N70_DESARROLLO!EA106+N70_DESARROLLO!BD106</f>
        <v>2.7400689293789693E-2</v>
      </c>
      <c r="DX21" s="5">
        <f>N70_DESARROLLO!EB106+N70_DESARROLLO!BE106</f>
        <v>2.6669828593228417E-2</v>
      </c>
      <c r="DY21" s="5">
        <f>N70_DESARROLLO!EC106+N70_DESARROLLO!BF106</f>
        <v>2.597694784486726E-2</v>
      </c>
      <c r="DZ21" s="5">
        <f>N70_DESARROLLO!ED106+N70_DESARROLLO!BG106</f>
        <v>2.5319161212288277E-2</v>
      </c>
      <c r="EA21" s="5">
        <f>N70_DESARROLLO!EE106+N70_DESARROLLO!BH106</f>
        <v>2.4693868032490518E-2</v>
      </c>
      <c r="EB21" s="5">
        <f>N70_DESARROLLO!EF106+N70_DESARROLLO!BI106</f>
        <v>2.4098718436564415E-2</v>
      </c>
      <c r="EC21" s="5">
        <f>N70_DESARROLLO!EG106+N70_DESARROLLO!BJ106</f>
        <v>2.3531583826950309E-2</v>
      </c>
      <c r="ED21" s="5">
        <f>N70_DESARROLLO!EH106+N70_DESARROLLO!BK106</f>
        <v>2.2990531429692429E-2</v>
      </c>
      <c r="EE21" s="5">
        <f>N70_DESARROLLO!EI106+N70_DESARROLLO!BL106</f>
        <v>2.247380228010265E-2</v>
      </c>
      <c r="EF21" s="5">
        <f>N70_DESARROLLO!EJ106+N70_DESARROLLO!BM106</f>
        <v>2.1979792112860164E-2</v>
      </c>
      <c r="EG21" s="5">
        <f>N70_DESARROLLO!EK106+N70_DESARROLLO!BN106</f>
        <v>2.1507034719707718E-2</v>
      </c>
      <c r="EH21" s="5">
        <f>N70_DESARROLLO!EL106+N70_DESARROLLO!BO106</f>
        <v>2.1054187410165737E-2</v>
      </c>
      <c r="EI21" s="5">
        <f>N70_DESARROLLO!EM106+N70_DESARROLLO!BP106</f>
        <v>2.0620018272172302E-2</v>
      </c>
      <c r="EJ21" s="5">
        <f>N70_DESARROLLO!EN106+N70_DESARROLLO!BQ106</f>
        <v>2.0203394977322597E-2</v>
      </c>
      <c r="EK21" s="5">
        <f>N70_DESARROLLO!EO106+N70_DESARROLLO!BR106</f>
        <v>1.9803274917309821E-2</v>
      </c>
      <c r="EL21" s="5">
        <f>N70_DESARROLLO!EP106+N70_DESARROLLO!BS106</f>
        <v>1.9418696489467702E-2</v>
      </c>
      <c r="EM21" s="5">
        <f>N70_DESARROLLO!EQ106+N70_DESARROLLO!BT106</f>
        <v>1.9048771379240659E-2</v>
      </c>
      <c r="EN21" s="5">
        <f>N70_DESARROLLO!ER106+N70_DESARROLLO!BU106</f>
        <v>1.8692677708205485E-2</v>
      </c>
      <c r="EO21" s="5">
        <f>N70_DESARROLLO!ES106+N70_DESARROLLO!BV106</f>
        <v>1.8349653936848398E-2</v>
      </c>
      <c r="EP21" s="5">
        <f>N70_DESARROLLO!ET106+N70_DESARROLLO!BW106</f>
        <v>1.8018993426872409E-2</v>
      </c>
      <c r="EQ21" s="5">
        <f>N70_DESARROLLO!EU106+N70_DESARROLLO!BX106</f>
        <v>1.7700039580939242E-2</v>
      </c>
      <c r="ER21" s="5">
        <f>N70_DESARROLLO!EV106+N70_DESARROLLO!BY106</f>
        <v>12.77846735751676</v>
      </c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>
        <v>12</v>
      </c>
      <c r="FD21" s="4">
        <v>1.6952121445119226E-3</v>
      </c>
      <c r="FE21" s="4">
        <v>3.6503677483395685E-3</v>
      </c>
      <c r="FF21" s="4">
        <v>5.2976242295883127E-3</v>
      </c>
      <c r="FG21" s="4">
        <v>7.1575354845098763E-3</v>
      </c>
      <c r="FH21" s="4">
        <v>9.4265112683498114E-3</v>
      </c>
      <c r="FI21" s="4">
        <v>1.2388471878103028E-2</v>
      </c>
      <c r="FJ21" s="4">
        <v>1.6538562086815478E-2</v>
      </c>
      <c r="FK21" s="4">
        <v>2.2863614137141275E-2</v>
      </c>
      <c r="FL21" s="4">
        <v>3.4307623465104256E-2</v>
      </c>
      <c r="FM21" s="4">
        <v>5.1708524556361518E-2</v>
      </c>
      <c r="FN21" s="4">
        <v>0.24242730658978046</v>
      </c>
      <c r="FO21" s="4">
        <v>-0.25325184386708788</v>
      </c>
      <c r="FP21" s="4">
        <v>-6.2551213204029649E-2</v>
      </c>
      <c r="FQ21" s="4">
        <v>-4.5187397041303895E-2</v>
      </c>
      <c r="FR21" s="4">
        <v>-3.3801095535877589E-2</v>
      </c>
      <c r="FS21" s="4">
        <v>-2.7557266268856431E-2</v>
      </c>
      <c r="FT21" s="4">
        <v>-2.3516597644095336E-2</v>
      </c>
      <c r="FU21" s="4">
        <v>-2.0699921698971269E-2</v>
      </c>
      <c r="FV21" s="4">
        <v>-1.8625277092906182E-2</v>
      </c>
      <c r="FW21" s="4">
        <v>-1.7034921529145233E-2</v>
      </c>
      <c r="FX21" s="4">
        <v>-1.5778230238902791E-2</v>
      </c>
      <c r="FY21" s="4">
        <v>-1.4761376077552242E-2</v>
      </c>
      <c r="FZ21" s="4">
        <v>-1.3922883123182052E-2</v>
      </c>
      <c r="GA21" s="4">
        <v>-1.3220799677196924E-2</v>
      </c>
      <c r="GB21" s="4">
        <v>-1.2625523274617561E-2</v>
      </c>
      <c r="GC21" s="4">
        <v>-1.2115572874730191E-2</v>
      </c>
      <c r="GD21" s="4">
        <v>-1.1674987114906599E-2</v>
      </c>
      <c r="GE21" s="4">
        <v>-1.1291663276802467E-2</v>
      </c>
      <c r="GF21" s="4">
        <v>-1.0956262866689539E-2</v>
      </c>
      <c r="GG21" s="4">
        <v>-1.0661470547421678E-2</v>
      </c>
      <c r="GH21" s="4">
        <v>-1.040148019920239E-2</v>
      </c>
      <c r="GI21" s="4">
        <v>-1.0171630914234382E-2</v>
      </c>
      <c r="GJ21" s="4">
        <v>-9.9681443325801318E-3</v>
      </c>
      <c r="GK21" s="4">
        <v>-9.7879319371558613E-3</v>
      </c>
      <c r="GL21" s="4">
        <v>-9.6284515716284873E-3</v>
      </c>
      <c r="GM21" s="4">
        <v>-9.4875991937719856E-3</v>
      </c>
      <c r="GN21" s="4">
        <v>-9.3636262521235511E-3</v>
      </c>
      <c r="GO21" s="4">
        <v>-9.2550759665749951E-3</v>
      </c>
      <c r="GP21" s="4">
        <v>-9.1607337419156339E-3</v>
      </c>
      <c r="GQ21" s="4">
        <v>-9.0795882755376877E-3</v>
      </c>
      <c r="GR21" s="4">
        <v>-9.0108008452098234E-3</v>
      </c>
      <c r="GS21" s="4">
        <v>-8.9536809095293046E-3</v>
      </c>
      <c r="GT21" s="4">
        <v>-8.9076666097552964E-3</v>
      </c>
      <c r="GU21" s="4">
        <v>-8.8723090793352468E-3</v>
      </c>
      <c r="GV21" s="4">
        <v>-8.8472596832877368E-3</v>
      </c>
      <c r="GW21" s="4">
        <v>-8.8322594417478018E-3</v>
      </c>
      <c r="GX21" s="4">
        <v>-8.8271299487248395E-3</v>
      </c>
      <c r="GY21" s="4">
        <v>-8.8317650748525756E-3</v>
      </c>
      <c r="GZ21" s="4">
        <v>-8.846122621393681E-3</v>
      </c>
      <c r="HA21" s="4">
        <v>-8.8702148346752573E-3</v>
      </c>
      <c r="HB21" s="4">
        <v>-8.9040962198403319E-3</v>
      </c>
      <c r="HC21" s="4">
        <v>-8.9478462824473561E-3</v>
      </c>
      <c r="HD21" s="4">
        <v>-9.0015434395154387E-3</v>
      </c>
      <c r="HE21" s="4">
        <v>-9.0652239564643355E-3</v>
      </c>
      <c r="HF21" s="4">
        <v>-9.1388155913294418E-3</v>
      </c>
      <c r="HG21" s="4">
        <v>-9.2220281549220146E-3</v>
      </c>
      <c r="HH21" s="4">
        <v>-9.314169436896837E-3</v>
      </c>
      <c r="HI21" s="4">
        <v>-9.4138287632722327E-3</v>
      </c>
      <c r="HJ21" s="4">
        <v>-9.5183186521642978E-3</v>
      </c>
      <c r="HK21" s="4">
        <v>-9.6226578150292365E-3</v>
      </c>
      <c r="HL21" s="4">
        <v>-9.7176446309118411E-3</v>
      </c>
      <c r="HM21" s="4">
        <v>-9.7860258692548854E-3</v>
      </c>
      <c r="HN21" s="4">
        <v>-9.7943914338341365E-3</v>
      </c>
      <c r="HO21" s="4">
        <v>-9.6747348074484284E-3</v>
      </c>
      <c r="HP21" s="4">
        <v>-9.2763371790379832E-3</v>
      </c>
      <c r="HQ21" s="4">
        <v>-8.2506294599354081E-3</v>
      </c>
      <c r="HR21" s="4">
        <v>-5.2208393903626108E-3</v>
      </c>
      <c r="HS21" s="4">
        <v>-1.2905980841635E-3</v>
      </c>
      <c r="HT21" s="4">
        <v>0.11571411428566666</v>
      </c>
      <c r="HU21" s="4">
        <v>-0.31470611957175398</v>
      </c>
    </row>
    <row r="22" spans="4:229" x14ac:dyDescent="0.25">
      <c r="D22" s="10">
        <v>13</v>
      </c>
      <c r="E22" s="5">
        <f>'N70'!E29-'N70'!E28</f>
        <v>1.428571428571429E-2</v>
      </c>
      <c r="F22" s="5">
        <f>'N70'!H28-'N70'!E16</f>
        <v>0.17857142857142858</v>
      </c>
      <c r="G22" s="5">
        <f>'N70'!H28-'N70'!E17</f>
        <v>0.16428571428571428</v>
      </c>
      <c r="H22" s="5">
        <f>'N70'!H28-'N70'!E18</f>
        <v>0.15</v>
      </c>
      <c r="I22" s="5">
        <f>'N70'!H28-'N70'!E19</f>
        <v>0.13571428571428573</v>
      </c>
      <c r="J22" s="5">
        <f>'N70'!H28-'N70'!E20</f>
        <v>0.12142857142857144</v>
      </c>
      <c r="K22" s="5">
        <f>'N70'!H28-'N70'!E21</f>
        <v>0.10714285714285715</v>
      </c>
      <c r="L22" s="5">
        <f>'N70'!H28-'N70'!E22</f>
        <v>9.285714285714286E-2</v>
      </c>
      <c r="M22" s="5">
        <f>'N70'!H28-'N70'!E23</f>
        <v>7.8571428571428584E-2</v>
      </c>
      <c r="N22" s="5">
        <f>'N70'!H28-'N70'!E24</f>
        <v>6.4285714285714293E-2</v>
      </c>
      <c r="O22" s="5">
        <f>'N70'!H28-'N70'!E25</f>
        <v>5.0000000000000017E-2</v>
      </c>
      <c r="P22" s="5">
        <f>'N70'!H28-'N70'!E26</f>
        <v>3.5714285714285726E-2</v>
      </c>
      <c r="Q22" s="5">
        <f>'N70'!H28-'N70'!E27</f>
        <v>2.1428571428571436E-2</v>
      </c>
      <c r="R22" s="5">
        <f>'N70'!H28-'N70'!E28</f>
        <v>7.1428571428571452E-3</v>
      </c>
      <c r="S22" s="5">
        <f>'N70'!H28-'N70'!E29</f>
        <v>-7.1428571428571452E-3</v>
      </c>
      <c r="T22" s="5">
        <f>'N70'!H28-'N70'!E30</f>
        <v>-2.1428571428571408E-2</v>
      </c>
      <c r="U22" s="5">
        <f>'N70'!H28-'N70'!E31</f>
        <v>-3.5714285714285698E-2</v>
      </c>
      <c r="V22" s="5">
        <f>'N70'!H28-'N70'!E32</f>
        <v>-4.9999999999999989E-2</v>
      </c>
      <c r="W22" s="5">
        <f>'N70'!H28-'N70'!E33</f>
        <v>-6.4285714285714279E-2</v>
      </c>
      <c r="X22" s="5">
        <f>'N70'!H28-'N70'!E34</f>
        <v>-7.8571428571428542E-2</v>
      </c>
      <c r="Y22" s="5">
        <f>'N70'!H28-'N70'!E35</f>
        <v>-9.2857142857142833E-2</v>
      </c>
      <c r="Z22" s="5">
        <f>'N70'!H28-'N70'!E36</f>
        <v>-0.10714285714285712</v>
      </c>
      <c r="AA22" s="5">
        <f>'N70'!H28-'N70'!E37</f>
        <v>-0.12142857142857141</v>
      </c>
      <c r="AB22" s="5">
        <f>'N70'!H28-'N70'!E38</f>
        <v>-0.1357142857142857</v>
      </c>
      <c r="AC22" s="5">
        <f>'N70'!H28-'N70'!E39</f>
        <v>-0.15</v>
      </c>
      <c r="AD22" s="5">
        <f>'N70'!H28-'N70'!E40</f>
        <v>-0.16428571428571428</v>
      </c>
      <c r="AE22" s="5">
        <f>'N70'!H28-'N70'!E41</f>
        <v>-0.17857142857142858</v>
      </c>
      <c r="AF22" s="5">
        <f>'N70'!H28-'N70'!E42</f>
        <v>-0.19285714285714287</v>
      </c>
      <c r="AG22" s="5">
        <f>'N70'!H28-'N70'!E43</f>
        <v>-0.2071428571428571</v>
      </c>
      <c r="AH22" s="5">
        <f>'N70'!H28-'N70'!E44</f>
        <v>-0.22142857142857139</v>
      </c>
      <c r="AI22" s="5">
        <f>'N70'!H28-'N70'!E45</f>
        <v>-0.23571428571428568</v>
      </c>
      <c r="AJ22" s="5">
        <f>'N70'!H28-'N70'!E46</f>
        <v>-0.24999999999999997</v>
      </c>
      <c r="AK22" s="5">
        <f>'N70'!H28-'N70'!E47</f>
        <v>-0.26428571428571423</v>
      </c>
      <c r="AL22" s="5">
        <f>'N70'!H28-'N70'!$E$48</f>
        <v>-0.27857142857142858</v>
      </c>
      <c r="AM22" s="5">
        <f>'N70'!H28-'N70'!$E$49</f>
        <v>-0.29285714285714282</v>
      </c>
      <c r="AN22" s="5">
        <f>'N70'!H28-'N70'!$E$50</f>
        <v>-0.30714285714285716</v>
      </c>
      <c r="AO22" s="5">
        <f>'N70'!H28-'N70'!$E$51</f>
        <v>-0.3214285714285714</v>
      </c>
      <c r="AP22" s="5">
        <f>'N70'!H28-'N70'!$E$52</f>
        <v>-0.33571428571428563</v>
      </c>
      <c r="AQ22" s="5">
        <f>'N70'!H28-'N70'!$E$53</f>
        <v>-0.35</v>
      </c>
      <c r="AR22" s="5">
        <f>'N70'!H28-'N70'!$E$54</f>
        <v>-0.36428571428571421</v>
      </c>
      <c r="AS22" s="5">
        <f>'N70'!H28-'N70'!$E$55</f>
        <v>-0.37857142857142856</v>
      </c>
      <c r="AT22" s="5">
        <f>'N70'!H28-'N70'!$E$56</f>
        <v>-0.39285714285714279</v>
      </c>
      <c r="AU22" s="5">
        <f>'N70'!H28-'N70'!$E$57</f>
        <v>-0.40714285714285714</v>
      </c>
      <c r="AV22" s="5">
        <f>'N70'!H28-'N70'!$E$58</f>
        <v>-0.42142857142857137</v>
      </c>
      <c r="AW22" s="5">
        <f>'N70'!H28-'N70'!$E$59</f>
        <v>-0.43571428571428561</v>
      </c>
      <c r="AX22" s="5">
        <f>'N70'!H28-'N70'!$E$60</f>
        <v>-0.44999999999999996</v>
      </c>
      <c r="AY22" s="5">
        <f>'N70'!H28-'N70'!$E$61</f>
        <v>-0.46428571428571419</v>
      </c>
      <c r="AZ22" s="5">
        <f>'N70'!H28-'N70'!$E$62</f>
        <v>-0.47857142857142854</v>
      </c>
      <c r="BA22" s="5">
        <f>'N70'!H28-'N70'!$E$63</f>
        <v>-0.49285714285714277</v>
      </c>
      <c r="BB22" s="5">
        <f>'N70'!H28-'N70'!$E$64</f>
        <v>-0.50714285714285712</v>
      </c>
      <c r="BC22" s="5">
        <f>'N70'!H28-'N70'!$E$65</f>
        <v>-0.52142857142857135</v>
      </c>
      <c r="BD22" s="5">
        <f>'N70'!H28-'N70'!$E$66</f>
        <v>-0.5357142857142857</v>
      </c>
      <c r="BE22" s="5">
        <f>'N70'!H28-'N70'!$E$67</f>
        <v>-0.54999999999999993</v>
      </c>
      <c r="BF22" s="5">
        <f>'N70'!H28-'N70'!$E$68</f>
        <v>-0.56428571428571428</v>
      </c>
      <c r="BG22" s="5">
        <f>'N70'!H28-'N70'!$E$69</f>
        <v>-0.57857142857142851</v>
      </c>
      <c r="BH22" s="5">
        <f>'N70'!H28-'N70'!$E$70</f>
        <v>-0.59285714285714275</v>
      </c>
      <c r="BI22" s="5">
        <f>'N70'!H28-'N70'!$E$71</f>
        <v>-0.6071428571428571</v>
      </c>
      <c r="BJ22" s="5">
        <f>'N70'!H28-'N70'!$E$72</f>
        <v>-0.62142857142857133</v>
      </c>
      <c r="BK22" s="5">
        <f>'N70'!H28-'N70'!$E$73</f>
        <v>-0.63571428571428568</v>
      </c>
      <c r="BL22" s="5">
        <f>'N70'!H28-'N70'!$E$74</f>
        <v>-0.64999999999999991</v>
      </c>
      <c r="BM22" s="5">
        <f>'N70'!H28-'N70'!$E$75</f>
        <v>-0.66428571428571426</v>
      </c>
      <c r="BN22" s="5">
        <f>'N70'!H28-'N70'!$E$76</f>
        <v>-0.67857142857142849</v>
      </c>
      <c r="BO22" s="5">
        <f>'N70'!H28-'N70'!$E$77</f>
        <v>-0.69285714285714284</v>
      </c>
      <c r="BP22" s="5">
        <f>'N70'!H28-'N70'!$E$78</f>
        <v>-0.70714285714285707</v>
      </c>
      <c r="BQ22" s="5">
        <f>'N70'!H28-'N70'!$E$79</f>
        <v>-0.72142857142857142</v>
      </c>
      <c r="BR22" s="5">
        <f>'N70'!H28-'N70'!$E$80</f>
        <v>-0.73571428571428565</v>
      </c>
      <c r="BS22" s="5">
        <f>'N70'!H28-'N70'!$E$81</f>
        <v>-0.74999999999999989</v>
      </c>
      <c r="BT22" s="5">
        <f>'N70'!H28-'N70'!$E$82</f>
        <v>-0.76428571428571423</v>
      </c>
      <c r="BU22" s="5">
        <f>'N70'!H28-'N70'!$E$83</f>
        <v>-0.77857142857142847</v>
      </c>
      <c r="BV22" s="5">
        <f>'N70'!H28-'N70'!$E$84</f>
        <v>-0.79285714285714282</v>
      </c>
      <c r="BW22" s="5">
        <f>'N70'!H28-'N70'!$E$85</f>
        <v>-0.80714285714285705</v>
      </c>
      <c r="BX22" s="5">
        <v>-1</v>
      </c>
      <c r="BY22" s="5"/>
      <c r="BZ22">
        <v>13</v>
      </c>
      <c r="CA22" s="5">
        <f>N70_DESARROLLO!CE107+N70_DESARROLLO!H107</f>
        <v>-4.1111478023141412E-2</v>
      </c>
      <c r="CB22" s="5">
        <f>N70_DESARROLLO!CF107+N70_DESARROLLO!I107</f>
        <v>-8.7066442319337245E-2</v>
      </c>
      <c r="CC22" s="5">
        <f>N70_DESARROLLO!CG107+N70_DESARROLLO!J107</f>
        <v>-9.5382594982176605E-2</v>
      </c>
      <c r="CD22" s="5">
        <f>N70_DESARROLLO!CH107+N70_DESARROLLO!K107</f>
        <v>-0.10545841852057625</v>
      </c>
      <c r="CE22" s="5">
        <f>N70_DESARROLLO!CI107+N70_DESARROLLO!L107</f>
        <v>-0.11791996375048563</v>
      </c>
      <c r="CF22" s="5">
        <f>N70_DESARROLLO!CJ107+N70_DESARROLLO!M107</f>
        <v>-0.13373123411929888</v>
      </c>
      <c r="CG22" s="5">
        <f>N70_DESARROLLO!CK107+N70_DESARROLLO!N107</f>
        <v>-0.15445886474681469</v>
      </c>
      <c r="CH22" s="5">
        <f>N70_DESARROLLO!CL107+N70_DESARROLLO!O107</f>
        <v>-0.18283342438756733</v>
      </c>
      <c r="CI22" s="5">
        <f>N70_DESARROLLO!CM107+N70_DESARROLLO!P107</f>
        <v>-0.22408833054042754</v>
      </c>
      <c r="CJ22" s="5">
        <f>N70_DESARROLLO!CN107+N70_DESARROLLO!Q107</f>
        <v>-0.28973434150573107</v>
      </c>
      <c r="CK22" s="5">
        <f>N70_DESARROLLO!CO107+N70_DESARROLLO!R107</f>
        <v>-0.41141440075354718</v>
      </c>
      <c r="CL22" s="5">
        <f>N70_DESARROLLO!CP107+N70_DESARROLLO!S107</f>
        <v>-0.72775792963608066</v>
      </c>
      <c r="CM22" s="5">
        <f>N70_DESARROLLO!CQ107+N70_DESARROLLO!T107</f>
        <v>-1.6479184659605346</v>
      </c>
      <c r="CN22" s="5">
        <f>N70_DESARROLLO!CR107+N70_DESARROLLO!U107</f>
        <v>1.6479184659605304</v>
      </c>
      <c r="CO22" s="5">
        <f>N70_DESARROLLO!CS107+N70_DESARROLLO!V107</f>
        <v>0.72775792963608199</v>
      </c>
      <c r="CP22" s="5">
        <f>N70_DESARROLLO!CT107+N70_DESARROLLO!W107</f>
        <v>0.41141440075354785</v>
      </c>
      <c r="CQ22" s="5">
        <f>N70_DESARROLLO!CU107+N70_DESARROLLO!X107</f>
        <v>0.28973434150573174</v>
      </c>
      <c r="CR22" s="5">
        <f>N70_DESARROLLO!CV107+N70_DESARROLLO!Y107</f>
        <v>0.22408833054042454</v>
      </c>
      <c r="CS22" s="5">
        <f>N70_DESARROLLO!CW107+N70_DESARROLLO!Z107</f>
        <v>0.18283342438756978</v>
      </c>
      <c r="CT22" s="5">
        <f>N70_DESARROLLO!CX107+N70_DESARROLLO!AA107</f>
        <v>0.15445886474681392</v>
      </c>
      <c r="CU22" s="5">
        <f>N70_DESARROLLO!CY107+N70_DESARROLLO!AB107</f>
        <v>0.13373123411929855</v>
      </c>
      <c r="CV22" s="5">
        <f>N70_DESARROLLO!CZ107+N70_DESARROLLO!AC107</f>
        <v>0.11791996375048619</v>
      </c>
      <c r="CW22" s="5">
        <f>N70_DESARROLLO!DA107+N70_DESARROLLO!AD107</f>
        <v>0.10545841852057836</v>
      </c>
      <c r="CX22" s="5">
        <f>N70_DESARROLLO!DB107+N70_DESARROLLO!AE107</f>
        <v>9.5382594982175162E-2</v>
      </c>
      <c r="CY22" s="5">
        <f>N70_DESARROLLO!DC107+N70_DESARROLLO!AF107</f>
        <v>8.7066442319335247E-2</v>
      </c>
      <c r="CZ22" s="5">
        <f>N70_DESARROLLO!DD107+N70_DESARROLLO!AG107</f>
        <v>8.0085554140357895E-2</v>
      </c>
      <c r="DA22" s="5">
        <f>N70_DESARROLLO!DE107+N70_DESARROLLO!AH107</f>
        <v>7.4141965022331502E-2</v>
      </c>
      <c r="DB22" s="5">
        <f>N70_DESARROLLO!DF107+N70_DESARROLLO!AI107</f>
        <v>6.9020292350874368E-2</v>
      </c>
      <c r="DC22" s="5">
        <f>N70_DESARROLLO!DG107+N70_DESARROLLO!AJ107</f>
        <v>6.456096125248012E-2</v>
      </c>
      <c r="DD22" s="5">
        <f>N70_DESARROLLO!DH107+N70_DESARROLLO!AK107</f>
        <v>6.0643218403522825E-2</v>
      </c>
      <c r="DE22" s="5">
        <f>N70_DESARROLLO!DI107+N70_DESARROLLO!AL107</f>
        <v>5.7173997129078447E-2</v>
      </c>
      <c r="DF22" s="5">
        <f>N70_DESARROLLO!DJ107+N70_DESARROLLO!AM107</f>
        <v>5.4080408838154459E-2</v>
      </c>
      <c r="DG22" s="5">
        <f>N70_DESARROLLO!DK107+N70_DESARROLLO!AN107</f>
        <v>5.130455332633288E-2</v>
      </c>
      <c r="DH22" s="5">
        <f>N70_DESARROLLO!DL107+N70_DESARROLLO!AO107</f>
        <v>4.8799853039083518E-2</v>
      </c>
      <c r="DI22" s="5">
        <f>N70_DESARROLLO!DM107+N70_DESARROLLO!AP107</f>
        <v>4.6528413377880606E-2</v>
      </c>
      <c r="DJ22" s="5">
        <f>N70_DESARROLLO!DN107+N70_DESARROLLO!AQ107</f>
        <v>4.4459088822760617E-2</v>
      </c>
      <c r="DK22" s="5">
        <f>N70_DESARROLLO!DO107+N70_DESARROLLO!AR107</f>
        <v>4.256604402112385E-2</v>
      </c>
      <c r="DL22" s="5">
        <f>N70_DESARROLLO!DP107+N70_DESARROLLO!AS107</f>
        <v>4.0827668052522692E-2</v>
      </c>
      <c r="DM22" s="5">
        <f>N70_DESARROLLO!DQ107+N70_DESARROLLO!AT107</f>
        <v>3.9225744685487451E-2</v>
      </c>
      <c r="DN22" s="5">
        <f>N70_DESARROLLO!DR107+N70_DESARROLLO!AU107</f>
        <v>3.774481085568826E-2</v>
      </c>
      <c r="DO22" s="5">
        <f>N70_DESARROLLO!DS107+N70_DESARROLLO!AV107</f>
        <v>3.6371655357452903E-2</v>
      </c>
      <c r="DP22" s="5">
        <f>N70_DESARROLLO!DT107+N70_DESARROLLO!AW107</f>
        <v>3.509492324420449E-2</v>
      </c>
      <c r="DQ22" s="5">
        <f>N70_DESARROLLO!DU107+N70_DESARROLLO!AX107</f>
        <v>3.3904800811321079E-2</v>
      </c>
      <c r="DR22" s="5">
        <f>N70_DESARROLLO!DV107+N70_DESARROLLO!AY107</f>
        <v>3.279276263587616E-2</v>
      </c>
      <c r="DS22" s="5">
        <f>N70_DESARROLLO!DW107+N70_DESARROLLO!AZ107</f>
        <v>3.1751366862662556E-2</v>
      </c>
      <c r="DT22" s="5">
        <f>N70_DESARROLLO!DX107+N70_DESARROLLO!BA107</f>
        <v>3.0774088329719285E-2</v>
      </c>
      <c r="DU22" s="5">
        <f>N70_DESARROLLO!DY107+N70_DESARROLLO!BB107</f>
        <v>2.9855181616024296E-2</v>
      </c>
      <c r="DV22" s="5">
        <f>N70_DESARROLLO!DZ107+N70_DESARROLLO!BC107</f>
        <v>2.8989567932963367E-2</v>
      </c>
      <c r="DW22" s="5">
        <f>N70_DESARROLLO!EA107+N70_DESARROLLO!BD107</f>
        <v>2.8172741151779368E-2</v>
      </c>
      <c r="DX22" s="5">
        <f>N70_DESARROLLO!EB107+N70_DESARROLLO!BE107</f>
        <v>2.7400689293805458E-2</v>
      </c>
      <c r="DY22" s="5">
        <f>N70_DESARROLLO!EC107+N70_DESARROLLO!BF107</f>
        <v>2.6669828593212208E-2</v>
      </c>
      <c r="DZ22" s="5">
        <f>N70_DESARROLLO!ED107+N70_DESARROLLO!BG107</f>
        <v>2.5976947844875475E-2</v>
      </c>
      <c r="EA22" s="5">
        <f>N70_DESARROLLO!EE107+N70_DESARROLLO!BH107</f>
        <v>2.5319161212279506E-2</v>
      </c>
      <c r="EB22" s="5">
        <f>N70_DESARROLLO!EF107+N70_DESARROLLO!BI107</f>
        <v>2.4693868032498956E-2</v>
      </c>
      <c r="EC22" s="5">
        <f>N70_DESARROLLO!EG107+N70_DESARROLLO!BJ107</f>
        <v>2.4098718436573741E-2</v>
      </c>
      <c r="ED22" s="5">
        <f>N70_DESARROLLO!EH107+N70_DESARROLLO!BK107</f>
        <v>2.3531583826931768E-2</v>
      </c>
      <c r="EE22" s="5">
        <f>N70_DESARROLLO!EI107+N70_DESARROLLO!BL107</f>
        <v>2.2990531429711081E-2</v>
      </c>
      <c r="EF22" s="5">
        <f>N70_DESARROLLO!EJ107+N70_DESARROLLO!BM107</f>
        <v>2.2473802280083444E-2</v>
      </c>
      <c r="EG22" s="5">
        <f>N70_DESARROLLO!EK107+N70_DESARROLLO!BN107</f>
        <v>2.1979792112879926E-2</v>
      </c>
      <c r="EH22" s="5">
        <f>N70_DESARROLLO!EL107+N70_DESARROLLO!BO107</f>
        <v>2.1507034719697726E-2</v>
      </c>
      <c r="EI22" s="5">
        <f>N70_DESARROLLO!EM107+N70_DESARROLLO!BP107</f>
        <v>2.1054187410176395E-2</v>
      </c>
      <c r="EJ22" s="5">
        <f>N70_DESARROLLO!EN107+N70_DESARROLLO!BQ107</f>
        <v>2.0620018272150986E-2</v>
      </c>
      <c r="EK22" s="5">
        <f>N70_DESARROLLO!EO107+N70_DESARROLLO!BR107</f>
        <v>2.0203394977344136E-2</v>
      </c>
      <c r="EL22" s="5">
        <f>N70_DESARROLLO!EP107+N70_DESARROLLO!BS107</f>
        <v>1.9803274917299052E-2</v>
      </c>
      <c r="EM22" s="5">
        <f>N70_DESARROLLO!EQ107+N70_DESARROLLO!BT107</f>
        <v>1.941869648946748E-2</v>
      </c>
      <c r="EN22" s="5">
        <f>N70_DESARROLLO!ER107+N70_DESARROLLO!BU107</f>
        <v>1.9048771379252427E-2</v>
      </c>
      <c r="EO22" s="5">
        <f>N70_DESARROLLO!ES107+N70_DESARROLLO!BV107</f>
        <v>1.8692677708193939E-2</v>
      </c>
      <c r="EP22" s="5">
        <f>N70_DESARROLLO!ET107+N70_DESARROLLO!BW107</f>
        <v>1.834965393686061E-2</v>
      </c>
      <c r="EQ22" s="5">
        <f>N70_DESARROLLO!EU107+N70_DESARROLLO!BX107</f>
        <v>1.8018993426860641E-2</v>
      </c>
      <c r="ER22" s="5">
        <f>N70_DESARROLLO!EV107+N70_DESARROLLO!BY107</f>
        <v>14.006724787221605</v>
      </c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>
        <v>13</v>
      </c>
      <c r="FD22" s="4">
        <v>1.4689299487825407E-3</v>
      </c>
      <c r="FE22" s="4">
        <v>3.1382407060205303E-3</v>
      </c>
      <c r="FF22" s="4">
        <v>4.5046690864880548E-3</v>
      </c>
      <c r="FG22" s="4">
        <v>6.0035151668459286E-3</v>
      </c>
      <c r="FH22" s="4">
        <v>7.7690636858940643E-3</v>
      </c>
      <c r="FI22" s="4">
        <v>9.9750745752769671E-3</v>
      </c>
      <c r="FJ22" s="4">
        <v>1.2890983686011864E-2</v>
      </c>
      <c r="FK22" s="4">
        <v>1.7005579029180526E-2</v>
      </c>
      <c r="FL22" s="4">
        <v>2.3302229279003731E-2</v>
      </c>
      <c r="FM22" s="4">
        <v>3.4722874398787851E-2</v>
      </c>
      <c r="FN22" s="4">
        <v>5.2104140397761414E-2</v>
      </c>
      <c r="FO22" s="4">
        <v>0.24280613859318692</v>
      </c>
      <c r="FP22" s="4">
        <v>-0.25288755836851617</v>
      </c>
      <c r="FQ22" s="4">
        <v>-6.2199680896450608E-2</v>
      </c>
      <c r="FR22" s="4">
        <v>-4.4847154816500583E-2</v>
      </c>
      <c r="FS22" s="4">
        <v>-3.3470931685549002E-2</v>
      </c>
      <c r="FT22" s="4">
        <v>-2.7236164375096242E-2</v>
      </c>
      <c r="FU22" s="4">
        <v>-2.3203695666080562E-2</v>
      </c>
      <c r="FV22" s="4">
        <v>-2.0394481520762668E-2</v>
      </c>
      <c r="FW22" s="4">
        <v>-1.8326661448638291E-2</v>
      </c>
      <c r="FX22" s="4">
        <v>-1.6742576243036784E-2</v>
      </c>
      <c r="FY22" s="4">
        <v>-1.5491670367293497E-2</v>
      </c>
      <c r="FZ22" s="4">
        <v>-1.4480174964855833E-2</v>
      </c>
      <c r="GA22" s="4">
        <v>-1.364666366777836E-2</v>
      </c>
      <c r="GB22" s="4">
        <v>-1.2949227297298433E-2</v>
      </c>
      <c r="GC22" s="4">
        <v>-1.2358300199138188E-2</v>
      </c>
      <c r="GD22" s="4">
        <v>-1.1852433479789506E-2</v>
      </c>
      <c r="GE22" s="4">
        <v>-1.1415694095334833E-2</v>
      </c>
      <c r="GF22" s="4">
        <v>-1.1036004492178062E-2</v>
      </c>
      <c r="GG22" s="4">
        <v>-1.0704048738456861E-2</v>
      </c>
      <c r="GH22" s="4">
        <v>-1.0412531911372674E-2</v>
      </c>
      <c r="GI22" s="4">
        <v>-1.0155666538514914E-2</v>
      </c>
      <c r="GJ22" s="4">
        <v>-9.9288089141860002E-3</v>
      </c>
      <c r="GK22" s="4">
        <v>-9.7281967102716641E-3</v>
      </c>
      <c r="GL22" s="4">
        <v>-9.5507565088194402E-3</v>
      </c>
      <c r="GM22" s="4">
        <v>-9.3939605270642965E-3</v>
      </c>
      <c r="GN22" s="4">
        <v>-9.2557185524465742E-3</v>
      </c>
      <c r="GO22" s="4">
        <v>-9.1342954785765297E-3</v>
      </c>
      <c r="GP22" s="4">
        <v>-9.0282477242216233E-3</v>
      </c>
      <c r="GQ22" s="4">
        <v>-8.9363737631459675E-3</v>
      </c>
      <c r="GR22" s="4">
        <v>-8.8576753229641005E-3</v>
      </c>
      <c r="GS22" s="4">
        <v>-8.7913267311095517E-3</v>
      </c>
      <c r="GT22" s="4">
        <v>-8.7366505287325372E-3</v>
      </c>
      <c r="GU22" s="4">
        <v>-8.6930979204902781E-3</v>
      </c>
      <c r="GV22" s="4">
        <v>-8.6602329353330926E-3</v>
      </c>
      <c r="GW22" s="4">
        <v>-8.6377193707689193E-3</v>
      </c>
      <c r="GX22" s="4">
        <v>-8.6253096977913397E-3</v>
      </c>
      <c r="GY22" s="4">
        <v>-8.6228351174628421E-3</v>
      </c>
      <c r="GZ22" s="4">
        <v>-8.6301958675854256E-3</v>
      </c>
      <c r="HA22" s="4">
        <v>-8.647350645068802E-3</v>
      </c>
      <c r="HB22" s="4">
        <v>-8.6743035649104148E-3</v>
      </c>
      <c r="HC22" s="4">
        <v>-8.7110862965103404E-3</v>
      </c>
      <c r="HD22" s="4">
        <v>-8.757731673516277E-3</v>
      </c>
      <c r="HE22" s="4">
        <v>-8.814232754016554E-3</v>
      </c>
      <c r="HF22" s="4">
        <v>-8.8804772441060647E-3</v>
      </c>
      <c r="HG22" s="4">
        <v>-8.9561399224994242E-3</v>
      </c>
      <c r="HH22" s="4">
        <v>-9.0405023102565641E-3</v>
      </c>
      <c r="HI22" s="4">
        <v>-9.1321433466536751E-3</v>
      </c>
      <c r="HJ22" s="4">
        <v>-9.228394436227097E-3</v>
      </c>
      <c r="HK22" s="4">
        <v>-9.3243479474744099E-3</v>
      </c>
      <c r="HL22" s="4">
        <v>-9.4109805991870413E-3</v>
      </c>
      <c r="HM22" s="4">
        <v>-9.4714240165177984E-3</v>
      </c>
      <c r="HN22" s="4">
        <v>-9.4730794429824707E-3</v>
      </c>
      <c r="HO22" s="4">
        <v>-9.349687200832086E-3</v>
      </c>
      <c r="HP22" s="4">
        <v>-8.9545610135939487E-3</v>
      </c>
      <c r="HQ22" s="4">
        <v>-7.9486944272794003E-3</v>
      </c>
      <c r="HR22" s="4">
        <v>-4.9945150199488513E-3</v>
      </c>
      <c r="HS22" s="4">
        <v>-1.1597896336513877E-3</v>
      </c>
      <c r="HT22" s="4">
        <v>0.11243158340297325</v>
      </c>
      <c r="HU22" s="4">
        <v>-0.30513962273611395</v>
      </c>
    </row>
    <row r="23" spans="4:229" x14ac:dyDescent="0.25">
      <c r="D23" s="10">
        <v>14</v>
      </c>
      <c r="E23" s="5">
        <f>'N70'!E30-'N70'!E29</f>
        <v>1.4285714285714263E-2</v>
      </c>
      <c r="F23" s="5">
        <f>'N70'!H29-'N70'!E16</f>
        <v>0.19285714285714284</v>
      </c>
      <c r="G23" s="5">
        <f>'N70'!H29-'N70'!E17</f>
        <v>0.17857142857142855</v>
      </c>
      <c r="H23" s="5">
        <f>'N70'!H29-'N70'!E18</f>
        <v>0.16428571428571426</v>
      </c>
      <c r="I23" s="5">
        <f>'N70'!H29-'N70'!E19</f>
        <v>0.14999999999999997</v>
      </c>
      <c r="J23" s="5">
        <f>'N70'!H29-'N70'!E20</f>
        <v>0.1357142857142857</v>
      </c>
      <c r="K23" s="5">
        <f>'N70'!H29-'N70'!E21</f>
        <v>0.12142857142857141</v>
      </c>
      <c r="L23" s="5">
        <f>'N70'!H29-'N70'!E22</f>
        <v>0.10714285714285712</v>
      </c>
      <c r="M23" s="5">
        <f>'N70'!H29-'N70'!E23</f>
        <v>9.2857142857142846E-2</v>
      </c>
      <c r="N23" s="5">
        <f>'N70'!H29-'N70'!E24</f>
        <v>7.8571428571428556E-2</v>
      </c>
      <c r="O23" s="5">
        <f>'N70'!H29-'N70'!E25</f>
        <v>6.4285714285714279E-2</v>
      </c>
      <c r="P23" s="5">
        <f>'N70'!H29-'N70'!E26</f>
        <v>4.9999999999999989E-2</v>
      </c>
      <c r="Q23" s="5">
        <f>'N70'!H29-'N70'!E27</f>
        <v>3.5714285714285698E-2</v>
      </c>
      <c r="R23" s="5">
        <f>'N70'!H29-'N70'!E28</f>
        <v>2.1428571428571408E-2</v>
      </c>
      <c r="S23" s="5">
        <f>'N70'!H29-'N70'!E29</f>
        <v>7.1428571428571175E-3</v>
      </c>
      <c r="T23" s="5">
        <f>'N70'!H29-'N70'!E30</f>
        <v>-7.1428571428571452E-3</v>
      </c>
      <c r="U23" s="5">
        <f>'N70'!H29-'N70'!E31</f>
        <v>-2.1428571428571436E-2</v>
      </c>
      <c r="V23" s="5">
        <f>'N70'!H29-'N70'!E32</f>
        <v>-3.5714285714285726E-2</v>
      </c>
      <c r="W23" s="5">
        <f>'N70'!H29-'N70'!E33</f>
        <v>-5.0000000000000017E-2</v>
      </c>
      <c r="X23" s="5">
        <f>'N70'!H29-'N70'!E34</f>
        <v>-6.4285714285714279E-2</v>
      </c>
      <c r="Y23" s="5">
        <f>'N70'!H29-'N70'!E35</f>
        <v>-7.857142857142857E-2</v>
      </c>
      <c r="Z23" s="5">
        <f>'N70'!H29-'N70'!E36</f>
        <v>-9.285714285714286E-2</v>
      </c>
      <c r="AA23" s="5">
        <f>'N70'!H29-'N70'!E37</f>
        <v>-0.10714285714285715</v>
      </c>
      <c r="AB23" s="5">
        <f>'N70'!H29-'N70'!E38</f>
        <v>-0.12142857142857144</v>
      </c>
      <c r="AC23" s="5">
        <f>'N70'!H29-'N70'!E39</f>
        <v>-0.13571428571428573</v>
      </c>
      <c r="AD23" s="5">
        <f>'N70'!H29-'N70'!E40</f>
        <v>-0.15000000000000002</v>
      </c>
      <c r="AE23" s="5">
        <f>'N70'!H29-'N70'!E41</f>
        <v>-0.16428571428571431</v>
      </c>
      <c r="AF23" s="5">
        <f>'N70'!H29-'N70'!E42</f>
        <v>-0.1785714285714286</v>
      </c>
      <c r="AG23" s="5">
        <f>'N70'!H29-'N70'!E43</f>
        <v>-0.19285714285714284</v>
      </c>
      <c r="AH23" s="5">
        <f>'N70'!H29-'N70'!E44</f>
        <v>-0.20714285714285713</v>
      </c>
      <c r="AI23" s="5">
        <f>'N70'!H29-'N70'!E45</f>
        <v>-0.22142857142857142</v>
      </c>
      <c r="AJ23" s="5">
        <f>'N70'!H29-'N70'!E46</f>
        <v>-0.23571428571428571</v>
      </c>
      <c r="AK23" s="5">
        <f>'N70'!H29-'N70'!E47</f>
        <v>-0.25</v>
      </c>
      <c r="AL23" s="5">
        <f>'N70'!H29-'N70'!$E$48</f>
        <v>-0.26428571428571429</v>
      </c>
      <c r="AM23" s="5">
        <f>'N70'!H29-'N70'!$E$49</f>
        <v>-0.27857142857142858</v>
      </c>
      <c r="AN23" s="5">
        <f>'N70'!H29-'N70'!$E$50</f>
        <v>-0.29285714285714287</v>
      </c>
      <c r="AO23" s="5">
        <f>'N70'!H29-'N70'!$E$51</f>
        <v>-0.30714285714285716</v>
      </c>
      <c r="AP23" s="5">
        <f>'N70'!H29-'N70'!$E$52</f>
        <v>-0.3214285714285714</v>
      </c>
      <c r="AQ23" s="5">
        <f>'N70'!H29-'N70'!$E$53</f>
        <v>-0.33571428571428574</v>
      </c>
      <c r="AR23" s="5">
        <f>'N70'!H29-'N70'!$E$54</f>
        <v>-0.35</v>
      </c>
      <c r="AS23" s="5">
        <f>'N70'!H29-'N70'!$E$55</f>
        <v>-0.36428571428571432</v>
      </c>
      <c r="AT23" s="5">
        <f>'N70'!H29-'N70'!$E$56</f>
        <v>-0.37857142857142856</v>
      </c>
      <c r="AU23" s="5">
        <f>'N70'!H29-'N70'!$E$57</f>
        <v>-0.3928571428571429</v>
      </c>
      <c r="AV23" s="5">
        <f>'N70'!H29-'N70'!$E$58</f>
        <v>-0.40714285714285714</v>
      </c>
      <c r="AW23" s="5">
        <f>'N70'!H29-'N70'!$E$59</f>
        <v>-0.42142857142857137</v>
      </c>
      <c r="AX23" s="5">
        <f>'N70'!H29-'N70'!$E$60</f>
        <v>-0.43571428571428572</v>
      </c>
      <c r="AY23" s="5">
        <f>'N70'!H29-'N70'!$E$61</f>
        <v>-0.44999999999999996</v>
      </c>
      <c r="AZ23" s="5">
        <f>'N70'!H29-'N70'!$E$62</f>
        <v>-0.4642857142857143</v>
      </c>
      <c r="BA23" s="5">
        <f>'N70'!H29-'N70'!$E$63</f>
        <v>-0.47857142857142854</v>
      </c>
      <c r="BB23" s="5">
        <f>'N70'!H29-'N70'!$E$64</f>
        <v>-0.49285714285714288</v>
      </c>
      <c r="BC23" s="5">
        <f>'N70'!H29-'N70'!$E$65</f>
        <v>-0.50714285714285712</v>
      </c>
      <c r="BD23" s="5">
        <f>'N70'!H29-'N70'!$E$66</f>
        <v>-0.52142857142857146</v>
      </c>
      <c r="BE23" s="5">
        <f>'N70'!H29-'N70'!$E$67</f>
        <v>-0.5357142857142857</v>
      </c>
      <c r="BF23" s="5">
        <f>'N70'!H29-'N70'!$E$68</f>
        <v>-0.55000000000000004</v>
      </c>
      <c r="BG23" s="5">
        <f>'N70'!H29-'N70'!$E$69</f>
        <v>-0.56428571428571428</v>
      </c>
      <c r="BH23" s="5">
        <f>'N70'!H29-'N70'!$E$70</f>
        <v>-0.57857142857142851</v>
      </c>
      <c r="BI23" s="5">
        <f>'N70'!H29-'N70'!$E$71</f>
        <v>-0.59285714285714286</v>
      </c>
      <c r="BJ23" s="5">
        <f>'N70'!H29-'N70'!$E$72</f>
        <v>-0.6071428571428571</v>
      </c>
      <c r="BK23" s="5">
        <f>'N70'!H29-'N70'!$E$73</f>
        <v>-0.62142857142857144</v>
      </c>
      <c r="BL23" s="5">
        <f>'N70'!H29-'N70'!$E$74</f>
        <v>-0.63571428571428568</v>
      </c>
      <c r="BM23" s="5">
        <f>'N70'!H29-'N70'!$E$75</f>
        <v>-0.65</v>
      </c>
      <c r="BN23" s="5">
        <f>'N70'!H29-'N70'!$E$76</f>
        <v>-0.66428571428571426</v>
      </c>
      <c r="BO23" s="5">
        <f>'N70'!H29-'N70'!$E$77</f>
        <v>-0.6785714285714286</v>
      </c>
      <c r="BP23" s="5">
        <f>'N70'!H29-'N70'!$E$78</f>
        <v>-0.69285714285714284</v>
      </c>
      <c r="BQ23" s="5">
        <f>'N70'!H29-'N70'!$E$79</f>
        <v>-0.70714285714285718</v>
      </c>
      <c r="BR23" s="5">
        <f>'N70'!H29-'N70'!$E$80</f>
        <v>-0.72142857142857142</v>
      </c>
      <c r="BS23" s="5">
        <f>'N70'!H29-'N70'!$E$81</f>
        <v>-0.73571428571428565</v>
      </c>
      <c r="BT23" s="5">
        <f>'N70'!H29-'N70'!$E$82</f>
        <v>-0.75</v>
      </c>
      <c r="BU23" s="5">
        <f>'N70'!H29-'N70'!$E$83</f>
        <v>-0.76428571428571423</v>
      </c>
      <c r="BV23" s="5">
        <f>'N70'!H29-'N70'!$E$84</f>
        <v>-0.77857142857142858</v>
      </c>
      <c r="BW23" s="5">
        <f>'N70'!H29-'N70'!$E$85</f>
        <v>-0.79285714285714282</v>
      </c>
      <c r="BX23" s="5">
        <v>-1</v>
      </c>
      <c r="BY23" s="5"/>
      <c r="BZ23">
        <v>14</v>
      </c>
      <c r="CA23" s="5">
        <f>N70_DESARROLLO!CE108+N70_DESARROLLO!H108</f>
        <v>-3.7986966558135382E-2</v>
      </c>
      <c r="CB23" s="5">
        <f>N70_DESARROLLO!CF108+N70_DESARROLLO!I108</f>
        <v>-8.0085554140355564E-2</v>
      </c>
      <c r="CC23" s="5">
        <f>N70_DESARROLLO!CG108+N70_DESARROLLO!J108</f>
        <v>-8.7066442319337245E-2</v>
      </c>
      <c r="CD23" s="5">
        <f>N70_DESARROLLO!CH108+N70_DESARROLLO!K108</f>
        <v>-9.5382594982176827E-2</v>
      </c>
      <c r="CE23" s="5">
        <f>N70_DESARROLLO!CI108+N70_DESARROLLO!L108</f>
        <v>-0.10545841852057625</v>
      </c>
      <c r="CF23" s="5">
        <f>N70_DESARROLLO!CJ108+N70_DESARROLLO!M108</f>
        <v>-0.11791996375048563</v>
      </c>
      <c r="CG23" s="5">
        <f>N70_DESARROLLO!CK108+N70_DESARROLLO!N108</f>
        <v>-0.13373123411929977</v>
      </c>
      <c r="CH23" s="5">
        <f>N70_DESARROLLO!CL108+N70_DESARROLLO!O108</f>
        <v>-0.15445886474681214</v>
      </c>
      <c r="CI23" s="5">
        <f>N70_DESARROLLO!CM108+N70_DESARROLLO!P108</f>
        <v>-0.18283342438756967</v>
      </c>
      <c r="CJ23" s="5">
        <f>N70_DESARROLLO!CN108+N70_DESARROLLO!Q108</f>
        <v>-0.22408833054042587</v>
      </c>
      <c r="CK23" s="5">
        <f>N70_DESARROLLO!CO108+N70_DESARROLLO!R108</f>
        <v>-0.28973434150573196</v>
      </c>
      <c r="CL23" s="5">
        <f>N70_DESARROLLO!CP108+N70_DESARROLLO!S108</f>
        <v>-0.41141440075354807</v>
      </c>
      <c r="CM23" s="5">
        <f>N70_DESARROLLO!CQ108+N70_DESARROLLO!T108</f>
        <v>-0.72775792963608232</v>
      </c>
      <c r="CN23" s="5">
        <f>N70_DESARROLLO!CR108+N70_DESARROLLO!U108</f>
        <v>-1.6479184659605361</v>
      </c>
      <c r="CO23" s="5">
        <f>N70_DESARROLLO!CS108+N70_DESARROLLO!V108</f>
        <v>1.6479184659605346</v>
      </c>
      <c r="CP23" s="5">
        <f>N70_DESARROLLO!CT108+N70_DESARROLLO!W108</f>
        <v>0.72775792963608066</v>
      </c>
      <c r="CQ23" s="5">
        <f>N70_DESARROLLO!CU108+N70_DESARROLLO!X108</f>
        <v>0.41141440075354718</v>
      </c>
      <c r="CR23" s="5">
        <f>N70_DESARROLLO!CV108+N70_DESARROLLO!Y108</f>
        <v>0.2897343415057293</v>
      </c>
      <c r="CS23" s="5">
        <f>N70_DESARROLLO!CW108+N70_DESARROLLO!Z108</f>
        <v>0.22408833054042843</v>
      </c>
      <c r="CT23" s="5">
        <f>N70_DESARROLLO!CX108+N70_DESARROLLO!AA108</f>
        <v>0.18283342438756867</v>
      </c>
      <c r="CU23" s="5">
        <f>N70_DESARROLLO!CY108+N70_DESARROLLO!AB108</f>
        <v>0.15445886474681392</v>
      </c>
      <c r="CV23" s="5">
        <f>N70_DESARROLLO!CZ108+N70_DESARROLLO!AC108</f>
        <v>0.13373123411929844</v>
      </c>
      <c r="CW23" s="5">
        <f>N70_DESARROLLO!DA108+N70_DESARROLLO!AD108</f>
        <v>0.11791996375048619</v>
      </c>
      <c r="CX23" s="5">
        <f>N70_DESARROLLO!DB108+N70_DESARROLLO!AE108</f>
        <v>0.10545841852057869</v>
      </c>
      <c r="CY23" s="5">
        <f>N70_DESARROLLO!DC108+N70_DESARROLLO!AF108</f>
        <v>9.538259498217494E-2</v>
      </c>
      <c r="CZ23" s="5">
        <f>N70_DESARROLLO!DD108+N70_DESARROLLO!AG108</f>
        <v>8.7066442319335136E-2</v>
      </c>
      <c r="DA23" s="5">
        <f>N70_DESARROLLO!DE108+N70_DESARROLLO!AH108</f>
        <v>8.0085554140352122E-2</v>
      </c>
      <c r="DB23" s="5">
        <f>N70_DESARROLLO!DF108+N70_DESARROLLO!AI108</f>
        <v>7.4141965022342493E-2</v>
      </c>
      <c r="DC23" s="5">
        <f>N70_DESARROLLO!DG108+N70_DESARROLLO!AJ108</f>
        <v>6.9020292350869261E-2</v>
      </c>
      <c r="DD23" s="5">
        <f>N70_DESARROLLO!DH108+N70_DESARROLLO!AK108</f>
        <v>6.4560961252480009E-2</v>
      </c>
      <c r="DE23" s="5">
        <f>N70_DESARROLLO!DI108+N70_DESARROLLO!AL108</f>
        <v>6.0643218403522936E-2</v>
      </c>
      <c r="DF23" s="5">
        <f>N70_DESARROLLO!DJ108+N70_DESARROLLO!AM108</f>
        <v>5.7173997129078669E-2</v>
      </c>
      <c r="DG23" s="5">
        <f>N70_DESARROLLO!DK108+N70_DESARROLLO!AN108</f>
        <v>5.4080408838150018E-2</v>
      </c>
      <c r="DH23" s="5">
        <f>N70_DESARROLLO!DL108+N70_DESARROLLO!AO108</f>
        <v>5.1304553326341429E-2</v>
      </c>
      <c r="DI23" s="5">
        <f>N70_DESARROLLO!DM108+N70_DESARROLLO!AP108</f>
        <v>4.8799853039074859E-2</v>
      </c>
      <c r="DJ23" s="5">
        <f>N70_DESARROLLO!DN108+N70_DESARROLLO!AQ108</f>
        <v>4.6528413377884714E-2</v>
      </c>
      <c r="DK23" s="5">
        <f>N70_DESARROLLO!DO108+N70_DESARROLLO!AR108</f>
        <v>4.4459088822771053E-2</v>
      </c>
      <c r="DL23" s="5">
        <f>N70_DESARROLLO!DP108+N70_DESARROLLO!AS108</f>
        <v>4.2566044021103977E-2</v>
      </c>
      <c r="DM23" s="5">
        <f>N70_DESARROLLO!DQ108+N70_DESARROLLO!AT108</f>
        <v>4.0827668052543675E-2</v>
      </c>
      <c r="DN23" s="5">
        <f>N70_DESARROLLO!DR108+N70_DESARROLLO!AU108</f>
        <v>3.9225744685471353E-2</v>
      </c>
      <c r="DO23" s="5">
        <f>N70_DESARROLLO!DS108+N70_DESARROLLO!AV108</f>
        <v>3.7744810855705468E-2</v>
      </c>
      <c r="DP23" s="5">
        <f>N70_DESARROLLO!DT108+N70_DESARROLLO!AW108</f>
        <v>3.6371655357429256E-2</v>
      </c>
      <c r="DQ23" s="5">
        <f>N70_DESARROLLO!DU108+N70_DESARROLLO!AX108</f>
        <v>3.5094923244216036E-2</v>
      </c>
      <c r="DR23" s="5">
        <f>N70_DESARROLLO!DV108+N70_DESARROLLO!AY108</f>
        <v>3.3904800811327962E-2</v>
      </c>
      <c r="DS23" s="5">
        <f>N70_DESARROLLO!DW108+N70_DESARROLLO!AZ108</f>
        <v>3.2792762635863171E-2</v>
      </c>
      <c r="DT23" s="5">
        <f>N70_DESARROLLO!DX108+N70_DESARROLLO!BA108</f>
        <v>3.17513668626761E-2</v>
      </c>
      <c r="DU23" s="5">
        <f>N70_DESARROLLO!DY108+N70_DESARROLLO!BB108</f>
        <v>3.0774088329705407E-2</v>
      </c>
      <c r="DV23" s="5">
        <f>N70_DESARROLLO!DZ108+N70_DESARROLLO!BC108</f>
        <v>2.9855181616038617E-2</v>
      </c>
      <c r="DW23" s="5">
        <f>N70_DESARROLLO!EA108+N70_DESARROLLO!BD108</f>
        <v>2.8989567932948379E-2</v>
      </c>
      <c r="DX23" s="5">
        <f>N70_DESARROLLO!EB108+N70_DESARROLLO!BE108</f>
        <v>2.8172741151794578E-2</v>
      </c>
      <c r="DY23" s="5">
        <f>N70_DESARROLLO!EC108+N70_DESARROLLO!BF108</f>
        <v>2.7400689293789693E-2</v>
      </c>
      <c r="DZ23" s="5">
        <f>N70_DESARROLLO!ED108+N70_DESARROLLO!BG108</f>
        <v>2.6669828593228417E-2</v>
      </c>
      <c r="EA23" s="5">
        <f>N70_DESARROLLO!EE108+N70_DESARROLLO!BH108</f>
        <v>2.597694784486726E-2</v>
      </c>
      <c r="EB23" s="5">
        <f>N70_DESARROLLO!EF108+N70_DESARROLLO!BI108</f>
        <v>2.5319161212279395E-2</v>
      </c>
      <c r="EC23" s="5">
        <f>N70_DESARROLLO!EG108+N70_DESARROLLO!BJ108</f>
        <v>2.469386803250806E-2</v>
      </c>
      <c r="ED23" s="5">
        <f>N70_DESARROLLO!EH108+N70_DESARROLLO!BK108</f>
        <v>2.4098718436555866E-2</v>
      </c>
      <c r="EE23" s="5">
        <f>N70_DESARROLLO!EI108+N70_DESARROLLO!BL108</f>
        <v>2.3531583826950309E-2</v>
      </c>
      <c r="EF23" s="5">
        <f>N70_DESARROLLO!EJ108+N70_DESARROLLO!BM108</f>
        <v>2.2990531429692429E-2</v>
      </c>
      <c r="EG23" s="5">
        <f>N70_DESARROLLO!EK108+N70_DESARROLLO!BN108</f>
        <v>2.247380228010265E-2</v>
      </c>
      <c r="EH23" s="5">
        <f>N70_DESARROLLO!EL108+N70_DESARROLLO!BO108</f>
        <v>2.1979792112860164E-2</v>
      </c>
      <c r="EI23" s="5">
        <f>N70_DESARROLLO!EM108+N70_DESARROLLO!BP108</f>
        <v>2.1507034719707718E-2</v>
      </c>
      <c r="EJ23" s="5">
        <f>N70_DESARROLLO!EN108+N70_DESARROLLO!BQ108</f>
        <v>2.1054187410165737E-2</v>
      </c>
      <c r="EK23" s="5">
        <f>N70_DESARROLLO!EO108+N70_DESARROLLO!BR108</f>
        <v>2.0620018272172302E-2</v>
      </c>
      <c r="EL23" s="5">
        <f>N70_DESARROLLO!EP108+N70_DESARROLLO!BS108</f>
        <v>2.0203394977322597E-2</v>
      </c>
      <c r="EM23" s="5">
        <f>N70_DESARROLLO!EQ108+N70_DESARROLLO!BT108</f>
        <v>1.9803274917309599E-2</v>
      </c>
      <c r="EN23" s="5">
        <f>N70_DESARROLLO!ER108+N70_DESARROLLO!BU108</f>
        <v>1.9418696489467702E-2</v>
      </c>
      <c r="EO23" s="5">
        <f>N70_DESARROLLO!ES108+N70_DESARROLLO!BV108</f>
        <v>1.9048771379240881E-2</v>
      </c>
      <c r="EP23" s="5">
        <f>N70_DESARROLLO!ET108+N70_DESARROLLO!BW108</f>
        <v>1.8692677708205485E-2</v>
      </c>
      <c r="EQ23" s="5">
        <f>N70_DESARROLLO!EU108+N70_DESARROLLO!BX108</f>
        <v>1.8349653936848398E-2</v>
      </c>
      <c r="ER23" s="5">
        <f>N70_DESARROLLO!EV108+N70_DESARROLLO!BY108</f>
        <v>15.256919405892425</v>
      </c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>
        <v>14</v>
      </c>
      <c r="FD23" s="4">
        <v>1.2869873340589511E-3</v>
      </c>
      <c r="FE23" s="4">
        <v>2.7315224582483018E-3</v>
      </c>
      <c r="FF23" s="4">
        <v>3.8857319776698968E-3</v>
      </c>
      <c r="FG23" s="4">
        <v>5.1221527628579726E-3</v>
      </c>
      <c r="FH23" s="4">
        <v>6.5383133531690023E-3</v>
      </c>
      <c r="FI23" s="4">
        <v>8.2486617239714843E-3</v>
      </c>
      <c r="FJ23" s="4">
        <v>1.0414280131245712E-2</v>
      </c>
      <c r="FK23" s="4">
        <v>1.3299039314935613E-2</v>
      </c>
      <c r="FL23" s="4">
        <v>1.7388694743614957E-2</v>
      </c>
      <c r="FM23" s="4">
        <v>2.3664815212997153E-2</v>
      </c>
      <c r="FN23" s="4">
        <v>3.5068194788529398E-2</v>
      </c>
      <c r="FO23" s="4">
        <v>5.2434690598306265E-2</v>
      </c>
      <c r="FP23" s="4">
        <v>0.24312387617675787</v>
      </c>
      <c r="FQ23" s="4">
        <v>-0.252581064847334</v>
      </c>
      <c r="FR23" s="4">
        <v>-6.1903152244864396E-2</v>
      </c>
      <c r="FS23" s="4">
        <v>-4.4559532201557062E-2</v>
      </c>
      <c r="FT23" s="4">
        <v>-3.3191327506771839E-2</v>
      </c>
      <c r="FU23" s="4">
        <v>-2.6963826445050399E-2</v>
      </c>
      <c r="FV23" s="4">
        <v>-2.2937980552924477E-2</v>
      </c>
      <c r="FW23" s="4">
        <v>-2.0134834352678248E-2</v>
      </c>
      <c r="FX23" s="4">
        <v>-1.8072600374166078E-2</v>
      </c>
      <c r="FY23" s="4">
        <v>-1.6493680310288576E-2</v>
      </c>
      <c r="FZ23" s="4">
        <v>-1.5247569956893152E-2</v>
      </c>
      <c r="GA23" s="4">
        <v>-1.4240544160283575E-2</v>
      </c>
      <c r="GB23" s="4">
        <v>-1.3411214116703913E-2</v>
      </c>
      <c r="GC23" s="4">
        <v>-1.2717703235718214E-2</v>
      </c>
      <c r="GD23" s="4">
        <v>-1.2130474393878427E-2</v>
      </c>
      <c r="GE23" s="4">
        <v>-1.1628103905143745E-2</v>
      </c>
      <c r="GF23" s="4">
        <v>-1.1194681203583721E-2</v>
      </c>
      <c r="GG23" s="4">
        <v>-1.0818148970137111E-2</v>
      </c>
      <c r="GH23" s="4">
        <v>-1.0489209666559102E-2</v>
      </c>
      <c r="GI23" s="4">
        <v>-1.0200585260081092E-2</v>
      </c>
      <c r="GJ23" s="4">
        <v>-9.9465039508348143E-3</v>
      </c>
      <c r="GK23" s="4">
        <v>-9.7223367337482009E-3</v>
      </c>
      <c r="GL23" s="4">
        <v>-9.5243352224982196E-3</v>
      </c>
      <c r="GM23" s="4">
        <v>-9.3494393687886916E-3</v>
      </c>
      <c r="GN23" s="4">
        <v>-9.1951343518637731E-3</v>
      </c>
      <c r="GO23" s="4">
        <v>-9.0593426584972721E-3</v>
      </c>
      <c r="GP23" s="4">
        <v>-8.9403417452328E-3</v>
      </c>
      <c r="GQ23" s="4">
        <v>-8.8367005635968891E-3</v>
      </c>
      <c r="GR23" s="4">
        <v>-8.7472301727102506E-3</v>
      </c>
      <c r="GS23" s="4">
        <v>-8.6709449895731681E-3</v>
      </c>
      <c r="GT23" s="4">
        <v>-8.6070321432340433E-3</v>
      </c>
      <c r="GU23" s="4">
        <v>-8.5548270330629891E-3</v>
      </c>
      <c r="GV23" s="4">
        <v>-8.51379362811382E-3</v>
      </c>
      <c r="GW23" s="4">
        <v>-8.4835083335535882E-3</v>
      </c>
      <c r="GX23" s="4">
        <v>-8.463646420493888E-3</v>
      </c>
      <c r="GY23" s="4">
        <v>-8.4539700779746874E-3</v>
      </c>
      <c r="GZ23" s="4">
        <v>-8.4543170905149283E-3</v>
      </c>
      <c r="HA23" s="4">
        <v>-8.4645889425818636E-3</v>
      </c>
      <c r="HB23" s="4">
        <v>-8.4847367351049644E-3</v>
      </c>
      <c r="HC23" s="4">
        <v>-8.5147425499279249E-3</v>
      </c>
      <c r="HD23" s="4">
        <v>-8.5545925934100934E-3</v>
      </c>
      <c r="HE23" s="4">
        <v>-8.6042361906657171E-3</v>
      </c>
      <c r="HF23" s="4">
        <v>-8.6635207359000606E-3</v>
      </c>
      <c r="HG23" s="4">
        <v>-8.7320856009950893E-3</v>
      </c>
      <c r="HH23" s="4">
        <v>-8.8091849272084882E-3</v>
      </c>
      <c r="HI23" s="4">
        <v>-8.8933843486021565E-3</v>
      </c>
      <c r="HJ23" s="4">
        <v>-8.982027512398268E-3</v>
      </c>
      <c r="HK23" s="4">
        <v>-9.0702665142672681E-3</v>
      </c>
      <c r="HL23" s="4">
        <v>-9.1492283195615028E-3</v>
      </c>
      <c r="HM23" s="4">
        <v>-9.2023732290432963E-3</v>
      </c>
      <c r="HN23" s="4">
        <v>-9.197799625049961E-3</v>
      </c>
      <c r="HO23" s="4">
        <v>-9.0707533953364623E-3</v>
      </c>
      <c r="HP23" s="4">
        <v>-8.6780297443847017E-3</v>
      </c>
      <c r="HQ23" s="4">
        <v>-7.6888853218105083E-3</v>
      </c>
      <c r="HR23" s="4">
        <v>-4.7996513893265496E-3</v>
      </c>
      <c r="HS23" s="4">
        <v>-1.0470034382291701E-3</v>
      </c>
      <c r="HT23" s="4">
        <v>0.10959097945823443</v>
      </c>
      <c r="HU23" s="4">
        <v>-0.29685707025739494</v>
      </c>
    </row>
    <row r="24" spans="4:229" x14ac:dyDescent="0.25">
      <c r="D24" s="10">
        <v>15</v>
      </c>
      <c r="E24" s="5">
        <f>'N70'!E31-'N70'!E30</f>
        <v>1.428571428571429E-2</v>
      </c>
      <c r="F24" s="5">
        <f>'N70'!H30-'N70'!E16</f>
        <v>0.20714285714285713</v>
      </c>
      <c r="G24" s="5">
        <f>'N70'!H30-'N70'!E17</f>
        <v>0.19285714285714284</v>
      </c>
      <c r="H24" s="5">
        <f>'N70'!H30-'N70'!E18</f>
        <v>0.17857142857142855</v>
      </c>
      <c r="I24" s="5">
        <f>'N70'!H30-'N70'!E19</f>
        <v>0.16428571428571426</v>
      </c>
      <c r="J24" s="5">
        <f>'N70'!H30-'N70'!E20</f>
        <v>0.15</v>
      </c>
      <c r="K24" s="5">
        <f>'N70'!H30-'N70'!E21</f>
        <v>0.1357142857142857</v>
      </c>
      <c r="L24" s="5">
        <f>'N70'!H30-'N70'!E22</f>
        <v>0.12142857142857141</v>
      </c>
      <c r="M24" s="5">
        <f>'N70'!H30-'N70'!E23</f>
        <v>0.10714285714285714</v>
      </c>
      <c r="N24" s="5">
        <f>'N70'!H30-'N70'!E24</f>
        <v>9.2857142857142846E-2</v>
      </c>
      <c r="O24" s="5">
        <f>'N70'!H30-'N70'!E25</f>
        <v>7.857142857142857E-2</v>
      </c>
      <c r="P24" s="5">
        <f>'N70'!H30-'N70'!E26</f>
        <v>6.4285714285714279E-2</v>
      </c>
      <c r="Q24" s="5">
        <f>'N70'!H30-'N70'!E27</f>
        <v>4.9999999999999989E-2</v>
      </c>
      <c r="R24" s="5">
        <f>'N70'!H30-'N70'!E28</f>
        <v>3.5714285714285698E-2</v>
      </c>
      <c r="S24" s="5">
        <f>'N70'!H30-'N70'!E29</f>
        <v>2.1428571428571408E-2</v>
      </c>
      <c r="T24" s="5">
        <f>'N70'!H30-'N70'!E30</f>
        <v>7.1428571428571452E-3</v>
      </c>
      <c r="U24" s="5">
        <f>'N70'!H30-'N70'!E31</f>
        <v>-7.1428571428571452E-3</v>
      </c>
      <c r="V24" s="5">
        <f>'N70'!H30-'N70'!E32</f>
        <v>-2.1428571428571436E-2</v>
      </c>
      <c r="W24" s="5">
        <f>'N70'!H30-'N70'!E33</f>
        <v>-3.5714285714285726E-2</v>
      </c>
      <c r="X24" s="5">
        <f>'N70'!H30-'N70'!E34</f>
        <v>-4.9999999999999989E-2</v>
      </c>
      <c r="Y24" s="5">
        <f>'N70'!H30-'N70'!E35</f>
        <v>-6.4285714285714279E-2</v>
      </c>
      <c r="Z24" s="5">
        <f>'N70'!H30-'N70'!E36</f>
        <v>-7.857142857142857E-2</v>
      </c>
      <c r="AA24" s="5">
        <f>'N70'!H30-'N70'!E37</f>
        <v>-9.285714285714286E-2</v>
      </c>
      <c r="AB24" s="5">
        <f>'N70'!H30-'N70'!E38</f>
        <v>-0.10714285714285715</v>
      </c>
      <c r="AC24" s="5">
        <f>'N70'!H30-'N70'!E39</f>
        <v>-0.12142857142857144</v>
      </c>
      <c r="AD24" s="5">
        <f>'N70'!H30-'N70'!E40</f>
        <v>-0.13571428571428573</v>
      </c>
      <c r="AE24" s="5">
        <f>'N70'!H30-'N70'!E41</f>
        <v>-0.15000000000000002</v>
      </c>
      <c r="AF24" s="5">
        <f>'N70'!H30-'N70'!E42</f>
        <v>-0.16428571428571431</v>
      </c>
      <c r="AG24" s="5">
        <f>'N70'!H30-'N70'!E43</f>
        <v>-0.17857142857142855</v>
      </c>
      <c r="AH24" s="5">
        <f>'N70'!H30-'N70'!E44</f>
        <v>-0.19285714285714284</v>
      </c>
      <c r="AI24" s="5">
        <f>'N70'!H30-'N70'!E45</f>
        <v>-0.20714285714285713</v>
      </c>
      <c r="AJ24" s="5">
        <f>'N70'!H30-'N70'!E46</f>
        <v>-0.22142857142857142</v>
      </c>
      <c r="AK24" s="5">
        <f>'N70'!H30-'N70'!E47</f>
        <v>-0.23571428571428571</v>
      </c>
      <c r="AL24" s="5">
        <f>'N70'!H30-'N70'!$E$48</f>
        <v>-0.25</v>
      </c>
      <c r="AM24" s="5">
        <f>'N70'!H30-'N70'!$E$49</f>
        <v>-0.26428571428571429</v>
      </c>
      <c r="AN24" s="5">
        <f>'N70'!H30-'N70'!$E$50</f>
        <v>-0.27857142857142858</v>
      </c>
      <c r="AO24" s="5">
        <f>'N70'!H30-'N70'!$E$51</f>
        <v>-0.29285714285714287</v>
      </c>
      <c r="AP24" s="5">
        <f>'N70'!H30-'N70'!$E$52</f>
        <v>-0.30714285714285711</v>
      </c>
      <c r="AQ24" s="5">
        <f>'N70'!H30-'N70'!$E$53</f>
        <v>-0.32142857142857145</v>
      </c>
      <c r="AR24" s="5">
        <f>'N70'!H30-'N70'!$E$54</f>
        <v>-0.33571428571428569</v>
      </c>
      <c r="AS24" s="5">
        <f>'N70'!H30-'N70'!$E$55</f>
        <v>-0.35000000000000003</v>
      </c>
      <c r="AT24" s="5">
        <f>'N70'!H30-'N70'!$E$56</f>
        <v>-0.36428571428571427</v>
      </c>
      <c r="AU24" s="5">
        <f>'N70'!H30-'N70'!$E$57</f>
        <v>-0.37857142857142861</v>
      </c>
      <c r="AV24" s="5">
        <f>'N70'!H30-'N70'!$E$58</f>
        <v>-0.39285714285714285</v>
      </c>
      <c r="AW24" s="5">
        <f>'N70'!H30-'N70'!$E$59</f>
        <v>-0.40714285714285708</v>
      </c>
      <c r="AX24" s="5">
        <f>'N70'!H30-'N70'!$E$60</f>
        <v>-0.42142857142857143</v>
      </c>
      <c r="AY24" s="5">
        <f>'N70'!H30-'N70'!$E$61</f>
        <v>-0.43571428571428567</v>
      </c>
      <c r="AZ24" s="5">
        <f>'N70'!H30-'N70'!$E$62</f>
        <v>-0.45</v>
      </c>
      <c r="BA24" s="5">
        <f>'N70'!H30-'N70'!$E$63</f>
        <v>-0.46428571428571425</v>
      </c>
      <c r="BB24" s="5">
        <f>'N70'!H30-'N70'!$E$64</f>
        <v>-0.47857142857142859</v>
      </c>
      <c r="BC24" s="5">
        <f>'N70'!H30-'N70'!$E$65</f>
        <v>-0.49285714285714283</v>
      </c>
      <c r="BD24" s="5">
        <f>'N70'!H30-'N70'!$E$66</f>
        <v>-0.50714285714285712</v>
      </c>
      <c r="BE24" s="5">
        <f>'N70'!H30-'N70'!$E$67</f>
        <v>-0.52142857142857135</v>
      </c>
      <c r="BF24" s="5">
        <f>'N70'!H30-'N70'!$E$68</f>
        <v>-0.53571428571428581</v>
      </c>
      <c r="BG24" s="5">
        <f>'N70'!H30-'N70'!$E$69</f>
        <v>-0.55000000000000004</v>
      </c>
      <c r="BH24" s="5">
        <f>'N70'!H30-'N70'!$E$70</f>
        <v>-0.56428571428571428</v>
      </c>
      <c r="BI24" s="5">
        <f>'N70'!H30-'N70'!$E$71</f>
        <v>-0.57857142857142851</v>
      </c>
      <c r="BJ24" s="5">
        <f>'N70'!H30-'N70'!$E$72</f>
        <v>-0.59285714285714275</v>
      </c>
      <c r="BK24" s="5">
        <f>'N70'!H30-'N70'!$E$73</f>
        <v>-0.60714285714285721</v>
      </c>
      <c r="BL24" s="5">
        <f>'N70'!H30-'N70'!$E$74</f>
        <v>-0.62142857142857144</v>
      </c>
      <c r="BM24" s="5">
        <f>'N70'!H30-'N70'!$E$75</f>
        <v>-0.63571428571428568</v>
      </c>
      <c r="BN24" s="5">
        <f>'N70'!H30-'N70'!$E$76</f>
        <v>-0.64999999999999991</v>
      </c>
      <c r="BO24" s="5">
        <f>'N70'!H30-'N70'!$E$77</f>
        <v>-0.66428571428571437</v>
      </c>
      <c r="BP24" s="5">
        <f>'N70'!H30-'N70'!$E$78</f>
        <v>-0.6785714285714286</v>
      </c>
      <c r="BQ24" s="5">
        <f>'N70'!H30-'N70'!$E$79</f>
        <v>-0.69285714285714284</v>
      </c>
      <c r="BR24" s="5">
        <f>'N70'!H30-'N70'!$E$80</f>
        <v>-0.70714285714285707</v>
      </c>
      <c r="BS24" s="5">
        <f>'N70'!H30-'N70'!$E$81</f>
        <v>-0.72142857142857131</v>
      </c>
      <c r="BT24" s="5">
        <f>'N70'!H30-'N70'!$E$82</f>
        <v>-0.73571428571428577</v>
      </c>
      <c r="BU24" s="5">
        <f>'N70'!H30-'N70'!$E$83</f>
        <v>-0.75</v>
      </c>
      <c r="BV24" s="5">
        <f>'N70'!H30-'N70'!$E$84</f>
        <v>-0.76428571428571423</v>
      </c>
      <c r="BW24" s="5">
        <f>'N70'!H30-'N70'!$E$85</f>
        <v>-0.77857142857142847</v>
      </c>
      <c r="BX24" s="5">
        <v>-1</v>
      </c>
      <c r="BY24" s="5"/>
      <c r="BZ24">
        <v>15</v>
      </c>
      <c r="CA24" s="5">
        <f>N70_DESARROLLO!CE109+N70_DESARROLLO!H109</f>
        <v>-3.5303966947122234E-2</v>
      </c>
      <c r="CB24" s="5">
        <f>N70_DESARROLLO!CF109+N70_DESARROLLO!I109</f>
        <v>-7.4141965022337386E-2</v>
      </c>
      <c r="CC24" s="5">
        <f>N70_DESARROLLO!CG109+N70_DESARROLLO!J109</f>
        <v>-8.0085554140355564E-2</v>
      </c>
      <c r="CD24" s="5">
        <f>N70_DESARROLLO!CH109+N70_DESARROLLO!K109</f>
        <v>-8.7066442319339687E-2</v>
      </c>
      <c r="CE24" s="5">
        <f>N70_DESARROLLO!CI109+N70_DESARROLLO!L109</f>
        <v>-9.5382594982172719E-2</v>
      </c>
      <c r="CF24" s="5">
        <f>N70_DESARROLLO!CJ109+N70_DESARROLLO!M109</f>
        <v>-0.1054584185205778</v>
      </c>
      <c r="CG24" s="5">
        <f>N70_DESARROLLO!CK109+N70_DESARROLLO!N109</f>
        <v>-0.11791996375048652</v>
      </c>
      <c r="CH24" s="5">
        <f>N70_DESARROLLO!CL109+N70_DESARROLLO!O109</f>
        <v>-0.13373123411929766</v>
      </c>
      <c r="CI24" s="5">
        <f>N70_DESARROLLO!CM109+N70_DESARROLLO!P109</f>
        <v>-0.15445886474681458</v>
      </c>
      <c r="CJ24" s="5">
        <f>N70_DESARROLLO!CN109+N70_DESARROLLO!Q109</f>
        <v>-0.18283342438756733</v>
      </c>
      <c r="CK24" s="5">
        <f>N70_DESARROLLO!CO109+N70_DESARROLLO!R109</f>
        <v>-0.22408833054042676</v>
      </c>
      <c r="CL24" s="5">
        <f>N70_DESARROLLO!CP109+N70_DESARROLLO!S109</f>
        <v>-0.28973434150573196</v>
      </c>
      <c r="CM24" s="5">
        <f>N70_DESARROLLO!CQ109+N70_DESARROLLO!T109</f>
        <v>-0.41141440075354807</v>
      </c>
      <c r="CN24" s="5">
        <f>N70_DESARROLLO!CR109+N70_DESARROLLO!U109</f>
        <v>-0.72775792963608199</v>
      </c>
      <c r="CO24" s="5">
        <f>N70_DESARROLLO!CS109+N70_DESARROLLO!V109</f>
        <v>-1.6479184659605304</v>
      </c>
      <c r="CP24" s="5">
        <f>N70_DESARROLLO!CT109+N70_DESARROLLO!W109</f>
        <v>1.6479184659605346</v>
      </c>
      <c r="CQ24" s="5">
        <f>N70_DESARROLLO!CU109+N70_DESARROLLO!X109</f>
        <v>0.72775792963608066</v>
      </c>
      <c r="CR24" s="5">
        <f>N70_DESARROLLO!CV109+N70_DESARROLLO!Y109</f>
        <v>0.41141440075354474</v>
      </c>
      <c r="CS24" s="5">
        <f>N70_DESARROLLO!CW109+N70_DESARROLLO!Z109</f>
        <v>0.28973434150573307</v>
      </c>
      <c r="CT24" s="5">
        <f>N70_DESARROLLO!CX109+N70_DESARROLLO!AA109</f>
        <v>0.22408833054042698</v>
      </c>
      <c r="CU24" s="5">
        <f>N70_DESARROLLO!CY109+N70_DESARROLLO!AB109</f>
        <v>0.18283342438756867</v>
      </c>
      <c r="CV24" s="5">
        <f>N70_DESARROLLO!CZ109+N70_DESARROLLO!AC109</f>
        <v>0.15445886474681392</v>
      </c>
      <c r="CW24" s="5">
        <f>N70_DESARROLLO!DA109+N70_DESARROLLO!AD109</f>
        <v>0.13373123411929844</v>
      </c>
      <c r="CX24" s="5">
        <f>N70_DESARROLLO!DB109+N70_DESARROLLO!AE109</f>
        <v>0.11791996375048619</v>
      </c>
      <c r="CY24" s="5">
        <f>N70_DESARROLLO!DC109+N70_DESARROLLO!AF109</f>
        <v>0.10545841852057869</v>
      </c>
      <c r="CZ24" s="5">
        <f>N70_DESARROLLO!DD109+N70_DESARROLLO!AG109</f>
        <v>9.538259498217494E-2</v>
      </c>
      <c r="DA24" s="5">
        <f>N70_DESARROLLO!DE109+N70_DESARROLLO!AH109</f>
        <v>8.7066442319332249E-2</v>
      </c>
      <c r="DB24" s="5">
        <f>N70_DESARROLLO!DF109+N70_DESARROLLO!AI109</f>
        <v>8.0085554140360005E-2</v>
      </c>
      <c r="DC24" s="5">
        <f>N70_DESARROLLO!DG109+N70_DESARROLLO!AJ109</f>
        <v>7.4141965022337719E-2</v>
      </c>
      <c r="DD24" s="5">
        <f>N70_DESARROLLO!DH109+N70_DESARROLLO!AK109</f>
        <v>6.9020292350869261E-2</v>
      </c>
      <c r="DE24" s="5">
        <f>N70_DESARROLLO!DI109+N70_DESARROLLO!AL109</f>
        <v>6.4560961252480009E-2</v>
      </c>
      <c r="DF24" s="5">
        <f>N70_DESARROLLO!DJ109+N70_DESARROLLO!AM109</f>
        <v>6.0643218403522936E-2</v>
      </c>
      <c r="DG24" s="5">
        <f>N70_DESARROLLO!DK109+N70_DESARROLLO!AN109</f>
        <v>5.7173997129078669E-2</v>
      </c>
      <c r="DH24" s="5">
        <f>N70_DESARROLLO!DL109+N70_DESARROLLO!AO109</f>
        <v>5.4080408838150018E-2</v>
      </c>
      <c r="DI24" s="5">
        <f>N70_DESARROLLO!DM109+N70_DESARROLLO!AP109</f>
        <v>5.1304553326341429E-2</v>
      </c>
      <c r="DJ24" s="5">
        <f>N70_DESARROLLO!DN109+N70_DESARROLLO!AQ109</f>
        <v>4.8799853039069974E-2</v>
      </c>
      <c r="DK24" s="5">
        <f>N70_DESARROLLO!DO109+N70_DESARROLLO!AR109</f>
        <v>4.6528413377898814E-2</v>
      </c>
      <c r="DL24" s="5">
        <f>N70_DESARROLLO!DP109+N70_DESARROLLO!AS109</f>
        <v>4.4459088822751514E-2</v>
      </c>
      <c r="DM24" s="5">
        <f>N70_DESARROLLO!DQ109+N70_DESARROLLO!AT109</f>
        <v>4.256604402112385E-2</v>
      </c>
      <c r="DN24" s="5">
        <f>N70_DESARROLLO!DR109+N70_DESARROLLO!AU109</f>
        <v>4.0827668052522803E-2</v>
      </c>
      <c r="DO24" s="5">
        <f>N70_DESARROLLO!DS109+N70_DESARROLLO!AV109</f>
        <v>3.9225744685487451E-2</v>
      </c>
      <c r="DP24" s="5">
        <f>N70_DESARROLLO!DT109+N70_DESARROLLO!AW109</f>
        <v>3.7744810855688149E-2</v>
      </c>
      <c r="DQ24" s="5">
        <f>N70_DESARROLLO!DU109+N70_DESARROLLO!AX109</f>
        <v>3.6371655357440358E-2</v>
      </c>
      <c r="DR24" s="5">
        <f>N70_DESARROLLO!DV109+N70_DESARROLLO!AY109</f>
        <v>3.5094923244222587E-2</v>
      </c>
      <c r="DS24" s="5">
        <f>N70_DESARROLLO!DW109+N70_DESARROLLO!AZ109</f>
        <v>3.3904800811315305E-2</v>
      </c>
      <c r="DT24" s="5">
        <f>N70_DESARROLLO!DX109+N70_DESARROLLO!BA109</f>
        <v>3.2792762635876271E-2</v>
      </c>
      <c r="DU24" s="5">
        <f>N70_DESARROLLO!DY109+N70_DESARROLLO!BB109</f>
        <v>3.1751366862662667E-2</v>
      </c>
      <c r="DV24" s="5">
        <f>N70_DESARROLLO!DZ109+N70_DESARROLLO!BC109</f>
        <v>3.0774088329719174E-2</v>
      </c>
      <c r="DW24" s="5">
        <f>N70_DESARROLLO!EA109+N70_DESARROLLO!BD109</f>
        <v>2.9855181616024296E-2</v>
      </c>
      <c r="DX24" s="5">
        <f>N70_DESARROLLO!EB109+N70_DESARROLLO!BE109</f>
        <v>2.8989567932955596E-2</v>
      </c>
      <c r="DY24" s="5">
        <f>N70_DESARROLLO!EC109+N70_DESARROLLO!BF109</f>
        <v>2.8172741151786584E-2</v>
      </c>
      <c r="DZ24" s="5">
        <f>N70_DESARROLLO!ED109+N70_DESARROLLO!BG109</f>
        <v>2.7400689293813674E-2</v>
      </c>
      <c r="EA24" s="5">
        <f>N70_DESARROLLO!EE109+N70_DESARROLLO!BH109</f>
        <v>2.6669828593204548E-2</v>
      </c>
      <c r="EB24" s="5">
        <f>N70_DESARROLLO!EF109+N70_DESARROLLO!BI109</f>
        <v>2.5976947844875253E-2</v>
      </c>
      <c r="EC24" s="5">
        <f>N70_DESARROLLO!EG109+N70_DESARROLLO!BJ109</f>
        <v>2.5319161212279395E-2</v>
      </c>
      <c r="ED24" s="5">
        <f>N70_DESARROLLO!EH109+N70_DESARROLLO!BK109</f>
        <v>2.4693868032498956E-2</v>
      </c>
      <c r="EE24" s="5">
        <f>N70_DESARROLLO!EI109+N70_DESARROLLO!BL109</f>
        <v>2.4098718436583288E-2</v>
      </c>
      <c r="EF24" s="5">
        <f>N70_DESARROLLO!EJ109+N70_DESARROLLO!BM109</f>
        <v>2.3531583826923108E-2</v>
      </c>
      <c r="EG24" s="5">
        <f>N70_DESARROLLO!EK109+N70_DESARROLLO!BN109</f>
        <v>2.2990531429701422E-2</v>
      </c>
      <c r="EH24" s="5">
        <f>N70_DESARROLLO!EL109+N70_DESARROLLO!BO109</f>
        <v>2.2473802280092658E-2</v>
      </c>
      <c r="EI24" s="5">
        <f>N70_DESARROLLO!EM109+N70_DESARROLLO!BP109</f>
        <v>2.1979792112889918E-2</v>
      </c>
      <c r="EJ24" s="5">
        <f>N70_DESARROLLO!EN109+N70_DESARROLLO!BQ109</f>
        <v>2.1507034719688178E-2</v>
      </c>
      <c r="EK24" s="5">
        <f>N70_DESARROLLO!EO109+N70_DESARROLLO!BR109</f>
        <v>2.1054187410165515E-2</v>
      </c>
      <c r="EL24" s="5">
        <f>N70_DESARROLLO!EP109+N70_DESARROLLO!BS109</f>
        <v>2.06200182721612E-2</v>
      </c>
      <c r="EM24" s="5">
        <f>N70_DESARROLLO!EQ109+N70_DESARROLLO!BT109</f>
        <v>2.0203394977333256E-2</v>
      </c>
      <c r="EN24" s="5">
        <f>N70_DESARROLLO!ER109+N70_DESARROLLO!BU109</f>
        <v>1.9803274917321256E-2</v>
      </c>
      <c r="EO24" s="5">
        <f>N70_DESARROLLO!ES109+N70_DESARROLLO!BV109</f>
        <v>1.941869648945671E-2</v>
      </c>
      <c r="EP24" s="5">
        <f>N70_DESARROLLO!ET109+N70_DESARROLLO!BW109</f>
        <v>1.9048771379240659E-2</v>
      </c>
      <c r="EQ24" s="5">
        <f>N70_DESARROLLO!EU109+N70_DESARROLLO!BX109</f>
        <v>1.8692677708205263E-2</v>
      </c>
      <c r="ER24" s="5">
        <f>N70_DESARROLLO!EV109+N70_DESARROLLO!BY109</f>
        <v>16.529849101661018</v>
      </c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>
        <v>15</v>
      </c>
      <c r="FD24" s="4">
        <v>1.1381606453537232E-3</v>
      </c>
      <c r="FE24" s="4">
        <v>2.402259611425771E-3</v>
      </c>
      <c r="FF24" s="4">
        <v>3.391767180900103E-3</v>
      </c>
      <c r="FG24" s="4">
        <v>4.4310018043703971E-3</v>
      </c>
      <c r="FH24" s="4">
        <v>5.5942760493468847E-3</v>
      </c>
      <c r="FI24" s="4">
        <v>6.9615804695325684E-3</v>
      </c>
      <c r="FJ24" s="4">
        <v>8.6361604951283172E-3</v>
      </c>
      <c r="FK24" s="4">
        <v>1.0774179779565785E-2</v>
      </c>
      <c r="FL24" s="4">
        <v>1.363682854947176E-2</v>
      </c>
      <c r="FM24" s="4">
        <v>1.7708271160784154E-2</v>
      </c>
      <c r="FN24" s="4">
        <v>2.3969063311399558E-2</v>
      </c>
      <c r="FO24" s="4">
        <v>3.5359319209587486E-2</v>
      </c>
      <c r="FP24" s="4">
        <v>5.2714420399594078E-2</v>
      </c>
      <c r="FQ24" s="4">
        <v>0.24339359633251981</v>
      </c>
      <c r="FR24" s="4">
        <v>-0.25232022535497334</v>
      </c>
      <c r="FS24" s="4">
        <v>-6.1650259432154339E-2</v>
      </c>
      <c r="FT24" s="4">
        <v>-4.4313803659201768E-2</v>
      </c>
      <c r="FU24" s="4">
        <v>-3.295210074147973E-2</v>
      </c>
      <c r="FV24" s="4">
        <v>-2.6730535321837879E-2</v>
      </c>
      <c r="FW24" s="4">
        <v>-2.2710137451402879E-2</v>
      </c>
      <c r="FX24" s="4">
        <v>-1.9912016440947724E-2</v>
      </c>
      <c r="FY24" s="4">
        <v>-1.7854438906860639E-2</v>
      </c>
      <c r="FZ24" s="4">
        <v>-1.6279852186063652E-2</v>
      </c>
      <c r="GA24" s="4">
        <v>-1.5037790990628139E-2</v>
      </c>
      <c r="GB24" s="4">
        <v>-1.403456367549436E-2</v>
      </c>
      <c r="GC24" s="4">
        <v>-1.3208810568194018E-2</v>
      </c>
      <c r="GD24" s="4">
        <v>-1.2518680646560669E-2</v>
      </c>
      <c r="GE24" s="4">
        <v>-1.1934659444057574E-2</v>
      </c>
      <c r="GF24" s="4">
        <v>-1.1435343548109872E-2</v>
      </c>
      <c r="GG24" s="4">
        <v>-1.1004840715605636E-2</v>
      </c>
      <c r="GH24" s="4">
        <v>-1.0631110358926015E-2</v>
      </c>
      <c r="GI24" s="4">
        <v>-1.0304870381797664E-2</v>
      </c>
      <c r="GJ24" s="4">
        <v>-1.0018857160866505E-2</v>
      </c>
      <c r="GK24" s="4">
        <v>-9.7673124944834475E-3</v>
      </c>
      <c r="GL24" s="4">
        <v>-9.545620357546962E-3</v>
      </c>
      <c r="GM24" s="4">
        <v>-9.3500448952216261E-3</v>
      </c>
      <c r="GN24" s="4">
        <v>-9.1775382925610768E-3</v>
      </c>
      <c r="GO24" s="4">
        <v>-9.0255977969678092E-3</v>
      </c>
      <c r="GP24" s="4">
        <v>-8.8921579143776356E-3</v>
      </c>
      <c r="GQ24" s="4">
        <v>-8.7755081691979885E-3</v>
      </c>
      <c r="GR24" s="4">
        <v>-8.6742297051609994E-3</v>
      </c>
      <c r="GS24" s="4">
        <v>-8.5871459435242423E-3</v>
      </c>
      <c r="GT24" s="4">
        <v>-8.5132838369475355E-3</v>
      </c>
      <c r="GU24" s="4">
        <v>-8.4518431648032809E-3</v>
      </c>
      <c r="GV24" s="4">
        <v>-8.402171939338508E-3</v>
      </c>
      <c r="GW24" s="4">
        <v>-8.3637464111111434E-3</v>
      </c>
      <c r="GX24" s="4">
        <v>-8.336154424356982E-3</v>
      </c>
      <c r="GY24" s="4">
        <v>-8.3190810016719376E-3</v>
      </c>
      <c r="GZ24" s="4">
        <v>-8.3122950316561681E-3</v>
      </c>
      <c r="HA24" s="4">
        <v>-8.3156357699553096E-3</v>
      </c>
      <c r="HB24" s="4">
        <v>-8.3289974815328235E-3</v>
      </c>
      <c r="HC24" s="4">
        <v>-8.3523098360155437E-3</v>
      </c>
      <c r="HD24" s="4">
        <v>-8.3855104029162096E-3</v>
      </c>
      <c r="HE24" s="4">
        <v>-8.4285033889670586E-3</v>
      </c>
      <c r="HF24" s="4">
        <v>-8.4810948819096822E-3</v>
      </c>
      <c r="HG24" s="4">
        <v>-8.5428879136168201E-3</v>
      </c>
      <c r="HH24" s="4">
        <v>-8.6131078555460559E-3</v>
      </c>
      <c r="HI24" s="4">
        <v>-8.6903043139835521E-3</v>
      </c>
      <c r="HJ24" s="4">
        <v>-8.7718275681273692E-3</v>
      </c>
      <c r="HK24" s="4">
        <v>-8.852878062200014E-3</v>
      </c>
      <c r="HL24" s="4">
        <v>-8.924710303164312E-3</v>
      </c>
      <c r="HM24" s="4">
        <v>-8.9710679768540413E-3</v>
      </c>
      <c r="HN24" s="4">
        <v>-8.9606545021707548E-3</v>
      </c>
      <c r="HO24" s="4">
        <v>-8.8300264833208898E-3</v>
      </c>
      <c r="HP24" s="4">
        <v>-8.4390148649307571E-3</v>
      </c>
      <c r="HQ24" s="4">
        <v>-7.464086976533669E-3</v>
      </c>
      <c r="HR24" s="4">
        <v>-4.6311792033780679E-3</v>
      </c>
      <c r="HS24" s="4">
        <v>-9.497813933274339E-4</v>
      </c>
      <c r="HT24" s="4">
        <v>0.10710872606145518</v>
      </c>
      <c r="HU24" s="4">
        <v>-0.28962114378238141</v>
      </c>
    </row>
    <row r="25" spans="4:229" x14ac:dyDescent="0.25">
      <c r="D25" s="10">
        <v>16</v>
      </c>
      <c r="E25" s="5">
        <f>'N70'!E32-'N70'!E31</f>
        <v>1.428571428571429E-2</v>
      </c>
      <c r="F25" s="5">
        <f>'N70'!H31-'N70'!E16</f>
        <v>0.22142857142857142</v>
      </c>
      <c r="G25" s="5">
        <f>'N70'!H31-'N70'!E17</f>
        <v>0.20714285714285713</v>
      </c>
      <c r="H25" s="5">
        <f>'N70'!H31-'N70'!E18</f>
        <v>0.19285714285714284</v>
      </c>
      <c r="I25" s="5">
        <f>'N70'!H31-'N70'!E19</f>
        <v>0.17857142857142855</v>
      </c>
      <c r="J25" s="5">
        <f>'N70'!H31-'N70'!E20</f>
        <v>0.16428571428571428</v>
      </c>
      <c r="K25" s="5">
        <f>'N70'!H31-'N70'!E21</f>
        <v>0.15</v>
      </c>
      <c r="L25" s="5">
        <f>'N70'!H31-'N70'!E22</f>
        <v>0.1357142857142857</v>
      </c>
      <c r="M25" s="5">
        <f>'N70'!H31-'N70'!E23</f>
        <v>0.12142857142857143</v>
      </c>
      <c r="N25" s="5">
        <f>'N70'!H31-'N70'!E24</f>
        <v>0.10714285714285714</v>
      </c>
      <c r="O25" s="5">
        <f>'N70'!H31-'N70'!E25</f>
        <v>9.285714285714286E-2</v>
      </c>
      <c r="P25" s="5">
        <f>'N70'!H31-'N70'!E26</f>
        <v>7.857142857142857E-2</v>
      </c>
      <c r="Q25" s="5">
        <f>'N70'!H31-'N70'!E27</f>
        <v>6.4285714285714279E-2</v>
      </c>
      <c r="R25" s="5">
        <f>'N70'!H31-'N70'!E28</f>
        <v>4.9999999999999989E-2</v>
      </c>
      <c r="S25" s="5">
        <f>'N70'!H31-'N70'!E29</f>
        <v>3.5714285714285698E-2</v>
      </c>
      <c r="T25" s="5">
        <f>'N70'!H31-'N70'!E30</f>
        <v>2.1428571428571436E-2</v>
      </c>
      <c r="U25" s="5">
        <f>'N70'!H31-'N70'!E31</f>
        <v>7.1428571428571452E-3</v>
      </c>
      <c r="V25" s="5">
        <f>'N70'!H31-'N70'!E32</f>
        <v>-7.1428571428571452E-3</v>
      </c>
      <c r="W25" s="5">
        <f>'N70'!H31-'N70'!E33</f>
        <v>-2.1428571428571436E-2</v>
      </c>
      <c r="X25" s="5">
        <f>'N70'!H31-'N70'!E34</f>
        <v>-3.5714285714285698E-2</v>
      </c>
      <c r="Y25" s="5">
        <f>'N70'!H31-'N70'!E35</f>
        <v>-4.9999999999999989E-2</v>
      </c>
      <c r="Z25" s="5">
        <f>'N70'!H31-'N70'!E36</f>
        <v>-6.4285714285714279E-2</v>
      </c>
      <c r="AA25" s="5">
        <f>'N70'!H31-'N70'!E37</f>
        <v>-7.857142857142857E-2</v>
      </c>
      <c r="AB25" s="5">
        <f>'N70'!H31-'N70'!E38</f>
        <v>-9.285714285714286E-2</v>
      </c>
      <c r="AC25" s="5">
        <f>'N70'!H31-'N70'!E39</f>
        <v>-0.10714285714285715</v>
      </c>
      <c r="AD25" s="5">
        <f>'N70'!H31-'N70'!E40</f>
        <v>-0.12142857142857144</v>
      </c>
      <c r="AE25" s="5">
        <f>'N70'!H31-'N70'!E41</f>
        <v>-0.13571428571428573</v>
      </c>
      <c r="AF25" s="5">
        <f>'N70'!H31-'N70'!E42</f>
        <v>-0.15000000000000002</v>
      </c>
      <c r="AG25" s="5">
        <f>'N70'!H31-'N70'!E43</f>
        <v>-0.16428571428571426</v>
      </c>
      <c r="AH25" s="5">
        <f>'N70'!H31-'N70'!E44</f>
        <v>-0.17857142857142855</v>
      </c>
      <c r="AI25" s="5">
        <f>'N70'!H31-'N70'!E45</f>
        <v>-0.19285714285714284</v>
      </c>
      <c r="AJ25" s="5">
        <f>'N70'!H31-'N70'!E46</f>
        <v>-0.20714285714285713</v>
      </c>
      <c r="AK25" s="5">
        <f>'N70'!H31-'N70'!E47</f>
        <v>-0.22142857142857142</v>
      </c>
      <c r="AL25" s="5">
        <f>'N70'!H31-'N70'!$E$48</f>
        <v>-0.23571428571428571</v>
      </c>
      <c r="AM25" s="5">
        <f>'N70'!H31-'N70'!$E$49</f>
        <v>-0.25</v>
      </c>
      <c r="AN25" s="5">
        <f>'N70'!H31-'N70'!$E$50</f>
        <v>-0.26428571428571429</v>
      </c>
      <c r="AO25" s="5">
        <f>'N70'!H31-'N70'!$E$51</f>
        <v>-0.27857142857142858</v>
      </c>
      <c r="AP25" s="5">
        <f>'N70'!H31-'N70'!$E$52</f>
        <v>-0.29285714285714282</v>
      </c>
      <c r="AQ25" s="5">
        <f>'N70'!H31-'N70'!$E$53</f>
        <v>-0.30714285714285716</v>
      </c>
      <c r="AR25" s="5">
        <f>'N70'!H31-'N70'!$E$54</f>
        <v>-0.3214285714285714</v>
      </c>
      <c r="AS25" s="5">
        <f>'N70'!H31-'N70'!$E$55</f>
        <v>-0.33571428571428574</v>
      </c>
      <c r="AT25" s="5">
        <f>'N70'!H31-'N70'!$E$56</f>
        <v>-0.35</v>
      </c>
      <c r="AU25" s="5">
        <f>'N70'!H31-'N70'!$E$57</f>
        <v>-0.36428571428571432</v>
      </c>
      <c r="AV25" s="5">
        <f>'N70'!H31-'N70'!$E$58</f>
        <v>-0.37857142857142856</v>
      </c>
      <c r="AW25" s="5">
        <f>'N70'!H31-'N70'!$E$59</f>
        <v>-0.39285714285714279</v>
      </c>
      <c r="AX25" s="5">
        <f>'N70'!H31-'N70'!$E$60</f>
        <v>-0.40714285714285714</v>
      </c>
      <c r="AY25" s="5">
        <f>'N70'!H31-'N70'!$E$61</f>
        <v>-0.42142857142857137</v>
      </c>
      <c r="AZ25" s="5">
        <f>'N70'!H31-'N70'!$E$62</f>
        <v>-0.43571428571428572</v>
      </c>
      <c r="BA25" s="5">
        <f>'N70'!H31-'N70'!$E$63</f>
        <v>-0.44999999999999996</v>
      </c>
      <c r="BB25" s="5">
        <f>'N70'!H31-'N70'!$E$64</f>
        <v>-0.4642857142857143</v>
      </c>
      <c r="BC25" s="5">
        <f>'N70'!H31-'N70'!$E$65</f>
        <v>-0.47857142857142854</v>
      </c>
      <c r="BD25" s="5">
        <f>'N70'!H31-'N70'!$E$66</f>
        <v>-0.49285714285714288</v>
      </c>
      <c r="BE25" s="5">
        <f>'N70'!H31-'N70'!$E$67</f>
        <v>-0.50714285714285712</v>
      </c>
      <c r="BF25" s="5">
        <f>'N70'!H31-'N70'!$E$68</f>
        <v>-0.52142857142857146</v>
      </c>
      <c r="BG25" s="5">
        <f>'N70'!H31-'N70'!$E$69</f>
        <v>-0.5357142857142857</v>
      </c>
      <c r="BH25" s="5">
        <f>'N70'!H31-'N70'!$E$70</f>
        <v>-0.54999999999999993</v>
      </c>
      <c r="BI25" s="5">
        <f>'N70'!H31-'N70'!$E$71</f>
        <v>-0.56428571428571428</v>
      </c>
      <c r="BJ25" s="5">
        <f>'N70'!H31-'N70'!$E$72</f>
        <v>-0.57857142857142851</v>
      </c>
      <c r="BK25" s="5">
        <f>'N70'!H31-'N70'!$E$73</f>
        <v>-0.59285714285714286</v>
      </c>
      <c r="BL25" s="5">
        <f>'N70'!H31-'N70'!$E$74</f>
        <v>-0.6071428571428571</v>
      </c>
      <c r="BM25" s="5">
        <f>'N70'!H31-'N70'!$E$75</f>
        <v>-0.62142857142857144</v>
      </c>
      <c r="BN25" s="5">
        <f>'N70'!H31-'N70'!$E$76</f>
        <v>-0.63571428571428568</v>
      </c>
      <c r="BO25" s="5">
        <f>'N70'!H31-'N70'!$E$77</f>
        <v>-0.65</v>
      </c>
      <c r="BP25" s="5">
        <f>'N70'!H31-'N70'!$E$78</f>
        <v>-0.66428571428571426</v>
      </c>
      <c r="BQ25" s="5">
        <f>'N70'!H31-'N70'!$E$79</f>
        <v>-0.6785714285714286</v>
      </c>
      <c r="BR25" s="5">
        <f>'N70'!H31-'N70'!$E$80</f>
        <v>-0.69285714285714284</v>
      </c>
      <c r="BS25" s="5">
        <f>'N70'!H31-'N70'!$E$81</f>
        <v>-0.70714285714285707</v>
      </c>
      <c r="BT25" s="5">
        <f>'N70'!H31-'N70'!$E$82</f>
        <v>-0.72142857142857142</v>
      </c>
      <c r="BU25" s="5">
        <f>'N70'!H31-'N70'!$E$83</f>
        <v>-0.73571428571428565</v>
      </c>
      <c r="BV25" s="5">
        <f>'N70'!H31-'N70'!$E$84</f>
        <v>-0.75</v>
      </c>
      <c r="BW25" s="5">
        <f>'N70'!H31-'N70'!$E$85</f>
        <v>-0.76428571428571423</v>
      </c>
      <c r="BX25" s="5">
        <v>-1</v>
      </c>
      <c r="BY25" s="5"/>
      <c r="BZ25">
        <v>16</v>
      </c>
      <c r="CA25" s="5">
        <f>N70_DESARROLLO!CE110+N70_DESARROLLO!H110</f>
        <v>-3.2975050428753039E-2</v>
      </c>
      <c r="CB25" s="5">
        <f>N70_DESARROLLO!CF110+N70_DESARROLLO!I110</f>
        <v>-6.902029235086915E-2</v>
      </c>
      <c r="CC25" s="5">
        <f>N70_DESARROLLO!CG110+N70_DESARROLLO!J110</f>
        <v>-7.4141965022337386E-2</v>
      </c>
      <c r="CD25" s="5">
        <f>N70_DESARROLLO!CH110+N70_DESARROLLO!K110</f>
        <v>-8.0085554140358228E-2</v>
      </c>
      <c r="CE25" s="5">
        <f>N70_DESARROLLO!CI110+N70_DESARROLLO!L110</f>
        <v>-8.7066442319333914E-2</v>
      </c>
      <c r="CF25" s="5">
        <f>N70_DESARROLLO!CJ110+N70_DESARROLLO!M110</f>
        <v>-9.5382594982175606E-2</v>
      </c>
      <c r="CG25" s="5">
        <f>N70_DESARROLLO!CK110+N70_DESARROLLO!N110</f>
        <v>-0.1054584185205778</v>
      </c>
      <c r="CH25" s="5">
        <f>N70_DESARROLLO!CL110+N70_DESARROLLO!O110</f>
        <v>-0.11791996375048552</v>
      </c>
      <c r="CI25" s="5">
        <f>N70_DESARROLLO!CM110+N70_DESARROLLO!P110</f>
        <v>-0.13373123411929955</v>
      </c>
      <c r="CJ25" s="5">
        <f>N70_DESARROLLO!CN110+N70_DESARROLLO!Q110</f>
        <v>-0.15445886474681292</v>
      </c>
      <c r="CK25" s="5">
        <f>N70_DESARROLLO!CO110+N70_DESARROLLO!R110</f>
        <v>-0.18283342438756844</v>
      </c>
      <c r="CL25" s="5">
        <f>N70_DESARROLLO!CP110+N70_DESARROLLO!S110</f>
        <v>-0.22408833054042676</v>
      </c>
      <c r="CM25" s="5">
        <f>N70_DESARROLLO!CQ110+N70_DESARROLLO!T110</f>
        <v>-0.28973434150573196</v>
      </c>
      <c r="CN25" s="5">
        <f>N70_DESARROLLO!CR110+N70_DESARROLLO!U110</f>
        <v>-0.41141440075354907</v>
      </c>
      <c r="CO25" s="5">
        <f>N70_DESARROLLO!CS110+N70_DESARROLLO!V110</f>
        <v>-0.72775792963607799</v>
      </c>
      <c r="CP25" s="5">
        <f>N70_DESARROLLO!CT110+N70_DESARROLLO!W110</f>
        <v>-1.6479184659605346</v>
      </c>
      <c r="CQ25" s="5">
        <f>N70_DESARROLLO!CU110+N70_DESARROLLO!X110</f>
        <v>1.6479184659605346</v>
      </c>
      <c r="CR25" s="5">
        <f>N70_DESARROLLO!CV110+N70_DESARROLLO!Y110</f>
        <v>0.72775792963607799</v>
      </c>
      <c r="CS25" s="5">
        <f>N70_DESARROLLO!CW110+N70_DESARROLLO!Z110</f>
        <v>0.41141440075354885</v>
      </c>
      <c r="CT25" s="5">
        <f>N70_DESARROLLO!CX110+N70_DESARROLLO!AA110</f>
        <v>0.28973434150573174</v>
      </c>
      <c r="CU25" s="5">
        <f>N70_DESARROLLO!CY110+N70_DESARROLLO!AB110</f>
        <v>0.22408833054042698</v>
      </c>
      <c r="CV25" s="5">
        <f>N70_DESARROLLO!CZ110+N70_DESARROLLO!AC110</f>
        <v>0.18283342438756867</v>
      </c>
      <c r="CW25" s="5">
        <f>N70_DESARROLLO!DA110+N70_DESARROLLO!AD110</f>
        <v>0.15445886474681392</v>
      </c>
      <c r="CX25" s="5">
        <f>N70_DESARROLLO!DB110+N70_DESARROLLO!AE110</f>
        <v>0.13373123411929844</v>
      </c>
      <c r="CY25" s="5">
        <f>N70_DESARROLLO!DC110+N70_DESARROLLO!AF110</f>
        <v>0.11791996375048619</v>
      </c>
      <c r="CZ25" s="5">
        <f>N70_DESARROLLO!DD110+N70_DESARROLLO!AG110</f>
        <v>0.10545841852057869</v>
      </c>
      <c r="DA25" s="5">
        <f>N70_DESARROLLO!DE110+N70_DESARROLLO!AH110</f>
        <v>9.5382594982170055E-2</v>
      </c>
      <c r="DB25" s="5">
        <f>N70_DESARROLLO!DF110+N70_DESARROLLO!AI110</f>
        <v>8.706644231933891E-2</v>
      </c>
      <c r="DC25" s="5">
        <f>N70_DESARROLLO!DG110+N70_DESARROLLO!AJ110</f>
        <v>8.0085554140358006E-2</v>
      </c>
      <c r="DD25" s="5">
        <f>N70_DESARROLLO!DH110+N70_DESARROLLO!AK110</f>
        <v>7.4141965022337719E-2</v>
      </c>
      <c r="DE25" s="5">
        <f>N70_DESARROLLO!DI110+N70_DESARROLLO!AL110</f>
        <v>6.9020292350869261E-2</v>
      </c>
      <c r="DF25" s="5">
        <f>N70_DESARROLLO!DJ110+N70_DESARROLLO!AM110</f>
        <v>6.4560961252480009E-2</v>
      </c>
      <c r="DG25" s="5">
        <f>N70_DESARROLLO!DK110+N70_DESARROLLO!AN110</f>
        <v>6.0643218403522936E-2</v>
      </c>
      <c r="DH25" s="5">
        <f>N70_DESARROLLO!DL110+N70_DESARROLLO!AO110</f>
        <v>5.7173997129078669E-2</v>
      </c>
      <c r="DI25" s="5">
        <f>N70_DESARROLLO!DM110+N70_DESARROLLO!AP110</f>
        <v>5.4080408838150018E-2</v>
      </c>
      <c r="DJ25" s="5">
        <f>N70_DESARROLLO!DN110+N70_DESARROLLO!AQ110</f>
        <v>5.1304553326336766E-2</v>
      </c>
      <c r="DK25" s="5">
        <f>N70_DESARROLLO!DO110+N70_DESARROLLO!AR110</f>
        <v>4.8799853039083518E-2</v>
      </c>
      <c r="DL25" s="5">
        <f>N70_DESARROLLO!DP110+N70_DESARROLLO!AS110</f>
        <v>4.6528413377880606E-2</v>
      </c>
      <c r="DM25" s="5">
        <f>N70_DESARROLLO!DQ110+N70_DESARROLLO!AT110</f>
        <v>4.4459088822771053E-2</v>
      </c>
      <c r="DN25" s="5">
        <f>N70_DESARROLLO!DR110+N70_DESARROLLO!AU110</f>
        <v>4.2566044021103977E-2</v>
      </c>
      <c r="DO25" s="5">
        <f>N70_DESARROLLO!DS110+N70_DESARROLLO!AV110</f>
        <v>4.0827668052543675E-2</v>
      </c>
      <c r="DP25" s="5">
        <f>N70_DESARROLLO!DT110+N70_DESARROLLO!AW110</f>
        <v>3.9225744685471353E-2</v>
      </c>
      <c r="DQ25" s="5">
        <f>N70_DESARROLLO!DU110+N70_DESARROLLO!AX110</f>
        <v>3.7744810855693478E-2</v>
      </c>
      <c r="DR25" s="5">
        <f>N70_DESARROLLO!DV110+N70_DESARROLLO!AY110</f>
        <v>3.6371655357452903E-2</v>
      </c>
      <c r="DS25" s="5">
        <f>N70_DESARROLLO!DW110+N70_DESARROLLO!AZ110</f>
        <v>3.509492324420449E-2</v>
      </c>
      <c r="DT25" s="5">
        <f>N70_DESARROLLO!DX110+N70_DESARROLLO!BA110</f>
        <v>3.3904800811327962E-2</v>
      </c>
      <c r="DU25" s="5">
        <f>N70_DESARROLLO!DY110+N70_DESARROLLO!BB110</f>
        <v>3.2792762635863171E-2</v>
      </c>
      <c r="DV25" s="5">
        <f>N70_DESARROLLO!DZ110+N70_DESARROLLO!BC110</f>
        <v>3.17513668626761E-2</v>
      </c>
      <c r="DW25" s="5">
        <f>N70_DESARROLLO!EA110+N70_DESARROLLO!BD110</f>
        <v>3.0774088329705407E-2</v>
      </c>
      <c r="DX25" s="5">
        <f>N70_DESARROLLO!EB110+N70_DESARROLLO!BE110</f>
        <v>2.9855181616038617E-2</v>
      </c>
      <c r="DY25" s="5">
        <f>N70_DESARROLLO!EC110+N70_DESARROLLO!BF110</f>
        <v>2.8989567932948379E-2</v>
      </c>
      <c r="DZ25" s="5">
        <f>N70_DESARROLLO!ED110+N70_DESARROLLO!BG110</f>
        <v>2.8172741151794578E-2</v>
      </c>
      <c r="EA25" s="5">
        <f>N70_DESARROLLO!EE110+N70_DESARROLLO!BH110</f>
        <v>2.7400689293789693E-2</v>
      </c>
      <c r="EB25" s="5">
        <f>N70_DESARROLLO!EF110+N70_DESARROLLO!BI110</f>
        <v>2.666982859321998E-2</v>
      </c>
      <c r="EC25" s="5">
        <f>N70_DESARROLLO!EG110+N70_DESARROLLO!BJ110</f>
        <v>2.5976947844875475E-2</v>
      </c>
      <c r="ED25" s="5">
        <f>N70_DESARROLLO!EH110+N70_DESARROLLO!BK110</f>
        <v>2.5319161212279506E-2</v>
      </c>
      <c r="EE25" s="5">
        <f>N70_DESARROLLO!EI110+N70_DESARROLLO!BL110</f>
        <v>2.469386803250806E-2</v>
      </c>
      <c r="EF25" s="5">
        <f>N70_DESARROLLO!EJ110+N70_DESARROLLO!BM110</f>
        <v>2.4098718436555866E-2</v>
      </c>
      <c r="EG25" s="5">
        <f>N70_DESARROLLO!EK110+N70_DESARROLLO!BN110</f>
        <v>2.3531583826950309E-2</v>
      </c>
      <c r="EH25" s="5">
        <f>N70_DESARROLLO!EL110+N70_DESARROLLO!BO110</f>
        <v>2.2990531429692429E-2</v>
      </c>
      <c r="EI25" s="5">
        <f>N70_DESARROLLO!EM110+N70_DESARROLLO!BP110</f>
        <v>2.247380228010265E-2</v>
      </c>
      <c r="EJ25" s="5">
        <f>N70_DESARROLLO!EN110+N70_DESARROLLO!BQ110</f>
        <v>2.1979792112860164E-2</v>
      </c>
      <c r="EK25" s="5">
        <f>N70_DESARROLLO!EO110+N70_DESARROLLO!BR110</f>
        <v>2.1507034719707718E-2</v>
      </c>
      <c r="EL25" s="5">
        <f>N70_DESARROLLO!EP110+N70_DESARROLLO!BS110</f>
        <v>2.1054187410165737E-2</v>
      </c>
      <c r="EM25" s="5">
        <f>N70_DESARROLLO!EQ110+N70_DESARROLLO!BT110</f>
        <v>2.06200182721612E-2</v>
      </c>
      <c r="EN25" s="5">
        <f>N70_DESARROLLO!ER110+N70_DESARROLLO!BU110</f>
        <v>2.0203394977344136E-2</v>
      </c>
      <c r="EO25" s="5">
        <f>N70_DESARROLLO!ES110+N70_DESARROLLO!BV110</f>
        <v>1.9803274917299052E-2</v>
      </c>
      <c r="EP25" s="5">
        <f>N70_DESARROLLO!ET110+N70_DESARROLLO!BW110</f>
        <v>1.9418696489467702E-2</v>
      </c>
      <c r="EQ25" s="5">
        <f>N70_DESARROLLO!EU110+N70_DESARROLLO!BX110</f>
        <v>1.9048771379240881E-2</v>
      </c>
      <c r="ER25" s="5">
        <f>N70_DESARROLLO!EV110+N70_DESARROLLO!BY110</f>
        <v>17.826356100864906</v>
      </c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>
        <v>16</v>
      </c>
      <c r="FD25" s="4">
        <v>1.0146237987750041E-3</v>
      </c>
      <c r="FE25" s="4">
        <v>2.1313429737691248E-3</v>
      </c>
      <c r="FF25" s="4">
        <v>2.9901716185526312E-3</v>
      </c>
      <c r="FG25" s="4">
        <v>3.8771679032343592E-3</v>
      </c>
      <c r="FH25" s="4">
        <v>4.8511648691387573E-3</v>
      </c>
      <c r="FI25" s="4">
        <v>5.9708436303173417E-3</v>
      </c>
      <c r="FJ25" s="4">
        <v>7.3062146696798403E-3</v>
      </c>
      <c r="FK25" s="4">
        <v>8.9561407123488705E-3</v>
      </c>
      <c r="FL25" s="4">
        <v>1.1074396719369713E-2</v>
      </c>
      <c r="FM25" s="4">
        <v>1.3920754876527155E-2</v>
      </c>
      <c r="FN25" s="4">
        <v>1.7978476542168373E-2</v>
      </c>
      <c r="FO25" s="4">
        <v>2.422751136739925E-2</v>
      </c>
      <c r="FP25" s="4">
        <v>3.5607549548567423E-2</v>
      </c>
      <c r="FQ25" s="4">
        <v>5.2953665805297645E-2</v>
      </c>
      <c r="FR25" s="4">
        <v>0.24362486126743577</v>
      </c>
      <c r="FS25" s="4">
        <v>-0.25209611039530183</v>
      </c>
      <c r="FT25" s="4">
        <v>-6.1432599223857638E-2</v>
      </c>
      <c r="FU25" s="4">
        <v>-4.4102010041448897E-2</v>
      </c>
      <c r="FV25" s="4">
        <v>-3.2745671628717749E-2</v>
      </c>
      <c r="FW25" s="4">
        <v>-2.6529038809907941E-2</v>
      </c>
      <c r="FX25" s="4">
        <v>-2.2513199594923983E-2</v>
      </c>
      <c r="FY25" s="4">
        <v>-1.9719311727544327E-2</v>
      </c>
      <c r="FZ25" s="4">
        <v>-1.7665682746796856E-2</v>
      </c>
      <c r="GA25" s="4">
        <v>-1.6094794931916026E-2</v>
      </c>
      <c r="GB25" s="4">
        <v>-1.4856213135526587E-2</v>
      </c>
      <c r="GC25" s="4">
        <v>-1.3856271971642346E-2</v>
      </c>
      <c r="GD25" s="4">
        <v>-1.3033634873405713E-2</v>
      </c>
      <c r="GE25" s="4">
        <v>-1.2346471354026381E-2</v>
      </c>
      <c r="GF25" s="4">
        <v>-1.1765285385252061E-2</v>
      </c>
      <c r="GG25" s="4">
        <v>-1.1268690284303849E-2</v>
      </c>
      <c r="GH25" s="4">
        <v>-1.0840809152697818E-2</v>
      </c>
      <c r="GI25" s="4">
        <v>-1.0469615634724191E-2</v>
      </c>
      <c r="GJ25" s="4">
        <v>-1.0145840985916796E-2</v>
      </c>
      <c r="GK25" s="4">
        <v>-9.8622342558264322E-3</v>
      </c>
      <c r="GL25" s="4">
        <v>-9.6130494129045042E-3</v>
      </c>
      <c r="GM25" s="4">
        <v>-9.3936822549971263E-3</v>
      </c>
      <c r="GN25" s="4">
        <v>-9.200408541470027E-3</v>
      </c>
      <c r="GO25" s="4">
        <v>-9.0301919857089866E-3</v>
      </c>
      <c r="GP25" s="4">
        <v>-8.8805413851983615E-3</v>
      </c>
      <c r="GQ25" s="4">
        <v>-8.7494029081612319E-3</v>
      </c>
      <c r="GR25" s="4">
        <v>-8.6350779230105618E-3</v>
      </c>
      <c r="GS25" s="4">
        <v>-8.5361596397375578E-3</v>
      </c>
      <c r="GT25" s="4">
        <v>-8.4514837676740208E-3</v>
      </c>
      <c r="GU25" s="4">
        <v>-8.3800897076175117E-3</v>
      </c>
      <c r="GV25" s="4">
        <v>-8.3211896934808818E-3</v>
      </c>
      <c r="GW25" s="4">
        <v>-8.2741439048145213E-3</v>
      </c>
      <c r="GX25" s="4">
        <v>-8.2384399640406045E-3</v>
      </c>
      <c r="GY25" s="4">
        <v>-8.2136754534815754E-3</v>
      </c>
      <c r="GZ25" s="4">
        <v>-8.1995421486727605E-3</v>
      </c>
      <c r="HA25" s="4">
        <v>-8.1958105523538289E-3</v>
      </c>
      <c r="HB25" s="4">
        <v>-8.2023129722950325E-3</v>
      </c>
      <c r="HC25" s="4">
        <v>-8.2189227081575396E-3</v>
      </c>
      <c r="HD25" s="4">
        <v>-8.2455256884255024E-3</v>
      </c>
      <c r="HE25" s="4">
        <v>-8.28197874732901E-3</v>
      </c>
      <c r="HF25" s="4">
        <v>-8.3280449345838024E-3</v>
      </c>
      <c r="HG25" s="4">
        <v>-8.3832894354289051E-3</v>
      </c>
      <c r="HH25" s="4">
        <v>-8.4469071249856885E-3</v>
      </c>
      <c r="HI25" s="4">
        <v>-8.5174289036695286E-3</v>
      </c>
      <c r="HJ25" s="4">
        <v>-8.5922067697330844E-3</v>
      </c>
      <c r="HK25" s="4">
        <v>-8.6664800044309095E-3</v>
      </c>
      <c r="HL25" s="4">
        <v>-8.731611989463553E-3</v>
      </c>
      <c r="HM25" s="4">
        <v>-8.7715927413082283E-3</v>
      </c>
      <c r="HN25" s="4">
        <v>-8.7556553919572126E-3</v>
      </c>
      <c r="HO25" s="4">
        <v>-8.6215077215053872E-3</v>
      </c>
      <c r="HP25" s="4">
        <v>-8.2316508290735113E-3</v>
      </c>
      <c r="HQ25" s="4">
        <v>-7.2688984328686005E-3</v>
      </c>
      <c r="HR25" s="4">
        <v>-4.4852530944140484E-3</v>
      </c>
      <c r="HS25" s="4">
        <v>-8.662643654909609E-4</v>
      </c>
      <c r="HT25" s="4">
        <v>0.10492117155897594</v>
      </c>
      <c r="HU25" s="4">
        <v>-0.28325114360596371</v>
      </c>
    </row>
    <row r="26" spans="4:229" x14ac:dyDescent="0.25">
      <c r="D26" s="10">
        <v>17</v>
      </c>
      <c r="E26" s="5">
        <f>'N70'!E33-'N70'!E32</f>
        <v>1.428571428571429E-2</v>
      </c>
      <c r="F26" s="5">
        <f>'N70'!H32-'N70'!E16</f>
        <v>0.23571428571428571</v>
      </c>
      <c r="G26" s="5">
        <f>'N70'!H32-'N70'!E17</f>
        <v>0.22142857142857142</v>
      </c>
      <c r="H26" s="5">
        <f>'N70'!H32-'N70'!E18</f>
        <v>0.20714285714285713</v>
      </c>
      <c r="I26" s="5">
        <f>'N70'!H32-'N70'!E19</f>
        <v>0.19285714285714284</v>
      </c>
      <c r="J26" s="5">
        <f>'N70'!H32-'N70'!E20</f>
        <v>0.17857142857142858</v>
      </c>
      <c r="K26" s="5">
        <f>'N70'!H32-'N70'!E21</f>
        <v>0.16428571428571428</v>
      </c>
      <c r="L26" s="5">
        <f>'N70'!H32-'N70'!E22</f>
        <v>0.15</v>
      </c>
      <c r="M26" s="5">
        <f>'N70'!H32-'N70'!E23</f>
        <v>0.13571428571428573</v>
      </c>
      <c r="N26" s="5">
        <f>'N70'!H32-'N70'!E24</f>
        <v>0.12142857142857143</v>
      </c>
      <c r="O26" s="5">
        <f>'N70'!H32-'N70'!E25</f>
        <v>0.10714285714285715</v>
      </c>
      <c r="P26" s="5">
        <f>'N70'!H32-'N70'!E26</f>
        <v>9.285714285714286E-2</v>
      </c>
      <c r="Q26" s="5">
        <f>'N70'!H32-'N70'!E27</f>
        <v>7.857142857142857E-2</v>
      </c>
      <c r="R26" s="5">
        <f>'N70'!H32-'N70'!E28</f>
        <v>6.4285714285714279E-2</v>
      </c>
      <c r="S26" s="5">
        <f>'N70'!H32-'N70'!E29</f>
        <v>4.9999999999999989E-2</v>
      </c>
      <c r="T26" s="5">
        <f>'N70'!H32-'N70'!E30</f>
        <v>3.5714285714285726E-2</v>
      </c>
      <c r="U26" s="5">
        <f>'N70'!H32-'N70'!E31</f>
        <v>2.1428571428571436E-2</v>
      </c>
      <c r="V26" s="5">
        <f>'N70'!H32-'N70'!E32</f>
        <v>7.1428571428571452E-3</v>
      </c>
      <c r="W26" s="5">
        <f>'N70'!H32-'N70'!E33</f>
        <v>-7.1428571428571452E-3</v>
      </c>
      <c r="X26" s="5">
        <f>'N70'!H32-'N70'!E34</f>
        <v>-2.1428571428571408E-2</v>
      </c>
      <c r="Y26" s="5">
        <f>'N70'!H32-'N70'!E35</f>
        <v>-3.5714285714285698E-2</v>
      </c>
      <c r="Z26" s="5">
        <f>'N70'!H32-'N70'!E36</f>
        <v>-4.9999999999999989E-2</v>
      </c>
      <c r="AA26" s="5">
        <f>'N70'!H32-'N70'!E37</f>
        <v>-6.4285714285714279E-2</v>
      </c>
      <c r="AB26" s="5">
        <f>'N70'!H32-'N70'!E38</f>
        <v>-7.857142857142857E-2</v>
      </c>
      <c r="AC26" s="5">
        <f>'N70'!H32-'N70'!E39</f>
        <v>-9.285714285714286E-2</v>
      </c>
      <c r="AD26" s="5">
        <f>'N70'!H32-'N70'!E40</f>
        <v>-0.10714285714285715</v>
      </c>
      <c r="AE26" s="5">
        <f>'N70'!H32-'N70'!E41</f>
        <v>-0.12142857142857144</v>
      </c>
      <c r="AF26" s="5">
        <f>'N70'!H32-'N70'!E42</f>
        <v>-0.13571428571428573</v>
      </c>
      <c r="AG26" s="5">
        <f>'N70'!H32-'N70'!E43</f>
        <v>-0.14999999999999997</v>
      </c>
      <c r="AH26" s="5">
        <f>'N70'!H32-'N70'!E44</f>
        <v>-0.16428571428571426</v>
      </c>
      <c r="AI26" s="5">
        <f>'N70'!H32-'N70'!E45</f>
        <v>-0.17857142857142855</v>
      </c>
      <c r="AJ26" s="5">
        <f>'N70'!H32-'N70'!E46</f>
        <v>-0.19285714285714284</v>
      </c>
      <c r="AK26" s="5">
        <f>'N70'!H32-'N70'!E47</f>
        <v>-0.20714285714285713</v>
      </c>
      <c r="AL26" s="5">
        <f>'N70'!H32-'N70'!$E$48</f>
        <v>-0.22142857142857142</v>
      </c>
      <c r="AM26" s="5">
        <f>'N70'!H32-'N70'!$E$49</f>
        <v>-0.23571428571428571</v>
      </c>
      <c r="AN26" s="5">
        <f>'N70'!H32-'N70'!$E$50</f>
        <v>-0.25</v>
      </c>
      <c r="AO26" s="5">
        <f>'N70'!H32-'N70'!$E$51</f>
        <v>-0.26428571428571429</v>
      </c>
      <c r="AP26" s="5">
        <f>'N70'!H32-'N70'!$E$52</f>
        <v>-0.27857142857142853</v>
      </c>
      <c r="AQ26" s="5">
        <f>'N70'!H32-'N70'!$E$53</f>
        <v>-0.29285714285714287</v>
      </c>
      <c r="AR26" s="5">
        <f>'N70'!H32-'N70'!$E$54</f>
        <v>-0.30714285714285711</v>
      </c>
      <c r="AS26" s="5">
        <f>'N70'!H32-'N70'!$E$55</f>
        <v>-0.32142857142857145</v>
      </c>
      <c r="AT26" s="5">
        <f>'N70'!H32-'N70'!$E$56</f>
        <v>-0.33571428571428569</v>
      </c>
      <c r="AU26" s="5">
        <f>'N70'!H32-'N70'!$E$57</f>
        <v>-0.35000000000000003</v>
      </c>
      <c r="AV26" s="5">
        <f>'N70'!H32-'N70'!$E$58</f>
        <v>-0.36428571428571427</v>
      </c>
      <c r="AW26" s="5">
        <f>'N70'!H32-'N70'!$E$59</f>
        <v>-0.3785714285714285</v>
      </c>
      <c r="AX26" s="5">
        <f>'N70'!H32-'N70'!$E$60</f>
        <v>-0.39285714285714285</v>
      </c>
      <c r="AY26" s="5">
        <f>'N70'!H32-'N70'!$E$61</f>
        <v>-0.40714285714285708</v>
      </c>
      <c r="AZ26" s="5">
        <f>'N70'!H32-'N70'!$E$62</f>
        <v>-0.42142857142857143</v>
      </c>
      <c r="BA26" s="5">
        <f>'N70'!H32-'N70'!$E$63</f>
        <v>-0.43571428571428567</v>
      </c>
      <c r="BB26" s="5">
        <f>'N70'!H32-'N70'!$E$64</f>
        <v>-0.45</v>
      </c>
      <c r="BC26" s="5">
        <f>'N70'!H32-'N70'!$E$65</f>
        <v>-0.46428571428571425</v>
      </c>
      <c r="BD26" s="5">
        <f>'N70'!H32-'N70'!$E$66</f>
        <v>-0.47857142857142859</v>
      </c>
      <c r="BE26" s="5">
        <f>'N70'!H32-'N70'!$E$67</f>
        <v>-0.49285714285714283</v>
      </c>
      <c r="BF26" s="5">
        <f>'N70'!H32-'N70'!$E$68</f>
        <v>-0.50714285714285712</v>
      </c>
      <c r="BG26" s="5">
        <f>'N70'!H32-'N70'!$E$69</f>
        <v>-0.52142857142857135</v>
      </c>
      <c r="BH26" s="5">
        <f>'N70'!H32-'N70'!$E$70</f>
        <v>-0.53571428571428559</v>
      </c>
      <c r="BI26" s="5">
        <f>'N70'!H32-'N70'!$E$71</f>
        <v>-0.55000000000000004</v>
      </c>
      <c r="BJ26" s="5">
        <f>'N70'!H32-'N70'!$E$72</f>
        <v>-0.56428571428571428</v>
      </c>
      <c r="BK26" s="5">
        <f>'N70'!H32-'N70'!$E$73</f>
        <v>-0.57857142857142851</v>
      </c>
      <c r="BL26" s="5">
        <f>'N70'!H32-'N70'!$E$74</f>
        <v>-0.59285714285714275</v>
      </c>
      <c r="BM26" s="5">
        <f>'N70'!H32-'N70'!$E$75</f>
        <v>-0.60714285714285721</v>
      </c>
      <c r="BN26" s="5">
        <f>'N70'!H32-'N70'!$E$76</f>
        <v>-0.62142857142857144</v>
      </c>
      <c r="BO26" s="5">
        <f>'N70'!H32-'N70'!$E$77</f>
        <v>-0.63571428571428568</v>
      </c>
      <c r="BP26" s="5">
        <f>'N70'!H32-'N70'!$E$78</f>
        <v>-0.64999999999999991</v>
      </c>
      <c r="BQ26" s="5">
        <f>'N70'!H32-'N70'!$E$79</f>
        <v>-0.66428571428571437</v>
      </c>
      <c r="BR26" s="5">
        <f>'N70'!H32-'N70'!$E$80</f>
        <v>-0.6785714285714286</v>
      </c>
      <c r="BS26" s="5">
        <f>'N70'!H32-'N70'!$E$81</f>
        <v>-0.69285714285714284</v>
      </c>
      <c r="BT26" s="5">
        <f>'N70'!H32-'N70'!$E$82</f>
        <v>-0.70714285714285707</v>
      </c>
      <c r="BU26" s="5">
        <f>'N70'!H32-'N70'!$E$83</f>
        <v>-0.72142857142857131</v>
      </c>
      <c r="BV26" s="5">
        <f>'N70'!H32-'N70'!$E$84</f>
        <v>-0.73571428571428577</v>
      </c>
      <c r="BW26" s="5">
        <f>'N70'!H32-'N70'!$E$85</f>
        <v>-0.75</v>
      </c>
      <c r="BX26" s="5">
        <v>-1</v>
      </c>
      <c r="BY26" s="5"/>
      <c r="BZ26">
        <v>17</v>
      </c>
      <c r="CA26" s="5">
        <f>N70_DESARROLLO!CE111+N70_DESARROLLO!H111</f>
        <v>-3.0934447408011101E-2</v>
      </c>
      <c r="CB26" s="5">
        <f>N70_DESARROLLO!CF111+N70_DESARROLLO!I111</f>
        <v>-6.4560961252483229E-2</v>
      </c>
      <c r="CC26" s="5">
        <f>N70_DESARROLLO!CG111+N70_DESARROLLO!J111</f>
        <v>-6.902029235086915E-2</v>
      </c>
      <c r="CD26" s="5">
        <f>N70_DESARROLLO!CH111+N70_DESARROLLO!K111</f>
        <v>-7.4141965022338829E-2</v>
      </c>
      <c r="CE26" s="5">
        <f>N70_DESARROLLO!CI111+N70_DESARROLLO!L111</f>
        <v>-8.0085554140353565E-2</v>
      </c>
      <c r="CF26" s="5">
        <f>N70_DESARROLLO!CJ111+N70_DESARROLLO!M111</f>
        <v>-8.7066442319337245E-2</v>
      </c>
      <c r="CG26" s="5">
        <f>N70_DESARROLLO!CK111+N70_DESARROLLO!N111</f>
        <v>-9.5382594982176605E-2</v>
      </c>
      <c r="CH26" s="5">
        <f>N70_DESARROLLO!CL111+N70_DESARROLLO!O111</f>
        <v>-0.10545841852057536</v>
      </c>
      <c r="CI26" s="5">
        <f>N70_DESARROLLO!CM111+N70_DESARROLLO!P111</f>
        <v>-0.11791996375048774</v>
      </c>
      <c r="CJ26" s="5">
        <f>N70_DESARROLLO!CN111+N70_DESARROLLO!Q111</f>
        <v>-0.13373123411929755</v>
      </c>
      <c r="CK26" s="5">
        <f>N70_DESARROLLO!CO111+N70_DESARROLLO!R111</f>
        <v>-0.15445886474681403</v>
      </c>
      <c r="CL26" s="5">
        <f>N70_DESARROLLO!CP111+N70_DESARROLLO!S111</f>
        <v>-0.18283342438756844</v>
      </c>
      <c r="CM26" s="5">
        <f>N70_DESARROLLO!CQ111+N70_DESARROLLO!T111</f>
        <v>-0.22408833054042676</v>
      </c>
      <c r="CN26" s="5">
        <f>N70_DESARROLLO!CR111+N70_DESARROLLO!U111</f>
        <v>-0.28973434150573329</v>
      </c>
      <c r="CO26" s="5">
        <f>N70_DESARROLLO!CS111+N70_DESARROLLO!V111</f>
        <v>-0.41141440075354496</v>
      </c>
      <c r="CP26" s="5">
        <f>N70_DESARROLLO!CT111+N70_DESARROLLO!W111</f>
        <v>-0.72775792963608066</v>
      </c>
      <c r="CQ26" s="5">
        <f>N70_DESARROLLO!CU111+N70_DESARROLLO!X111</f>
        <v>-1.6479184659605346</v>
      </c>
      <c r="CR26" s="5">
        <f>N70_DESARROLLO!CV111+N70_DESARROLLO!Y111</f>
        <v>1.6479184659605304</v>
      </c>
      <c r="CS26" s="5">
        <f>N70_DESARROLLO!CW111+N70_DESARROLLO!Z111</f>
        <v>0.72775792963608199</v>
      </c>
      <c r="CT26" s="5">
        <f>N70_DESARROLLO!CX111+N70_DESARROLLO!AA111</f>
        <v>0.41141440075354785</v>
      </c>
      <c r="CU26" s="5">
        <f>N70_DESARROLLO!CY111+N70_DESARROLLO!AB111</f>
        <v>0.28973434150573174</v>
      </c>
      <c r="CV26" s="5">
        <f>N70_DESARROLLO!CZ111+N70_DESARROLLO!AC111</f>
        <v>0.22408833054042698</v>
      </c>
      <c r="CW26" s="5">
        <f>N70_DESARROLLO!DA111+N70_DESARROLLO!AD111</f>
        <v>0.18283342438756867</v>
      </c>
      <c r="CX26" s="5">
        <f>N70_DESARROLLO!DB111+N70_DESARROLLO!AE111</f>
        <v>0.15445886474681392</v>
      </c>
      <c r="CY26" s="5">
        <f>N70_DESARROLLO!DC111+N70_DESARROLLO!AF111</f>
        <v>0.13373123411929844</v>
      </c>
      <c r="CZ26" s="5">
        <f>N70_DESARROLLO!DD111+N70_DESARROLLO!AG111</f>
        <v>0.11791996375048619</v>
      </c>
      <c r="DA26" s="5">
        <f>N70_DESARROLLO!DE111+N70_DESARROLLO!AH111</f>
        <v>0.1054584185205738</v>
      </c>
      <c r="DB26" s="5">
        <f>N70_DESARROLLO!DF111+N70_DESARROLLO!AI111</f>
        <v>9.5382594982178492E-2</v>
      </c>
      <c r="DC26" s="5">
        <f>N70_DESARROLLO!DG111+N70_DESARROLLO!AJ111</f>
        <v>8.7066442319335136E-2</v>
      </c>
      <c r="DD26" s="5">
        <f>N70_DESARROLLO!DH111+N70_DESARROLLO!AK111</f>
        <v>8.0085554140358006E-2</v>
      </c>
      <c r="DE26" s="5">
        <f>N70_DESARROLLO!DI111+N70_DESARROLLO!AL111</f>
        <v>7.4141965022337719E-2</v>
      </c>
      <c r="DF26" s="5">
        <f>N70_DESARROLLO!DJ111+N70_DESARROLLO!AM111</f>
        <v>6.9020292350869261E-2</v>
      </c>
      <c r="DG26" s="5">
        <f>N70_DESARROLLO!DK111+N70_DESARROLLO!AN111</f>
        <v>6.4560961252480009E-2</v>
      </c>
      <c r="DH26" s="5">
        <f>N70_DESARROLLO!DL111+N70_DESARROLLO!AO111</f>
        <v>6.0643218403522936E-2</v>
      </c>
      <c r="DI26" s="5">
        <f>N70_DESARROLLO!DM111+N70_DESARROLLO!AP111</f>
        <v>5.7173997129078669E-2</v>
      </c>
      <c r="DJ26" s="5">
        <f>N70_DESARROLLO!DN111+N70_DESARROLLO!AQ111</f>
        <v>5.4080408838145799E-2</v>
      </c>
      <c r="DK26" s="5">
        <f>N70_DESARROLLO!DO111+N70_DESARROLLO!AR111</f>
        <v>5.1304553326349422E-2</v>
      </c>
      <c r="DL26" s="5">
        <f>N70_DESARROLLO!DP111+N70_DESARROLLO!AS111</f>
        <v>4.8799853039066088E-2</v>
      </c>
      <c r="DM26" s="5">
        <f>N70_DESARROLLO!DQ111+N70_DESARROLLO!AT111</f>
        <v>4.6528413377898814E-2</v>
      </c>
      <c r="DN26" s="5">
        <f>N70_DESARROLLO!DR111+N70_DESARROLLO!AU111</f>
        <v>4.4459088822751514E-2</v>
      </c>
      <c r="DO26" s="5">
        <f>N70_DESARROLLO!DS111+N70_DESARROLLO!AV111</f>
        <v>4.256604402112385E-2</v>
      </c>
      <c r="DP26" s="5">
        <f>N70_DESARROLLO!DT111+N70_DESARROLLO!AW111</f>
        <v>4.0827668052522803E-2</v>
      </c>
      <c r="DQ26" s="5">
        <f>N70_DESARROLLO!DU111+N70_DESARROLLO!AX111</f>
        <v>3.9225744685481234E-2</v>
      </c>
      <c r="DR26" s="5">
        <f>N70_DESARROLLO!DV111+N70_DESARROLLO!AY111</f>
        <v>3.774481085570569E-2</v>
      </c>
      <c r="DS26" s="5">
        <f>N70_DESARROLLO!DW111+N70_DESARROLLO!AZ111</f>
        <v>3.6371655357429367E-2</v>
      </c>
      <c r="DT26" s="5">
        <f>N70_DESARROLLO!DX111+N70_DESARROLLO!BA111</f>
        <v>3.5094923244222587E-2</v>
      </c>
      <c r="DU26" s="5">
        <f>N70_DESARROLLO!DY111+N70_DESARROLLO!BB111</f>
        <v>3.3904800811315305E-2</v>
      </c>
      <c r="DV26" s="5">
        <f>N70_DESARROLLO!DZ111+N70_DESARROLLO!BC111</f>
        <v>3.2792762635876271E-2</v>
      </c>
      <c r="DW26" s="5">
        <f>N70_DESARROLLO!EA111+N70_DESARROLLO!BD111</f>
        <v>3.1751366862662667E-2</v>
      </c>
      <c r="DX26" s="5">
        <f>N70_DESARROLLO!EB111+N70_DESARROLLO!BE111</f>
        <v>3.0774088329719174E-2</v>
      </c>
      <c r="DY26" s="5">
        <f>N70_DESARROLLO!EC111+N70_DESARROLLO!BF111</f>
        <v>2.9855181616024296E-2</v>
      </c>
      <c r="DZ26" s="5">
        <f>N70_DESARROLLO!ED111+N70_DESARROLLO!BG111</f>
        <v>2.8989567932955596E-2</v>
      </c>
      <c r="EA26" s="5">
        <f>N70_DESARROLLO!EE111+N70_DESARROLLO!BH111</f>
        <v>2.8172741151786584E-2</v>
      </c>
      <c r="EB26" s="5">
        <f>N70_DESARROLLO!EF111+N70_DESARROLLO!BI111</f>
        <v>2.740068929379702E-2</v>
      </c>
      <c r="EC26" s="5">
        <f>N70_DESARROLLO!EG111+N70_DESARROLLO!BJ111</f>
        <v>2.6669828593237077E-2</v>
      </c>
      <c r="ED26" s="5">
        <f>N70_DESARROLLO!EH111+N70_DESARROLLO!BK111</f>
        <v>2.5976947844859377E-2</v>
      </c>
      <c r="EE26" s="5">
        <f>N70_DESARROLLO!EI111+N70_DESARROLLO!BL111</f>
        <v>2.5319161212279395E-2</v>
      </c>
      <c r="EF26" s="5">
        <f>N70_DESARROLLO!EJ111+N70_DESARROLLO!BM111</f>
        <v>2.4693868032498956E-2</v>
      </c>
      <c r="EG26" s="5">
        <f>N70_DESARROLLO!EK111+N70_DESARROLLO!BN111</f>
        <v>2.4098718436583288E-2</v>
      </c>
      <c r="EH26" s="5">
        <f>N70_DESARROLLO!EL111+N70_DESARROLLO!BO111</f>
        <v>2.3531583826923108E-2</v>
      </c>
      <c r="EI26" s="5">
        <f>N70_DESARROLLO!EM111+N70_DESARROLLO!BP111</f>
        <v>2.2990531429701422E-2</v>
      </c>
      <c r="EJ26" s="5">
        <f>N70_DESARROLLO!EN111+N70_DESARROLLO!BQ111</f>
        <v>2.2473802280092658E-2</v>
      </c>
      <c r="EK26" s="5">
        <f>N70_DESARROLLO!EO111+N70_DESARROLLO!BR111</f>
        <v>2.1979792112889918E-2</v>
      </c>
      <c r="EL26" s="5">
        <f>N70_DESARROLLO!EP111+N70_DESARROLLO!BS111</f>
        <v>2.1507034719688178E-2</v>
      </c>
      <c r="EM26" s="5">
        <f>N70_DESARROLLO!EQ111+N70_DESARROLLO!BT111</f>
        <v>2.1054187410165515E-2</v>
      </c>
      <c r="EN26" s="5">
        <f>N70_DESARROLLO!ER111+N70_DESARROLLO!BU111</f>
        <v>2.06200182721612E-2</v>
      </c>
      <c r="EO26" s="5">
        <f>N70_DESARROLLO!ES111+N70_DESARROLLO!BV111</f>
        <v>2.0203394977333256E-2</v>
      </c>
      <c r="EP26" s="5">
        <f>N70_DESARROLLO!ET111+N70_DESARROLLO!BW111</f>
        <v>1.9803274917321256E-2</v>
      </c>
      <c r="EQ26" s="5">
        <f>N70_DESARROLLO!EU111+N70_DESARROLLO!BX111</f>
        <v>1.941869648945671E-2</v>
      </c>
      <c r="ER26" s="5">
        <f>N70_DESARROLLO!EV111+N70_DESARROLLO!BY111</f>
        <v>19.147330315285057</v>
      </c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>
        <v>17</v>
      </c>
      <c r="FD26" s="4">
        <v>9.1077227145548929E-4</v>
      </c>
      <c r="FE26" s="4">
        <v>1.905314899604711E-3</v>
      </c>
      <c r="FF26" s="4">
        <v>2.6585130856782956E-3</v>
      </c>
      <c r="FG26" s="4">
        <v>3.4252973607770427E-3</v>
      </c>
      <c r="FH26" s="4">
        <v>4.2536979659848467E-3</v>
      </c>
      <c r="FI26" s="4">
        <v>5.1885180371252304E-3</v>
      </c>
      <c r="FJ26" s="4">
        <v>6.2794848374265492E-3</v>
      </c>
      <c r="FK26" s="4">
        <v>7.592676098926397E-3</v>
      </c>
      <c r="FL26" s="4">
        <v>9.2248108902374427E-3</v>
      </c>
      <c r="FM26" s="4">
        <v>1.1328391464834433E-2</v>
      </c>
      <c r="FN26" s="4">
        <v>1.4162379469538418E-2</v>
      </c>
      <c r="FO26" s="4">
        <v>1.8209492202091782E-2</v>
      </c>
      <c r="FP26" s="4">
        <v>2.4449298613662043E-2</v>
      </c>
      <c r="FQ26" s="4">
        <v>3.5821213368458546E-2</v>
      </c>
      <c r="FR26" s="4">
        <v>5.3160106105796516E-2</v>
      </c>
      <c r="FS26" s="4">
        <v>0.24382482165387237</v>
      </c>
      <c r="FT26" s="4">
        <v>-0.25190200789501233</v>
      </c>
      <c r="FU26" s="4">
        <v>-6.1243828847678976E-2</v>
      </c>
      <c r="FV26" s="4">
        <v>-4.3918123463631879E-2</v>
      </c>
      <c r="FW26" s="4">
        <v>-3.2566283703302154E-2</v>
      </c>
      <c r="FX26" s="4">
        <v>-2.6353816610631357E-2</v>
      </c>
      <c r="FY26" s="4">
        <v>-2.234185387707344E-2</v>
      </c>
      <c r="FZ26" s="4">
        <v>-1.955159020024207E-2</v>
      </c>
      <c r="GA26" s="4">
        <v>-1.7501364720200311E-2</v>
      </c>
      <c r="GB26" s="4">
        <v>-1.5933687024000335E-2</v>
      </c>
      <c r="GC26" s="4">
        <v>-1.4698145806764601E-2</v>
      </c>
      <c r="GD26" s="4">
        <v>-1.3701096715177092E-2</v>
      </c>
      <c r="GE26" s="4">
        <v>-1.2881221930935582E-2</v>
      </c>
      <c r="GF26" s="4">
        <v>-1.2196707858793265E-2</v>
      </c>
      <c r="GG26" s="4">
        <v>-1.161807385646939E-2</v>
      </c>
      <c r="GH26" s="4">
        <v>-1.1123947414650635E-2</v>
      </c>
      <c r="GI26" s="4">
        <v>-1.069846484346795E-2</v>
      </c>
      <c r="GJ26" s="4">
        <v>-1.032961224311869E-2</v>
      </c>
      <c r="GK26" s="4">
        <v>-1.00081327565244E-2</v>
      </c>
      <c r="GL26" s="4">
        <v>-9.7267869139775406E-3</v>
      </c>
      <c r="GM26" s="4">
        <v>-9.479839901717791E-3</v>
      </c>
      <c r="GN26" s="4">
        <v>-9.2626986007204506E-3</v>
      </c>
      <c r="GO26" s="4">
        <v>-9.071649833118655E-3</v>
      </c>
      <c r="GP26" s="4">
        <v>-8.9036684550097816E-3</v>
      </c>
      <c r="GQ26" s="4">
        <v>-8.7562745707756278E-3</v>
      </c>
      <c r="GR26" s="4">
        <v>-8.6274258839586539E-3</v>
      </c>
      <c r="GS26" s="4">
        <v>-8.5154355628758987E-3</v>
      </c>
      <c r="GT26" s="4">
        <v>-8.4189088780597613E-3</v>
      </c>
      <c r="GU26" s="4">
        <v>-8.3366937957307097E-3</v>
      </c>
      <c r="GV26" s="4">
        <v>-8.2678420149357133E-3</v>
      </c>
      <c r="GW26" s="4">
        <v>-8.2115778158063108E-3</v>
      </c>
      <c r="GX26" s="4">
        <v>-8.167272666483873E-3</v>
      </c>
      <c r="GY26" s="4">
        <v>-8.1344238881665351E-3</v>
      </c>
      <c r="GZ26" s="4">
        <v>-8.1126358325042253E-3</v>
      </c>
      <c r="HA26" s="4">
        <v>-8.1016019819683815E-3</v>
      </c>
      <c r="HB26" s="4">
        <v>-8.101086095996796E-3</v>
      </c>
      <c r="HC26" s="4">
        <v>-8.1108998930560193E-3</v>
      </c>
      <c r="HD26" s="4">
        <v>-8.1308735795889101E-3</v>
      </c>
      <c r="HE26" s="4">
        <v>-8.160813439063443E-3</v>
      </c>
      <c r="HF26" s="4">
        <v>-8.2004369736695983E-3</v>
      </c>
      <c r="HG26" s="4">
        <v>-8.2492693999473652E-3</v>
      </c>
      <c r="HH26" s="4">
        <v>-8.3064729673456798E-3</v>
      </c>
      <c r="HI26" s="4">
        <v>-8.3705571088508821E-3</v>
      </c>
      <c r="HJ26" s="4">
        <v>-8.4388710721124676E-3</v>
      </c>
      <c r="HK26" s="4">
        <v>-8.5066848312039083E-3</v>
      </c>
      <c r="HL26" s="4">
        <v>-8.5654550425220809E-3</v>
      </c>
      <c r="HM26" s="4">
        <v>-8.599387337160978E-3</v>
      </c>
      <c r="HN26" s="4">
        <v>-8.5781822194829199E-3</v>
      </c>
      <c r="HO26" s="4">
        <v>-8.4405664866689621E-3</v>
      </c>
      <c r="HP26" s="4">
        <v>-8.051408023409673E-3</v>
      </c>
      <c r="HQ26" s="4">
        <v>-7.0991487221069745E-3</v>
      </c>
      <c r="HR26" s="4">
        <v>-4.3589082068848E-3</v>
      </c>
      <c r="HS26" s="4">
        <v>-7.9502856652812642E-4</v>
      </c>
      <c r="HT26" s="4">
        <v>0.10297887589294011</v>
      </c>
      <c r="HU26" s="4">
        <v>-0.27760680129159593</v>
      </c>
    </row>
    <row r="27" spans="4:229" x14ac:dyDescent="0.25">
      <c r="D27" s="10">
        <v>18</v>
      </c>
      <c r="E27" s="5">
        <f>'N70'!E34-'N70'!E33</f>
        <v>1.4285714285714263E-2</v>
      </c>
      <c r="F27" s="5">
        <f>'N70'!H33-'N70'!E16</f>
        <v>0.25</v>
      </c>
      <c r="G27" s="5">
        <f>'N70'!H33-'N70'!E17</f>
        <v>0.23571428571428571</v>
      </c>
      <c r="H27" s="5">
        <f>'N70'!H33-'N70'!E18</f>
        <v>0.22142857142857142</v>
      </c>
      <c r="I27" s="5">
        <f>'N70'!H33-'N70'!E19</f>
        <v>0.20714285714285713</v>
      </c>
      <c r="J27" s="5">
        <f>'N70'!H33-'N70'!E20</f>
        <v>0.19285714285714287</v>
      </c>
      <c r="K27" s="5">
        <f>'N70'!H33-'N70'!E21</f>
        <v>0.17857142857142858</v>
      </c>
      <c r="L27" s="5">
        <f>'N70'!H33-'N70'!E22</f>
        <v>0.16428571428571428</v>
      </c>
      <c r="M27" s="5">
        <f>'N70'!H33-'N70'!E23</f>
        <v>0.15000000000000002</v>
      </c>
      <c r="N27" s="5">
        <f>'N70'!H33-'N70'!E24</f>
        <v>0.13571428571428573</v>
      </c>
      <c r="O27" s="5">
        <f>'N70'!H33-'N70'!E25</f>
        <v>0.12142857142857144</v>
      </c>
      <c r="P27" s="5">
        <f>'N70'!H33-'N70'!E26</f>
        <v>0.10714285714285715</v>
      </c>
      <c r="Q27" s="5">
        <f>'N70'!H33-'N70'!E27</f>
        <v>9.285714285714286E-2</v>
      </c>
      <c r="R27" s="5">
        <f>'N70'!H33-'N70'!E28</f>
        <v>7.857142857142857E-2</v>
      </c>
      <c r="S27" s="5">
        <f>'N70'!H33-'N70'!E29</f>
        <v>6.4285714285714279E-2</v>
      </c>
      <c r="T27" s="5">
        <f>'N70'!H33-'N70'!E30</f>
        <v>5.0000000000000017E-2</v>
      </c>
      <c r="U27" s="5">
        <f>'N70'!H33-'N70'!E31</f>
        <v>3.5714285714285726E-2</v>
      </c>
      <c r="V27" s="5">
        <f>'N70'!H33-'N70'!E32</f>
        <v>2.1428571428571436E-2</v>
      </c>
      <c r="W27" s="5">
        <f>'N70'!H33-'N70'!E33</f>
        <v>7.1428571428571452E-3</v>
      </c>
      <c r="X27" s="5">
        <f>'N70'!H33-'N70'!E34</f>
        <v>-7.1428571428571175E-3</v>
      </c>
      <c r="Y27" s="5">
        <f>'N70'!H33-'N70'!E35</f>
        <v>-2.1428571428571408E-2</v>
      </c>
      <c r="Z27" s="5">
        <f>'N70'!H33-'N70'!E36</f>
        <v>-3.5714285714285698E-2</v>
      </c>
      <c r="AA27" s="5">
        <f>'N70'!H33-'N70'!E37</f>
        <v>-4.9999999999999989E-2</v>
      </c>
      <c r="AB27" s="5">
        <f>'N70'!H33-'N70'!E38</f>
        <v>-6.4285714285714279E-2</v>
      </c>
      <c r="AC27" s="5">
        <f>'N70'!H33-'N70'!E39</f>
        <v>-7.857142857142857E-2</v>
      </c>
      <c r="AD27" s="5">
        <f>'N70'!H33-'N70'!E40</f>
        <v>-9.285714285714286E-2</v>
      </c>
      <c r="AE27" s="5">
        <f>'N70'!H33-'N70'!E41</f>
        <v>-0.10714285714285715</v>
      </c>
      <c r="AF27" s="5">
        <f>'N70'!H33-'N70'!E42</f>
        <v>-0.12142857142857144</v>
      </c>
      <c r="AG27" s="5">
        <f>'N70'!H33-'N70'!E43</f>
        <v>-0.13571428571428568</v>
      </c>
      <c r="AH27" s="5">
        <f>'N70'!H33-'N70'!E44</f>
        <v>-0.14999999999999997</v>
      </c>
      <c r="AI27" s="5">
        <f>'N70'!H33-'N70'!E45</f>
        <v>-0.16428571428571426</v>
      </c>
      <c r="AJ27" s="5">
        <f>'N70'!H33-'N70'!E46</f>
        <v>-0.17857142857142855</v>
      </c>
      <c r="AK27" s="5">
        <f>'N70'!H33-'N70'!E47</f>
        <v>-0.19285714285714284</v>
      </c>
      <c r="AL27" s="5">
        <f>'N70'!H33-'N70'!$E$48</f>
        <v>-0.20714285714285713</v>
      </c>
      <c r="AM27" s="5">
        <f>'N70'!H33-'N70'!$E$49</f>
        <v>-0.22142857142857142</v>
      </c>
      <c r="AN27" s="5">
        <f>'N70'!H33-'N70'!$E$50</f>
        <v>-0.23571428571428571</v>
      </c>
      <c r="AO27" s="5">
        <f>'N70'!H33-'N70'!$E$51</f>
        <v>-0.25</v>
      </c>
      <c r="AP27" s="5">
        <f>'N70'!H33-'N70'!$E$52</f>
        <v>-0.26428571428571423</v>
      </c>
      <c r="AQ27" s="5">
        <f>'N70'!H33-'N70'!$E$53</f>
        <v>-0.27857142857142858</v>
      </c>
      <c r="AR27" s="5">
        <f>'N70'!H33-'N70'!$E$54</f>
        <v>-0.29285714285714282</v>
      </c>
      <c r="AS27" s="5">
        <f>'N70'!H33-'N70'!$E$55</f>
        <v>-0.30714285714285716</v>
      </c>
      <c r="AT27" s="5">
        <f>'N70'!H33-'N70'!$E$56</f>
        <v>-0.3214285714285714</v>
      </c>
      <c r="AU27" s="5">
        <f>'N70'!H33-'N70'!$E$57</f>
        <v>-0.33571428571428574</v>
      </c>
      <c r="AV27" s="5">
        <f>'N70'!H33-'N70'!$E$58</f>
        <v>-0.35</v>
      </c>
      <c r="AW27" s="5">
        <f>'N70'!H33-'N70'!$E$59</f>
        <v>-0.36428571428571421</v>
      </c>
      <c r="AX27" s="5">
        <f>'N70'!H33-'N70'!$E$60</f>
        <v>-0.37857142857142856</v>
      </c>
      <c r="AY27" s="5">
        <f>'N70'!H33-'N70'!$E$61</f>
        <v>-0.39285714285714279</v>
      </c>
      <c r="AZ27" s="5">
        <f>'N70'!H33-'N70'!$E$62</f>
        <v>-0.40714285714285714</v>
      </c>
      <c r="BA27" s="5">
        <f>'N70'!H33-'N70'!$E$63</f>
        <v>-0.42142857142857137</v>
      </c>
      <c r="BB27" s="5">
        <f>'N70'!H33-'N70'!$E$64</f>
        <v>-0.43571428571428572</v>
      </c>
      <c r="BC27" s="5">
        <f>'N70'!H33-'N70'!$E$65</f>
        <v>-0.44999999999999996</v>
      </c>
      <c r="BD27" s="5">
        <f>'N70'!H33-'N70'!$E$66</f>
        <v>-0.4642857142857143</v>
      </c>
      <c r="BE27" s="5">
        <f>'N70'!H33-'N70'!$E$67</f>
        <v>-0.47857142857142854</v>
      </c>
      <c r="BF27" s="5">
        <f>'N70'!H33-'N70'!$E$68</f>
        <v>-0.49285714285714288</v>
      </c>
      <c r="BG27" s="5">
        <f>'N70'!H33-'N70'!$E$69</f>
        <v>-0.50714285714285712</v>
      </c>
      <c r="BH27" s="5">
        <f>'N70'!H33-'N70'!$E$70</f>
        <v>-0.52142857142857135</v>
      </c>
      <c r="BI27" s="5">
        <f>'N70'!H33-'N70'!$E$71</f>
        <v>-0.5357142857142857</v>
      </c>
      <c r="BJ27" s="5">
        <f>'N70'!H33-'N70'!$E$72</f>
        <v>-0.54999999999999993</v>
      </c>
      <c r="BK27" s="5">
        <f>'N70'!H33-'N70'!$E$73</f>
        <v>-0.56428571428571428</v>
      </c>
      <c r="BL27" s="5">
        <f>'N70'!H33-'N70'!$E$74</f>
        <v>-0.57857142857142851</v>
      </c>
      <c r="BM27" s="5">
        <f>'N70'!H33-'N70'!$E$75</f>
        <v>-0.59285714285714286</v>
      </c>
      <c r="BN27" s="5">
        <f>'N70'!H33-'N70'!$E$76</f>
        <v>-0.6071428571428571</v>
      </c>
      <c r="BO27" s="5">
        <f>'N70'!H33-'N70'!$E$77</f>
        <v>-0.62142857142857144</v>
      </c>
      <c r="BP27" s="5">
        <f>'N70'!H33-'N70'!$E$78</f>
        <v>-0.63571428571428568</v>
      </c>
      <c r="BQ27" s="5">
        <f>'N70'!H33-'N70'!$E$79</f>
        <v>-0.65</v>
      </c>
      <c r="BR27" s="5">
        <f>'N70'!H33-'N70'!$E$80</f>
        <v>-0.66428571428571426</v>
      </c>
      <c r="BS27" s="5">
        <f>'N70'!H33-'N70'!$E$81</f>
        <v>-0.67857142857142849</v>
      </c>
      <c r="BT27" s="5">
        <f>'N70'!H33-'N70'!$E$82</f>
        <v>-0.69285714285714284</v>
      </c>
      <c r="BU27" s="5">
        <f>'N70'!H33-'N70'!$E$83</f>
        <v>-0.70714285714285707</v>
      </c>
      <c r="BV27" s="5">
        <f>'N70'!H33-'N70'!$E$84</f>
        <v>-0.72142857142857142</v>
      </c>
      <c r="BW27" s="5">
        <f>'N70'!H33-'N70'!$E$85</f>
        <v>-0.73571428571428565</v>
      </c>
      <c r="BX27" s="5">
        <v>-1</v>
      </c>
      <c r="BY27" s="5"/>
      <c r="BZ27">
        <v>18</v>
      </c>
      <c r="CA27" s="5">
        <f>N70_DESARROLLO!CE112+N70_DESARROLLO!H112</f>
        <v>-2.9131730204232431E-2</v>
      </c>
      <c r="CB27" s="5">
        <f>N70_DESARROLLO!CF112+N70_DESARROLLO!I112</f>
        <v>-6.0643218403522159E-2</v>
      </c>
      <c r="CC27" s="5">
        <f>N70_DESARROLLO!CG112+N70_DESARROLLO!J112</f>
        <v>-6.4560961252483229E-2</v>
      </c>
      <c r="CD27" s="5">
        <f>N70_DESARROLLO!CH112+N70_DESARROLLO!K112</f>
        <v>-6.9020292350870482E-2</v>
      </c>
      <c r="CE27" s="5">
        <f>N70_DESARROLLO!CI112+N70_DESARROLLO!L112</f>
        <v>-7.4141965022335721E-2</v>
      </c>
      <c r="CF27" s="5">
        <f>N70_DESARROLLO!CJ112+N70_DESARROLLO!M112</f>
        <v>-8.0085554140355342E-2</v>
      </c>
      <c r="CG27" s="5">
        <f>N70_DESARROLLO!CK112+N70_DESARROLLO!N112</f>
        <v>-8.7066442319339576E-2</v>
      </c>
      <c r="CH27" s="5">
        <f>N70_DESARROLLO!CL112+N70_DESARROLLO!O112</f>
        <v>-9.5382594982172497E-2</v>
      </c>
      <c r="CI27" s="5">
        <f>N70_DESARROLLO!CM112+N70_DESARROLLO!P112</f>
        <v>-0.1054584185205778</v>
      </c>
      <c r="CJ27" s="5">
        <f>N70_DESARROLLO!CN112+N70_DESARROLLO!Q112</f>
        <v>-0.11791996375048563</v>
      </c>
      <c r="CK27" s="5">
        <f>N70_DESARROLLO!CO112+N70_DESARROLLO!R112</f>
        <v>-0.13373123411929888</v>
      </c>
      <c r="CL27" s="5">
        <f>N70_DESARROLLO!CP112+N70_DESARROLLO!S112</f>
        <v>-0.15445886474681403</v>
      </c>
      <c r="CM27" s="5">
        <f>N70_DESARROLLO!CQ112+N70_DESARROLLO!T112</f>
        <v>-0.18283342438756844</v>
      </c>
      <c r="CN27" s="5">
        <f>N70_DESARROLLO!CR112+N70_DESARROLLO!U112</f>
        <v>-0.22408833054042843</v>
      </c>
      <c r="CO27" s="5">
        <f>N70_DESARROLLO!CS112+N70_DESARROLLO!V112</f>
        <v>-0.2897343415057293</v>
      </c>
      <c r="CP27" s="5">
        <f>N70_DESARROLLO!CT112+N70_DESARROLLO!W112</f>
        <v>-0.41141440075354718</v>
      </c>
      <c r="CQ27" s="5">
        <f>N70_DESARROLLO!CU112+N70_DESARROLLO!X112</f>
        <v>-0.72775792963608066</v>
      </c>
      <c r="CR27" s="5">
        <f>N70_DESARROLLO!CV112+N70_DESARROLLO!Y112</f>
        <v>-1.6479184659605346</v>
      </c>
      <c r="CS27" s="5">
        <f>N70_DESARROLLO!CW112+N70_DESARROLLO!Z112</f>
        <v>1.6479184659605364</v>
      </c>
      <c r="CT27" s="5">
        <f>N70_DESARROLLO!CX112+N70_DESARROLLO!AA112</f>
        <v>0.72775792963608221</v>
      </c>
      <c r="CU27" s="5">
        <f>N70_DESARROLLO!CY112+N70_DESARROLLO!AB112</f>
        <v>0.41141440075354785</v>
      </c>
      <c r="CV27" s="5">
        <f>N70_DESARROLLO!CZ112+N70_DESARROLLO!AC112</f>
        <v>0.28973434150573174</v>
      </c>
      <c r="CW27" s="5">
        <f>N70_DESARROLLO!DA112+N70_DESARROLLO!AD112</f>
        <v>0.22408833054042698</v>
      </c>
      <c r="CX27" s="5">
        <f>N70_DESARROLLO!DB112+N70_DESARROLLO!AE112</f>
        <v>0.18283342438756867</v>
      </c>
      <c r="CY27" s="5">
        <f>N70_DESARROLLO!DC112+N70_DESARROLLO!AF112</f>
        <v>0.15445886474681392</v>
      </c>
      <c r="CZ27" s="5">
        <f>N70_DESARROLLO!DD112+N70_DESARROLLO!AG112</f>
        <v>0.13373123411929844</v>
      </c>
      <c r="DA27" s="5">
        <f>N70_DESARROLLO!DE112+N70_DESARROLLO!AH112</f>
        <v>0.11791996375048197</v>
      </c>
      <c r="DB27" s="5">
        <f>N70_DESARROLLO!DF112+N70_DESARROLLO!AI112</f>
        <v>0.10545841852058135</v>
      </c>
      <c r="DC27" s="5">
        <f>N70_DESARROLLO!DG112+N70_DESARROLLO!AJ112</f>
        <v>9.5382594982175051E-2</v>
      </c>
      <c r="DD27" s="5">
        <f>N70_DESARROLLO!DH112+N70_DESARROLLO!AK112</f>
        <v>8.7066442319335136E-2</v>
      </c>
      <c r="DE27" s="5">
        <f>N70_DESARROLLO!DI112+N70_DESARROLLO!AL112</f>
        <v>8.0085554140358006E-2</v>
      </c>
      <c r="DF27" s="5">
        <f>N70_DESARROLLO!DJ112+N70_DESARROLLO!AM112</f>
        <v>7.4141965022337719E-2</v>
      </c>
      <c r="DG27" s="5">
        <f>N70_DESARROLLO!DK112+N70_DESARROLLO!AN112</f>
        <v>6.9020292350869261E-2</v>
      </c>
      <c r="DH27" s="5">
        <f>N70_DESARROLLO!DL112+N70_DESARROLLO!AO112</f>
        <v>6.4560961252480009E-2</v>
      </c>
      <c r="DI27" s="5">
        <f>N70_DESARROLLO!DM112+N70_DESARROLLO!AP112</f>
        <v>6.0643218403522936E-2</v>
      </c>
      <c r="DJ27" s="5">
        <f>N70_DESARROLLO!DN112+N70_DESARROLLO!AQ112</f>
        <v>5.717399712907445E-2</v>
      </c>
      <c r="DK27" s="5">
        <f>N70_DESARROLLO!DO112+N70_DESARROLLO!AR112</f>
        <v>5.4080408838158012E-2</v>
      </c>
      <c r="DL27" s="5">
        <f>N70_DESARROLLO!DP112+N70_DESARROLLO!AS112</f>
        <v>5.130455332633288E-2</v>
      </c>
      <c r="DM27" s="5">
        <f>N70_DESARROLLO!DQ112+N70_DESARROLLO!AT112</f>
        <v>4.8799853039083518E-2</v>
      </c>
      <c r="DN27" s="5">
        <f>N70_DESARROLLO!DR112+N70_DESARROLLO!AU112</f>
        <v>4.6528413377880606E-2</v>
      </c>
      <c r="DO27" s="5">
        <f>N70_DESARROLLO!DS112+N70_DESARROLLO!AV112</f>
        <v>4.4459088822771053E-2</v>
      </c>
      <c r="DP27" s="5">
        <f>N70_DESARROLLO!DT112+N70_DESARROLLO!AW112</f>
        <v>4.2566044021103977E-2</v>
      </c>
      <c r="DQ27" s="5">
        <f>N70_DESARROLLO!DU112+N70_DESARROLLO!AX112</f>
        <v>4.0827668052532351E-2</v>
      </c>
      <c r="DR27" s="5">
        <f>N70_DESARROLLO!DV112+N70_DESARROLLO!AY112</f>
        <v>3.9225744685487451E-2</v>
      </c>
      <c r="DS27" s="5">
        <f>N70_DESARROLLO!DW112+N70_DESARROLLO!AZ112</f>
        <v>3.774481085568826E-2</v>
      </c>
      <c r="DT27" s="5">
        <f>N70_DESARROLLO!DX112+N70_DESARROLLO!BA112</f>
        <v>3.6371655357452903E-2</v>
      </c>
      <c r="DU27" s="5">
        <f>N70_DESARROLLO!DY112+N70_DESARROLLO!BB112</f>
        <v>3.509492324420449E-2</v>
      </c>
      <c r="DV27" s="5">
        <f>N70_DESARROLLO!DZ112+N70_DESARROLLO!BC112</f>
        <v>3.3904800811327962E-2</v>
      </c>
      <c r="DW27" s="5">
        <f>N70_DESARROLLO!EA112+N70_DESARROLLO!BD112</f>
        <v>3.2792762635863171E-2</v>
      </c>
      <c r="DX27" s="5">
        <f>N70_DESARROLLO!EB112+N70_DESARROLLO!BE112</f>
        <v>3.17513668626761E-2</v>
      </c>
      <c r="DY27" s="5">
        <f>N70_DESARROLLO!EC112+N70_DESARROLLO!BF112</f>
        <v>3.0774088329705407E-2</v>
      </c>
      <c r="DZ27" s="5">
        <f>N70_DESARROLLO!ED112+N70_DESARROLLO!BG112</f>
        <v>2.9855181616038617E-2</v>
      </c>
      <c r="EA27" s="5">
        <f>N70_DESARROLLO!EE112+N70_DESARROLLO!BH112</f>
        <v>2.8989567932948379E-2</v>
      </c>
      <c r="EB27" s="5">
        <f>N70_DESARROLLO!EF112+N70_DESARROLLO!BI112</f>
        <v>2.8172741151786584E-2</v>
      </c>
      <c r="EC27" s="5">
        <f>N70_DESARROLLO!EG112+N70_DESARROLLO!BJ112</f>
        <v>2.7400689293805458E-2</v>
      </c>
      <c r="ED27" s="5">
        <f>N70_DESARROLLO!EH112+N70_DESARROLLO!BK112</f>
        <v>2.6669828593212208E-2</v>
      </c>
      <c r="EE27" s="5">
        <f>N70_DESARROLLO!EI112+N70_DESARROLLO!BL112</f>
        <v>2.5976947844875475E-2</v>
      </c>
      <c r="EF27" s="5">
        <f>N70_DESARROLLO!EJ112+N70_DESARROLLO!BM112</f>
        <v>2.5319161212279506E-2</v>
      </c>
      <c r="EG27" s="5">
        <f>N70_DESARROLLO!EK112+N70_DESARROLLO!BN112</f>
        <v>2.469386803250806E-2</v>
      </c>
      <c r="EH27" s="5">
        <f>N70_DESARROLLO!EL112+N70_DESARROLLO!BO112</f>
        <v>2.4098718436555866E-2</v>
      </c>
      <c r="EI27" s="5">
        <f>N70_DESARROLLO!EM112+N70_DESARROLLO!BP112</f>
        <v>2.3531583826950309E-2</v>
      </c>
      <c r="EJ27" s="5">
        <f>N70_DESARROLLO!EN112+N70_DESARROLLO!BQ112</f>
        <v>2.2990531429692429E-2</v>
      </c>
      <c r="EK27" s="5">
        <f>N70_DESARROLLO!EO112+N70_DESARROLLO!BR112</f>
        <v>2.247380228010265E-2</v>
      </c>
      <c r="EL27" s="5">
        <f>N70_DESARROLLO!EP112+N70_DESARROLLO!BS112</f>
        <v>2.1979792112860164E-2</v>
      </c>
      <c r="EM27" s="5">
        <f>N70_DESARROLLO!EQ112+N70_DESARROLLO!BT112</f>
        <v>2.1507034719707496E-2</v>
      </c>
      <c r="EN27" s="5">
        <f>N70_DESARROLLO!ER112+N70_DESARROLLO!BU112</f>
        <v>2.1054187410176395E-2</v>
      </c>
      <c r="EO27" s="5">
        <f>N70_DESARROLLO!ES112+N70_DESARROLLO!BV112</f>
        <v>2.0620018272150986E-2</v>
      </c>
      <c r="EP27" s="5">
        <f>N70_DESARROLLO!ET112+N70_DESARROLLO!BW112</f>
        <v>2.0203394977344136E-2</v>
      </c>
      <c r="EQ27" s="5">
        <f>N70_DESARROLLO!EU112+N70_DESARROLLO!BX112</f>
        <v>1.9803274917299052E-2</v>
      </c>
      <c r="ER27" s="5">
        <f>N70_DESARROLLO!EV112+N70_DESARROLLO!BY112</f>
        <v>20.493713011338055</v>
      </c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>
        <v>18</v>
      </c>
      <c r="FD27" s="4">
        <v>8.2249915975343029E-4</v>
      </c>
      <c r="FE27" s="4">
        <v>1.714454094504668E-3</v>
      </c>
      <c r="FF27" s="4">
        <v>2.380903236757713E-3</v>
      </c>
      <c r="FG27" s="4">
        <v>3.0509459195887873E-3</v>
      </c>
      <c r="FH27" s="4">
        <v>3.7647752015687571E-3</v>
      </c>
      <c r="FI27" s="4">
        <v>4.5577518405918692E-3</v>
      </c>
      <c r="FJ27" s="4">
        <v>5.4665963144938309E-3</v>
      </c>
      <c r="FK27" s="4">
        <v>6.5374851836103986E-3</v>
      </c>
      <c r="FL27" s="4">
        <v>7.8345605902530747E-3</v>
      </c>
      <c r="FM27" s="4">
        <v>9.4533923083918881E-3</v>
      </c>
      <c r="FN27" s="4">
        <v>1.1545750569067769E-2</v>
      </c>
      <c r="FO27" s="4">
        <v>1.4370105599558741E-2</v>
      </c>
      <c r="FP27" s="4">
        <v>1.8408830781167829E-2</v>
      </c>
      <c r="FQ27" s="4">
        <v>2.4641246109586106E-2</v>
      </c>
      <c r="FR27" s="4">
        <v>3.6006580907966879E-2</v>
      </c>
      <c r="FS27" s="4">
        <v>5.3339563518300534E-2</v>
      </c>
      <c r="FT27" s="4">
        <v>0.2439989288234018</v>
      </c>
      <c r="FU27" s="4">
        <v>-0.25173277817855377</v>
      </c>
      <c r="FV27" s="4">
        <v>-6.1079073891668494E-2</v>
      </c>
      <c r="FW27" s="4">
        <v>-4.3757497806702156E-2</v>
      </c>
      <c r="FX27" s="4">
        <v>-3.2409489227355225E-2</v>
      </c>
      <c r="FY27" s="4">
        <v>-2.6200594841319542E-2</v>
      </c>
      <c r="FZ27" s="4">
        <v>-2.2191979920622096E-2</v>
      </c>
      <c r="GA27" s="4">
        <v>-1.9404867923425197E-2</v>
      </c>
      <c r="GB27" s="4">
        <v>-1.7357622888826609E-2</v>
      </c>
      <c r="GC27" s="4">
        <v>-1.5792776190816041E-2</v>
      </c>
      <c r="GD27" s="4">
        <v>-1.4559935793230065E-2</v>
      </c>
      <c r="GE27" s="4">
        <v>-1.3565474570079792E-2</v>
      </c>
      <c r="GF27" s="4">
        <v>-1.2748090276979325E-2</v>
      </c>
      <c r="GG27" s="4">
        <v>-1.2065983559021798E-2</v>
      </c>
      <c r="GH27" s="4">
        <v>-1.1489686948033219E-2</v>
      </c>
      <c r="GI27" s="4">
        <v>-1.099784026912525E-2</v>
      </c>
      <c r="GJ27" s="4">
        <v>-1.0574591521882556E-2</v>
      </c>
      <c r="GK27" s="4">
        <v>-1.0207938020675364E-2</v>
      </c>
      <c r="GL27" s="4">
        <v>-9.8886337970552889E-3</v>
      </c>
      <c r="GM27" s="4">
        <v>-9.6094500778776525E-3</v>
      </c>
      <c r="GN27" s="4">
        <v>-9.3646626735209224E-3</v>
      </c>
      <c r="GO27" s="4">
        <v>-9.1496891236147581E-3</v>
      </c>
      <c r="GP27" s="4">
        <v>-8.960827037487672E-3</v>
      </c>
      <c r="GQ27" s="4">
        <v>-8.7950622658633619E-3</v>
      </c>
      <c r="GR27" s="4">
        <v>-8.6499261748666442E-3</v>
      </c>
      <c r="GS27" s="4">
        <v>-8.5233880292883788E-3</v>
      </c>
      <c r="GT27" s="4">
        <v>-8.4137728512191211E-3</v>
      </c>
      <c r="GU27" s="4">
        <v>-8.3196979910530149E-3</v>
      </c>
      <c r="GV27" s="4">
        <v>-8.2400235648758952E-3</v>
      </c>
      <c r="GW27" s="4">
        <v>-8.173813198564011E-3</v>
      </c>
      <c r="GX27" s="4">
        <v>-8.1203023729604484E-3</v>
      </c>
      <c r="GY27" s="4">
        <v>-8.0788722043569836E-3</v>
      </c>
      <c r="GZ27" s="4">
        <v>-8.0490267807961438E-3</v>
      </c>
      <c r="HA27" s="4">
        <v>-8.030372225651913E-3</v>
      </c>
      <c r="HB27" s="4">
        <v>-8.0225954427198265E-3</v>
      </c>
      <c r="HC27" s="4">
        <v>-8.0254399213947267E-3</v>
      </c>
      <c r="HD27" s="4">
        <v>-8.0386748529686081E-3</v>
      </c>
      <c r="HE27" s="4">
        <v>-8.0620517676463638E-3</v>
      </c>
      <c r="HF27" s="4">
        <v>-8.0952392553111235E-3</v>
      </c>
      <c r="HG27" s="4">
        <v>-8.1377197576995887E-3</v>
      </c>
      <c r="HH27" s="4">
        <v>-8.1886202878220724E-3</v>
      </c>
      <c r="HI27" s="4">
        <v>-8.2464258487538484E-3</v>
      </c>
      <c r="HJ27" s="4">
        <v>-8.3084787062859804E-3</v>
      </c>
      <c r="HK27" s="4">
        <v>-8.3700723709077638E-3</v>
      </c>
      <c r="HL27" s="4">
        <v>-8.4227435205520423E-3</v>
      </c>
      <c r="HM27" s="4">
        <v>-8.4508876308848381E-3</v>
      </c>
      <c r="HN27" s="4">
        <v>-8.4246204459493875E-3</v>
      </c>
      <c r="HO27" s="4">
        <v>-8.2835772170160669E-3</v>
      </c>
      <c r="HP27" s="4">
        <v>-7.8947383726311205E-3</v>
      </c>
      <c r="HQ27" s="4">
        <v>-6.9515711525802524E-3</v>
      </c>
      <c r="HR27" s="4">
        <v>-4.2498290168597637E-3</v>
      </c>
      <c r="HS27" s="4">
        <v>-7.3497507245447462E-4</v>
      </c>
      <c r="HT27" s="4">
        <v>0.10124277127209762</v>
      </c>
      <c r="HU27" s="4">
        <v>-0.272577397646946</v>
      </c>
    </row>
    <row r="28" spans="4:229" x14ac:dyDescent="0.25">
      <c r="D28" s="10">
        <v>19</v>
      </c>
      <c r="E28" s="5">
        <f>'N70'!E35-'N70'!E34</f>
        <v>1.428571428571429E-2</v>
      </c>
      <c r="F28" s="5">
        <f>'N70'!H34-'N70'!E16</f>
        <v>0.26428571428571423</v>
      </c>
      <c r="G28" s="5">
        <f>'N70'!H34-'N70'!E17</f>
        <v>0.24999999999999994</v>
      </c>
      <c r="H28" s="5">
        <f>'N70'!H34-'N70'!E18</f>
        <v>0.23571428571428565</v>
      </c>
      <c r="I28" s="5">
        <f>'N70'!H34-'N70'!E19</f>
        <v>0.22142857142857136</v>
      </c>
      <c r="J28" s="5">
        <f>'N70'!H34-'N70'!E20</f>
        <v>0.2071428571428571</v>
      </c>
      <c r="K28" s="5">
        <f>'N70'!H34-'N70'!E21</f>
        <v>0.19285714285714281</v>
      </c>
      <c r="L28" s="5">
        <f>'N70'!H34-'N70'!E22</f>
        <v>0.17857142857142852</v>
      </c>
      <c r="M28" s="5">
        <f>'N70'!H34-'N70'!E23</f>
        <v>0.16428571428571426</v>
      </c>
      <c r="N28" s="5">
        <f>'N70'!H34-'N70'!E24</f>
        <v>0.14999999999999997</v>
      </c>
      <c r="O28" s="5">
        <f>'N70'!H34-'N70'!E25</f>
        <v>0.13571428571428568</v>
      </c>
      <c r="P28" s="5">
        <f>'N70'!H34-'N70'!E26</f>
        <v>0.12142857142857139</v>
      </c>
      <c r="Q28" s="5">
        <f>'N70'!H34-'N70'!E27</f>
        <v>0.1071428571428571</v>
      </c>
      <c r="R28" s="5">
        <f>'N70'!H34-'N70'!E28</f>
        <v>9.2857142857142805E-2</v>
      </c>
      <c r="S28" s="5">
        <f>'N70'!H34-'N70'!E29</f>
        <v>7.8571428571428514E-2</v>
      </c>
      <c r="T28" s="5">
        <f>'N70'!H34-'N70'!E30</f>
        <v>6.4285714285714252E-2</v>
      </c>
      <c r="U28" s="5">
        <f>'N70'!H34-'N70'!E31</f>
        <v>4.9999999999999961E-2</v>
      </c>
      <c r="V28" s="5">
        <f>'N70'!H34-'N70'!E32</f>
        <v>3.5714285714285671E-2</v>
      </c>
      <c r="W28" s="5">
        <f>'N70'!H34-'N70'!E33</f>
        <v>2.142857142857138E-2</v>
      </c>
      <c r="X28" s="5">
        <f>'N70'!H34-'N70'!E34</f>
        <v>7.1428571428571175E-3</v>
      </c>
      <c r="Y28" s="5">
        <f>'N70'!H34-'N70'!E35</f>
        <v>-7.142857142857173E-3</v>
      </c>
      <c r="Z28" s="5">
        <f>'N70'!H34-'N70'!E36</f>
        <v>-2.1428571428571463E-2</v>
      </c>
      <c r="AA28" s="5">
        <f>'N70'!H34-'N70'!E37</f>
        <v>-3.5714285714285754E-2</v>
      </c>
      <c r="AB28" s="5">
        <f>'N70'!H34-'N70'!E38</f>
        <v>-5.0000000000000044E-2</v>
      </c>
      <c r="AC28" s="5">
        <f>'N70'!H34-'N70'!E39</f>
        <v>-6.4285714285714335E-2</v>
      </c>
      <c r="AD28" s="5">
        <f>'N70'!H34-'N70'!E40</f>
        <v>-7.8571428571428625E-2</v>
      </c>
      <c r="AE28" s="5">
        <f>'N70'!H34-'N70'!E41</f>
        <v>-9.2857142857142916E-2</v>
      </c>
      <c r="AF28" s="5">
        <f>'N70'!H34-'N70'!E42</f>
        <v>-0.10714285714285721</v>
      </c>
      <c r="AG28" s="5">
        <f>'N70'!H34-'N70'!E43</f>
        <v>-0.12142857142857144</v>
      </c>
      <c r="AH28" s="5">
        <f>'N70'!H34-'N70'!E44</f>
        <v>-0.13571428571428573</v>
      </c>
      <c r="AI28" s="5">
        <f>'N70'!H34-'N70'!E45</f>
        <v>-0.15000000000000002</v>
      </c>
      <c r="AJ28" s="5">
        <f>'N70'!H34-'N70'!E46</f>
        <v>-0.16428571428571431</v>
      </c>
      <c r="AK28" s="5">
        <f>'N70'!H34-'N70'!E47</f>
        <v>-0.1785714285714286</v>
      </c>
      <c r="AL28" s="5">
        <f>'N70'!H34-'N70'!$E$48</f>
        <v>-0.19285714285714289</v>
      </c>
      <c r="AM28" s="5">
        <f>'N70'!H34-'N70'!$E$49</f>
        <v>-0.20714285714285718</v>
      </c>
      <c r="AN28" s="5">
        <f>'N70'!H34-'N70'!$E$50</f>
        <v>-0.22142857142857147</v>
      </c>
      <c r="AO28" s="5">
        <f>'N70'!H34-'N70'!$E$51</f>
        <v>-0.23571428571428577</v>
      </c>
      <c r="AP28" s="5">
        <f>'N70'!H34-'N70'!$E$52</f>
        <v>-0.25</v>
      </c>
      <c r="AQ28" s="5">
        <f>'N70'!H34-'N70'!$E$53</f>
        <v>-0.26428571428571435</v>
      </c>
      <c r="AR28" s="5">
        <f>'N70'!H34-'N70'!$E$54</f>
        <v>-0.27857142857142858</v>
      </c>
      <c r="AS28" s="5">
        <f>'N70'!H34-'N70'!$E$55</f>
        <v>-0.29285714285714293</v>
      </c>
      <c r="AT28" s="5">
        <f>'N70'!H34-'N70'!$E$56</f>
        <v>-0.30714285714285716</v>
      </c>
      <c r="AU28" s="5">
        <f>'N70'!H34-'N70'!$E$57</f>
        <v>-0.32142857142857151</v>
      </c>
      <c r="AV28" s="5">
        <f>'N70'!H34-'N70'!$E$58</f>
        <v>-0.33571428571428574</v>
      </c>
      <c r="AW28" s="5">
        <f>'N70'!H34-'N70'!$E$59</f>
        <v>-0.35</v>
      </c>
      <c r="AX28" s="5">
        <f>'N70'!H34-'N70'!$E$60</f>
        <v>-0.36428571428571432</v>
      </c>
      <c r="AY28" s="5">
        <f>'N70'!H34-'N70'!$E$61</f>
        <v>-0.37857142857142856</v>
      </c>
      <c r="AZ28" s="5">
        <f>'N70'!H34-'N70'!$E$62</f>
        <v>-0.3928571428571429</v>
      </c>
      <c r="BA28" s="5">
        <f>'N70'!H34-'N70'!$E$63</f>
        <v>-0.40714285714285714</v>
      </c>
      <c r="BB28" s="5">
        <f>'N70'!H34-'N70'!$E$64</f>
        <v>-0.42142857142857149</v>
      </c>
      <c r="BC28" s="5">
        <f>'N70'!H34-'N70'!$E$65</f>
        <v>-0.43571428571428572</v>
      </c>
      <c r="BD28" s="5">
        <f>'N70'!H34-'N70'!$E$66</f>
        <v>-0.45000000000000007</v>
      </c>
      <c r="BE28" s="5">
        <f>'N70'!H34-'N70'!$E$67</f>
        <v>-0.4642857142857143</v>
      </c>
      <c r="BF28" s="5">
        <f>'N70'!H34-'N70'!$E$68</f>
        <v>-0.47857142857142865</v>
      </c>
      <c r="BG28" s="5">
        <f>'N70'!H34-'N70'!$E$69</f>
        <v>-0.49285714285714288</v>
      </c>
      <c r="BH28" s="5">
        <f>'N70'!H34-'N70'!$E$70</f>
        <v>-0.50714285714285712</v>
      </c>
      <c r="BI28" s="5">
        <f>'N70'!H34-'N70'!$E$71</f>
        <v>-0.52142857142857146</v>
      </c>
      <c r="BJ28" s="5">
        <f>'N70'!H34-'N70'!$E$72</f>
        <v>-0.5357142857142857</v>
      </c>
      <c r="BK28" s="5">
        <f>'N70'!H34-'N70'!$E$73</f>
        <v>-0.55000000000000004</v>
      </c>
      <c r="BL28" s="5">
        <f>'N70'!H34-'N70'!$E$74</f>
        <v>-0.56428571428571428</v>
      </c>
      <c r="BM28" s="5">
        <f>'N70'!H34-'N70'!$E$75</f>
        <v>-0.57857142857142863</v>
      </c>
      <c r="BN28" s="5">
        <f>'N70'!H34-'N70'!$E$76</f>
        <v>-0.59285714285714286</v>
      </c>
      <c r="BO28" s="5">
        <f>'N70'!H34-'N70'!$E$77</f>
        <v>-0.60714285714285721</v>
      </c>
      <c r="BP28" s="5">
        <f>'N70'!H34-'N70'!$E$78</f>
        <v>-0.62142857142857144</v>
      </c>
      <c r="BQ28" s="5">
        <f>'N70'!H34-'N70'!$E$79</f>
        <v>-0.63571428571428579</v>
      </c>
      <c r="BR28" s="5">
        <f>'N70'!H34-'N70'!$E$80</f>
        <v>-0.65</v>
      </c>
      <c r="BS28" s="5">
        <f>'N70'!H34-'N70'!$E$81</f>
        <v>-0.66428571428571426</v>
      </c>
      <c r="BT28" s="5">
        <f>'N70'!H34-'N70'!$E$82</f>
        <v>-0.6785714285714286</v>
      </c>
      <c r="BU28" s="5">
        <f>'N70'!H34-'N70'!$E$83</f>
        <v>-0.69285714285714284</v>
      </c>
      <c r="BV28" s="5">
        <f>'N70'!H34-'N70'!$E$84</f>
        <v>-0.70714285714285718</v>
      </c>
      <c r="BW28" s="5">
        <f>'N70'!H34-'N70'!$E$85</f>
        <v>-0.72142857142857142</v>
      </c>
      <c r="BX28" s="5">
        <v>-1</v>
      </c>
      <c r="BY28" s="5"/>
      <c r="BZ28">
        <v>19</v>
      </c>
      <c r="CA28" s="5">
        <f>N70_DESARROLLO!CE113+N70_DESARROLLO!H113</f>
        <v>-2.7527585341363459E-2</v>
      </c>
      <c r="CB28" s="5">
        <f>N70_DESARROLLO!CF113+N70_DESARROLLO!I113</f>
        <v>-5.7173997129077003E-2</v>
      </c>
      <c r="CC28" s="5">
        <f>N70_DESARROLLO!CG113+N70_DESARROLLO!J113</f>
        <v>-6.0643218403522159E-2</v>
      </c>
      <c r="CD28" s="5">
        <f>N70_DESARROLLO!CH113+N70_DESARROLLO!K113</f>
        <v>-6.4560961252484894E-2</v>
      </c>
      <c r="CE28" s="5">
        <f>N70_DESARROLLO!CI113+N70_DESARROLLO!L113</f>
        <v>-6.9020292350867041E-2</v>
      </c>
      <c r="CF28" s="5">
        <f>N70_DESARROLLO!CJ113+N70_DESARROLLO!M113</f>
        <v>-7.4141965022337608E-2</v>
      </c>
      <c r="CG28" s="5">
        <f>N70_DESARROLLO!CK113+N70_DESARROLLO!N113</f>
        <v>-8.0085554140358228E-2</v>
      </c>
      <c r="CH28" s="5">
        <f>N70_DESARROLLO!CL113+N70_DESARROLLO!O113</f>
        <v>-8.7066442319333914E-2</v>
      </c>
      <c r="CI28" s="5">
        <f>N70_DESARROLLO!CM113+N70_DESARROLLO!P113</f>
        <v>-9.5382594982174607E-2</v>
      </c>
      <c r="CJ28" s="5">
        <f>N70_DESARROLLO!CN113+N70_DESARROLLO!Q113</f>
        <v>-0.10545841852057825</v>
      </c>
      <c r="CK28" s="5">
        <f>N70_DESARROLLO!CO113+N70_DESARROLLO!R113</f>
        <v>-0.11791996375048674</v>
      </c>
      <c r="CL28" s="5">
        <f>N70_DESARROLLO!CP113+N70_DESARROLLO!S113</f>
        <v>-0.13373123411929877</v>
      </c>
      <c r="CM28" s="5">
        <f>N70_DESARROLLO!CQ113+N70_DESARROLLO!T113</f>
        <v>-0.15445886474681347</v>
      </c>
      <c r="CN28" s="5">
        <f>N70_DESARROLLO!CR113+N70_DESARROLLO!U113</f>
        <v>-0.18283342438757022</v>
      </c>
      <c r="CO28" s="5">
        <f>N70_DESARROLLO!CS113+N70_DESARROLLO!V113</f>
        <v>-0.22408833054042476</v>
      </c>
      <c r="CP28" s="5">
        <f>N70_DESARROLLO!CT113+N70_DESARROLLO!W113</f>
        <v>-0.2897343415057323</v>
      </c>
      <c r="CQ28" s="5">
        <f>N70_DESARROLLO!CU113+N70_DESARROLLO!X113</f>
        <v>-0.4114144007535484</v>
      </c>
      <c r="CR28" s="5">
        <f>N70_DESARROLLO!CV113+N70_DESARROLLO!Y113</f>
        <v>-0.72775792963608255</v>
      </c>
      <c r="CS28" s="5">
        <f>N70_DESARROLLO!CW113+N70_DESARROLLO!Z113</f>
        <v>-1.6479184659605319</v>
      </c>
      <c r="CT28" s="5">
        <f>N70_DESARROLLO!CX113+N70_DESARROLLO!AA113</f>
        <v>1.6479184659605328</v>
      </c>
      <c r="CU28" s="5">
        <f>N70_DESARROLLO!CY113+N70_DESARROLLO!AB113</f>
        <v>0.72775792963607955</v>
      </c>
      <c r="CV28" s="5">
        <f>N70_DESARROLLO!CZ113+N70_DESARROLLO!AC113</f>
        <v>0.41141440075354707</v>
      </c>
      <c r="CW28" s="5">
        <f>N70_DESARROLLO!DA113+N70_DESARROLLO!AD113</f>
        <v>0.28973434150573207</v>
      </c>
      <c r="CX28" s="5">
        <f>N70_DESARROLLO!DB113+N70_DESARROLLO!AE113</f>
        <v>0.22408833054042643</v>
      </c>
      <c r="CY28" s="5">
        <f>N70_DESARROLLO!DC113+N70_DESARROLLO!AF113</f>
        <v>0.18283342438756822</v>
      </c>
      <c r="CZ28" s="5">
        <f>N70_DESARROLLO!DD113+N70_DESARROLLO!AG113</f>
        <v>0.15445886474681314</v>
      </c>
      <c r="DA28" s="5">
        <f>N70_DESARROLLO!DE113+N70_DESARROLLO!AH113</f>
        <v>0.13373123411929577</v>
      </c>
      <c r="DB28" s="5">
        <f>N70_DESARROLLO!DF113+N70_DESARROLLO!AI113</f>
        <v>0.11791996375048863</v>
      </c>
      <c r="DC28" s="5">
        <f>N70_DESARROLLO!DG113+N70_DESARROLLO!AJ113</f>
        <v>0.10545841852057869</v>
      </c>
      <c r="DD28" s="5">
        <f>N70_DESARROLLO!DH113+N70_DESARROLLO!AK113</f>
        <v>9.538259498217494E-2</v>
      </c>
      <c r="DE28" s="5">
        <f>N70_DESARROLLO!DI113+N70_DESARROLLO!AL113</f>
        <v>8.7066442319335136E-2</v>
      </c>
      <c r="DF28" s="5">
        <f>N70_DESARROLLO!DJ113+N70_DESARROLLO!AM113</f>
        <v>8.0085554140357895E-2</v>
      </c>
      <c r="DG28" s="5">
        <f>N70_DESARROLLO!DK113+N70_DESARROLLO!AN113</f>
        <v>7.4141965022337497E-2</v>
      </c>
      <c r="DH28" s="5">
        <f>N70_DESARROLLO!DL113+N70_DESARROLLO!AO113</f>
        <v>6.9020292350865931E-2</v>
      </c>
      <c r="DI28" s="5">
        <f>N70_DESARROLLO!DM113+N70_DESARROLLO!AP113</f>
        <v>6.4560961252482896E-2</v>
      </c>
      <c r="DJ28" s="5">
        <f>N70_DESARROLLO!DN113+N70_DESARROLLO!AQ113</f>
        <v>6.0643218403518939E-2</v>
      </c>
      <c r="DK28" s="5">
        <f>N70_DESARROLLO!DO113+N70_DESARROLLO!AR113</f>
        <v>5.7173997129085885E-2</v>
      </c>
      <c r="DL28" s="5">
        <f>N70_DESARROLLO!DP113+N70_DESARROLLO!AS113</f>
        <v>5.4080408838142358E-2</v>
      </c>
      <c r="DM28" s="5">
        <f>N70_DESARROLLO!DQ113+N70_DESARROLLO!AT113</f>
        <v>5.1304553326349533E-2</v>
      </c>
      <c r="DN28" s="5">
        <f>N70_DESARROLLO!DR113+N70_DESARROLLO!AU113</f>
        <v>4.8799853039066199E-2</v>
      </c>
      <c r="DO28" s="5">
        <f>N70_DESARROLLO!DS113+N70_DESARROLLO!AV113</f>
        <v>4.652841337789404E-2</v>
      </c>
      <c r="DP28" s="5">
        <f>N70_DESARROLLO!DT113+N70_DESARROLLO!AW113</f>
        <v>4.4459088822756176E-2</v>
      </c>
      <c r="DQ28" s="5">
        <f>N70_DESARROLLO!DU113+N70_DESARROLLO!AX113</f>
        <v>4.2566044021113303E-2</v>
      </c>
      <c r="DR28" s="5">
        <f>N70_DESARROLLO!DV113+N70_DESARROLLO!AY113</f>
        <v>4.0827668052543675E-2</v>
      </c>
      <c r="DS28" s="5">
        <f>N70_DESARROLLO!DW113+N70_DESARROLLO!AZ113</f>
        <v>3.9225744685471353E-2</v>
      </c>
      <c r="DT28" s="5">
        <f>N70_DESARROLLO!DX113+N70_DESARROLLO!BA113</f>
        <v>3.7744810855705468E-2</v>
      </c>
      <c r="DU28" s="5">
        <f>N70_DESARROLLO!DY113+N70_DESARROLLO!BB113</f>
        <v>3.6371655357429256E-2</v>
      </c>
      <c r="DV28" s="5">
        <f>N70_DESARROLLO!DZ113+N70_DESARROLLO!BC113</f>
        <v>3.5094923244222698E-2</v>
      </c>
      <c r="DW28" s="5">
        <f>N70_DESARROLLO!EA113+N70_DESARROLLO!BD113</f>
        <v>3.3904800811315305E-2</v>
      </c>
      <c r="DX28" s="5">
        <f>N70_DESARROLLO!EB113+N70_DESARROLLO!BE113</f>
        <v>3.279276263587616E-2</v>
      </c>
      <c r="DY28" s="5">
        <f>N70_DESARROLLO!EC113+N70_DESARROLLO!BF113</f>
        <v>3.1751366862662667E-2</v>
      </c>
      <c r="DZ28" s="5">
        <f>N70_DESARROLLO!ED113+N70_DESARROLLO!BG113</f>
        <v>3.0774088329719285E-2</v>
      </c>
      <c r="EA28" s="5">
        <f>N70_DESARROLLO!EE113+N70_DESARROLLO!BH113</f>
        <v>2.9855181616024185E-2</v>
      </c>
      <c r="EB28" s="5">
        <f>N70_DESARROLLO!EF113+N70_DESARROLLO!BI113</f>
        <v>2.8989567932955373E-2</v>
      </c>
      <c r="EC28" s="5">
        <f>N70_DESARROLLO!EG113+N70_DESARROLLO!BJ113</f>
        <v>2.8172741151794578E-2</v>
      </c>
      <c r="ED28" s="5">
        <f>N70_DESARROLLO!EH113+N70_DESARROLLO!BK113</f>
        <v>2.7400689293789693E-2</v>
      </c>
      <c r="EE28" s="5">
        <f>N70_DESARROLLO!EI113+N70_DESARROLLO!BL113</f>
        <v>2.6669828593228417E-2</v>
      </c>
      <c r="EF28" s="5">
        <f>N70_DESARROLLO!EJ113+N70_DESARROLLO!BM113</f>
        <v>2.597694784486726E-2</v>
      </c>
      <c r="EG28" s="5">
        <f>N70_DESARROLLO!EK113+N70_DESARROLLO!BN113</f>
        <v>2.5319161212288277E-2</v>
      </c>
      <c r="EH28" s="5">
        <f>N70_DESARROLLO!EL113+N70_DESARROLLO!BO113</f>
        <v>2.4693868032490518E-2</v>
      </c>
      <c r="EI28" s="5">
        <f>N70_DESARROLLO!EM113+N70_DESARROLLO!BP113</f>
        <v>2.4098718436573741E-2</v>
      </c>
      <c r="EJ28" s="5">
        <f>N70_DESARROLLO!EN113+N70_DESARROLLO!BQ113</f>
        <v>2.353158382693199E-2</v>
      </c>
      <c r="EK28" s="5">
        <f>N70_DESARROLLO!EO113+N70_DESARROLLO!BR113</f>
        <v>2.2990531429711192E-2</v>
      </c>
      <c r="EL28" s="5">
        <f>N70_DESARROLLO!EP113+N70_DESARROLLO!BS113</f>
        <v>2.2473802280083333E-2</v>
      </c>
      <c r="EM28" s="5">
        <f>N70_DESARROLLO!EQ113+N70_DESARROLLO!BT113</f>
        <v>2.1979792112869601E-2</v>
      </c>
      <c r="EN28" s="5">
        <f>N70_DESARROLLO!ER113+N70_DESARROLLO!BU113</f>
        <v>2.1507034719707718E-2</v>
      </c>
      <c r="EO28" s="5">
        <f>N70_DESARROLLO!ES113+N70_DESARROLLO!BV113</f>
        <v>2.1054187410165737E-2</v>
      </c>
      <c r="EP28" s="5">
        <f>N70_DESARROLLO!ET113+N70_DESARROLLO!BW113</f>
        <v>2.0620018272172302E-2</v>
      </c>
      <c r="EQ28" s="5">
        <f>N70_DESARROLLO!EU113+N70_DESARROLLO!BX113</f>
        <v>2.0203394977322597E-2</v>
      </c>
      <c r="ER28" s="5">
        <f>N70_DESARROLLO!EV113+N70_DESARROLLO!BY113</f>
        <v>21.86650083911303</v>
      </c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>
        <v>19</v>
      </c>
      <c r="FD28" s="4">
        <v>7.4673415923169444E-4</v>
      </c>
      <c r="FE28" s="4">
        <v>1.5515825221298451E-3</v>
      </c>
      <c r="FF28" s="4">
        <v>2.145806466302037E-3</v>
      </c>
      <c r="FG28" s="4">
        <v>2.7367233830456095E-3</v>
      </c>
      <c r="FH28" s="4">
        <v>3.3586487068500274E-3</v>
      </c>
      <c r="FI28" s="4">
        <v>4.0402729942945054E-3</v>
      </c>
      <c r="FJ28" s="4">
        <v>4.8096212646158657E-3</v>
      </c>
      <c r="FK28" s="4">
        <v>5.7001908932170654E-3</v>
      </c>
      <c r="FL28" s="4">
        <v>6.7564012734136186E-3</v>
      </c>
      <c r="FM28" s="4">
        <v>8.0413510875339336E-3</v>
      </c>
      <c r="FN28" s="4">
        <v>9.6499454226378987E-3</v>
      </c>
      <c r="FO28" s="4">
        <v>1.173350823649337E-2</v>
      </c>
      <c r="FP28" s="4">
        <v>1.4550197387336943E-2</v>
      </c>
      <c r="FQ28" s="4">
        <v>1.8582160095192438E-2</v>
      </c>
      <c r="FR28" s="4">
        <v>2.4808547945157487E-2</v>
      </c>
      <c r="FS28" s="4">
        <v>3.6168461832819951E-2</v>
      </c>
      <c r="FT28" s="4">
        <v>5.3496530132430907E-2</v>
      </c>
      <c r="FU28" s="4">
        <v>0.24415140850035721</v>
      </c>
      <c r="FV28" s="4">
        <v>-0.25158442186661228</v>
      </c>
      <c r="FW28" s="4">
        <v>-6.0934529500401659E-2</v>
      </c>
      <c r="FX28" s="4">
        <v>-4.3616497051020969E-2</v>
      </c>
      <c r="FY28" s="4">
        <v>-3.2271800001065089E-2</v>
      </c>
      <c r="FZ28" s="4">
        <v>-2.6066015723785869E-2</v>
      </c>
      <c r="GA28" s="4">
        <v>-2.2060335813569934E-2</v>
      </c>
      <c r="GB28" s="4">
        <v>-1.927600655955081E-2</v>
      </c>
      <c r="GC28" s="4">
        <v>-1.7231412022500177E-2</v>
      </c>
      <c r="GD28" s="4">
        <v>-1.5669101329793374E-2</v>
      </c>
      <c r="GE28" s="4">
        <v>-1.4438698365263488E-2</v>
      </c>
      <c r="GF28" s="4">
        <v>-1.344659044392559E-2</v>
      </c>
      <c r="GG28" s="4">
        <v>-1.2631488576113816E-2</v>
      </c>
      <c r="GH28" s="4">
        <v>-1.195160572061269E-2</v>
      </c>
      <c r="GI28" s="4">
        <v>-1.137748599033757E-2</v>
      </c>
      <c r="GJ28" s="4">
        <v>-1.0887780238618616E-2</v>
      </c>
      <c r="GK28" s="4">
        <v>-1.0466647097613696E-2</v>
      </c>
      <c r="GL28" s="4">
        <v>-1.0102094257921549E-2</v>
      </c>
      <c r="GM28" s="4">
        <v>-9.7848859956526819E-3</v>
      </c>
      <c r="GN28" s="4">
        <v>-9.5078037627450551E-3</v>
      </c>
      <c r="GO28" s="4">
        <v>-9.2651336757768581E-3</v>
      </c>
      <c r="GP28" s="4">
        <v>-9.0523037503019745E-3</v>
      </c>
      <c r="GQ28" s="4">
        <v>-8.8656223155707328E-3</v>
      </c>
      <c r="GR28" s="4">
        <v>-8.7020862419914559E-3</v>
      </c>
      <c r="GS28" s="4">
        <v>-8.559238244288862E-3</v>
      </c>
      <c r="GT28" s="4">
        <v>-8.4350592552091645E-3</v>
      </c>
      <c r="GU28" s="4">
        <v>-8.3278862159472129E-3</v>
      </c>
      <c r="GV28" s="4">
        <v>-8.2363484902424882E-3</v>
      </c>
      <c r="GW28" s="4">
        <v>-8.159318009284244E-3</v>
      </c>
      <c r="GX28" s="4">
        <v>-8.0958695152596287E-3</v>
      </c>
      <c r="GY28" s="4">
        <v>-8.0452480856428917E-3</v>
      </c>
      <c r="GZ28" s="4">
        <v>-8.0068415952850632E-3</v>
      </c>
      <c r="HA28" s="4">
        <v>-7.9801559568975864E-3</v>
      </c>
      <c r="HB28" s="4">
        <v>-7.9647908597976682E-3</v>
      </c>
      <c r="HC28" s="4">
        <v>-7.9604132250207672E-3</v>
      </c>
      <c r="HD28" s="4">
        <v>-7.9667245301489262E-3</v>
      </c>
      <c r="HE28" s="4">
        <v>-7.9834161777272948E-3</v>
      </c>
      <c r="HF28" s="4">
        <v>-8.0101035098591455E-3</v>
      </c>
      <c r="HG28" s="4">
        <v>-8.0462226061580374E-3</v>
      </c>
      <c r="HH28" s="4">
        <v>-8.090862055795605E-3</v>
      </c>
      <c r="HI28" s="4">
        <v>-8.1424791518209336E-3</v>
      </c>
      <c r="HJ28" s="4">
        <v>-8.1984050095834961E-3</v>
      </c>
      <c r="HK28" s="4">
        <v>-8.2539502066267239E-3</v>
      </c>
      <c r="HL28" s="4">
        <v>-8.3007199862771656E-3</v>
      </c>
      <c r="HM28" s="4">
        <v>-8.3232777978172311E-3</v>
      </c>
      <c r="HN28" s="4">
        <v>-8.2921106280747607E-3</v>
      </c>
      <c r="HO28" s="4">
        <v>-8.1476689044161221E-3</v>
      </c>
      <c r="HP28" s="4">
        <v>-7.7588307395339822E-3</v>
      </c>
      <c r="HQ28" s="4">
        <v>-6.8235784354607346E-3</v>
      </c>
      <c r="HR28" s="4">
        <v>-4.1561896348475628E-3</v>
      </c>
      <c r="HS28" s="4">
        <v>-6.8525334805980367E-4</v>
      </c>
      <c r="HT28" s="4">
        <v>9.9681512159606439E-2</v>
      </c>
      <c r="HU28" s="4">
        <v>-0.26807424970177485</v>
      </c>
    </row>
    <row r="29" spans="4:229" x14ac:dyDescent="0.25">
      <c r="D29" s="10">
        <v>20</v>
      </c>
      <c r="E29" s="5">
        <f>'N70'!E36-'N70'!E35</f>
        <v>1.428571428571429E-2</v>
      </c>
      <c r="F29" s="5">
        <f>'N70'!H35-'N70'!E16</f>
        <v>0.27857142857142858</v>
      </c>
      <c r="G29" s="5">
        <f>'N70'!H35-'N70'!E17</f>
        <v>0.26428571428571429</v>
      </c>
      <c r="H29" s="5">
        <f>'N70'!H35-'N70'!E18</f>
        <v>0.25</v>
      </c>
      <c r="I29" s="5">
        <f>'N70'!H35-'N70'!E19</f>
        <v>0.23571428571428571</v>
      </c>
      <c r="J29" s="5">
        <f>'N70'!H35-'N70'!E20</f>
        <v>0.22142857142857145</v>
      </c>
      <c r="K29" s="5">
        <f>'N70'!H35-'N70'!E21</f>
        <v>0.20714285714285716</v>
      </c>
      <c r="L29" s="5">
        <f>'N70'!H35-'N70'!E22</f>
        <v>0.19285714285714287</v>
      </c>
      <c r="M29" s="5">
        <f>'N70'!H35-'N70'!E23</f>
        <v>0.1785714285714286</v>
      </c>
      <c r="N29" s="5">
        <f>'N70'!H35-'N70'!E24</f>
        <v>0.16428571428571431</v>
      </c>
      <c r="O29" s="5">
        <f>'N70'!H35-'N70'!E25</f>
        <v>0.15000000000000002</v>
      </c>
      <c r="P29" s="5">
        <f>'N70'!H35-'N70'!E26</f>
        <v>0.13571428571428573</v>
      </c>
      <c r="Q29" s="5">
        <f>'N70'!H35-'N70'!E27</f>
        <v>0.12142857142857144</v>
      </c>
      <c r="R29" s="5">
        <f>'N70'!H35-'N70'!E28</f>
        <v>0.10714285714285715</v>
      </c>
      <c r="S29" s="5">
        <f>'N70'!H35-'N70'!E29</f>
        <v>9.285714285714286E-2</v>
      </c>
      <c r="T29" s="5">
        <f>'N70'!H35-'N70'!E30</f>
        <v>7.8571428571428598E-2</v>
      </c>
      <c r="U29" s="5">
        <f>'N70'!H35-'N70'!E31</f>
        <v>6.4285714285714307E-2</v>
      </c>
      <c r="V29" s="5">
        <f>'N70'!H35-'N70'!E32</f>
        <v>5.0000000000000017E-2</v>
      </c>
      <c r="W29" s="5">
        <f>'N70'!H35-'N70'!E33</f>
        <v>3.5714285714285726E-2</v>
      </c>
      <c r="X29" s="5">
        <f>'N70'!H35-'N70'!E34</f>
        <v>2.1428571428571463E-2</v>
      </c>
      <c r="Y29" s="5">
        <f>'N70'!H35-'N70'!E35</f>
        <v>7.142857142857173E-3</v>
      </c>
      <c r="Z29" s="5">
        <f>'N70'!H35-'N70'!E36</f>
        <v>-7.1428571428571175E-3</v>
      </c>
      <c r="AA29" s="5">
        <f>'N70'!H35-'N70'!E37</f>
        <v>-2.1428571428571408E-2</v>
      </c>
      <c r="AB29" s="5">
        <f>'N70'!H35-'N70'!E38</f>
        <v>-3.5714285714285698E-2</v>
      </c>
      <c r="AC29" s="5">
        <f>'N70'!H35-'N70'!E39</f>
        <v>-4.9999999999999989E-2</v>
      </c>
      <c r="AD29" s="5">
        <f>'N70'!H35-'N70'!E40</f>
        <v>-6.4285714285714279E-2</v>
      </c>
      <c r="AE29" s="5">
        <f>'N70'!H35-'N70'!E41</f>
        <v>-7.857142857142857E-2</v>
      </c>
      <c r="AF29" s="5">
        <f>'N70'!H35-'N70'!E42</f>
        <v>-9.285714285714286E-2</v>
      </c>
      <c r="AG29" s="5">
        <f>'N70'!H35-'N70'!E43</f>
        <v>-0.1071428571428571</v>
      </c>
      <c r="AH29" s="5">
        <f>'N70'!H35-'N70'!E44</f>
        <v>-0.12142857142857139</v>
      </c>
      <c r="AI29" s="5">
        <f>'N70'!H35-'N70'!E45</f>
        <v>-0.13571428571428568</v>
      </c>
      <c r="AJ29" s="5">
        <f>'N70'!H35-'N70'!E46</f>
        <v>-0.14999999999999997</v>
      </c>
      <c r="AK29" s="5">
        <f>'N70'!H35-'N70'!E47</f>
        <v>-0.16428571428571426</v>
      </c>
      <c r="AL29" s="5">
        <f>'N70'!H35-'N70'!$E$48</f>
        <v>-0.17857142857142855</v>
      </c>
      <c r="AM29" s="5">
        <f>'N70'!H35-'N70'!$E$49</f>
        <v>-0.19285714285714284</v>
      </c>
      <c r="AN29" s="5">
        <f>'N70'!H35-'N70'!$E$50</f>
        <v>-0.20714285714285713</v>
      </c>
      <c r="AO29" s="5">
        <f>'N70'!H35-'N70'!$E$51</f>
        <v>-0.22142857142857142</v>
      </c>
      <c r="AP29" s="5">
        <f>'N70'!H35-'N70'!$E$52</f>
        <v>-0.23571428571428565</v>
      </c>
      <c r="AQ29" s="5">
        <f>'N70'!H35-'N70'!$E$53</f>
        <v>-0.25</v>
      </c>
      <c r="AR29" s="5">
        <f>'N70'!H35-'N70'!$E$54</f>
        <v>-0.26428571428571423</v>
      </c>
      <c r="AS29" s="5">
        <f>'N70'!H35-'N70'!$E$55</f>
        <v>-0.27857142857142858</v>
      </c>
      <c r="AT29" s="5">
        <f>'N70'!H35-'N70'!$E$56</f>
        <v>-0.29285714285714282</v>
      </c>
      <c r="AU29" s="5">
        <f>'N70'!H35-'N70'!$E$57</f>
        <v>-0.30714285714285716</v>
      </c>
      <c r="AV29" s="5">
        <f>'N70'!H35-'N70'!$E$58</f>
        <v>-0.3214285714285714</v>
      </c>
      <c r="AW29" s="5">
        <f>'N70'!H35-'N70'!$E$59</f>
        <v>-0.33571428571428563</v>
      </c>
      <c r="AX29" s="5">
        <f>'N70'!H35-'N70'!$E$60</f>
        <v>-0.35</v>
      </c>
      <c r="AY29" s="5">
        <f>'N70'!H35-'N70'!$E$61</f>
        <v>-0.36428571428571421</v>
      </c>
      <c r="AZ29" s="5">
        <f>'N70'!H35-'N70'!$E$62</f>
        <v>-0.37857142857142856</v>
      </c>
      <c r="BA29" s="5">
        <f>'N70'!H35-'N70'!$E$63</f>
        <v>-0.39285714285714279</v>
      </c>
      <c r="BB29" s="5">
        <f>'N70'!H35-'N70'!$E$64</f>
        <v>-0.40714285714285714</v>
      </c>
      <c r="BC29" s="5">
        <f>'N70'!H35-'N70'!$E$65</f>
        <v>-0.42142857142857137</v>
      </c>
      <c r="BD29" s="5">
        <f>'N70'!H35-'N70'!$E$66</f>
        <v>-0.43571428571428572</v>
      </c>
      <c r="BE29" s="5">
        <f>'N70'!H35-'N70'!$E$67</f>
        <v>-0.44999999999999996</v>
      </c>
      <c r="BF29" s="5">
        <f>'N70'!H35-'N70'!$E$68</f>
        <v>-0.4642857142857143</v>
      </c>
      <c r="BG29" s="5">
        <f>'N70'!H35-'N70'!$E$69</f>
        <v>-0.47857142857142854</v>
      </c>
      <c r="BH29" s="5">
        <f>'N70'!H35-'N70'!$E$70</f>
        <v>-0.49285714285714277</v>
      </c>
      <c r="BI29" s="5">
        <f>'N70'!H35-'N70'!$E$71</f>
        <v>-0.50714285714285712</v>
      </c>
      <c r="BJ29" s="5">
        <f>'N70'!H35-'N70'!$E$72</f>
        <v>-0.52142857142857135</v>
      </c>
      <c r="BK29" s="5">
        <f>'N70'!H35-'N70'!$E$73</f>
        <v>-0.5357142857142857</v>
      </c>
      <c r="BL29" s="5">
        <f>'N70'!H35-'N70'!$E$74</f>
        <v>-0.54999999999999993</v>
      </c>
      <c r="BM29" s="5">
        <f>'N70'!H35-'N70'!$E$75</f>
        <v>-0.56428571428571428</v>
      </c>
      <c r="BN29" s="5">
        <f>'N70'!H35-'N70'!$E$76</f>
        <v>-0.57857142857142851</v>
      </c>
      <c r="BO29" s="5">
        <f>'N70'!H35-'N70'!$E$77</f>
        <v>-0.59285714285714286</v>
      </c>
      <c r="BP29" s="5">
        <f>'N70'!H35-'N70'!$E$78</f>
        <v>-0.6071428571428571</v>
      </c>
      <c r="BQ29" s="5">
        <f>'N70'!H35-'N70'!$E$79</f>
        <v>-0.62142857142857144</v>
      </c>
      <c r="BR29" s="5">
        <f>'N70'!H35-'N70'!$E$80</f>
        <v>-0.63571428571428568</v>
      </c>
      <c r="BS29" s="5">
        <f>'N70'!H35-'N70'!$E$81</f>
        <v>-0.64999999999999991</v>
      </c>
      <c r="BT29" s="5">
        <f>'N70'!H35-'N70'!$E$82</f>
        <v>-0.66428571428571426</v>
      </c>
      <c r="BU29" s="5">
        <f>'N70'!H35-'N70'!$E$83</f>
        <v>-0.67857142857142849</v>
      </c>
      <c r="BV29" s="5">
        <f>'N70'!H35-'N70'!$E$84</f>
        <v>-0.69285714285714284</v>
      </c>
      <c r="BW29" s="5">
        <f>'N70'!H35-'N70'!$E$85</f>
        <v>-0.70714285714285707</v>
      </c>
      <c r="BX29" s="5">
        <v>-1</v>
      </c>
      <c r="BY29" s="5"/>
      <c r="BZ29">
        <v>20</v>
      </c>
      <c r="CA29" s="5">
        <f>N70_DESARROLLO!CE114+N70_DESARROLLO!H114</f>
        <v>-2.6090911041510623E-2</v>
      </c>
      <c r="CB29" s="5">
        <f>N70_DESARROLLO!CF114+N70_DESARROLLO!I114</f>
        <v>-5.4080408838149241E-2</v>
      </c>
      <c r="CC29" s="5">
        <f>N70_DESARROLLO!CG114+N70_DESARROLLO!J114</f>
        <v>-5.7173997129077003E-2</v>
      </c>
      <c r="CD29" s="5">
        <f>N70_DESARROLLO!CH114+N70_DESARROLLO!K114</f>
        <v>-6.0643218403523935E-2</v>
      </c>
      <c r="CE29" s="5">
        <f>N70_DESARROLLO!CI114+N70_DESARROLLO!L114</f>
        <v>-6.4560961252480897E-2</v>
      </c>
      <c r="CF29" s="5">
        <f>N70_DESARROLLO!CJ114+N70_DESARROLLO!M114</f>
        <v>-6.9020292350869039E-2</v>
      </c>
      <c r="CG29" s="5">
        <f>N70_DESARROLLO!CK114+N70_DESARROLLO!N114</f>
        <v>-7.4141965022338829E-2</v>
      </c>
      <c r="CH29" s="5">
        <f>N70_DESARROLLO!CL114+N70_DESARROLLO!O114</f>
        <v>-8.008555414035512E-2</v>
      </c>
      <c r="CI29" s="5">
        <f>N70_DESARROLLO!CM114+N70_DESARROLLO!P114</f>
        <v>-8.706644231933558E-2</v>
      </c>
      <c r="CJ29" s="5">
        <f>N70_DESARROLLO!CN114+N70_DESARROLLO!Q114</f>
        <v>-9.5382594982175606E-2</v>
      </c>
      <c r="CK29" s="5">
        <f>N70_DESARROLLO!CO114+N70_DESARROLLO!R114</f>
        <v>-0.1054584185205778</v>
      </c>
      <c r="CL29" s="5">
        <f>N70_DESARROLLO!CP114+N70_DESARROLLO!S114</f>
        <v>-0.11791996375048563</v>
      </c>
      <c r="CM29" s="5">
        <f>N70_DESARROLLO!CQ114+N70_DESARROLLO!T114</f>
        <v>-0.13373123411929888</v>
      </c>
      <c r="CN29" s="5">
        <f>N70_DESARROLLO!CR114+N70_DESARROLLO!U114</f>
        <v>-0.15445886474681525</v>
      </c>
      <c r="CO29" s="5">
        <f>N70_DESARROLLO!CS114+N70_DESARROLLO!V114</f>
        <v>-0.18283342438756689</v>
      </c>
      <c r="CP29" s="5">
        <f>N70_DESARROLLO!CT114+N70_DESARROLLO!W114</f>
        <v>-0.22408833054042643</v>
      </c>
      <c r="CQ29" s="5">
        <f>N70_DESARROLLO!CU114+N70_DESARROLLO!X114</f>
        <v>-0.28973434150573174</v>
      </c>
      <c r="CR29" s="5">
        <f>N70_DESARROLLO!CV114+N70_DESARROLLO!Y114</f>
        <v>-0.41141440075354818</v>
      </c>
      <c r="CS29" s="5">
        <f>N70_DESARROLLO!CW114+N70_DESARROLLO!Z114</f>
        <v>-0.72775792963607666</v>
      </c>
      <c r="CT29" s="5">
        <f>N70_DESARROLLO!CX114+N70_DESARROLLO!AA114</f>
        <v>-1.6479184659605328</v>
      </c>
      <c r="CU29" s="5">
        <f>N70_DESARROLLO!CY114+N70_DESARROLLO!AB114</f>
        <v>1.6479184659605364</v>
      </c>
      <c r="CV29" s="5">
        <f>N70_DESARROLLO!CZ114+N70_DESARROLLO!AC114</f>
        <v>0.72775792963608221</v>
      </c>
      <c r="CW29" s="5">
        <f>N70_DESARROLLO!DA114+N70_DESARROLLO!AD114</f>
        <v>0.41141440075354785</v>
      </c>
      <c r="CX29" s="5">
        <f>N70_DESARROLLO!DB114+N70_DESARROLLO!AE114</f>
        <v>0.28973434150573174</v>
      </c>
      <c r="CY29" s="5">
        <f>N70_DESARROLLO!DC114+N70_DESARROLLO!AF114</f>
        <v>0.22408833054042698</v>
      </c>
      <c r="CZ29" s="5">
        <f>N70_DESARROLLO!DD114+N70_DESARROLLO!AG114</f>
        <v>0.18283342438756867</v>
      </c>
      <c r="DA29" s="5">
        <f>N70_DESARROLLO!DE114+N70_DESARROLLO!AH114</f>
        <v>0.15445886474680903</v>
      </c>
      <c r="DB29" s="5">
        <f>N70_DESARROLLO!DF114+N70_DESARROLLO!AI114</f>
        <v>0.1337312341193031</v>
      </c>
      <c r="DC29" s="5">
        <f>N70_DESARROLLO!DG114+N70_DESARROLLO!AJ114</f>
        <v>0.11791996375048475</v>
      </c>
      <c r="DD29" s="5">
        <f>N70_DESARROLLO!DH114+N70_DESARROLLO!AK114</f>
        <v>0.10545841852057858</v>
      </c>
      <c r="DE29" s="5">
        <f>N70_DESARROLLO!DI114+N70_DESARROLLO!AL114</f>
        <v>9.5382594982175051E-2</v>
      </c>
      <c r="DF29" s="5">
        <f>N70_DESARROLLO!DJ114+N70_DESARROLLO!AM114</f>
        <v>8.7066442319335136E-2</v>
      </c>
      <c r="DG29" s="5">
        <f>N70_DESARROLLO!DK114+N70_DESARROLLO!AN114</f>
        <v>8.0085554140358006E-2</v>
      </c>
      <c r="DH29" s="5">
        <f>N70_DESARROLLO!DL114+N70_DESARROLLO!AO114</f>
        <v>7.4141965022337719E-2</v>
      </c>
      <c r="DI29" s="5">
        <f>N70_DESARROLLO!DM114+N70_DESARROLLO!AP114</f>
        <v>6.9020292350869261E-2</v>
      </c>
      <c r="DJ29" s="5">
        <f>N70_DESARROLLO!DN114+N70_DESARROLLO!AQ114</f>
        <v>6.4560961252476456E-2</v>
      </c>
      <c r="DK29" s="5">
        <f>N70_DESARROLLO!DO114+N70_DESARROLLO!AR114</f>
        <v>6.0643218403529819E-2</v>
      </c>
      <c r="DL29" s="5">
        <f>N70_DESARROLLO!DP114+N70_DESARROLLO!AS114</f>
        <v>5.717399712907123E-2</v>
      </c>
      <c r="DM29" s="5">
        <f>N70_DESARROLLO!DQ114+N70_DESARROLLO!AT114</f>
        <v>5.4080408838158012E-2</v>
      </c>
      <c r="DN29" s="5">
        <f>N70_DESARROLLO!DR114+N70_DESARROLLO!AU114</f>
        <v>5.130455332633288E-2</v>
      </c>
      <c r="DO29" s="5">
        <f>N70_DESARROLLO!DS114+N70_DESARROLLO!AV114</f>
        <v>4.8799853039083518E-2</v>
      </c>
      <c r="DP29" s="5">
        <f>N70_DESARROLLO!DT114+N70_DESARROLLO!AW114</f>
        <v>4.6528413377880606E-2</v>
      </c>
      <c r="DQ29" s="5">
        <f>N70_DESARROLLO!DU114+N70_DESARROLLO!AX114</f>
        <v>4.4459088822760617E-2</v>
      </c>
      <c r="DR29" s="5">
        <f>N70_DESARROLLO!DV114+N70_DESARROLLO!AY114</f>
        <v>4.256604402112385E-2</v>
      </c>
      <c r="DS29" s="5">
        <f>N70_DESARROLLO!DW114+N70_DESARROLLO!AZ114</f>
        <v>4.0827668052522692E-2</v>
      </c>
      <c r="DT29" s="5">
        <f>N70_DESARROLLO!DX114+N70_DESARROLLO!BA114</f>
        <v>3.9225744685487451E-2</v>
      </c>
      <c r="DU29" s="5">
        <f>N70_DESARROLLO!DY114+N70_DESARROLLO!BB114</f>
        <v>3.774481085568826E-2</v>
      </c>
      <c r="DV29" s="5">
        <f>N70_DESARROLLO!DZ114+N70_DESARROLLO!BC114</f>
        <v>3.6371655357452903E-2</v>
      </c>
      <c r="DW29" s="5">
        <f>N70_DESARROLLO!EA114+N70_DESARROLLO!BD114</f>
        <v>3.509492324420449E-2</v>
      </c>
      <c r="DX29" s="5">
        <f>N70_DESARROLLO!EB114+N70_DESARROLLO!BE114</f>
        <v>3.3904800811327962E-2</v>
      </c>
      <c r="DY29" s="5">
        <f>N70_DESARROLLO!EC114+N70_DESARROLLO!BF114</f>
        <v>3.2792762635863171E-2</v>
      </c>
      <c r="DZ29" s="5">
        <f>N70_DESARROLLO!ED114+N70_DESARROLLO!BG114</f>
        <v>3.17513668626761E-2</v>
      </c>
      <c r="EA29" s="5">
        <f>N70_DESARROLLO!EE114+N70_DESARROLLO!BH114</f>
        <v>3.0774088329705407E-2</v>
      </c>
      <c r="EB29" s="5">
        <f>N70_DESARROLLO!EF114+N70_DESARROLLO!BI114</f>
        <v>2.9855181616030846E-2</v>
      </c>
      <c r="EC29" s="5">
        <f>N70_DESARROLLO!EG114+N70_DESARROLLO!BJ114</f>
        <v>2.8989567932963367E-2</v>
      </c>
      <c r="ED29" s="5">
        <f>N70_DESARROLLO!EH114+N70_DESARROLLO!BK114</f>
        <v>2.8172741151779368E-2</v>
      </c>
      <c r="EE29" s="5">
        <f>N70_DESARROLLO!EI114+N70_DESARROLLO!BL114</f>
        <v>2.7400689293805458E-2</v>
      </c>
      <c r="EF29" s="5">
        <f>N70_DESARROLLO!EJ114+N70_DESARROLLO!BM114</f>
        <v>2.6669828593212208E-2</v>
      </c>
      <c r="EG29" s="5">
        <f>N70_DESARROLLO!EK114+N70_DESARROLLO!BN114</f>
        <v>2.5976947844875475E-2</v>
      </c>
      <c r="EH29" s="5">
        <f>N70_DESARROLLO!EL114+N70_DESARROLLO!BO114</f>
        <v>2.5319161212279506E-2</v>
      </c>
      <c r="EI29" s="5">
        <f>N70_DESARROLLO!EM114+N70_DESARROLLO!BP114</f>
        <v>2.469386803250806E-2</v>
      </c>
      <c r="EJ29" s="5">
        <f>N70_DESARROLLO!EN114+N70_DESARROLLO!BQ114</f>
        <v>2.4098718436555866E-2</v>
      </c>
      <c r="EK29" s="5">
        <f>N70_DESARROLLO!EO114+N70_DESARROLLO!BR114</f>
        <v>2.3531583826950309E-2</v>
      </c>
      <c r="EL29" s="5">
        <f>N70_DESARROLLO!EP114+N70_DESARROLLO!BS114</f>
        <v>2.2990531429692429E-2</v>
      </c>
      <c r="EM29" s="5">
        <f>N70_DESARROLLO!EQ114+N70_DESARROLLO!BT114</f>
        <v>2.2473802280092658E-2</v>
      </c>
      <c r="EN29" s="5">
        <f>N70_DESARROLLO!ER114+N70_DESARROLLO!BU114</f>
        <v>2.1979792112879926E-2</v>
      </c>
      <c r="EO29" s="5">
        <f>N70_DESARROLLO!ES114+N70_DESARROLLO!BV114</f>
        <v>2.1507034719697726E-2</v>
      </c>
      <c r="EP29" s="5">
        <f>N70_DESARROLLO!ET114+N70_DESARROLLO!BW114</f>
        <v>2.1054187410176395E-2</v>
      </c>
      <c r="EQ29" s="5">
        <f>N70_DESARROLLO!EU114+N70_DESARROLLO!BX114</f>
        <v>2.0620018272150986E-2</v>
      </c>
      <c r="ER29" s="5">
        <f>N70_DESARROLLO!EV114+N70_DESARROLLO!BY114</f>
        <v>23.266750264451481</v>
      </c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>
        <v>20</v>
      </c>
      <c r="FD29" s="4">
        <v>6.8114120749557759E-4</v>
      </c>
      <c r="FE29" s="4">
        <v>1.4112976065786724E-3</v>
      </c>
      <c r="FF29" s="4">
        <v>1.9446662480336933E-3</v>
      </c>
      <c r="FG29" s="4">
        <v>2.4699530442005156E-3</v>
      </c>
      <c r="FH29" s="4">
        <v>3.0169377931365004E-3</v>
      </c>
      <c r="FI29" s="4">
        <v>3.6094432108968238E-3</v>
      </c>
      <c r="FJ29" s="4">
        <v>4.2694701147041039E-3</v>
      </c>
      <c r="FK29" s="4">
        <v>5.0221037971303418E-3</v>
      </c>
      <c r="FL29" s="4">
        <v>5.8992388094737157E-3</v>
      </c>
      <c r="FM29" s="4">
        <v>6.9443426400587196E-3</v>
      </c>
      <c r="FN29" s="4">
        <v>8.2199075364944117E-3</v>
      </c>
      <c r="FO29" s="4">
        <v>9.8204313698533885E-3</v>
      </c>
      <c r="FP29" s="4">
        <v>1.1896953022102122E-2</v>
      </c>
      <c r="FQ29" s="4">
        <v>1.4707423911114469E-2</v>
      </c>
      <c r="FR29" s="4">
        <v>1.8733837494493515E-2</v>
      </c>
      <c r="FS29" s="4">
        <v>2.4955228064971302E-2</v>
      </c>
      <c r="FT29" s="4">
        <v>3.6310605183568594E-2</v>
      </c>
      <c r="FU29" s="4">
        <v>5.3634524805881975E-2</v>
      </c>
      <c r="FV29" s="4">
        <v>0.24428558423490346</v>
      </c>
      <c r="FW29" s="4">
        <v>-0.25145378304400062</v>
      </c>
      <c r="FX29" s="4">
        <v>-6.0807185100991826E-2</v>
      </c>
      <c r="FY29" s="4">
        <v>-4.3492237766093199E-2</v>
      </c>
      <c r="FZ29" s="4">
        <v>-3.2150444701520384E-2</v>
      </c>
      <c r="GA29" s="4">
        <v>-2.5947407492100807E-2</v>
      </c>
      <c r="GB29" s="4">
        <v>-2.1944338772545528E-2</v>
      </c>
      <c r="GC29" s="4">
        <v>-1.9162503324897901E-2</v>
      </c>
      <c r="GD29" s="4">
        <v>-1.7120301650684993E-2</v>
      </c>
      <c r="GE29" s="4">
        <v>-1.5560297664494615E-2</v>
      </c>
      <c r="GF29" s="4">
        <v>-1.4332128709155425E-2</v>
      </c>
      <c r="GG29" s="4">
        <v>-1.3342194499697249E-2</v>
      </c>
      <c r="GH29" s="4">
        <v>-1.2529217613616184E-2</v>
      </c>
      <c r="GI29" s="4">
        <v>-1.1851421936741675E-2</v>
      </c>
      <c r="GJ29" s="4">
        <v>-1.1279362035674787E-2</v>
      </c>
      <c r="GK29" s="4">
        <v>-1.0791698890503123E-2</v>
      </c>
      <c r="GL29" s="4">
        <v>-1.0372601063464198E-2</v>
      </c>
      <c r="GM29" s="4">
        <v>-1.0010086095622114E-2</v>
      </c>
      <c r="GN29" s="4">
        <v>-9.6949281396675555E-3</v>
      </c>
      <c r="GO29" s="4">
        <v>-9.4199186453359594E-3</v>
      </c>
      <c r="GP29" s="4">
        <v>-9.1793539321439882E-3</v>
      </c>
      <c r="GQ29" s="4">
        <v>-8.9686724940148902E-3</v>
      </c>
      <c r="GR29" s="4">
        <v>-8.7841934664060553E-3</v>
      </c>
      <c r="GS29" s="4">
        <v>-8.6229248801607625E-3</v>
      </c>
      <c r="GT29" s="4">
        <v>-8.482420952982149E-3</v>
      </c>
      <c r="GU29" s="4">
        <v>-8.3606743935151842E-3</v>
      </c>
      <c r="GV29" s="4">
        <v>-8.2560340343804817E-3</v>
      </c>
      <c r="GW29" s="4">
        <v>-8.1671409545796322E-3</v>
      </c>
      <c r="GX29" s="4">
        <v>-8.0928781265239193E-3</v>
      </c>
      <c r="GY29" s="4">
        <v>-8.0323298442359029E-3</v>
      </c>
      <c r="GZ29" s="4">
        <v>-7.9847479393120729E-3</v>
      </c>
      <c r="HA29" s="4">
        <v>-7.9495221644279059E-3</v>
      </c>
      <c r="HB29" s="4">
        <v>-7.9261521378816823E-3</v>
      </c>
      <c r="HC29" s="4">
        <v>-7.9142178404174885E-3</v>
      </c>
      <c r="HD29" s="4">
        <v>-7.9133446700291755E-3</v>
      </c>
      <c r="HE29" s="4">
        <v>-7.9231571532533893E-3</v>
      </c>
      <c r="HF29" s="4">
        <v>-7.9432119195871394E-3</v>
      </c>
      <c r="HG29" s="4">
        <v>-7.9728941882178314E-3</v>
      </c>
      <c r="HH29" s="4">
        <v>-8.0112502435343395E-3</v>
      </c>
      <c r="HI29" s="4">
        <v>-8.0567059468497453E-3</v>
      </c>
      <c r="HJ29" s="4">
        <v>-8.1065769958120915E-3</v>
      </c>
      <c r="HK29" s="4">
        <v>-8.1561850026226207E-3</v>
      </c>
      <c r="HL29" s="4">
        <v>-8.197193683017882E-3</v>
      </c>
      <c r="HM29" s="4">
        <v>-8.2143156820687745E-3</v>
      </c>
      <c r="HN29" s="4">
        <v>-8.1783717893864974E-3</v>
      </c>
      <c r="HO29" s="4">
        <v>-8.030548344682335E-3</v>
      </c>
      <c r="HP29" s="4">
        <v>-7.6414382825185879E-3</v>
      </c>
      <c r="HQ29" s="4">
        <v>-6.7131039170756288E-3</v>
      </c>
      <c r="HR29" s="4">
        <v>-4.0765410295798745E-3</v>
      </c>
      <c r="HS29" s="4">
        <v>-6.4520720638540656E-4</v>
      </c>
      <c r="HT29" s="4">
        <v>9.8269602827445818E-2</v>
      </c>
      <c r="HU29" s="4">
        <v>-0.26402540151577986</v>
      </c>
    </row>
    <row r="30" spans="4:229" x14ac:dyDescent="0.25">
      <c r="D30" s="10">
        <v>21</v>
      </c>
      <c r="E30" s="5">
        <f>'N70'!E37-'N70'!E36</f>
        <v>1.428571428571429E-2</v>
      </c>
      <c r="F30" s="5">
        <f>'N70'!H36-'N70'!E16</f>
        <v>0.29285714285714282</v>
      </c>
      <c r="G30" s="5">
        <f>'N70'!H36-'N70'!E17</f>
        <v>0.27857142857142853</v>
      </c>
      <c r="H30" s="5">
        <f>'N70'!H36-'N70'!E18</f>
        <v>0.26428571428571423</v>
      </c>
      <c r="I30" s="5">
        <f>'N70'!H36-'N70'!E19</f>
        <v>0.24999999999999994</v>
      </c>
      <c r="J30" s="5">
        <f>'N70'!H36-'N70'!E20</f>
        <v>0.23571428571428568</v>
      </c>
      <c r="K30" s="5">
        <f>'N70'!H36-'N70'!E21</f>
        <v>0.22142857142857139</v>
      </c>
      <c r="L30" s="5">
        <f>'N70'!H36-'N70'!E22</f>
        <v>0.2071428571428571</v>
      </c>
      <c r="M30" s="5">
        <f>'N70'!H36-'N70'!E23</f>
        <v>0.19285714285714284</v>
      </c>
      <c r="N30" s="5">
        <f>'N70'!H36-'N70'!E24</f>
        <v>0.17857142857142855</v>
      </c>
      <c r="O30" s="5">
        <f>'N70'!H36-'N70'!E25</f>
        <v>0.16428571428571426</v>
      </c>
      <c r="P30" s="5">
        <f>'N70'!H36-'N70'!E26</f>
        <v>0.14999999999999997</v>
      </c>
      <c r="Q30" s="5">
        <f>'N70'!H36-'N70'!E27</f>
        <v>0.13571428571428568</v>
      </c>
      <c r="R30" s="5">
        <f>'N70'!H36-'N70'!E28</f>
        <v>0.12142857142857139</v>
      </c>
      <c r="S30" s="5">
        <f>'N70'!H36-'N70'!E29</f>
        <v>0.1071428571428571</v>
      </c>
      <c r="T30" s="5">
        <f>'N70'!H36-'N70'!E30</f>
        <v>9.2857142857142833E-2</v>
      </c>
      <c r="U30" s="5">
        <f>'N70'!H36-'N70'!E31</f>
        <v>7.8571428571428542E-2</v>
      </c>
      <c r="V30" s="5">
        <f>'N70'!H36-'N70'!E32</f>
        <v>6.4285714285714252E-2</v>
      </c>
      <c r="W30" s="5">
        <f>'N70'!H36-'N70'!E33</f>
        <v>4.9999999999999961E-2</v>
      </c>
      <c r="X30" s="5">
        <f>'N70'!H36-'N70'!E34</f>
        <v>3.5714285714285698E-2</v>
      </c>
      <c r="Y30" s="5">
        <f>'N70'!H36-'N70'!E35</f>
        <v>2.1428571428571408E-2</v>
      </c>
      <c r="Z30" s="5">
        <f>'N70'!H36-'N70'!E36</f>
        <v>7.1428571428571175E-3</v>
      </c>
      <c r="AA30" s="5">
        <f>'N70'!H36-'N70'!E37</f>
        <v>-7.142857142857173E-3</v>
      </c>
      <c r="AB30" s="5">
        <f>'N70'!H36-'N70'!E38</f>
        <v>-2.1428571428571463E-2</v>
      </c>
      <c r="AC30" s="5">
        <f>'N70'!H36-'N70'!E39</f>
        <v>-3.5714285714285754E-2</v>
      </c>
      <c r="AD30" s="5">
        <f>'N70'!H36-'N70'!E40</f>
        <v>-5.0000000000000044E-2</v>
      </c>
      <c r="AE30" s="5">
        <f>'N70'!H36-'N70'!E41</f>
        <v>-6.4285714285714335E-2</v>
      </c>
      <c r="AF30" s="5">
        <f>'N70'!H36-'N70'!E42</f>
        <v>-7.8571428571428625E-2</v>
      </c>
      <c r="AG30" s="5">
        <f>'N70'!H36-'N70'!E43</f>
        <v>-9.285714285714286E-2</v>
      </c>
      <c r="AH30" s="5">
        <f>'N70'!H36-'N70'!E44</f>
        <v>-0.10714285714285715</v>
      </c>
      <c r="AI30" s="5">
        <f>'N70'!H36-'N70'!E45</f>
        <v>-0.12142857142857144</v>
      </c>
      <c r="AJ30" s="5">
        <f>'N70'!H36-'N70'!E46</f>
        <v>-0.13571428571428573</v>
      </c>
      <c r="AK30" s="5">
        <f>'N70'!H36-'N70'!E47</f>
        <v>-0.15000000000000002</v>
      </c>
      <c r="AL30" s="5">
        <f>'N70'!H36-'N70'!$E$48</f>
        <v>-0.16428571428571431</v>
      </c>
      <c r="AM30" s="5">
        <f>'N70'!H36-'N70'!$E$49</f>
        <v>-0.1785714285714286</v>
      </c>
      <c r="AN30" s="5">
        <f>'N70'!H36-'N70'!$E$50</f>
        <v>-0.19285714285714289</v>
      </c>
      <c r="AO30" s="5">
        <f>'N70'!H36-'N70'!$E$51</f>
        <v>-0.20714285714285718</v>
      </c>
      <c r="AP30" s="5">
        <f>'N70'!H36-'N70'!$E$52</f>
        <v>-0.22142857142857142</v>
      </c>
      <c r="AQ30" s="5">
        <f>'N70'!H36-'N70'!$E$53</f>
        <v>-0.23571428571428577</v>
      </c>
      <c r="AR30" s="5">
        <f>'N70'!H36-'N70'!$E$54</f>
        <v>-0.25</v>
      </c>
      <c r="AS30" s="5">
        <f>'N70'!H36-'N70'!$E$55</f>
        <v>-0.26428571428571435</v>
      </c>
      <c r="AT30" s="5">
        <f>'N70'!H36-'N70'!$E$56</f>
        <v>-0.27857142857142858</v>
      </c>
      <c r="AU30" s="5">
        <f>'N70'!H36-'N70'!$E$57</f>
        <v>-0.29285714285714293</v>
      </c>
      <c r="AV30" s="5">
        <f>'N70'!H36-'N70'!$E$58</f>
        <v>-0.30714285714285716</v>
      </c>
      <c r="AW30" s="5">
        <f>'N70'!H36-'N70'!$E$59</f>
        <v>-0.3214285714285714</v>
      </c>
      <c r="AX30" s="5">
        <f>'N70'!H36-'N70'!$E$60</f>
        <v>-0.33571428571428574</v>
      </c>
      <c r="AY30" s="5">
        <f>'N70'!H36-'N70'!$E$61</f>
        <v>-0.35</v>
      </c>
      <c r="AZ30" s="5">
        <f>'N70'!H36-'N70'!$E$62</f>
        <v>-0.36428571428571432</v>
      </c>
      <c r="BA30" s="5">
        <f>'N70'!H36-'N70'!$E$63</f>
        <v>-0.37857142857142856</v>
      </c>
      <c r="BB30" s="5">
        <f>'N70'!H36-'N70'!$E$64</f>
        <v>-0.3928571428571429</v>
      </c>
      <c r="BC30" s="5">
        <f>'N70'!H36-'N70'!$E$65</f>
        <v>-0.40714285714285714</v>
      </c>
      <c r="BD30" s="5">
        <f>'N70'!H36-'N70'!$E$66</f>
        <v>-0.42142857142857149</v>
      </c>
      <c r="BE30" s="5">
        <f>'N70'!H36-'N70'!$E$67</f>
        <v>-0.43571428571428572</v>
      </c>
      <c r="BF30" s="5">
        <f>'N70'!H36-'N70'!$E$68</f>
        <v>-0.45000000000000007</v>
      </c>
      <c r="BG30" s="5">
        <f>'N70'!H36-'N70'!$E$69</f>
        <v>-0.4642857142857143</v>
      </c>
      <c r="BH30" s="5">
        <f>'N70'!H36-'N70'!$E$70</f>
        <v>-0.47857142857142854</v>
      </c>
      <c r="BI30" s="5">
        <f>'N70'!H36-'N70'!$E$71</f>
        <v>-0.49285714285714288</v>
      </c>
      <c r="BJ30" s="5">
        <f>'N70'!H36-'N70'!$E$72</f>
        <v>-0.50714285714285712</v>
      </c>
      <c r="BK30" s="5">
        <f>'N70'!H36-'N70'!$E$73</f>
        <v>-0.52142857142857146</v>
      </c>
      <c r="BL30" s="5">
        <f>'N70'!H36-'N70'!$E$74</f>
        <v>-0.5357142857142857</v>
      </c>
      <c r="BM30" s="5">
        <f>'N70'!H36-'N70'!$E$75</f>
        <v>-0.55000000000000004</v>
      </c>
      <c r="BN30" s="5">
        <f>'N70'!H36-'N70'!$E$76</f>
        <v>-0.56428571428571428</v>
      </c>
      <c r="BO30" s="5">
        <f>'N70'!H36-'N70'!$E$77</f>
        <v>-0.57857142857142863</v>
      </c>
      <c r="BP30" s="5">
        <f>'N70'!H36-'N70'!$E$78</f>
        <v>-0.59285714285714286</v>
      </c>
      <c r="BQ30" s="5">
        <f>'N70'!H36-'N70'!$E$79</f>
        <v>-0.60714285714285721</v>
      </c>
      <c r="BR30" s="5">
        <f>'N70'!H36-'N70'!$E$80</f>
        <v>-0.62142857142857144</v>
      </c>
      <c r="BS30" s="5">
        <f>'N70'!H36-'N70'!$E$81</f>
        <v>-0.63571428571428568</v>
      </c>
      <c r="BT30" s="5">
        <f>'N70'!H36-'N70'!$E$82</f>
        <v>-0.65</v>
      </c>
      <c r="BU30" s="5">
        <f>'N70'!H36-'N70'!$E$83</f>
        <v>-0.66428571428571426</v>
      </c>
      <c r="BV30" s="5">
        <f>'N70'!H36-'N70'!$E$84</f>
        <v>-0.6785714285714286</v>
      </c>
      <c r="BW30" s="5">
        <f>'N70'!H36-'N70'!$E$85</f>
        <v>-0.69285714285714284</v>
      </c>
      <c r="BX30" s="5">
        <v>-1</v>
      </c>
      <c r="BY30" s="5"/>
      <c r="BZ30">
        <v>21</v>
      </c>
      <c r="CA30" s="5">
        <f>N70_DESARROLLO!CE115+N70_DESARROLLO!H115</f>
        <v>-2.4796779290038096E-2</v>
      </c>
      <c r="CB30" s="5">
        <f>N70_DESARROLLO!CF115+N70_DESARROLLO!I115</f>
        <v>-5.1304553326342761E-2</v>
      </c>
      <c r="CC30" s="5">
        <f>N70_DESARROLLO!CG115+N70_DESARROLLO!J115</f>
        <v>-5.4080408838149241E-2</v>
      </c>
      <c r="CD30" s="5">
        <f>N70_DESARROLLO!CH115+N70_DESARROLLO!K115</f>
        <v>-5.717399712907878E-2</v>
      </c>
      <c r="CE30" s="5">
        <f>N70_DESARROLLO!CI115+N70_DESARROLLO!L115</f>
        <v>-6.0643218403520049E-2</v>
      </c>
      <c r="CF30" s="5">
        <f>N70_DESARROLLO!CJ115+N70_DESARROLLO!M115</f>
        <v>-6.456096125248334E-2</v>
      </c>
      <c r="CG30" s="5">
        <f>N70_DESARROLLO!CK115+N70_DESARROLLO!N115</f>
        <v>-6.9020292350870371E-2</v>
      </c>
      <c r="CH30" s="5">
        <f>N70_DESARROLLO!CL115+N70_DESARROLLO!O115</f>
        <v>-7.414196502233561E-2</v>
      </c>
      <c r="CI30" s="5">
        <f>N70_DESARROLLO!CM115+N70_DESARROLLO!P115</f>
        <v>-8.0085554140355564E-2</v>
      </c>
      <c r="CJ30" s="5">
        <f>N70_DESARROLLO!CN115+N70_DESARROLLO!Q115</f>
        <v>-8.7066442319337245E-2</v>
      </c>
      <c r="CK30" s="5">
        <f>N70_DESARROLLO!CO115+N70_DESARROLLO!R115</f>
        <v>-9.5382594982174607E-2</v>
      </c>
      <c r="CL30" s="5">
        <f>N70_DESARROLLO!CP115+N70_DESARROLLO!S115</f>
        <v>-0.10545841852057825</v>
      </c>
      <c r="CM30" s="5">
        <f>N70_DESARROLLO!CQ115+N70_DESARROLLO!T115</f>
        <v>-0.11791996375048674</v>
      </c>
      <c r="CN30" s="5">
        <f>N70_DESARROLLO!CR115+N70_DESARROLLO!U115</f>
        <v>-0.13373123411930032</v>
      </c>
      <c r="CO30" s="5">
        <f>N70_DESARROLLO!CS115+N70_DESARROLLO!V115</f>
        <v>-0.15445886474681092</v>
      </c>
      <c r="CP30" s="5">
        <f>N70_DESARROLLO!CT115+N70_DESARROLLO!W115</f>
        <v>-0.18283342438756878</v>
      </c>
      <c r="CQ30" s="5">
        <f>N70_DESARROLLO!CU115+N70_DESARROLLO!X115</f>
        <v>-0.22408833054042743</v>
      </c>
      <c r="CR30" s="5">
        <f>N70_DESARROLLO!CV115+N70_DESARROLLO!Y115</f>
        <v>-0.28973434150573352</v>
      </c>
      <c r="CS30" s="5">
        <f>N70_DESARROLLO!CW115+N70_DESARROLLO!Z115</f>
        <v>-0.41141440075354518</v>
      </c>
      <c r="CT30" s="5">
        <f>N70_DESARROLLO!CX115+N70_DESARROLLO!AA115</f>
        <v>-0.72775792963608232</v>
      </c>
      <c r="CU30" s="5">
        <f>N70_DESARROLLO!CY115+N70_DESARROLLO!AB115</f>
        <v>-1.6479184659605361</v>
      </c>
      <c r="CV30" s="5">
        <f>N70_DESARROLLO!CZ115+N70_DESARROLLO!AC115</f>
        <v>1.6479184659605328</v>
      </c>
      <c r="CW30" s="5">
        <f>N70_DESARROLLO!DA115+N70_DESARROLLO!AD115</f>
        <v>0.72775792963607955</v>
      </c>
      <c r="CX30" s="5">
        <f>N70_DESARROLLO!DB115+N70_DESARROLLO!AE115</f>
        <v>0.41141440075354707</v>
      </c>
      <c r="CY30" s="5">
        <f>N70_DESARROLLO!DC115+N70_DESARROLLO!AF115</f>
        <v>0.28973434150573207</v>
      </c>
      <c r="CZ30" s="5">
        <f>N70_DESARROLLO!DD115+N70_DESARROLLO!AG115</f>
        <v>0.22408833054042643</v>
      </c>
      <c r="DA30" s="5">
        <f>N70_DESARROLLO!DE115+N70_DESARROLLO!AH115</f>
        <v>0.18283342438756378</v>
      </c>
      <c r="DB30" s="5">
        <f>N70_DESARROLLO!DF115+N70_DESARROLLO!AI115</f>
        <v>0.15445886474681725</v>
      </c>
      <c r="DC30" s="5">
        <f>N70_DESARROLLO!DG115+N70_DESARROLLO!AJ115</f>
        <v>0.13373123411929844</v>
      </c>
      <c r="DD30" s="5">
        <f>N70_DESARROLLO!DH115+N70_DESARROLLO!AK115</f>
        <v>0.11791996375048619</v>
      </c>
      <c r="DE30" s="5">
        <f>N70_DESARROLLO!DI115+N70_DESARROLLO!AL115</f>
        <v>0.10545841852057869</v>
      </c>
      <c r="DF30" s="5">
        <f>N70_DESARROLLO!DJ115+N70_DESARROLLO!AM115</f>
        <v>9.538259498217494E-2</v>
      </c>
      <c r="DG30" s="5">
        <f>N70_DESARROLLO!DK115+N70_DESARROLLO!AN115</f>
        <v>8.7066442319335136E-2</v>
      </c>
      <c r="DH30" s="5">
        <f>N70_DESARROLLO!DL115+N70_DESARROLLO!AO115</f>
        <v>8.0085554140357895E-2</v>
      </c>
      <c r="DI30" s="5">
        <f>N70_DESARROLLO!DM115+N70_DESARROLLO!AP115</f>
        <v>7.4141965022337497E-2</v>
      </c>
      <c r="DJ30" s="5">
        <f>N70_DESARROLLO!DN115+N70_DESARROLLO!AQ115</f>
        <v>6.90202923508626E-2</v>
      </c>
      <c r="DK30" s="5">
        <f>N70_DESARROLLO!DO115+N70_DESARROLLO!AR115</f>
        <v>6.4560961252489446E-2</v>
      </c>
      <c r="DL30" s="5">
        <f>N70_DESARROLLO!DP115+N70_DESARROLLO!AS115</f>
        <v>6.0643218403515942E-2</v>
      </c>
      <c r="DM30" s="5">
        <f>N70_DESARROLLO!DQ115+N70_DESARROLLO!AT115</f>
        <v>5.7173997129085885E-2</v>
      </c>
      <c r="DN30" s="5">
        <f>N70_DESARROLLO!DR115+N70_DESARROLLO!AU115</f>
        <v>5.4080408838142358E-2</v>
      </c>
      <c r="DO30" s="5">
        <f>N70_DESARROLLO!DS115+N70_DESARROLLO!AV115</f>
        <v>5.1304553326349533E-2</v>
      </c>
      <c r="DP30" s="5">
        <f>N70_DESARROLLO!DT115+N70_DESARROLLO!AW115</f>
        <v>4.8799853039066199E-2</v>
      </c>
      <c r="DQ30" s="5">
        <f>N70_DESARROLLO!DU115+N70_DESARROLLO!AX115</f>
        <v>4.6528413377888933E-2</v>
      </c>
      <c r="DR30" s="5">
        <f>N70_DESARROLLO!DV115+N70_DESARROLLO!AY115</f>
        <v>4.4459088822771053E-2</v>
      </c>
      <c r="DS30" s="5">
        <f>N70_DESARROLLO!DW115+N70_DESARROLLO!AZ115</f>
        <v>4.2566044021103977E-2</v>
      </c>
      <c r="DT30" s="5">
        <f>N70_DESARROLLO!DX115+N70_DESARROLLO!BA115</f>
        <v>4.0827668052543675E-2</v>
      </c>
      <c r="DU30" s="5">
        <f>N70_DESARROLLO!DY115+N70_DESARROLLO!BB115</f>
        <v>3.9225744685471353E-2</v>
      </c>
      <c r="DV30" s="5">
        <f>N70_DESARROLLO!DZ115+N70_DESARROLLO!BC115</f>
        <v>3.7744810855705468E-2</v>
      </c>
      <c r="DW30" s="5">
        <f>N70_DESARROLLO!EA115+N70_DESARROLLO!BD115</f>
        <v>3.6371655357429256E-2</v>
      </c>
      <c r="DX30" s="5">
        <f>N70_DESARROLLO!EB115+N70_DESARROLLO!BE115</f>
        <v>3.5094923244222698E-2</v>
      </c>
      <c r="DY30" s="5">
        <f>N70_DESARROLLO!EC115+N70_DESARROLLO!BF115</f>
        <v>3.3904800811315305E-2</v>
      </c>
      <c r="DZ30" s="5">
        <f>N70_DESARROLLO!ED115+N70_DESARROLLO!BG115</f>
        <v>3.279276263587616E-2</v>
      </c>
      <c r="EA30" s="5">
        <f>N70_DESARROLLO!EE115+N70_DESARROLLO!BH115</f>
        <v>3.1751366862662667E-2</v>
      </c>
      <c r="EB30" s="5">
        <f>N70_DESARROLLO!EF115+N70_DESARROLLO!BI115</f>
        <v>3.0774088329711957E-2</v>
      </c>
      <c r="EC30" s="5">
        <f>N70_DESARROLLO!EG115+N70_DESARROLLO!BJ115</f>
        <v>2.9855181616038617E-2</v>
      </c>
      <c r="ED30" s="5">
        <f>N70_DESARROLLO!EH115+N70_DESARROLLO!BK115</f>
        <v>2.8989567932948379E-2</v>
      </c>
      <c r="EE30" s="5">
        <f>N70_DESARROLLO!EI115+N70_DESARROLLO!BL115</f>
        <v>2.8172741151794578E-2</v>
      </c>
      <c r="EF30" s="5">
        <f>N70_DESARROLLO!EJ115+N70_DESARROLLO!BM115</f>
        <v>2.7400689293789693E-2</v>
      </c>
      <c r="EG30" s="5">
        <f>N70_DESARROLLO!EK115+N70_DESARROLLO!BN115</f>
        <v>2.6669828593228417E-2</v>
      </c>
      <c r="EH30" s="5">
        <f>N70_DESARROLLO!EL115+N70_DESARROLLO!BO115</f>
        <v>2.597694784486726E-2</v>
      </c>
      <c r="EI30" s="5">
        <f>N70_DESARROLLO!EM115+N70_DESARROLLO!BP115</f>
        <v>2.5319161212288277E-2</v>
      </c>
      <c r="EJ30" s="5">
        <f>N70_DESARROLLO!EN115+N70_DESARROLLO!BQ115</f>
        <v>2.4693868032490518E-2</v>
      </c>
      <c r="EK30" s="5">
        <f>N70_DESARROLLO!EO115+N70_DESARROLLO!BR115</f>
        <v>2.4098718436573741E-2</v>
      </c>
      <c r="EL30" s="5">
        <f>N70_DESARROLLO!EP115+N70_DESARROLLO!BS115</f>
        <v>2.353158382693199E-2</v>
      </c>
      <c r="EM30" s="5">
        <f>N70_DESARROLLO!EQ115+N70_DESARROLLO!BT115</f>
        <v>2.2990531429701422E-2</v>
      </c>
      <c r="EN30" s="5">
        <f>N70_DESARROLLO!ER115+N70_DESARROLLO!BU115</f>
        <v>2.247380228010265E-2</v>
      </c>
      <c r="EO30" s="5">
        <f>N70_DESARROLLO!ES115+N70_DESARROLLO!BV115</f>
        <v>2.1979792112860164E-2</v>
      </c>
      <c r="EP30" s="5">
        <f>N70_DESARROLLO!ET115+N70_DESARROLLO!BW115</f>
        <v>2.1507034719707718E-2</v>
      </c>
      <c r="EQ30" s="5">
        <f>N70_DESARROLLO!EU115+N70_DESARROLLO!BX115</f>
        <v>2.1054187410165737E-2</v>
      </c>
      <c r="ER30" s="5">
        <f>N70_DESARROLLO!EV115+N70_DESARROLLO!BY115</f>
        <v>24.695582453441165</v>
      </c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>
        <v>21</v>
      </c>
      <c r="FD30" s="4">
        <v>6.2391500147372886E-4</v>
      </c>
      <c r="FE30" s="4">
        <v>1.2894639634221162E-3</v>
      </c>
      <c r="FF30" s="4">
        <v>1.7710160544106306E-3</v>
      </c>
      <c r="FG30" s="4">
        <v>2.2411976385278594E-3</v>
      </c>
      <c r="FH30" s="4">
        <v>2.7262012530254094E-3</v>
      </c>
      <c r="FI30" s="4">
        <v>3.2461945463929786E-3</v>
      </c>
      <c r="FJ30" s="4">
        <v>3.818873590645568E-3</v>
      </c>
      <c r="FK30" s="4">
        <v>4.463546515653693E-3</v>
      </c>
      <c r="FL30" s="4">
        <v>5.2038303468819351E-3</v>
      </c>
      <c r="FM30" s="4">
        <v>6.0707475516028533E-3</v>
      </c>
      <c r="FN30" s="4">
        <v>7.1072099712020153E-3</v>
      </c>
      <c r="FO30" s="4">
        <v>8.3753366906139191E-3</v>
      </c>
      <c r="FP30" s="4">
        <v>9.9693643020868899E-3</v>
      </c>
      <c r="FQ30" s="4">
        <v>1.2040142442253246E-2</v>
      </c>
      <c r="FR30" s="4">
        <v>1.4845481538846969E-2</v>
      </c>
      <c r="FS30" s="4">
        <v>1.8867267466518328E-2</v>
      </c>
      <c r="FT30" s="4">
        <v>2.5084450711374336E-2</v>
      </c>
      <c r="FU30" s="4">
        <v>3.6435974352203429E-2</v>
      </c>
      <c r="FV30" s="4">
        <v>5.3756340742077184E-2</v>
      </c>
      <c r="FW30" s="4">
        <v>0.2444041033239667</v>
      </c>
      <c r="FX30" s="4">
        <v>-0.25133834079707418</v>
      </c>
      <c r="FY30" s="4">
        <v>-6.0694630255715469E-2</v>
      </c>
      <c r="FZ30" s="4">
        <v>-4.3382406875864747E-2</v>
      </c>
      <c r="GA30" s="4">
        <v>-3.2043196690084548E-2</v>
      </c>
      <c r="GB30" s="4">
        <v>-2.5842620761393507E-2</v>
      </c>
      <c r="GC30" s="4">
        <v>-2.1841908883577642E-2</v>
      </c>
      <c r="GD30" s="4">
        <v>-1.9062341134008128E-2</v>
      </c>
      <c r="GE30" s="4">
        <v>-1.7022331812755982E-2</v>
      </c>
      <c r="GF30" s="4">
        <v>-1.5464457436151727E-2</v>
      </c>
      <c r="GG30" s="4">
        <v>-1.4238367000726473E-2</v>
      </c>
      <c r="GH30" s="4">
        <v>-1.3250471136624116E-2</v>
      </c>
      <c r="GI30" s="4">
        <v>-1.2439502776919152E-2</v>
      </c>
      <c r="GJ30" s="4">
        <v>-1.1763695758929544E-2</v>
      </c>
      <c r="GK30" s="4">
        <v>-1.1193614333674579E-2</v>
      </c>
      <c r="GL30" s="4">
        <v>-1.0707929020960074E-2</v>
      </c>
      <c r="GM30" s="4">
        <v>-1.0290817888470754E-2</v>
      </c>
      <c r="GN30" s="4">
        <v>-9.9303080485565152E-3</v>
      </c>
      <c r="GO30" s="4">
        <v>-9.6171833813714757E-3</v>
      </c>
      <c r="GP30" s="4">
        <v>-9.3442453001645505E-3</v>
      </c>
      <c r="GQ30" s="4">
        <v>-9.1058003908799628E-3</v>
      </c>
      <c r="GR30" s="4">
        <v>-8.8972977663283742E-3</v>
      </c>
      <c r="GS30" s="4">
        <v>-8.7150675574029415E-3</v>
      </c>
      <c r="GT30" s="4">
        <v>-8.5561291535265378E-3</v>
      </c>
      <c r="GU30" s="4">
        <v>-8.4180484234643322E-3</v>
      </c>
      <c r="GV30" s="4">
        <v>-8.2988298618833188E-3</v>
      </c>
      <c r="GW30" s="4">
        <v>-8.1968339317759747E-3</v>
      </c>
      <c r="GX30" s="4">
        <v>-8.1107126919045969E-3</v>
      </c>
      <c r="GY30" s="4">
        <v>-8.0393586341483726E-3</v>
      </c>
      <c r="GZ30" s="4">
        <v>-7.9818628133594485E-3</v>
      </c>
      <c r="HA30" s="4">
        <v>-7.9374790015362337E-3</v>
      </c>
      <c r="HB30" s="4">
        <v>-7.9055908032245742E-3</v>
      </c>
      <c r="HC30" s="4">
        <v>-7.8856784039976983E-3</v>
      </c>
      <c r="HD30" s="4">
        <v>-7.8772807428026236E-3</v>
      </c>
      <c r="HE30" s="4">
        <v>-7.8799470797705218E-3</v>
      </c>
      <c r="HF30" s="4">
        <v>-7.8931685275510314E-3</v>
      </c>
      <c r="HG30" s="4">
        <v>-7.9162738663602905E-3</v>
      </c>
      <c r="HH30" s="4">
        <v>-7.9482623566943349E-3</v>
      </c>
      <c r="HI30" s="4">
        <v>-7.9875241260051067E-3</v>
      </c>
      <c r="HJ30" s="4">
        <v>-8.0313549297839817E-3</v>
      </c>
      <c r="HK30" s="4">
        <v>-8.075081599882513E-3</v>
      </c>
      <c r="HL30" s="4">
        <v>-8.1104172397050821E-3</v>
      </c>
      <c r="HM30" s="4">
        <v>-8.1222073693282236E-3</v>
      </c>
      <c r="HN30" s="4">
        <v>-8.0815744719656326E-3</v>
      </c>
      <c r="HO30" s="4">
        <v>-7.9303730266995897E-3</v>
      </c>
      <c r="HP30" s="4">
        <v>-7.5407542412963538E-3</v>
      </c>
      <c r="HQ30" s="4">
        <v>-6.6184873139540964E-3</v>
      </c>
      <c r="HR30" s="4">
        <v>-4.0097298839462366E-3</v>
      </c>
      <c r="HS30" s="4">
        <v>-6.1433598116783549E-4</v>
      </c>
      <c r="HT30" s="4">
        <v>9.6986046631533374E-2</v>
      </c>
      <c r="HU30" s="4">
        <v>-0.26037179460258614</v>
      </c>
    </row>
    <row r="31" spans="4:229" x14ac:dyDescent="0.25">
      <c r="D31" s="10">
        <v>22</v>
      </c>
      <c r="E31" s="5">
        <f>'N70'!E38-'N70'!E37</f>
        <v>1.428571428571429E-2</v>
      </c>
      <c r="F31" s="5">
        <f>'N70'!H37-'N70'!E16</f>
        <v>0.30714285714285716</v>
      </c>
      <c r="G31" s="5">
        <f>'N70'!H37-'N70'!E17</f>
        <v>0.29285714285714287</v>
      </c>
      <c r="H31" s="5">
        <f>'N70'!H37-'N70'!E18</f>
        <v>0.27857142857142858</v>
      </c>
      <c r="I31" s="5">
        <f>'N70'!H37-'N70'!E19</f>
        <v>0.26428571428571429</v>
      </c>
      <c r="J31" s="5">
        <f>'N70'!H37-'N70'!E20</f>
        <v>0.25</v>
      </c>
      <c r="K31" s="5">
        <f>'N70'!H37-'N70'!E21</f>
        <v>0.23571428571428574</v>
      </c>
      <c r="L31" s="5">
        <f>'N70'!H37-'N70'!E22</f>
        <v>0.22142857142857145</v>
      </c>
      <c r="M31" s="5">
        <f>'N70'!H37-'N70'!E23</f>
        <v>0.20714285714285718</v>
      </c>
      <c r="N31" s="5">
        <f>'N70'!H37-'N70'!E24</f>
        <v>0.19285714285714289</v>
      </c>
      <c r="O31" s="5">
        <f>'N70'!H37-'N70'!E25</f>
        <v>0.1785714285714286</v>
      </c>
      <c r="P31" s="5">
        <f>'N70'!H37-'N70'!E26</f>
        <v>0.16428571428571431</v>
      </c>
      <c r="Q31" s="5">
        <f>'N70'!H37-'N70'!E27</f>
        <v>0.15000000000000002</v>
      </c>
      <c r="R31" s="5">
        <f>'N70'!H37-'N70'!E28</f>
        <v>0.13571428571428573</v>
      </c>
      <c r="S31" s="5">
        <f>'N70'!H37-'N70'!E29</f>
        <v>0.12142857142857144</v>
      </c>
      <c r="T31" s="5">
        <f>'N70'!H37-'N70'!E30</f>
        <v>0.10714285714285718</v>
      </c>
      <c r="U31" s="5">
        <f>'N70'!H37-'N70'!E31</f>
        <v>9.2857142857142888E-2</v>
      </c>
      <c r="V31" s="5">
        <f>'N70'!H37-'N70'!E32</f>
        <v>7.8571428571428598E-2</v>
      </c>
      <c r="W31" s="5">
        <f>'N70'!H37-'N70'!E33</f>
        <v>6.4285714285714307E-2</v>
      </c>
      <c r="X31" s="5">
        <f>'N70'!H37-'N70'!E34</f>
        <v>5.0000000000000044E-2</v>
      </c>
      <c r="Y31" s="5">
        <f>'N70'!H37-'N70'!E35</f>
        <v>3.5714285714285754E-2</v>
      </c>
      <c r="Z31" s="5">
        <f>'N70'!H37-'N70'!E36</f>
        <v>2.1428571428571463E-2</v>
      </c>
      <c r="AA31" s="5">
        <f>'N70'!H37-'N70'!E37</f>
        <v>7.142857142857173E-3</v>
      </c>
      <c r="AB31" s="5">
        <f>'N70'!H37-'N70'!E38</f>
        <v>-7.1428571428571175E-3</v>
      </c>
      <c r="AC31" s="5">
        <f>'N70'!H37-'N70'!E39</f>
        <v>-2.1428571428571408E-2</v>
      </c>
      <c r="AD31" s="5">
        <f>'N70'!H37-'N70'!E40</f>
        <v>-3.5714285714285698E-2</v>
      </c>
      <c r="AE31" s="5">
        <f>'N70'!H37-'N70'!E41</f>
        <v>-4.9999999999999989E-2</v>
      </c>
      <c r="AF31" s="5">
        <f>'N70'!H37-'N70'!E42</f>
        <v>-6.4285714285714279E-2</v>
      </c>
      <c r="AG31" s="5">
        <f>'N70'!H37-'N70'!E43</f>
        <v>-7.8571428571428514E-2</v>
      </c>
      <c r="AH31" s="5">
        <f>'N70'!H37-'N70'!E44</f>
        <v>-9.2857142857142805E-2</v>
      </c>
      <c r="AI31" s="5">
        <f>'N70'!H37-'N70'!E45</f>
        <v>-0.1071428571428571</v>
      </c>
      <c r="AJ31" s="5">
        <f>'N70'!H37-'N70'!E46</f>
        <v>-0.12142857142857139</v>
      </c>
      <c r="AK31" s="5">
        <f>'N70'!H37-'N70'!E47</f>
        <v>-0.13571428571428568</v>
      </c>
      <c r="AL31" s="5">
        <f>'N70'!H37-'N70'!$E$48</f>
        <v>-0.14999999999999997</v>
      </c>
      <c r="AM31" s="5">
        <f>'N70'!H37-'N70'!$E$49</f>
        <v>-0.16428571428571426</v>
      </c>
      <c r="AN31" s="5">
        <f>'N70'!H37-'N70'!$E$50</f>
        <v>-0.17857142857142855</v>
      </c>
      <c r="AO31" s="5">
        <f>'N70'!H37-'N70'!$E$51</f>
        <v>-0.19285714285714284</v>
      </c>
      <c r="AP31" s="5">
        <f>'N70'!H37-'N70'!$E$52</f>
        <v>-0.20714285714285707</v>
      </c>
      <c r="AQ31" s="5">
        <f>'N70'!H37-'N70'!$E$53</f>
        <v>-0.22142857142857142</v>
      </c>
      <c r="AR31" s="5">
        <f>'N70'!H37-'N70'!$E$54</f>
        <v>-0.23571428571428565</v>
      </c>
      <c r="AS31" s="5">
        <f>'N70'!H37-'N70'!$E$55</f>
        <v>-0.25</v>
      </c>
      <c r="AT31" s="5">
        <f>'N70'!H37-'N70'!$E$56</f>
        <v>-0.26428571428571423</v>
      </c>
      <c r="AU31" s="5">
        <f>'N70'!H37-'N70'!$E$57</f>
        <v>-0.27857142857142858</v>
      </c>
      <c r="AV31" s="5">
        <f>'N70'!H37-'N70'!$E$58</f>
        <v>-0.29285714285714282</v>
      </c>
      <c r="AW31" s="5">
        <f>'N70'!H37-'N70'!$E$59</f>
        <v>-0.30714285714285705</v>
      </c>
      <c r="AX31" s="5">
        <f>'N70'!H37-'N70'!$E$60</f>
        <v>-0.3214285714285714</v>
      </c>
      <c r="AY31" s="5">
        <f>'N70'!H37-'N70'!$E$61</f>
        <v>-0.33571428571428563</v>
      </c>
      <c r="AZ31" s="5">
        <f>'N70'!H37-'N70'!$E$62</f>
        <v>-0.35</v>
      </c>
      <c r="BA31" s="5">
        <f>'N70'!H37-'N70'!$E$63</f>
        <v>-0.36428571428571421</v>
      </c>
      <c r="BB31" s="5">
        <f>'N70'!H37-'N70'!$E$64</f>
        <v>-0.37857142857142856</v>
      </c>
      <c r="BC31" s="5">
        <f>'N70'!H37-'N70'!$E$65</f>
        <v>-0.39285714285714279</v>
      </c>
      <c r="BD31" s="5">
        <f>'N70'!H37-'N70'!$E$66</f>
        <v>-0.40714285714285714</v>
      </c>
      <c r="BE31" s="5">
        <f>'N70'!H37-'N70'!$E$67</f>
        <v>-0.42142857142857137</v>
      </c>
      <c r="BF31" s="5">
        <f>'N70'!H37-'N70'!$E$68</f>
        <v>-0.43571428571428572</v>
      </c>
      <c r="BG31" s="5">
        <f>'N70'!H37-'N70'!$E$69</f>
        <v>-0.44999999999999996</v>
      </c>
      <c r="BH31" s="5">
        <f>'N70'!H37-'N70'!$E$70</f>
        <v>-0.46428571428571419</v>
      </c>
      <c r="BI31" s="5">
        <f>'N70'!H37-'N70'!$E$71</f>
        <v>-0.47857142857142854</v>
      </c>
      <c r="BJ31" s="5">
        <f>'N70'!H37-'N70'!$E$72</f>
        <v>-0.49285714285714277</v>
      </c>
      <c r="BK31" s="5">
        <f>'N70'!H37-'N70'!$E$73</f>
        <v>-0.50714285714285712</v>
      </c>
      <c r="BL31" s="5">
        <f>'N70'!H37-'N70'!$E$74</f>
        <v>-0.52142857142857135</v>
      </c>
      <c r="BM31" s="5">
        <f>'N70'!H37-'N70'!$E$75</f>
        <v>-0.5357142857142857</v>
      </c>
      <c r="BN31" s="5">
        <f>'N70'!H37-'N70'!$E$76</f>
        <v>-0.54999999999999993</v>
      </c>
      <c r="BO31" s="5">
        <f>'N70'!H37-'N70'!$E$77</f>
        <v>-0.56428571428571428</v>
      </c>
      <c r="BP31" s="5">
        <f>'N70'!H37-'N70'!$E$78</f>
        <v>-0.57857142857142851</v>
      </c>
      <c r="BQ31" s="5">
        <f>'N70'!H37-'N70'!$E$79</f>
        <v>-0.59285714285714286</v>
      </c>
      <c r="BR31" s="5">
        <f>'N70'!H37-'N70'!$E$80</f>
        <v>-0.6071428571428571</v>
      </c>
      <c r="BS31" s="5">
        <f>'N70'!H37-'N70'!$E$81</f>
        <v>-0.62142857142857133</v>
      </c>
      <c r="BT31" s="5">
        <f>'N70'!H37-'N70'!$E$82</f>
        <v>-0.63571428571428568</v>
      </c>
      <c r="BU31" s="5">
        <f>'N70'!H37-'N70'!$E$83</f>
        <v>-0.64999999999999991</v>
      </c>
      <c r="BV31" s="5">
        <f>'N70'!H37-'N70'!$E$84</f>
        <v>-0.66428571428571426</v>
      </c>
      <c r="BW31" s="5">
        <f>'N70'!H37-'N70'!$E$85</f>
        <v>-0.67857142857142849</v>
      </c>
      <c r="BX31" s="5">
        <v>-1</v>
      </c>
      <c r="BY31" s="5"/>
      <c r="BZ31">
        <v>22</v>
      </c>
      <c r="CA31" s="5">
        <f>N70_DESARROLLO!CE116+N70_DESARROLLO!H116</f>
        <v>-2.3624976192780478E-2</v>
      </c>
      <c r="CB31" s="5">
        <f>N70_DESARROLLO!CF116+N70_DESARROLLO!I116</f>
        <v>-4.8799853039072971E-2</v>
      </c>
      <c r="CC31" s="5">
        <f>N70_DESARROLLO!CG116+N70_DESARROLLO!J116</f>
        <v>-5.1304553326342761E-2</v>
      </c>
      <c r="CD31" s="5">
        <f>N70_DESARROLLO!CH116+N70_DESARROLLO!K116</f>
        <v>-5.4080408838149241E-2</v>
      </c>
      <c r="CE31" s="5">
        <f>N70_DESARROLLO!CI116+N70_DESARROLLO!L116</f>
        <v>-5.717399712907878E-2</v>
      </c>
      <c r="CF31" s="5">
        <f>N70_DESARROLLO!CJ116+N70_DESARROLLO!M116</f>
        <v>-6.0643218403520049E-2</v>
      </c>
      <c r="CG31" s="5">
        <f>N70_DESARROLLO!CK116+N70_DESARROLLO!N116</f>
        <v>-6.4560961252484894E-2</v>
      </c>
      <c r="CH31" s="5">
        <f>N70_DESARROLLO!CL116+N70_DESARROLLO!O116</f>
        <v>-6.9020292350867152E-2</v>
      </c>
      <c r="CI31" s="5">
        <f>N70_DESARROLLO!CM116+N70_DESARROLLO!P116</f>
        <v>-7.4141965022337497E-2</v>
      </c>
      <c r="CJ31" s="5">
        <f>N70_DESARROLLO!CN116+N70_DESARROLLO!Q116</f>
        <v>-8.0085554140356896E-2</v>
      </c>
      <c r="CK31" s="5">
        <f>N70_DESARROLLO!CO116+N70_DESARROLLO!R116</f>
        <v>-8.706644231933558E-2</v>
      </c>
      <c r="CL31" s="5">
        <f>N70_DESARROLLO!CP116+N70_DESARROLLO!S116</f>
        <v>-9.5382594982175606E-2</v>
      </c>
      <c r="CM31" s="5">
        <f>N70_DESARROLLO!CQ116+N70_DESARROLLO!T116</f>
        <v>-0.1054584185205778</v>
      </c>
      <c r="CN31" s="5">
        <f>N70_DESARROLLO!CR116+N70_DESARROLLO!U116</f>
        <v>-0.11791996375048719</v>
      </c>
      <c r="CO31" s="5">
        <f>N70_DESARROLLO!CS116+N70_DESARROLLO!V116</f>
        <v>-0.13373123411929755</v>
      </c>
      <c r="CP31" s="5">
        <f>N70_DESARROLLO!CT116+N70_DESARROLLO!W116</f>
        <v>-0.15445886474681281</v>
      </c>
      <c r="CQ31" s="5">
        <f>N70_DESARROLLO!CU116+N70_DESARROLLO!X116</f>
        <v>-0.18283342438756889</v>
      </c>
      <c r="CR31" s="5">
        <f>N70_DESARROLLO!CV116+N70_DESARROLLO!Y116</f>
        <v>-0.22408833054042798</v>
      </c>
      <c r="CS31" s="5">
        <f>N70_DESARROLLO!CW116+N70_DESARROLLO!Z116</f>
        <v>-0.28973434150572919</v>
      </c>
      <c r="CT31" s="5">
        <f>N70_DESARROLLO!CX116+N70_DESARROLLO!AA116</f>
        <v>-0.41141440075354707</v>
      </c>
      <c r="CU31" s="5">
        <f>N70_DESARROLLO!CY116+N70_DESARROLLO!AB116</f>
        <v>-0.72775792963607955</v>
      </c>
      <c r="CV31" s="5">
        <f>N70_DESARROLLO!CZ116+N70_DESARROLLO!AC116</f>
        <v>-1.6479184659605328</v>
      </c>
      <c r="CW31" s="5">
        <f>N70_DESARROLLO!DA116+N70_DESARROLLO!AD116</f>
        <v>1.6479184659605364</v>
      </c>
      <c r="CX31" s="5">
        <f>N70_DESARROLLO!DB116+N70_DESARROLLO!AE116</f>
        <v>0.72775792963608221</v>
      </c>
      <c r="CY31" s="5">
        <f>N70_DESARROLLO!DC116+N70_DESARROLLO!AF116</f>
        <v>0.41141440075354785</v>
      </c>
      <c r="CZ31" s="5">
        <f>N70_DESARROLLO!DD116+N70_DESARROLLO!AG116</f>
        <v>0.28973434150573174</v>
      </c>
      <c r="DA31" s="5">
        <f>N70_DESARROLLO!DE116+N70_DESARROLLO!AH116</f>
        <v>0.22408833054042232</v>
      </c>
      <c r="DB31" s="5">
        <f>N70_DESARROLLO!DF116+N70_DESARROLLO!AI116</f>
        <v>0.18283342438757255</v>
      </c>
      <c r="DC31" s="5">
        <f>N70_DESARROLLO!DG116+N70_DESARROLLO!AJ116</f>
        <v>0.15445886474681303</v>
      </c>
      <c r="DD31" s="5">
        <f>N70_DESARROLLO!DH116+N70_DESARROLLO!AK116</f>
        <v>0.13373123411929988</v>
      </c>
      <c r="DE31" s="5">
        <f>N70_DESARROLLO!DI116+N70_DESARROLLO!AL116</f>
        <v>0.11791996375048475</v>
      </c>
      <c r="DF31" s="5">
        <f>N70_DESARROLLO!DJ116+N70_DESARROLLO!AM116</f>
        <v>0.10545841852057858</v>
      </c>
      <c r="DG31" s="5">
        <f>N70_DESARROLLO!DK116+N70_DESARROLLO!AN116</f>
        <v>9.5382594982175051E-2</v>
      </c>
      <c r="DH31" s="5">
        <f>N70_DESARROLLO!DL116+N70_DESARROLLO!AO116</f>
        <v>8.7066442319335136E-2</v>
      </c>
      <c r="DI31" s="5">
        <f>N70_DESARROLLO!DM116+N70_DESARROLLO!AP116</f>
        <v>8.0085554140358006E-2</v>
      </c>
      <c r="DJ31" s="5">
        <f>N70_DESARROLLO!DN116+N70_DESARROLLO!AQ116</f>
        <v>7.4141965022331502E-2</v>
      </c>
      <c r="DK31" s="5">
        <f>N70_DESARROLLO!DO116+N70_DESARROLLO!AR116</f>
        <v>6.902029235087781E-2</v>
      </c>
      <c r="DL31" s="5">
        <f>N70_DESARROLLO!DP116+N70_DESARROLLO!AS116</f>
        <v>6.4560961252473681E-2</v>
      </c>
      <c r="DM31" s="5">
        <f>N70_DESARROLLO!DQ116+N70_DESARROLLO!AT116</f>
        <v>6.0643218403529819E-2</v>
      </c>
      <c r="DN31" s="5">
        <f>N70_DESARROLLO!DR116+N70_DESARROLLO!AU116</f>
        <v>5.717399712907123E-2</v>
      </c>
      <c r="DO31" s="5">
        <f>N70_DESARROLLO!DS116+N70_DESARROLLO!AV116</f>
        <v>5.4080408838158012E-2</v>
      </c>
      <c r="DP31" s="5">
        <f>N70_DESARROLLO!DT116+N70_DESARROLLO!AW116</f>
        <v>5.130455332633288E-2</v>
      </c>
      <c r="DQ31" s="5">
        <f>N70_DESARROLLO!DU116+N70_DESARROLLO!AX116</f>
        <v>4.879985303907397E-2</v>
      </c>
      <c r="DR31" s="5">
        <f>N70_DESARROLLO!DV116+N70_DESARROLLO!AY116</f>
        <v>4.6528413377898814E-2</v>
      </c>
      <c r="DS31" s="5">
        <f>N70_DESARROLLO!DW116+N70_DESARROLLO!AZ116</f>
        <v>4.4459088822751736E-2</v>
      </c>
      <c r="DT31" s="5">
        <f>N70_DESARROLLO!DX116+N70_DESARROLLO!BA116</f>
        <v>4.256604402112385E-2</v>
      </c>
      <c r="DU31" s="5">
        <f>N70_DESARROLLO!DY116+N70_DESARROLLO!BB116</f>
        <v>4.0827668052522692E-2</v>
      </c>
      <c r="DV31" s="5">
        <f>N70_DESARROLLO!DZ116+N70_DESARROLLO!BC116</f>
        <v>3.9225744685487451E-2</v>
      </c>
      <c r="DW31" s="5">
        <f>N70_DESARROLLO!EA116+N70_DESARROLLO!BD116</f>
        <v>3.774481085568826E-2</v>
      </c>
      <c r="DX31" s="5">
        <f>N70_DESARROLLO!EB116+N70_DESARROLLO!BE116</f>
        <v>3.6371655357452903E-2</v>
      </c>
      <c r="DY31" s="5">
        <f>N70_DESARROLLO!EC116+N70_DESARROLLO!BF116</f>
        <v>3.509492324420449E-2</v>
      </c>
      <c r="DZ31" s="5">
        <f>N70_DESARROLLO!ED116+N70_DESARROLLO!BG116</f>
        <v>3.3904800811327962E-2</v>
      </c>
      <c r="EA31" s="5">
        <f>N70_DESARROLLO!EE116+N70_DESARROLLO!BH116</f>
        <v>3.2792762635863171E-2</v>
      </c>
      <c r="EB31" s="5">
        <f>N70_DESARROLLO!EF116+N70_DESARROLLO!BI116</f>
        <v>3.1751366862668773E-2</v>
      </c>
      <c r="EC31" s="5">
        <f>N70_DESARROLLO!EG116+N70_DESARROLLO!BJ116</f>
        <v>3.0774088329719285E-2</v>
      </c>
      <c r="ED31" s="5">
        <f>N70_DESARROLLO!EH116+N70_DESARROLLO!BK116</f>
        <v>2.9855181616024296E-2</v>
      </c>
      <c r="EE31" s="5">
        <f>N70_DESARROLLO!EI116+N70_DESARROLLO!BL116</f>
        <v>2.8989567932963367E-2</v>
      </c>
      <c r="EF31" s="5">
        <f>N70_DESARROLLO!EJ116+N70_DESARROLLO!BM116</f>
        <v>2.8172741151779368E-2</v>
      </c>
      <c r="EG31" s="5">
        <f>N70_DESARROLLO!EK116+N70_DESARROLLO!BN116</f>
        <v>2.7400689293805458E-2</v>
      </c>
      <c r="EH31" s="5">
        <f>N70_DESARROLLO!EL116+N70_DESARROLLO!BO116</f>
        <v>2.6669828593212208E-2</v>
      </c>
      <c r="EI31" s="5">
        <f>N70_DESARROLLO!EM116+N70_DESARROLLO!BP116</f>
        <v>2.5976947844875475E-2</v>
      </c>
      <c r="EJ31" s="5">
        <f>N70_DESARROLLO!EN116+N70_DESARROLLO!BQ116</f>
        <v>2.5319161212279506E-2</v>
      </c>
      <c r="EK31" s="5">
        <f>N70_DESARROLLO!EO116+N70_DESARROLLO!BR116</f>
        <v>2.469386803250806E-2</v>
      </c>
      <c r="EL31" s="5">
        <f>N70_DESARROLLO!EP116+N70_DESARROLLO!BS116</f>
        <v>2.4098718436555866E-2</v>
      </c>
      <c r="EM31" s="5">
        <f>N70_DESARROLLO!EQ116+N70_DESARROLLO!BT116</f>
        <v>2.3531583826940539E-2</v>
      </c>
      <c r="EN31" s="5">
        <f>N70_DESARROLLO!ER116+N70_DESARROLLO!BU116</f>
        <v>2.2990531429711081E-2</v>
      </c>
      <c r="EO31" s="5">
        <f>N70_DESARROLLO!ES116+N70_DESARROLLO!BV116</f>
        <v>2.2473802280083444E-2</v>
      </c>
      <c r="EP31" s="5">
        <f>N70_DESARROLLO!ET116+N70_DESARROLLO!BW116</f>
        <v>2.1979792112879926E-2</v>
      </c>
      <c r="EQ31" s="5">
        <f>N70_DESARROLLO!EU116+N70_DESARROLLO!BX116</f>
        <v>2.1507034719697726E-2</v>
      </c>
      <c r="ER31" s="5">
        <f>N70_DESARROLLO!EV116+N70_DESARROLLO!BY116</f>
        <v>26.154188665898477</v>
      </c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>
        <v>22</v>
      </c>
      <c r="FD31" s="4">
        <v>5.7364089662389312E-4</v>
      </c>
      <c r="FE31" s="4">
        <v>1.1828684798721857E-3</v>
      </c>
      <c r="FF31" s="4">
        <v>1.6198877288268736E-3</v>
      </c>
      <c r="FG31" s="4">
        <v>2.0433012648938538E-3</v>
      </c>
      <c r="FH31" s="4">
        <v>2.4764034257801948E-3</v>
      </c>
      <c r="FI31" s="4">
        <v>2.9365478627097963E-3</v>
      </c>
      <c r="FJ31" s="4">
        <v>3.4382698668005093E-3</v>
      </c>
      <c r="FK31" s="4">
        <v>3.9967896984485522E-3</v>
      </c>
      <c r="FL31" s="4">
        <v>4.6300653518313228E-3</v>
      </c>
      <c r="FM31" s="4">
        <v>5.3609118476380131E-3</v>
      </c>
      <c r="FN31" s="4">
        <v>6.2198405966587701E-3</v>
      </c>
      <c r="FO31" s="4">
        <v>7.2494201761821846E-3</v>
      </c>
      <c r="FP31" s="4">
        <v>8.5115292862603959E-3</v>
      </c>
      <c r="FQ31" s="4">
        <v>1.0100230371419702E-2</v>
      </c>
      <c r="FR31" s="4">
        <v>1.2166243292663069E-2</v>
      </c>
      <c r="FS31" s="4">
        <v>1.4967279420102694E-2</v>
      </c>
      <c r="FT31" s="4">
        <v>1.8985147431762203E-2</v>
      </c>
      <c r="FU31" s="4">
        <v>2.5198736544148965E-2</v>
      </c>
      <c r="FV31" s="4">
        <v>3.6546940405211233E-2</v>
      </c>
      <c r="FW31" s="4">
        <v>5.3864220889954378E-2</v>
      </c>
      <c r="FX31" s="4">
        <v>0.24450909783410549</v>
      </c>
      <c r="FY31" s="4">
        <v>-0.251236059924974</v>
      </c>
      <c r="FZ31" s="4">
        <v>-6.0594915096371431E-2</v>
      </c>
      <c r="GA31" s="4">
        <v>-4.3285130257358924E-2</v>
      </c>
      <c r="GB31" s="4">
        <v>-3.1948249546761218E-2</v>
      </c>
      <c r="GC31" s="4">
        <v>-2.5749910015195745E-2</v>
      </c>
      <c r="GD31" s="4">
        <v>-2.175135574572824E-2</v>
      </c>
      <c r="GE31" s="4">
        <v>-1.8973879745869601E-2</v>
      </c>
      <c r="GF31" s="4">
        <v>-1.693590816442506E-2</v>
      </c>
      <c r="GG31" s="4">
        <v>-1.5380028515838877E-2</v>
      </c>
      <c r="GH31" s="4">
        <v>-1.4155900138956058E-2</v>
      </c>
      <c r="GI31" s="4">
        <v>-1.3169943517478171E-2</v>
      </c>
      <c r="GJ31" s="4">
        <v>-1.236090109480761E-2</v>
      </c>
      <c r="GK31" s="4">
        <v>-1.1687016004132378E-2</v>
      </c>
      <c r="GL31" s="4">
        <v>-1.11188616933551E-2</v>
      </c>
      <c r="GM31" s="4">
        <v>-1.063511788480557E-2</v>
      </c>
      <c r="GN31" s="4">
        <v>-1.0219971949548703E-2</v>
      </c>
      <c r="GO31" s="4">
        <v>-9.8614604903692702E-3</v>
      </c>
      <c r="GP31" s="4">
        <v>-9.5503771412878569E-3</v>
      </c>
      <c r="GQ31" s="4">
        <v>-9.2795333967858936E-3</v>
      </c>
      <c r="GR31" s="4">
        <v>-9.0432462985485761E-3</v>
      </c>
      <c r="GS31" s="4">
        <v>-8.8369758118448001E-3</v>
      </c>
      <c r="GT31" s="4">
        <v>-8.6570633020117468E-3</v>
      </c>
      <c r="GU31" s="4">
        <v>-8.5005397036033124E-3</v>
      </c>
      <c r="GV31" s="4">
        <v>-8.3649825838985094E-3</v>
      </c>
      <c r="GW31" s="4">
        <v>-8.2484080002919423E-3</v>
      </c>
      <c r="GX31" s="4">
        <v>-8.1491873509829289E-3</v>
      </c>
      <c r="GY31" s="4">
        <v>-8.0659821986421316E-3</v>
      </c>
      <c r="GZ31" s="4">
        <v>-7.9976918194936391E-3</v>
      </c>
      <c r="HA31" s="4">
        <v>-7.9434092880222885E-3</v>
      </c>
      <c r="HB31" s="4">
        <v>-7.9023823902322227E-3</v>
      </c>
      <c r="HC31" s="4">
        <v>-7.8739755872838119E-3</v>
      </c>
      <c r="HD31" s="4">
        <v>-7.8576285121402818E-3</v>
      </c>
      <c r="HE31" s="4">
        <v>-7.8528047752802407E-3</v>
      </c>
      <c r="HF31" s="4">
        <v>-7.8589215549021343E-3</v>
      </c>
      <c r="HG31" s="4">
        <v>-7.8752443154616932E-3</v>
      </c>
      <c r="HH31" s="4">
        <v>-7.9007195557898435E-3</v>
      </c>
      <c r="HI31" s="4">
        <v>-7.9336966253984696E-3</v>
      </c>
      <c r="HJ31" s="4">
        <v>-7.9714463901528042E-3</v>
      </c>
      <c r="HK31" s="4">
        <v>-8.0092950995261647E-3</v>
      </c>
      <c r="HL31" s="4">
        <v>-8.0389968653366093E-3</v>
      </c>
      <c r="HM31" s="4">
        <v>-8.0455157030439404E-3</v>
      </c>
      <c r="HN31" s="4">
        <v>-8.0002480405228105E-3</v>
      </c>
      <c r="HO31" s="4">
        <v>-7.8456582368916384E-3</v>
      </c>
      <c r="HP31" s="4">
        <v>-7.4553211012265497E-3</v>
      </c>
      <c r="HQ31" s="4">
        <v>-6.5383911289597805E-3</v>
      </c>
      <c r="HR31" s="4">
        <v>-3.9548392956761528E-3</v>
      </c>
      <c r="HS31" s="4">
        <v>-5.9226627801505275E-4</v>
      </c>
      <c r="HT31" s="4">
        <v>9.5813353436345366E-2</v>
      </c>
      <c r="HU31" s="4">
        <v>-0.25706445483150603</v>
      </c>
    </row>
    <row r="32" spans="4:229" x14ac:dyDescent="0.25">
      <c r="D32" s="10">
        <v>23</v>
      </c>
      <c r="E32" s="5">
        <f>'N70'!E39-'N70'!E38</f>
        <v>1.428571428571429E-2</v>
      </c>
      <c r="F32" s="5">
        <f>'N70'!H38-'N70'!E16</f>
        <v>0.3214285714285714</v>
      </c>
      <c r="G32" s="5">
        <f>'N70'!H38-'N70'!E17</f>
        <v>0.30714285714285711</v>
      </c>
      <c r="H32" s="5">
        <f>'N70'!H38-'N70'!E18</f>
        <v>0.29285714285714282</v>
      </c>
      <c r="I32" s="5">
        <f>'N70'!H38-'N70'!E19</f>
        <v>0.27857142857142853</v>
      </c>
      <c r="J32" s="5">
        <f>'N70'!H38-'N70'!E20</f>
        <v>0.26428571428571423</v>
      </c>
      <c r="K32" s="5">
        <f>'N70'!H38-'N70'!E21</f>
        <v>0.24999999999999997</v>
      </c>
      <c r="L32" s="5">
        <f>'N70'!H38-'N70'!E22</f>
        <v>0.23571428571428568</v>
      </c>
      <c r="M32" s="5">
        <f>'N70'!H38-'N70'!E23</f>
        <v>0.22142857142857142</v>
      </c>
      <c r="N32" s="5">
        <f>'N70'!H38-'N70'!E24</f>
        <v>0.20714285714285713</v>
      </c>
      <c r="O32" s="5">
        <f>'N70'!H38-'N70'!E25</f>
        <v>0.19285714285714284</v>
      </c>
      <c r="P32" s="5">
        <f>'N70'!H38-'N70'!E26</f>
        <v>0.17857142857142855</v>
      </c>
      <c r="Q32" s="5">
        <f>'N70'!H38-'N70'!E27</f>
        <v>0.16428571428571426</v>
      </c>
      <c r="R32" s="5">
        <f>'N70'!H38-'N70'!E28</f>
        <v>0.14999999999999997</v>
      </c>
      <c r="S32" s="5">
        <f>'N70'!H38-'N70'!E29</f>
        <v>0.13571428571428568</v>
      </c>
      <c r="T32" s="5">
        <f>'N70'!H38-'N70'!E30</f>
        <v>0.12142857142857141</v>
      </c>
      <c r="U32" s="5">
        <f>'N70'!H38-'N70'!E31</f>
        <v>0.10714285714285712</v>
      </c>
      <c r="V32" s="5">
        <f>'N70'!H38-'N70'!E32</f>
        <v>9.2857142857142833E-2</v>
      </c>
      <c r="W32" s="5">
        <f>'N70'!H38-'N70'!E33</f>
        <v>7.8571428571428542E-2</v>
      </c>
      <c r="X32" s="5">
        <f>'N70'!H38-'N70'!E34</f>
        <v>6.4285714285714279E-2</v>
      </c>
      <c r="Y32" s="5">
        <f>'N70'!H38-'N70'!E35</f>
        <v>4.9999999999999989E-2</v>
      </c>
      <c r="Z32" s="5">
        <f>'N70'!H38-'N70'!E36</f>
        <v>3.5714285714285698E-2</v>
      </c>
      <c r="AA32" s="5">
        <f>'N70'!H38-'N70'!E37</f>
        <v>2.1428571428571408E-2</v>
      </c>
      <c r="AB32" s="5">
        <f>'N70'!H38-'N70'!E38</f>
        <v>7.1428571428571175E-3</v>
      </c>
      <c r="AC32" s="5">
        <f>'N70'!H38-'N70'!E39</f>
        <v>-7.142857142857173E-3</v>
      </c>
      <c r="AD32" s="5">
        <f>'N70'!H38-'N70'!E40</f>
        <v>-2.1428571428571463E-2</v>
      </c>
      <c r="AE32" s="5">
        <f>'N70'!H38-'N70'!E41</f>
        <v>-3.5714285714285754E-2</v>
      </c>
      <c r="AF32" s="5">
        <f>'N70'!H38-'N70'!E42</f>
        <v>-5.0000000000000044E-2</v>
      </c>
      <c r="AG32" s="5">
        <f>'N70'!H38-'N70'!E43</f>
        <v>-6.4285714285714279E-2</v>
      </c>
      <c r="AH32" s="5">
        <f>'N70'!H38-'N70'!E44</f>
        <v>-7.857142857142857E-2</v>
      </c>
      <c r="AI32" s="5">
        <f>'N70'!H38-'N70'!E45</f>
        <v>-9.285714285714286E-2</v>
      </c>
      <c r="AJ32" s="5">
        <f>'N70'!H38-'N70'!E46</f>
        <v>-0.10714285714285715</v>
      </c>
      <c r="AK32" s="5">
        <f>'N70'!H38-'N70'!E47</f>
        <v>-0.12142857142857144</v>
      </c>
      <c r="AL32" s="5">
        <f>'N70'!H38-'N70'!$E$48</f>
        <v>-0.13571428571428573</v>
      </c>
      <c r="AM32" s="5">
        <f>'N70'!H38-'N70'!$E$49</f>
        <v>-0.15000000000000002</v>
      </c>
      <c r="AN32" s="5">
        <f>'N70'!H38-'N70'!$E$50</f>
        <v>-0.16428571428571431</v>
      </c>
      <c r="AO32" s="5">
        <f>'N70'!H38-'N70'!$E$51</f>
        <v>-0.1785714285714286</v>
      </c>
      <c r="AP32" s="5">
        <f>'N70'!H38-'N70'!$E$52</f>
        <v>-0.19285714285714284</v>
      </c>
      <c r="AQ32" s="5">
        <f>'N70'!H38-'N70'!$E$53</f>
        <v>-0.20714285714285718</v>
      </c>
      <c r="AR32" s="5">
        <f>'N70'!H38-'N70'!$E$54</f>
        <v>-0.22142857142857142</v>
      </c>
      <c r="AS32" s="5">
        <f>'N70'!H38-'N70'!$E$55</f>
        <v>-0.23571428571428577</v>
      </c>
      <c r="AT32" s="5">
        <f>'N70'!H38-'N70'!$E$56</f>
        <v>-0.25</v>
      </c>
      <c r="AU32" s="5">
        <f>'N70'!H38-'N70'!$E$57</f>
        <v>-0.26428571428571435</v>
      </c>
      <c r="AV32" s="5">
        <f>'N70'!H38-'N70'!$E$58</f>
        <v>-0.27857142857142858</v>
      </c>
      <c r="AW32" s="5">
        <f>'N70'!H38-'N70'!$E$59</f>
        <v>-0.29285714285714282</v>
      </c>
      <c r="AX32" s="5">
        <f>'N70'!H38-'N70'!$E$60</f>
        <v>-0.30714285714285716</v>
      </c>
      <c r="AY32" s="5">
        <f>'N70'!H38-'N70'!$E$61</f>
        <v>-0.3214285714285714</v>
      </c>
      <c r="AZ32" s="5">
        <f>'N70'!H38-'N70'!$E$62</f>
        <v>-0.33571428571428574</v>
      </c>
      <c r="BA32" s="5">
        <f>'N70'!H38-'N70'!$E$63</f>
        <v>-0.35</v>
      </c>
      <c r="BB32" s="5">
        <f>'N70'!H38-'N70'!$E$64</f>
        <v>-0.36428571428571432</v>
      </c>
      <c r="BC32" s="5">
        <f>'N70'!H38-'N70'!$E$65</f>
        <v>-0.37857142857142856</v>
      </c>
      <c r="BD32" s="5">
        <f>'N70'!H38-'N70'!$E$66</f>
        <v>-0.3928571428571429</v>
      </c>
      <c r="BE32" s="5">
        <f>'N70'!H38-'N70'!$E$67</f>
        <v>-0.40714285714285714</v>
      </c>
      <c r="BF32" s="5">
        <f>'N70'!H38-'N70'!$E$68</f>
        <v>-0.42142857142857149</v>
      </c>
      <c r="BG32" s="5">
        <f>'N70'!H38-'N70'!$E$69</f>
        <v>-0.43571428571428572</v>
      </c>
      <c r="BH32" s="5">
        <f>'N70'!H38-'N70'!$E$70</f>
        <v>-0.44999999999999996</v>
      </c>
      <c r="BI32" s="5">
        <f>'N70'!H38-'N70'!$E$71</f>
        <v>-0.4642857142857143</v>
      </c>
      <c r="BJ32" s="5">
        <f>'N70'!H38-'N70'!$E$72</f>
        <v>-0.47857142857142854</v>
      </c>
      <c r="BK32" s="5">
        <f>'N70'!H38-'N70'!$E$73</f>
        <v>-0.49285714285714288</v>
      </c>
      <c r="BL32" s="5">
        <f>'N70'!H38-'N70'!$E$74</f>
        <v>-0.50714285714285712</v>
      </c>
      <c r="BM32" s="5">
        <f>'N70'!H38-'N70'!$E$75</f>
        <v>-0.52142857142857146</v>
      </c>
      <c r="BN32" s="5">
        <f>'N70'!H38-'N70'!$E$76</f>
        <v>-0.5357142857142857</v>
      </c>
      <c r="BO32" s="5">
        <f>'N70'!H38-'N70'!$E$77</f>
        <v>-0.55000000000000004</v>
      </c>
      <c r="BP32" s="5">
        <f>'N70'!H38-'N70'!$E$78</f>
        <v>-0.56428571428571428</v>
      </c>
      <c r="BQ32" s="5">
        <f>'N70'!H38-'N70'!$E$79</f>
        <v>-0.57857142857142863</v>
      </c>
      <c r="BR32" s="5">
        <f>'N70'!H38-'N70'!$E$80</f>
        <v>-0.59285714285714286</v>
      </c>
      <c r="BS32" s="5">
        <f>'N70'!H38-'N70'!$E$81</f>
        <v>-0.6071428571428571</v>
      </c>
      <c r="BT32" s="5">
        <f>'N70'!H38-'N70'!$E$82</f>
        <v>-0.62142857142857144</v>
      </c>
      <c r="BU32" s="5">
        <f>'N70'!H38-'N70'!$E$83</f>
        <v>-0.63571428571428568</v>
      </c>
      <c r="BV32" s="5">
        <f>'N70'!H38-'N70'!$E$84</f>
        <v>-0.65</v>
      </c>
      <c r="BW32" s="5">
        <f>'N70'!H38-'N70'!$E$85</f>
        <v>-0.66428571428571426</v>
      </c>
      <c r="BX32" s="5">
        <v>-1</v>
      </c>
      <c r="BY32" s="5"/>
      <c r="BZ32">
        <v>23</v>
      </c>
      <c r="CA32" s="5">
        <f>N70_DESARROLLO!CE117+N70_DESARROLLO!H117</f>
        <v>-2.2558937800894796E-2</v>
      </c>
      <c r="CB32" s="5">
        <f>N70_DESARROLLO!CF117+N70_DESARROLLO!I117</f>
        <v>-4.652841337789082E-2</v>
      </c>
      <c r="CC32" s="5">
        <f>N70_DESARROLLO!CG117+N70_DESARROLLO!J117</f>
        <v>-4.8799853039073193E-2</v>
      </c>
      <c r="CD32" s="5">
        <f>N70_DESARROLLO!CH117+N70_DESARROLLO!K117</f>
        <v>-5.1304553326342761E-2</v>
      </c>
      <c r="CE32" s="5">
        <f>N70_DESARROLLO!CI117+N70_DESARROLLO!L117</f>
        <v>-5.4080408838151239E-2</v>
      </c>
      <c r="CF32" s="5">
        <f>N70_DESARROLLO!CJ117+N70_DESARROLLO!M117</f>
        <v>-5.7173997129074783E-2</v>
      </c>
      <c r="CG32" s="5">
        <f>N70_DESARROLLO!CK117+N70_DESARROLLO!N117</f>
        <v>-6.0643218403523824E-2</v>
      </c>
      <c r="CH32" s="5">
        <f>N70_DESARROLLO!CL117+N70_DESARROLLO!O117</f>
        <v>-6.4560961252481008E-2</v>
      </c>
      <c r="CI32" s="5">
        <f>N70_DESARROLLO!CM117+N70_DESARROLLO!P117</f>
        <v>-6.902029235086915E-2</v>
      </c>
      <c r="CJ32" s="5">
        <f>N70_DESARROLLO!CN117+N70_DESARROLLO!Q117</f>
        <v>-7.4141965022337386E-2</v>
      </c>
      <c r="CK32" s="5">
        <f>N70_DESARROLLO!CO117+N70_DESARROLLO!R117</f>
        <v>-8.0085554140355564E-2</v>
      </c>
      <c r="CL32" s="5">
        <f>N70_DESARROLLO!CP117+N70_DESARROLLO!S117</f>
        <v>-8.7066442319337245E-2</v>
      </c>
      <c r="CM32" s="5">
        <f>N70_DESARROLLO!CQ117+N70_DESARROLLO!T117</f>
        <v>-9.5382594982174607E-2</v>
      </c>
      <c r="CN32" s="5">
        <f>N70_DESARROLLO!CR117+N70_DESARROLLO!U117</f>
        <v>-0.10545841852057991</v>
      </c>
      <c r="CO32" s="5">
        <f>N70_DESARROLLO!CS117+N70_DESARROLLO!V117</f>
        <v>-0.1179199637504843</v>
      </c>
      <c r="CP32" s="5">
        <f>N70_DESARROLLO!CT117+N70_DESARROLLO!W117</f>
        <v>-0.13373123411929899</v>
      </c>
      <c r="CQ32" s="5">
        <f>N70_DESARROLLO!CU117+N70_DESARROLLO!X117</f>
        <v>-0.15445886474681336</v>
      </c>
      <c r="CR32" s="5">
        <f>N70_DESARROLLO!CV117+N70_DESARROLLO!Y117</f>
        <v>-0.182833424387571</v>
      </c>
      <c r="CS32" s="5">
        <f>N70_DESARROLLO!CW117+N70_DESARROLLO!Z117</f>
        <v>-0.2240883305404241</v>
      </c>
      <c r="CT32" s="5">
        <f>N70_DESARROLLO!CX117+N70_DESARROLLO!AA117</f>
        <v>-0.28973434150573196</v>
      </c>
      <c r="CU32" s="5">
        <f>N70_DESARROLLO!CY117+N70_DESARROLLO!AB117</f>
        <v>-0.41141440075354807</v>
      </c>
      <c r="CV32" s="5">
        <f>N70_DESARROLLO!CZ117+N70_DESARROLLO!AC117</f>
        <v>-0.72775792963608232</v>
      </c>
      <c r="CW32" s="5">
        <f>N70_DESARROLLO!DA117+N70_DESARROLLO!AD117</f>
        <v>-1.6479184659605361</v>
      </c>
      <c r="CX32" s="5">
        <f>N70_DESARROLLO!DB117+N70_DESARROLLO!AE117</f>
        <v>1.6479184659605328</v>
      </c>
      <c r="CY32" s="5">
        <f>N70_DESARROLLO!DC117+N70_DESARROLLO!AF117</f>
        <v>0.72775792963607955</v>
      </c>
      <c r="CZ32" s="5">
        <f>N70_DESARROLLO!DD117+N70_DESARROLLO!AG117</f>
        <v>0.41141440075354707</v>
      </c>
      <c r="DA32" s="5">
        <f>N70_DESARROLLO!DE117+N70_DESARROLLO!AH117</f>
        <v>0.28973434150572697</v>
      </c>
      <c r="DB32" s="5">
        <f>N70_DESARROLLO!DF117+N70_DESARROLLO!AI117</f>
        <v>0.22408833054042976</v>
      </c>
      <c r="DC32" s="5">
        <f>N70_DESARROLLO!DG117+N70_DESARROLLO!AJ117</f>
        <v>0.18283342438756867</v>
      </c>
      <c r="DD32" s="5">
        <f>N70_DESARROLLO!DH117+N70_DESARROLLO!AK117</f>
        <v>0.15445886474681392</v>
      </c>
      <c r="DE32" s="5">
        <f>N70_DESARROLLO!DI117+N70_DESARROLLO!AL117</f>
        <v>0.13373123411929844</v>
      </c>
      <c r="DF32" s="5">
        <f>N70_DESARROLLO!DJ117+N70_DESARROLLO!AM117</f>
        <v>0.11791996375048619</v>
      </c>
      <c r="DG32" s="5">
        <f>N70_DESARROLLO!DK117+N70_DESARROLLO!AN117</f>
        <v>0.10545841852057869</v>
      </c>
      <c r="DH32" s="5">
        <f>N70_DESARROLLO!DL117+N70_DESARROLLO!AO117</f>
        <v>9.538259498217494E-2</v>
      </c>
      <c r="DI32" s="5">
        <f>N70_DESARROLLO!DM117+N70_DESARROLLO!AP117</f>
        <v>8.7066442319335136E-2</v>
      </c>
      <c r="DJ32" s="5">
        <f>N70_DESARROLLO!DN117+N70_DESARROLLO!AQ117</f>
        <v>8.0085554140352122E-2</v>
      </c>
      <c r="DK32" s="5">
        <f>N70_DESARROLLO!DO117+N70_DESARROLLO!AR117</f>
        <v>7.4141965022345824E-2</v>
      </c>
      <c r="DL32" s="5">
        <f>N70_DESARROLLO!DP117+N70_DESARROLLO!AS117</f>
        <v>6.9020292350860046E-2</v>
      </c>
      <c r="DM32" s="5">
        <f>N70_DESARROLLO!DQ117+N70_DESARROLLO!AT117</f>
        <v>6.4560961252489446E-2</v>
      </c>
      <c r="DN32" s="5">
        <f>N70_DESARROLLO!DR117+N70_DESARROLLO!AU117</f>
        <v>6.0643218403515942E-2</v>
      </c>
      <c r="DO32" s="5">
        <f>N70_DESARROLLO!DS117+N70_DESARROLLO!AV117</f>
        <v>5.7173997129085885E-2</v>
      </c>
      <c r="DP32" s="5">
        <f>N70_DESARROLLO!DT117+N70_DESARROLLO!AW117</f>
        <v>5.4080408838142358E-2</v>
      </c>
      <c r="DQ32" s="5">
        <f>N70_DESARROLLO!DU117+N70_DESARROLLO!AX117</f>
        <v>5.130455332634043E-2</v>
      </c>
      <c r="DR32" s="5">
        <f>N70_DESARROLLO!DV117+N70_DESARROLLO!AY117</f>
        <v>4.8799853039083518E-2</v>
      </c>
      <c r="DS32" s="5">
        <f>N70_DESARROLLO!DW117+N70_DESARROLLO!AZ117</f>
        <v>4.6528413377880606E-2</v>
      </c>
      <c r="DT32" s="5">
        <f>N70_DESARROLLO!DX117+N70_DESARROLLO!BA117</f>
        <v>4.4459088822771053E-2</v>
      </c>
      <c r="DU32" s="5">
        <f>N70_DESARROLLO!DY117+N70_DESARROLLO!BB117</f>
        <v>4.2566044021103977E-2</v>
      </c>
      <c r="DV32" s="5">
        <f>N70_DESARROLLO!DZ117+N70_DESARROLLO!BC117</f>
        <v>4.0827668052543675E-2</v>
      </c>
      <c r="DW32" s="5">
        <f>N70_DESARROLLO!EA117+N70_DESARROLLO!BD117</f>
        <v>3.9225744685471353E-2</v>
      </c>
      <c r="DX32" s="5">
        <f>N70_DESARROLLO!EB117+N70_DESARROLLO!BE117</f>
        <v>3.7744810855705468E-2</v>
      </c>
      <c r="DY32" s="5">
        <f>N70_DESARROLLO!EC117+N70_DESARROLLO!BF117</f>
        <v>3.6371655357429256E-2</v>
      </c>
      <c r="DZ32" s="5">
        <f>N70_DESARROLLO!ED117+N70_DESARROLLO!BG117</f>
        <v>3.5094923244222698E-2</v>
      </c>
      <c r="EA32" s="5">
        <f>N70_DESARROLLO!EE117+N70_DESARROLLO!BH117</f>
        <v>3.3904800811315305E-2</v>
      </c>
      <c r="EB32" s="5">
        <f>N70_DESARROLLO!EF117+N70_DESARROLLO!BI117</f>
        <v>3.2792762635869277E-2</v>
      </c>
      <c r="EC32" s="5">
        <f>N70_DESARROLLO!EG117+N70_DESARROLLO!BJ117</f>
        <v>3.17513668626761E-2</v>
      </c>
      <c r="ED32" s="5">
        <f>N70_DESARROLLO!EH117+N70_DESARROLLO!BK117</f>
        <v>3.0774088329705407E-2</v>
      </c>
      <c r="EE32" s="5">
        <f>N70_DESARROLLO!EI117+N70_DESARROLLO!BL117</f>
        <v>2.9855181616038617E-2</v>
      </c>
      <c r="EF32" s="5">
        <f>N70_DESARROLLO!EJ117+N70_DESARROLLO!BM117</f>
        <v>2.8989567932948379E-2</v>
      </c>
      <c r="EG32" s="5">
        <f>N70_DESARROLLO!EK117+N70_DESARROLLO!BN117</f>
        <v>2.8172741151794578E-2</v>
      </c>
      <c r="EH32" s="5">
        <f>N70_DESARROLLO!EL117+N70_DESARROLLO!BO117</f>
        <v>2.7400689293789693E-2</v>
      </c>
      <c r="EI32" s="5">
        <f>N70_DESARROLLO!EM117+N70_DESARROLLO!BP117</f>
        <v>2.6669828593228417E-2</v>
      </c>
      <c r="EJ32" s="5">
        <f>N70_DESARROLLO!EN117+N70_DESARROLLO!BQ117</f>
        <v>2.597694784486726E-2</v>
      </c>
      <c r="EK32" s="5">
        <f>N70_DESARROLLO!EO117+N70_DESARROLLO!BR117</f>
        <v>2.5319161212288277E-2</v>
      </c>
      <c r="EL32" s="5">
        <f>N70_DESARROLLO!EP117+N70_DESARROLLO!BS117</f>
        <v>2.4693868032490518E-2</v>
      </c>
      <c r="EM32" s="5">
        <f>N70_DESARROLLO!EQ117+N70_DESARROLLO!BT117</f>
        <v>2.4098718436564415E-2</v>
      </c>
      <c r="EN32" s="5">
        <f>N70_DESARROLLO!ER117+N70_DESARROLLO!BU117</f>
        <v>2.3531583826950309E-2</v>
      </c>
      <c r="EO32" s="5">
        <f>N70_DESARROLLO!ES117+N70_DESARROLLO!BV117</f>
        <v>2.2990531429692429E-2</v>
      </c>
      <c r="EP32" s="5">
        <f>N70_DESARROLLO!ET117+N70_DESARROLLO!BW117</f>
        <v>2.247380228010265E-2</v>
      </c>
      <c r="EQ32" s="5">
        <f>N70_DESARROLLO!EU117+N70_DESARROLLO!BX117</f>
        <v>2.1979792112860164E-2</v>
      </c>
      <c r="ER32" s="5">
        <f>N70_DESARROLLO!EV117+N70_DESARROLLO!BY117</f>
        <v>27.643836222843646</v>
      </c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>
        <v>23</v>
      </c>
      <c r="FD32" s="4">
        <v>5.2919646646779549E-4</v>
      </c>
      <c r="FE32" s="4">
        <v>1.0889810470128957E-3</v>
      </c>
      <c r="FF32" s="4">
        <v>1.487408086973575E-3</v>
      </c>
      <c r="FG32" s="4">
        <v>1.870749351931998E-3</v>
      </c>
      <c r="FH32" s="4">
        <v>2.2599141033559939E-3</v>
      </c>
      <c r="FI32" s="4">
        <v>2.67004112172639E-3</v>
      </c>
      <c r="FJ32" s="4">
        <v>3.1132883467776765E-3</v>
      </c>
      <c r="FK32" s="4">
        <v>3.6019068619175349E-3</v>
      </c>
      <c r="FL32" s="4">
        <v>4.1498711607639059E-3</v>
      </c>
      <c r="FM32" s="4">
        <v>4.7743991492560627E-3</v>
      </c>
      <c r="FN32" s="4">
        <v>5.4978341889975945E-3</v>
      </c>
      <c r="FO32" s="4">
        <v>6.3503708436371811E-3</v>
      </c>
      <c r="FP32" s="4">
        <v>7.3743557666977851E-3</v>
      </c>
      <c r="FQ32" s="4">
        <v>8.6315068503350391E-3</v>
      </c>
      <c r="FR32" s="4">
        <v>1.0215766672351035E-2</v>
      </c>
      <c r="FS32" s="4">
        <v>1.2277763568980551E-2</v>
      </c>
      <c r="FT32" s="4">
        <v>1.5075137554229737E-2</v>
      </c>
      <c r="FU32" s="4">
        <v>1.9089640642360167E-2</v>
      </c>
      <c r="FV32" s="4">
        <v>2.5300116305106243E-2</v>
      </c>
      <c r="FW32" s="4">
        <v>3.6645420700614217E-2</v>
      </c>
      <c r="FX32" s="4">
        <v>5.3959984546890126E-2</v>
      </c>
      <c r="FY32" s="4">
        <v>0.24460230144138181</v>
      </c>
      <c r="FZ32" s="4">
        <v>-0.25114528215699644</v>
      </c>
      <c r="GA32" s="4">
        <v>-6.0506448282025664E-2</v>
      </c>
      <c r="GB32" s="4">
        <v>-4.3198876405127748E-2</v>
      </c>
      <c r="GC32" s="4">
        <v>-3.1864125617767296E-2</v>
      </c>
      <c r="GD32" s="4">
        <v>-2.5667846371096956E-2</v>
      </c>
      <c r="GE32" s="4">
        <v>-2.1671294911250395E-2</v>
      </c>
      <c r="GF32" s="4">
        <v>-1.8895775429423185E-2</v>
      </c>
      <c r="GG32" s="4">
        <v>-1.6859724493636551E-2</v>
      </c>
      <c r="GH32" s="4">
        <v>-1.5305739454988683E-2</v>
      </c>
      <c r="GI32" s="4">
        <v>-1.4083489062865422E-2</v>
      </c>
      <c r="GJ32" s="4">
        <v>-1.3099402922181527E-2</v>
      </c>
      <c r="GK32" s="4">
        <v>-1.2292232429735527E-2</v>
      </c>
      <c r="GL32" s="4">
        <v>-1.1620229613702363E-2</v>
      </c>
      <c r="GM32" s="4">
        <v>-1.1053976858107764E-2</v>
      </c>
      <c r="GN32" s="4">
        <v>-1.0572162953481698E-2</v>
      </c>
      <c r="GO32" s="4">
        <v>-1.0158984553778025E-2</v>
      </c>
      <c r="GP32" s="4">
        <v>-9.8024878327267716E-3</v>
      </c>
      <c r="GQ32" s="4">
        <v>-9.4934763448088575E-3</v>
      </c>
      <c r="GR32" s="4">
        <v>-9.2247718996400878E-3</v>
      </c>
      <c r="GS32" s="4">
        <v>-8.990702269440631E-3</v>
      </c>
      <c r="GT32" s="4">
        <v>-8.7867385497532365E-3</v>
      </c>
      <c r="GU32" s="4">
        <v>-8.6092335643723466E-3</v>
      </c>
      <c r="GV32" s="4">
        <v>-8.4552298778020497E-3</v>
      </c>
      <c r="GW32" s="4">
        <v>-8.3223165714238229E-3</v>
      </c>
      <c r="GX32" s="4">
        <v>-8.2085206127596767E-3</v>
      </c>
      <c r="GY32" s="4">
        <v>-8.1122229086323713E-3</v>
      </c>
      <c r="GZ32" s="4">
        <v>-8.0320918509140544E-3</v>
      </c>
      <c r="HA32" s="4">
        <v>-7.9670288371854418E-3</v>
      </c>
      <c r="HB32" s="4">
        <v>-7.9161211414289206E-3</v>
      </c>
      <c r="HC32" s="4">
        <v>-7.8785977188347497E-3</v>
      </c>
      <c r="HD32" s="4">
        <v>-7.8537829879553808E-3</v>
      </c>
      <c r="HE32" s="4">
        <v>-7.8410420763201892E-3</v>
      </c>
      <c r="HF32" s="4">
        <v>-7.8397078415574396E-3</v>
      </c>
      <c r="HG32" s="4">
        <v>-7.8489739774205598E-3</v>
      </c>
      <c r="HH32" s="4">
        <v>-7.8677272380348277E-3</v>
      </c>
      <c r="HI32" s="4">
        <v>-7.8942702153290186E-3</v>
      </c>
      <c r="HJ32" s="4">
        <v>-7.925843332307626E-3</v>
      </c>
      <c r="HK32" s="4">
        <v>-7.957766264774957E-3</v>
      </c>
      <c r="HL32" s="4">
        <v>-7.9818261883829213E-3</v>
      </c>
      <c r="HM32" s="4">
        <v>-7.9830927438434875E-3</v>
      </c>
      <c r="HN32" s="4">
        <v>-7.9332121308928315E-3</v>
      </c>
      <c r="HO32" s="4">
        <v>-7.7752082704346769E-3</v>
      </c>
      <c r="HP32" s="4">
        <v>-7.3839632699400368E-3</v>
      </c>
      <c r="HQ32" s="4">
        <v>-6.471738684393713E-3</v>
      </c>
      <c r="HR32" s="4">
        <v>-3.9111449013477509E-3</v>
      </c>
      <c r="HS32" s="4">
        <v>-5.7873125902253278E-4</v>
      </c>
      <c r="HT32" s="4">
        <v>9.4736797933075448E-2</v>
      </c>
      <c r="HU32" s="4">
        <v>-0.25406239205929859</v>
      </c>
    </row>
    <row r="33" spans="4:229" x14ac:dyDescent="0.25">
      <c r="D33" s="10">
        <v>24</v>
      </c>
      <c r="E33" s="5">
        <f>'N70'!E40-'N70'!E39</f>
        <v>1.428571428571429E-2</v>
      </c>
      <c r="F33" s="5">
        <f>'N70'!H39-'N70'!E16</f>
        <v>0.33571428571428574</v>
      </c>
      <c r="G33" s="5">
        <f>'N70'!H39-'N70'!E17</f>
        <v>0.32142857142857145</v>
      </c>
      <c r="H33" s="5">
        <f>'N70'!H39-'N70'!E18</f>
        <v>0.30714285714285716</v>
      </c>
      <c r="I33" s="5">
        <f>'N70'!H39-'N70'!E19</f>
        <v>0.29285714285714287</v>
      </c>
      <c r="J33" s="5">
        <f>'N70'!H39-'N70'!E20</f>
        <v>0.27857142857142858</v>
      </c>
      <c r="K33" s="5">
        <f>'N70'!H39-'N70'!E21</f>
        <v>0.26428571428571435</v>
      </c>
      <c r="L33" s="5">
        <f>'N70'!H39-'N70'!E22</f>
        <v>0.25</v>
      </c>
      <c r="M33" s="5">
        <f>'N70'!H39-'N70'!E23</f>
        <v>0.23571428571428577</v>
      </c>
      <c r="N33" s="5">
        <f>'N70'!H39-'N70'!E24</f>
        <v>0.22142857142857147</v>
      </c>
      <c r="O33" s="5">
        <f>'N70'!H39-'N70'!E25</f>
        <v>0.20714285714285718</v>
      </c>
      <c r="P33" s="5">
        <f>'N70'!H39-'N70'!E26</f>
        <v>0.19285714285714289</v>
      </c>
      <c r="Q33" s="5">
        <f>'N70'!H39-'N70'!E27</f>
        <v>0.1785714285714286</v>
      </c>
      <c r="R33" s="5">
        <f>'N70'!H39-'N70'!E28</f>
        <v>0.16428571428571431</v>
      </c>
      <c r="S33" s="5">
        <f>'N70'!H39-'N70'!E29</f>
        <v>0.15000000000000002</v>
      </c>
      <c r="T33" s="5">
        <f>'N70'!H39-'N70'!E30</f>
        <v>0.13571428571428576</v>
      </c>
      <c r="U33" s="5">
        <f>'N70'!H39-'N70'!E31</f>
        <v>0.12142857142857147</v>
      </c>
      <c r="V33" s="5">
        <f>'N70'!H39-'N70'!E32</f>
        <v>0.10714285714285718</v>
      </c>
      <c r="W33" s="5">
        <f>'N70'!H39-'N70'!E33</f>
        <v>9.2857142857142888E-2</v>
      </c>
      <c r="X33" s="5">
        <f>'N70'!H39-'N70'!E34</f>
        <v>7.8571428571428625E-2</v>
      </c>
      <c r="Y33" s="5">
        <f>'N70'!H39-'N70'!E35</f>
        <v>6.4285714285714335E-2</v>
      </c>
      <c r="Z33" s="5">
        <f>'N70'!H39-'N70'!E36</f>
        <v>5.0000000000000044E-2</v>
      </c>
      <c r="AA33" s="5">
        <f>'N70'!H39-'N70'!E37</f>
        <v>3.5714285714285754E-2</v>
      </c>
      <c r="AB33" s="5">
        <f>'N70'!H39-'N70'!E38</f>
        <v>2.1428571428571463E-2</v>
      </c>
      <c r="AC33" s="5">
        <f>'N70'!H39-'N70'!E39</f>
        <v>7.142857142857173E-3</v>
      </c>
      <c r="AD33" s="5">
        <f>'N70'!H39-'N70'!E40</f>
        <v>-7.1428571428571175E-3</v>
      </c>
      <c r="AE33" s="5">
        <f>'N70'!H39-'N70'!E41</f>
        <v>-2.1428571428571408E-2</v>
      </c>
      <c r="AF33" s="5">
        <f>'N70'!H39-'N70'!E42</f>
        <v>-3.5714285714285698E-2</v>
      </c>
      <c r="AG33" s="5">
        <f>'N70'!H39-'N70'!E43</f>
        <v>-4.9999999999999933E-2</v>
      </c>
      <c r="AH33" s="5">
        <f>'N70'!H39-'N70'!E44</f>
        <v>-6.4285714285714224E-2</v>
      </c>
      <c r="AI33" s="5">
        <f>'N70'!H39-'N70'!E45</f>
        <v>-7.8571428571428514E-2</v>
      </c>
      <c r="AJ33" s="5">
        <f>'N70'!H39-'N70'!E46</f>
        <v>-9.2857142857142805E-2</v>
      </c>
      <c r="AK33" s="5">
        <f>'N70'!H39-'N70'!E47</f>
        <v>-0.1071428571428571</v>
      </c>
      <c r="AL33" s="5">
        <f>'N70'!H39-'N70'!$E$48</f>
        <v>-0.12142857142857139</v>
      </c>
      <c r="AM33" s="5">
        <f>'N70'!H39-'N70'!$E$49</f>
        <v>-0.13571428571428568</v>
      </c>
      <c r="AN33" s="5">
        <f>'N70'!H39-'N70'!$E$50</f>
        <v>-0.14999999999999997</v>
      </c>
      <c r="AO33" s="5">
        <f>'N70'!H39-'N70'!$E$51</f>
        <v>-0.16428571428571426</v>
      </c>
      <c r="AP33" s="5">
        <f>'N70'!H39-'N70'!$E$52</f>
        <v>-0.17857142857142849</v>
      </c>
      <c r="AQ33" s="5">
        <f>'N70'!H39-'N70'!$E$53</f>
        <v>-0.19285714285714284</v>
      </c>
      <c r="AR33" s="5">
        <f>'N70'!H39-'N70'!$E$54</f>
        <v>-0.20714285714285707</v>
      </c>
      <c r="AS33" s="5">
        <f>'N70'!H39-'N70'!$E$55</f>
        <v>-0.22142857142857142</v>
      </c>
      <c r="AT33" s="5">
        <f>'N70'!H39-'N70'!$E$56</f>
        <v>-0.23571428571428565</v>
      </c>
      <c r="AU33" s="5">
        <f>'N70'!H39-'N70'!$E$57</f>
        <v>-0.25</v>
      </c>
      <c r="AV33" s="5">
        <f>'N70'!H39-'N70'!$E$58</f>
        <v>-0.26428571428571423</v>
      </c>
      <c r="AW33" s="5">
        <f>'N70'!H39-'N70'!$E$59</f>
        <v>-0.27857142857142847</v>
      </c>
      <c r="AX33" s="5">
        <f>'N70'!H39-'N70'!$E$60</f>
        <v>-0.29285714285714282</v>
      </c>
      <c r="AY33" s="5">
        <f>'N70'!H39-'N70'!$E$61</f>
        <v>-0.30714285714285705</v>
      </c>
      <c r="AZ33" s="5">
        <f>'N70'!H39-'N70'!$E$62</f>
        <v>-0.3214285714285714</v>
      </c>
      <c r="BA33" s="5">
        <f>'N70'!H39-'N70'!$E$63</f>
        <v>-0.33571428571428563</v>
      </c>
      <c r="BB33" s="5">
        <f>'N70'!H39-'N70'!$E$64</f>
        <v>-0.35</v>
      </c>
      <c r="BC33" s="5">
        <f>'N70'!H39-'N70'!$E$65</f>
        <v>-0.36428571428571421</v>
      </c>
      <c r="BD33" s="5">
        <f>'N70'!H39-'N70'!$E$66</f>
        <v>-0.37857142857142856</v>
      </c>
      <c r="BE33" s="5">
        <f>'N70'!H39-'N70'!$E$67</f>
        <v>-0.39285714285714279</v>
      </c>
      <c r="BF33" s="5">
        <f>'N70'!H39-'N70'!$E$68</f>
        <v>-0.40714285714285714</v>
      </c>
      <c r="BG33" s="5">
        <f>'N70'!H39-'N70'!$E$69</f>
        <v>-0.42142857142857137</v>
      </c>
      <c r="BH33" s="5">
        <f>'N70'!H39-'N70'!$E$70</f>
        <v>-0.43571428571428561</v>
      </c>
      <c r="BI33" s="5">
        <f>'N70'!H39-'N70'!$E$71</f>
        <v>-0.44999999999999996</v>
      </c>
      <c r="BJ33" s="5">
        <f>'N70'!H39-'N70'!$E$72</f>
        <v>-0.46428571428571419</v>
      </c>
      <c r="BK33" s="5">
        <f>'N70'!H39-'N70'!$E$73</f>
        <v>-0.47857142857142854</v>
      </c>
      <c r="BL33" s="5">
        <f>'N70'!H39-'N70'!$E$74</f>
        <v>-0.49285714285714277</v>
      </c>
      <c r="BM33" s="5">
        <f>'N70'!H39-'N70'!$E$75</f>
        <v>-0.50714285714285712</v>
      </c>
      <c r="BN33" s="5">
        <f>'N70'!H39-'N70'!$E$76</f>
        <v>-0.52142857142857135</v>
      </c>
      <c r="BO33" s="5">
        <f>'N70'!H39-'N70'!$E$77</f>
        <v>-0.5357142857142857</v>
      </c>
      <c r="BP33" s="5">
        <f>'N70'!H39-'N70'!$E$78</f>
        <v>-0.54999999999999993</v>
      </c>
      <c r="BQ33" s="5">
        <f>'N70'!H39-'N70'!$E$79</f>
        <v>-0.56428571428571428</v>
      </c>
      <c r="BR33" s="5">
        <f>'N70'!H39-'N70'!$E$80</f>
        <v>-0.57857142857142851</v>
      </c>
      <c r="BS33" s="5">
        <f>'N70'!H39-'N70'!$E$81</f>
        <v>-0.59285714285714275</v>
      </c>
      <c r="BT33" s="5">
        <f>'N70'!H39-'N70'!$E$82</f>
        <v>-0.6071428571428571</v>
      </c>
      <c r="BU33" s="5">
        <f>'N70'!H39-'N70'!$E$83</f>
        <v>-0.62142857142857133</v>
      </c>
      <c r="BV33" s="5">
        <f>'N70'!H39-'N70'!$E$84</f>
        <v>-0.63571428571428568</v>
      </c>
      <c r="BW33" s="5">
        <f>'N70'!H39-'N70'!$E$85</f>
        <v>-0.64999999999999991</v>
      </c>
      <c r="BX33" s="5">
        <v>-1</v>
      </c>
      <c r="BY33" s="5"/>
      <c r="BZ33">
        <v>24</v>
      </c>
      <c r="CA33" s="5">
        <f>N70_DESARROLLO!CE118+N70_DESARROLLO!H118</f>
        <v>-2.1584961787574075E-2</v>
      </c>
      <c r="CB33" s="5">
        <f>N70_DESARROLLO!CF118+N70_DESARROLLO!I118</f>
        <v>-4.4459088822761617E-2</v>
      </c>
      <c r="CC33" s="5">
        <f>N70_DESARROLLO!CG118+N70_DESARROLLO!J118</f>
        <v>-4.6528413377890931E-2</v>
      </c>
      <c r="CD33" s="5">
        <f>N70_DESARROLLO!CH118+N70_DESARROLLO!K118</f>
        <v>-4.8799853039072971E-2</v>
      </c>
      <c r="CE33" s="5">
        <f>N70_DESARROLLO!CI118+N70_DESARROLLO!L118</f>
        <v>-5.130455332634698E-2</v>
      </c>
      <c r="CF33" s="5">
        <f>N70_DESARROLLO!CJ118+N70_DESARROLLO!M118</f>
        <v>-5.408040883814047E-2</v>
      </c>
      <c r="CG33" s="5">
        <f>N70_DESARROLLO!CK118+N70_DESARROLLO!N118</f>
        <v>-5.7173997129085441E-2</v>
      </c>
      <c r="CH33" s="5">
        <f>N70_DESARROLLO!CL118+N70_DESARROLLO!O118</f>
        <v>-6.064321840351794E-2</v>
      </c>
      <c r="CI33" s="5">
        <f>N70_DESARROLLO!CM118+N70_DESARROLLO!P118</f>
        <v>-6.4560961252483118E-2</v>
      </c>
      <c r="CJ33" s="5">
        <f>N70_DESARROLLO!CN118+N70_DESARROLLO!Q118</f>
        <v>-6.902029235086915E-2</v>
      </c>
      <c r="CK33" s="5">
        <f>N70_DESARROLLO!CO118+N70_DESARROLLO!R118</f>
        <v>-7.4141965022337497E-2</v>
      </c>
      <c r="CL33" s="5">
        <f>N70_DESARROLLO!CP118+N70_DESARROLLO!S118</f>
        <v>-8.0085554140356896E-2</v>
      </c>
      <c r="CM33" s="5">
        <f>N70_DESARROLLO!CQ118+N70_DESARROLLO!T118</f>
        <v>-8.706644231933558E-2</v>
      </c>
      <c r="CN33" s="5">
        <f>N70_DESARROLLO!CR118+N70_DESARROLLO!U118</f>
        <v>-9.5382594982176605E-2</v>
      </c>
      <c r="CO33" s="5">
        <f>N70_DESARROLLO!CS118+N70_DESARROLLO!V118</f>
        <v>-0.10545841852057625</v>
      </c>
      <c r="CP33" s="5">
        <f>N70_DESARROLLO!CT118+N70_DESARROLLO!W118</f>
        <v>-0.11791996375048563</v>
      </c>
      <c r="CQ33" s="5">
        <f>N70_DESARROLLO!CU118+N70_DESARROLLO!X118</f>
        <v>-0.13373123411929977</v>
      </c>
      <c r="CR33" s="5">
        <f>N70_DESARROLLO!CV118+N70_DESARROLLO!Y118</f>
        <v>-0.15445886474681458</v>
      </c>
      <c r="CS33" s="5">
        <f>N70_DESARROLLO!CW118+N70_DESARROLLO!Z118</f>
        <v>-0.18283342438756589</v>
      </c>
      <c r="CT33" s="5">
        <f>N70_DESARROLLO!CX118+N70_DESARROLLO!AA118</f>
        <v>-0.22408833054042687</v>
      </c>
      <c r="CU33" s="5">
        <f>N70_DESARROLLO!CY118+N70_DESARROLLO!AB118</f>
        <v>-0.28973434150573185</v>
      </c>
      <c r="CV33" s="5">
        <f>N70_DESARROLLO!CZ118+N70_DESARROLLO!AC118</f>
        <v>-0.41141440075354707</v>
      </c>
      <c r="CW33" s="5">
        <f>N70_DESARROLLO!DA118+N70_DESARROLLO!AD118</f>
        <v>-0.72775792963607955</v>
      </c>
      <c r="CX33" s="5">
        <f>N70_DESARROLLO!DB118+N70_DESARROLLO!AE118</f>
        <v>-1.6479184659605328</v>
      </c>
      <c r="CY33" s="5">
        <f>N70_DESARROLLO!DC118+N70_DESARROLLO!AF118</f>
        <v>1.6479184659605364</v>
      </c>
      <c r="CZ33" s="5">
        <f>N70_DESARROLLO!DD118+N70_DESARROLLO!AG118</f>
        <v>0.72775792963608221</v>
      </c>
      <c r="DA33" s="5">
        <f>N70_DESARROLLO!DE118+N70_DESARROLLO!AH118</f>
        <v>0.41141440075354252</v>
      </c>
      <c r="DB33" s="5">
        <f>N70_DESARROLLO!DF118+N70_DESARROLLO!AI118</f>
        <v>0.28973434150573518</v>
      </c>
      <c r="DC33" s="5">
        <f>N70_DESARROLLO!DG118+N70_DESARROLLO!AJ118</f>
        <v>0.22408833054042709</v>
      </c>
      <c r="DD33" s="5">
        <f>N70_DESARROLLO!DH118+N70_DESARROLLO!AK118</f>
        <v>0.18283342438756922</v>
      </c>
      <c r="DE33" s="5">
        <f>N70_DESARROLLO!DI118+N70_DESARROLLO!AL118</f>
        <v>0.15445886474681303</v>
      </c>
      <c r="DF33" s="5">
        <f>N70_DESARROLLO!DJ118+N70_DESARROLLO!AM118</f>
        <v>0.13373123411929988</v>
      </c>
      <c r="DG33" s="5">
        <f>N70_DESARROLLO!DK118+N70_DESARROLLO!AN118</f>
        <v>0.11791996375048475</v>
      </c>
      <c r="DH33" s="5">
        <f>N70_DESARROLLO!DL118+N70_DESARROLLO!AO118</f>
        <v>0.10545841852057858</v>
      </c>
      <c r="DI33" s="5">
        <f>N70_DESARROLLO!DM118+N70_DESARROLLO!AP118</f>
        <v>9.5382594982175051E-2</v>
      </c>
      <c r="DJ33" s="5">
        <f>N70_DESARROLLO!DN118+N70_DESARROLLO!AQ118</f>
        <v>8.7066442319332471E-2</v>
      </c>
      <c r="DK33" s="5">
        <f>N70_DESARROLLO!DO118+N70_DESARROLLO!AR118</f>
        <v>8.0085554140362891E-2</v>
      </c>
      <c r="DL33" s="5">
        <f>N70_DESARROLLO!DP118+N70_DESARROLLO!AS118</f>
        <v>7.414196502232917E-2</v>
      </c>
      <c r="DM33" s="5">
        <f>N70_DESARROLLO!DQ118+N70_DESARROLLO!AT118</f>
        <v>6.902029235087781E-2</v>
      </c>
      <c r="DN33" s="5">
        <f>N70_DESARROLLO!DR118+N70_DESARROLLO!AU118</f>
        <v>6.4560961252473681E-2</v>
      </c>
      <c r="DO33" s="5">
        <f>N70_DESARROLLO!DS118+N70_DESARROLLO!AV118</f>
        <v>6.0643218403529819E-2</v>
      </c>
      <c r="DP33" s="5">
        <f>N70_DESARROLLO!DT118+N70_DESARROLLO!AW118</f>
        <v>5.717399712907123E-2</v>
      </c>
      <c r="DQ33" s="5">
        <f>N70_DESARROLLO!DU118+N70_DESARROLLO!AX118</f>
        <v>5.4080408838149352E-2</v>
      </c>
      <c r="DR33" s="5">
        <f>N70_DESARROLLO!DV118+N70_DESARROLLO!AY118</f>
        <v>5.1304553326349422E-2</v>
      </c>
      <c r="DS33" s="5">
        <f>N70_DESARROLLO!DW118+N70_DESARROLLO!AZ118</f>
        <v>4.8799853039066088E-2</v>
      </c>
      <c r="DT33" s="5">
        <f>N70_DESARROLLO!DX118+N70_DESARROLLO!BA118</f>
        <v>4.6528413377898814E-2</v>
      </c>
      <c r="DU33" s="5">
        <f>N70_DESARROLLO!DY118+N70_DESARROLLO!BB118</f>
        <v>4.4459088822751736E-2</v>
      </c>
      <c r="DV33" s="5">
        <f>N70_DESARROLLO!DZ118+N70_DESARROLLO!BC118</f>
        <v>4.256604402112385E-2</v>
      </c>
      <c r="DW33" s="5">
        <f>N70_DESARROLLO!EA118+N70_DESARROLLO!BD118</f>
        <v>4.0827668052522692E-2</v>
      </c>
      <c r="DX33" s="5">
        <f>N70_DESARROLLO!EB118+N70_DESARROLLO!BE118</f>
        <v>3.9225744685487451E-2</v>
      </c>
      <c r="DY33" s="5">
        <f>N70_DESARROLLO!EC118+N70_DESARROLLO!BF118</f>
        <v>3.774481085568826E-2</v>
      </c>
      <c r="DZ33" s="5">
        <f>N70_DESARROLLO!ED118+N70_DESARROLLO!BG118</f>
        <v>3.6371655357452903E-2</v>
      </c>
      <c r="EA33" s="5">
        <f>N70_DESARROLLO!EE118+N70_DESARROLLO!BH118</f>
        <v>3.509492324420449E-2</v>
      </c>
      <c r="EB33" s="5">
        <f>N70_DESARROLLO!EF118+N70_DESARROLLO!BI118</f>
        <v>3.3904800811321079E-2</v>
      </c>
      <c r="EC33" s="5">
        <f>N70_DESARROLLO!EG118+N70_DESARROLLO!BJ118</f>
        <v>3.279276263587616E-2</v>
      </c>
      <c r="ED33" s="5">
        <f>N70_DESARROLLO!EH118+N70_DESARROLLO!BK118</f>
        <v>3.1751366862662556E-2</v>
      </c>
      <c r="EE33" s="5">
        <f>N70_DESARROLLO!EI118+N70_DESARROLLO!BL118</f>
        <v>3.0774088329719285E-2</v>
      </c>
      <c r="EF33" s="5">
        <f>N70_DESARROLLO!EJ118+N70_DESARROLLO!BM118</f>
        <v>2.9855181616024296E-2</v>
      </c>
      <c r="EG33" s="5">
        <f>N70_DESARROLLO!EK118+N70_DESARROLLO!BN118</f>
        <v>2.8989567932963367E-2</v>
      </c>
      <c r="EH33" s="5">
        <f>N70_DESARROLLO!EL118+N70_DESARROLLO!BO118</f>
        <v>2.8172741151779368E-2</v>
      </c>
      <c r="EI33" s="5">
        <f>N70_DESARROLLO!EM118+N70_DESARROLLO!BP118</f>
        <v>2.7400689293805458E-2</v>
      </c>
      <c r="EJ33" s="5">
        <f>N70_DESARROLLO!EN118+N70_DESARROLLO!BQ118</f>
        <v>2.6669828593212208E-2</v>
      </c>
      <c r="EK33" s="5">
        <f>N70_DESARROLLO!EO118+N70_DESARROLLO!BR118</f>
        <v>2.5976947844875475E-2</v>
      </c>
      <c r="EL33" s="5">
        <f>N70_DESARROLLO!EP118+N70_DESARROLLO!BS118</f>
        <v>2.5319161212279506E-2</v>
      </c>
      <c r="EM33" s="5">
        <f>N70_DESARROLLO!EQ118+N70_DESARROLLO!BT118</f>
        <v>2.4693868032498956E-2</v>
      </c>
      <c r="EN33" s="5">
        <f>N70_DESARROLLO!ER118+N70_DESARROLLO!BU118</f>
        <v>2.4098718436573741E-2</v>
      </c>
      <c r="EO33" s="5">
        <f>N70_DESARROLLO!ES118+N70_DESARROLLO!BV118</f>
        <v>2.3531583826931768E-2</v>
      </c>
      <c r="EP33" s="5">
        <f>N70_DESARROLLO!ET118+N70_DESARROLLO!BW118</f>
        <v>2.2990531429711081E-2</v>
      </c>
      <c r="EQ33" s="5">
        <f>N70_DESARROLLO!EU118+N70_DESARROLLO!BX118</f>
        <v>2.2473802280083444E-2</v>
      </c>
      <c r="ER33" s="5">
        <f>N70_DESARROLLO!EV118+N70_DESARROLLO!BY118</f>
        <v>29.165875122869718</v>
      </c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>
        <v>24</v>
      </c>
      <c r="FD33" s="4">
        <v>4.8968106393965246E-4</v>
      </c>
      <c r="FE33" s="4">
        <v>1.005785298259452E-3</v>
      </c>
      <c r="FF33" s="4">
        <v>1.3705178646955488E-3</v>
      </c>
      <c r="FG33" s="4">
        <v>1.7192306716527004E-3</v>
      </c>
      <c r="FH33" s="4">
        <v>2.0708384749040824E-3</v>
      </c>
      <c r="FI33" s="4">
        <v>2.4387023015911215E-3</v>
      </c>
      <c r="FJ33" s="4">
        <v>2.8331531754760848E-3</v>
      </c>
      <c r="FK33" s="4">
        <v>3.2642350814853405E-3</v>
      </c>
      <c r="FL33" s="4">
        <v>3.7430460772774955E-3</v>
      </c>
      <c r="FM33" s="4">
        <v>4.2828755877753729E-3</v>
      </c>
      <c r="FN33" s="4">
        <v>4.9005048692145762E-3</v>
      </c>
      <c r="FO33" s="4">
        <v>5.6179839109921663E-3</v>
      </c>
      <c r="FP33" s="4">
        <v>6.4653017582363076E-3</v>
      </c>
      <c r="FQ33" s="4">
        <v>7.4846561108908071E-3</v>
      </c>
      <c r="FR33" s="4">
        <v>8.7376537998548696E-3</v>
      </c>
      <c r="FS33" s="4">
        <v>1.0318152572149361E-2</v>
      </c>
      <c r="FT33" s="4">
        <v>1.2376714597979883E-2</v>
      </c>
      <c r="FU33" s="4">
        <v>1.5170927320437561E-2</v>
      </c>
      <c r="FV33" s="4">
        <v>1.9182500284470393E-2</v>
      </c>
      <c r="FW33" s="4">
        <v>2.5390242127326497E-2</v>
      </c>
      <c r="FX33" s="4">
        <v>3.6732980027313768E-2</v>
      </c>
      <c r="FY33" s="4">
        <v>5.4045120267301211E-2</v>
      </c>
      <c r="FZ33" s="4">
        <v>0.24468513557306562</v>
      </c>
      <c r="GA33" s="4">
        <v>-0.2510646456519911</v>
      </c>
      <c r="GB33" s="4">
        <v>-6.0427921259126563E-2</v>
      </c>
      <c r="GC33" s="4">
        <v>-4.3122384753231532E-2</v>
      </c>
      <c r="GD33" s="4">
        <v>-3.1789607837152477E-2</v>
      </c>
      <c r="GE33" s="4">
        <v>-2.5595252444175785E-2</v>
      </c>
      <c r="GF33" s="4">
        <v>-2.1600585413956597E-2</v>
      </c>
      <c r="GG33" s="4">
        <v>-1.8826920843431065E-2</v>
      </c>
      <c r="GH33" s="4">
        <v>-1.6792704689028902E-2</v>
      </c>
      <c r="GI33" s="4">
        <v>-1.5240543319985596E-2</v>
      </c>
      <c r="GJ33" s="4">
        <v>-1.4020114262602223E-2</v>
      </c>
      <c r="GK33" s="4">
        <v>-1.3037855772580485E-2</v>
      </c>
      <c r="GL33" s="4">
        <v>-1.2232527875443764E-2</v>
      </c>
      <c r="GM33" s="4">
        <v>-1.1562391301116496E-2</v>
      </c>
      <c r="GN33" s="4">
        <v>-1.0998037295607962E-2</v>
      </c>
      <c r="GO33" s="4">
        <v>-1.0518163751180034E-2</v>
      </c>
      <c r="GP33" s="4">
        <v>-1.0106976734062918E-2</v>
      </c>
      <c r="GQ33" s="4">
        <v>-9.7525322002079088E-3</v>
      </c>
      <c r="GR33" s="4">
        <v>-9.4456438998263177E-3</v>
      </c>
      <c r="GS33" s="4">
        <v>-9.179144271401974E-3</v>
      </c>
      <c r="GT33" s="4">
        <v>-8.9473721329563719E-3</v>
      </c>
      <c r="GU33" s="4">
        <v>-8.7458099713470065E-3</v>
      </c>
      <c r="GV33" s="4">
        <v>-8.5708221915297839E-3</v>
      </c>
      <c r="GW33" s="4">
        <v>-8.419462843933594E-3</v>
      </c>
      <c r="GX33" s="4">
        <v>-8.2893319165485979E-3</v>
      </c>
      <c r="GY33" s="4">
        <v>-8.1784659133537722E-3</v>
      </c>
      <c r="GZ33" s="4">
        <v>-8.0852526403157841E-3</v>
      </c>
      <c r="HA33" s="4">
        <v>-8.0083627397359285E-3</v>
      </c>
      <c r="HB33" s="4">
        <v>-7.9466920238372932E-3</v>
      </c>
      <c r="HC33" s="4">
        <v>-7.8993092798448905E-3</v>
      </c>
      <c r="HD33" s="4">
        <v>-7.8654039621564066E-3</v>
      </c>
      <c r="HE33" s="4">
        <v>-7.8442268355733806E-3</v>
      </c>
      <c r="HF33" s="4">
        <v>-7.8350136220929293E-3</v>
      </c>
      <c r="HG33" s="4">
        <v>-7.8368758520197083E-3</v>
      </c>
      <c r="HH33" s="4">
        <v>-7.8486320199576461E-3</v>
      </c>
      <c r="HI33" s="4">
        <v>-7.8685308082232838E-3</v>
      </c>
      <c r="HJ33" s="4">
        <v>-7.8937758276147792E-3</v>
      </c>
      <c r="HK33" s="4">
        <v>-7.919673787958971E-3</v>
      </c>
      <c r="HL33" s="4">
        <v>-7.9380371633560112E-3</v>
      </c>
      <c r="HM33" s="4">
        <v>-7.9340294845225111E-3</v>
      </c>
      <c r="HN33" s="4">
        <v>-7.8795254783832532E-3</v>
      </c>
      <c r="HO33" s="4">
        <v>-7.7180649806444486E-3</v>
      </c>
      <c r="HP33" s="4">
        <v>-7.3257366568069233E-3</v>
      </c>
      <c r="HQ33" s="4">
        <v>-6.4176676981532402E-3</v>
      </c>
      <c r="HR33" s="4">
        <v>-3.8780821197291668E-3</v>
      </c>
      <c r="HS33" s="4">
        <v>-5.7355541868200249E-4</v>
      </c>
      <c r="HT33" s="4">
        <v>9.3743856912741369E-2</v>
      </c>
      <c r="HU33" s="4">
        <v>-0.25133100874383546</v>
      </c>
    </row>
    <row r="34" spans="4:229" x14ac:dyDescent="0.25">
      <c r="D34" s="10">
        <v>25</v>
      </c>
      <c r="E34" s="5">
        <f>'N70'!E41-'N70'!E40</f>
        <v>1.428571428571429E-2</v>
      </c>
      <c r="F34" s="5">
        <f>'N70'!H40-'N70'!E16</f>
        <v>0.35</v>
      </c>
      <c r="G34" s="5">
        <f>'N70'!H40-'N70'!E17</f>
        <v>0.33571428571428569</v>
      </c>
      <c r="H34" s="5">
        <f>'N70'!H40-'N70'!E18</f>
        <v>0.3214285714285714</v>
      </c>
      <c r="I34" s="5">
        <f>'N70'!H40-'N70'!E19</f>
        <v>0.30714285714285711</v>
      </c>
      <c r="J34" s="5">
        <f>'N70'!H40-'N70'!E20</f>
        <v>0.29285714285714282</v>
      </c>
      <c r="K34" s="5">
        <f>'N70'!H40-'N70'!E21</f>
        <v>0.27857142857142858</v>
      </c>
      <c r="L34" s="5">
        <f>'N70'!H40-'N70'!E22</f>
        <v>0.26428571428571423</v>
      </c>
      <c r="M34" s="5">
        <f>'N70'!H40-'N70'!E23</f>
        <v>0.25</v>
      </c>
      <c r="N34" s="5">
        <f>'N70'!H40-'N70'!E24</f>
        <v>0.23571428571428571</v>
      </c>
      <c r="O34" s="5">
        <f>'N70'!H40-'N70'!E25</f>
        <v>0.22142857142857142</v>
      </c>
      <c r="P34" s="5">
        <f>'N70'!H40-'N70'!E26</f>
        <v>0.20714285714285713</v>
      </c>
      <c r="Q34" s="5">
        <f>'N70'!H40-'N70'!E27</f>
        <v>0.19285714285714284</v>
      </c>
      <c r="R34" s="5">
        <f>'N70'!H40-'N70'!E28</f>
        <v>0.17857142857142855</v>
      </c>
      <c r="S34" s="5">
        <f>'N70'!H40-'N70'!E29</f>
        <v>0.16428571428571426</v>
      </c>
      <c r="T34" s="5">
        <f>'N70'!H40-'N70'!E30</f>
        <v>0.15</v>
      </c>
      <c r="U34" s="5">
        <f>'N70'!H40-'N70'!E31</f>
        <v>0.1357142857142857</v>
      </c>
      <c r="V34" s="5">
        <f>'N70'!H40-'N70'!E32</f>
        <v>0.12142857142857141</v>
      </c>
      <c r="W34" s="5">
        <f>'N70'!H40-'N70'!E33</f>
        <v>0.10714285714285712</v>
      </c>
      <c r="X34" s="5">
        <f>'N70'!H40-'N70'!E34</f>
        <v>9.285714285714286E-2</v>
      </c>
      <c r="Y34" s="5">
        <f>'N70'!H40-'N70'!E35</f>
        <v>7.857142857142857E-2</v>
      </c>
      <c r="Z34" s="5">
        <f>'N70'!H40-'N70'!E36</f>
        <v>6.4285714285714279E-2</v>
      </c>
      <c r="AA34" s="5">
        <f>'N70'!H40-'N70'!E37</f>
        <v>4.9999999999999989E-2</v>
      </c>
      <c r="AB34" s="5">
        <f>'N70'!H40-'N70'!E38</f>
        <v>3.5714285714285698E-2</v>
      </c>
      <c r="AC34" s="5">
        <f>'N70'!H40-'N70'!E39</f>
        <v>2.1428571428571408E-2</v>
      </c>
      <c r="AD34" s="5">
        <f>'N70'!H40-'N70'!E40</f>
        <v>7.1428571428571175E-3</v>
      </c>
      <c r="AE34" s="5">
        <f>'N70'!H40-'N70'!E41</f>
        <v>-7.142857142857173E-3</v>
      </c>
      <c r="AF34" s="5">
        <f>'N70'!H40-'N70'!E42</f>
        <v>-2.1428571428571463E-2</v>
      </c>
      <c r="AG34" s="5">
        <f>'N70'!H40-'N70'!E43</f>
        <v>-3.5714285714285698E-2</v>
      </c>
      <c r="AH34" s="5">
        <f>'N70'!H40-'N70'!E44</f>
        <v>-4.9999999999999989E-2</v>
      </c>
      <c r="AI34" s="5">
        <f>'N70'!H40-'N70'!E45</f>
        <v>-6.4285714285714279E-2</v>
      </c>
      <c r="AJ34" s="5">
        <f>'N70'!H40-'N70'!E46</f>
        <v>-7.857142857142857E-2</v>
      </c>
      <c r="AK34" s="5">
        <f>'N70'!H40-'N70'!E47</f>
        <v>-9.285714285714286E-2</v>
      </c>
      <c r="AL34" s="5">
        <f>'N70'!H40-'N70'!$E$48</f>
        <v>-0.10714285714285715</v>
      </c>
      <c r="AM34" s="5">
        <f>'N70'!H40-'N70'!$E$49</f>
        <v>-0.12142857142857144</v>
      </c>
      <c r="AN34" s="5">
        <f>'N70'!H40-'N70'!$E$50</f>
        <v>-0.13571428571428573</v>
      </c>
      <c r="AO34" s="5">
        <f>'N70'!H40-'N70'!$E$51</f>
        <v>-0.15000000000000002</v>
      </c>
      <c r="AP34" s="5">
        <f>'N70'!H40-'N70'!$E$52</f>
        <v>-0.16428571428571426</v>
      </c>
      <c r="AQ34" s="5">
        <f>'N70'!H40-'N70'!$E$53</f>
        <v>-0.1785714285714286</v>
      </c>
      <c r="AR34" s="5">
        <f>'N70'!H40-'N70'!$E$54</f>
        <v>-0.19285714285714284</v>
      </c>
      <c r="AS34" s="5">
        <f>'N70'!H40-'N70'!$E$55</f>
        <v>-0.20714285714285718</v>
      </c>
      <c r="AT34" s="5">
        <f>'N70'!H40-'N70'!$E$56</f>
        <v>-0.22142857142857142</v>
      </c>
      <c r="AU34" s="5">
        <f>'N70'!H40-'N70'!$E$57</f>
        <v>-0.23571428571428577</v>
      </c>
      <c r="AV34" s="5">
        <f>'N70'!H40-'N70'!$E$58</f>
        <v>-0.25</v>
      </c>
      <c r="AW34" s="5">
        <f>'N70'!H40-'N70'!$E$59</f>
        <v>-0.26428571428571423</v>
      </c>
      <c r="AX34" s="5">
        <f>'N70'!H40-'N70'!$E$60</f>
        <v>-0.27857142857142858</v>
      </c>
      <c r="AY34" s="5">
        <f>'N70'!H40-'N70'!$E$61</f>
        <v>-0.29285714285714282</v>
      </c>
      <c r="AZ34" s="5">
        <f>'N70'!H40-'N70'!$E$62</f>
        <v>-0.30714285714285716</v>
      </c>
      <c r="BA34" s="5">
        <f>'N70'!H40-'N70'!$E$63</f>
        <v>-0.3214285714285714</v>
      </c>
      <c r="BB34" s="5">
        <f>'N70'!H40-'N70'!$E$64</f>
        <v>-0.33571428571428574</v>
      </c>
      <c r="BC34" s="5">
        <f>'N70'!H40-'N70'!$E$65</f>
        <v>-0.35</v>
      </c>
      <c r="BD34" s="5">
        <f>'N70'!H40-'N70'!$E$66</f>
        <v>-0.36428571428571432</v>
      </c>
      <c r="BE34" s="5">
        <f>'N70'!H40-'N70'!$E$67</f>
        <v>-0.37857142857142856</v>
      </c>
      <c r="BF34" s="5">
        <f>'N70'!H40-'N70'!$E$68</f>
        <v>-0.3928571428571429</v>
      </c>
      <c r="BG34" s="5">
        <f>'N70'!H40-'N70'!$E$69</f>
        <v>-0.40714285714285714</v>
      </c>
      <c r="BH34" s="5">
        <f>'N70'!H40-'N70'!$E$70</f>
        <v>-0.42142857142857137</v>
      </c>
      <c r="BI34" s="5">
        <f>'N70'!H40-'N70'!$E$71</f>
        <v>-0.43571428571428572</v>
      </c>
      <c r="BJ34" s="5">
        <f>'N70'!H40-'N70'!$E$72</f>
        <v>-0.44999999999999996</v>
      </c>
      <c r="BK34" s="5">
        <f>'N70'!H40-'N70'!$E$73</f>
        <v>-0.4642857142857143</v>
      </c>
      <c r="BL34" s="5">
        <f>'N70'!H40-'N70'!$E$74</f>
        <v>-0.47857142857142854</v>
      </c>
      <c r="BM34" s="5">
        <f>'N70'!H40-'N70'!$E$75</f>
        <v>-0.49285714285714288</v>
      </c>
      <c r="BN34" s="5">
        <f>'N70'!H40-'N70'!$E$76</f>
        <v>-0.50714285714285712</v>
      </c>
      <c r="BO34" s="5">
        <f>'N70'!H40-'N70'!$E$77</f>
        <v>-0.52142857142857146</v>
      </c>
      <c r="BP34" s="5">
        <f>'N70'!H40-'N70'!$E$78</f>
        <v>-0.5357142857142857</v>
      </c>
      <c r="BQ34" s="5">
        <f>'N70'!H40-'N70'!$E$79</f>
        <v>-0.55000000000000004</v>
      </c>
      <c r="BR34" s="5">
        <f>'N70'!H40-'N70'!$E$80</f>
        <v>-0.56428571428571428</v>
      </c>
      <c r="BS34" s="5">
        <f>'N70'!H40-'N70'!$E$81</f>
        <v>-0.57857142857142851</v>
      </c>
      <c r="BT34" s="5">
        <f>'N70'!H40-'N70'!$E$82</f>
        <v>-0.59285714285714286</v>
      </c>
      <c r="BU34" s="5">
        <f>'N70'!H40-'N70'!$E$83</f>
        <v>-0.6071428571428571</v>
      </c>
      <c r="BV34" s="5">
        <f>'N70'!H40-'N70'!$E$84</f>
        <v>-0.62142857142857144</v>
      </c>
      <c r="BW34" s="5">
        <f>'N70'!H40-'N70'!$E$85</f>
        <v>-0.63571428571428568</v>
      </c>
      <c r="BX34" s="5">
        <v>-1</v>
      </c>
      <c r="BY34" s="5"/>
      <c r="BZ34">
        <v>25</v>
      </c>
      <c r="CA34" s="5">
        <f>N70_DESARROLLO!CE119+N70_DESARROLLO!H119</f>
        <v>-2.0691615000482666E-2</v>
      </c>
      <c r="CB34" s="5">
        <f>N70_DESARROLLO!CF119+N70_DESARROLLO!I119</f>
        <v>-4.2566044021113636E-2</v>
      </c>
      <c r="CC34" s="5">
        <f>N70_DESARROLLO!CG119+N70_DESARROLLO!J119</f>
        <v>-4.4459088822761617E-2</v>
      </c>
      <c r="CD34" s="5">
        <f>N70_DESARROLLO!CH119+N70_DESARROLLO!K119</f>
        <v>-4.652841337789082E-2</v>
      </c>
      <c r="CE34" s="5">
        <f>N70_DESARROLLO!CI119+N70_DESARROLLO!L119</f>
        <v>-4.8799853039077523E-2</v>
      </c>
      <c r="CF34" s="5">
        <f>N70_DESARROLLO!CJ119+N70_DESARROLLO!M119</f>
        <v>-5.1304553326333657E-2</v>
      </c>
      <c r="CG34" s="5">
        <f>N70_DESARROLLO!CK119+N70_DESARROLLO!N119</f>
        <v>-5.408040883815779E-2</v>
      </c>
      <c r="CH34" s="5">
        <f>N70_DESARROLLO!CL119+N70_DESARROLLO!O119</f>
        <v>-5.7173997129072562E-2</v>
      </c>
      <c r="CI34" s="5">
        <f>N70_DESARROLLO!CM119+N70_DESARROLLO!P119</f>
        <v>-6.0643218403522159E-2</v>
      </c>
      <c r="CJ34" s="5">
        <f>N70_DESARROLLO!CN119+N70_DESARROLLO!Q119</f>
        <v>-6.4560961252483229E-2</v>
      </c>
      <c r="CK34" s="5">
        <f>N70_DESARROLLO!CO119+N70_DESARROLLO!R119</f>
        <v>-6.902029235086915E-2</v>
      </c>
      <c r="CL34" s="5">
        <f>N70_DESARROLLO!CP119+N70_DESARROLLO!S119</f>
        <v>-7.4141965022337386E-2</v>
      </c>
      <c r="CM34" s="5">
        <f>N70_DESARROLLO!CQ119+N70_DESARROLLO!T119</f>
        <v>-8.0085554140355564E-2</v>
      </c>
      <c r="CN34" s="5">
        <f>N70_DESARROLLO!CR119+N70_DESARROLLO!U119</f>
        <v>-8.7066442319339687E-2</v>
      </c>
      <c r="CO34" s="5">
        <f>N70_DESARROLLO!CS119+N70_DESARROLLO!V119</f>
        <v>-9.5382594982172719E-2</v>
      </c>
      <c r="CP34" s="5">
        <f>N70_DESARROLLO!CT119+N70_DESARROLLO!W119</f>
        <v>-0.1054584185205778</v>
      </c>
      <c r="CQ34" s="5">
        <f>N70_DESARROLLO!CU119+N70_DESARROLLO!X119</f>
        <v>-0.11791996375048563</v>
      </c>
      <c r="CR34" s="5">
        <f>N70_DESARROLLO!CV119+N70_DESARROLLO!Y119</f>
        <v>-0.13373123411930055</v>
      </c>
      <c r="CS34" s="5">
        <f>N70_DESARROLLO!CW119+N70_DESARROLLO!Z119</f>
        <v>-0.15445886474681159</v>
      </c>
      <c r="CT34" s="5">
        <f>N70_DESARROLLO!CX119+N70_DESARROLLO!AA119</f>
        <v>-0.18283342438756844</v>
      </c>
      <c r="CU34" s="5">
        <f>N70_DESARROLLO!CY119+N70_DESARROLLO!AB119</f>
        <v>-0.22408833054042676</v>
      </c>
      <c r="CV34" s="5">
        <f>N70_DESARROLLO!CZ119+N70_DESARROLLO!AC119</f>
        <v>-0.28973434150573196</v>
      </c>
      <c r="CW34" s="5">
        <f>N70_DESARROLLO!DA119+N70_DESARROLLO!AD119</f>
        <v>-0.41141440075354807</v>
      </c>
      <c r="CX34" s="5">
        <f>N70_DESARROLLO!DB119+N70_DESARROLLO!AE119</f>
        <v>-0.72775792963608232</v>
      </c>
      <c r="CY34" s="5">
        <f>N70_DESARROLLO!DC119+N70_DESARROLLO!AF119</f>
        <v>-1.6479184659605361</v>
      </c>
      <c r="CZ34" s="5">
        <f>N70_DESARROLLO!DD119+N70_DESARROLLO!AG119</f>
        <v>1.6479184659605328</v>
      </c>
      <c r="DA34" s="5">
        <f>N70_DESARROLLO!DE119+N70_DESARROLLO!AH119</f>
        <v>0.727757929636074</v>
      </c>
      <c r="DB34" s="5">
        <f>N70_DESARROLLO!DF119+N70_DESARROLLO!AI119</f>
        <v>0.41141440075354985</v>
      </c>
      <c r="DC34" s="5">
        <f>N70_DESARROLLO!DG119+N70_DESARROLLO!AJ119</f>
        <v>0.28973434150573174</v>
      </c>
      <c r="DD34" s="5">
        <f>N70_DESARROLLO!DH119+N70_DESARROLLO!AK119</f>
        <v>0.22408833054042698</v>
      </c>
      <c r="DE34" s="5">
        <f>N70_DESARROLLO!DI119+N70_DESARROLLO!AL119</f>
        <v>0.18283342438756867</v>
      </c>
      <c r="DF34" s="5">
        <f>N70_DESARROLLO!DJ119+N70_DESARROLLO!AM119</f>
        <v>0.15445886474681392</v>
      </c>
      <c r="DG34" s="5">
        <f>N70_DESARROLLO!DK119+N70_DESARROLLO!AN119</f>
        <v>0.13373123411929844</v>
      </c>
      <c r="DH34" s="5">
        <f>N70_DESARROLLO!DL119+N70_DESARROLLO!AO119</f>
        <v>0.11791996375048619</v>
      </c>
      <c r="DI34" s="5">
        <f>N70_DESARROLLO!DM119+N70_DESARROLLO!AP119</f>
        <v>0.10545841852057869</v>
      </c>
      <c r="DJ34" s="5">
        <f>N70_DESARROLLO!DN119+N70_DESARROLLO!AQ119</f>
        <v>9.5382594982170055E-2</v>
      </c>
      <c r="DK34" s="5">
        <f>N70_DESARROLLO!DO119+N70_DESARROLLO!AR119</f>
        <v>8.7066442319344683E-2</v>
      </c>
      <c r="DL34" s="5">
        <f>N70_DESARROLLO!DP119+N70_DESARROLLO!AS119</f>
        <v>8.0085554140347681E-2</v>
      </c>
      <c r="DM34" s="5">
        <f>N70_DESARROLLO!DQ119+N70_DESARROLLO!AT119</f>
        <v>7.4141965022345824E-2</v>
      </c>
      <c r="DN34" s="5">
        <f>N70_DESARROLLO!DR119+N70_DESARROLLO!AU119</f>
        <v>6.9020292350860046E-2</v>
      </c>
      <c r="DO34" s="5">
        <f>N70_DESARROLLO!DS119+N70_DESARROLLO!AV119</f>
        <v>6.4560961252489446E-2</v>
      </c>
      <c r="DP34" s="5">
        <f>N70_DESARROLLO!DT119+N70_DESARROLLO!AW119</f>
        <v>6.0643218403515942E-2</v>
      </c>
      <c r="DQ34" s="5">
        <f>N70_DESARROLLO!DU119+N70_DESARROLLO!AX119</f>
        <v>5.7173997129077669E-2</v>
      </c>
      <c r="DR34" s="5">
        <f>N70_DESARROLLO!DV119+N70_DESARROLLO!AY119</f>
        <v>5.4080408838158012E-2</v>
      </c>
      <c r="DS34" s="5">
        <f>N70_DESARROLLO!DW119+N70_DESARROLLO!AZ119</f>
        <v>5.130455332633288E-2</v>
      </c>
      <c r="DT34" s="5">
        <f>N70_DESARROLLO!DX119+N70_DESARROLLO!BA119</f>
        <v>4.8799853039083518E-2</v>
      </c>
      <c r="DU34" s="5">
        <f>N70_DESARROLLO!DY119+N70_DESARROLLO!BB119</f>
        <v>4.6528413377880606E-2</v>
      </c>
      <c r="DV34" s="5">
        <f>N70_DESARROLLO!DZ119+N70_DESARROLLO!BC119</f>
        <v>4.4459088822771053E-2</v>
      </c>
      <c r="DW34" s="5">
        <f>N70_DESARROLLO!EA119+N70_DESARROLLO!BD119</f>
        <v>4.2566044021103977E-2</v>
      </c>
      <c r="DX34" s="5">
        <f>N70_DESARROLLO!EB119+N70_DESARROLLO!BE119</f>
        <v>4.0827668052543675E-2</v>
      </c>
      <c r="DY34" s="5">
        <f>N70_DESARROLLO!EC119+N70_DESARROLLO!BF119</f>
        <v>3.9225744685471353E-2</v>
      </c>
      <c r="DZ34" s="5">
        <f>N70_DESARROLLO!ED119+N70_DESARROLLO!BG119</f>
        <v>3.7744810855705468E-2</v>
      </c>
      <c r="EA34" s="5">
        <f>N70_DESARROLLO!EE119+N70_DESARROLLO!BH119</f>
        <v>3.6371655357429256E-2</v>
      </c>
      <c r="EB34" s="5">
        <f>N70_DESARROLLO!EF119+N70_DESARROLLO!BI119</f>
        <v>3.5094923244216036E-2</v>
      </c>
      <c r="EC34" s="5">
        <f>N70_DESARROLLO!EG119+N70_DESARROLLO!BJ119</f>
        <v>3.3904800811327962E-2</v>
      </c>
      <c r="ED34" s="5">
        <f>N70_DESARROLLO!EH119+N70_DESARROLLO!BK119</f>
        <v>3.2792762635863171E-2</v>
      </c>
      <c r="EE34" s="5">
        <f>N70_DESARROLLO!EI119+N70_DESARROLLO!BL119</f>
        <v>3.17513668626761E-2</v>
      </c>
      <c r="EF34" s="5">
        <f>N70_DESARROLLO!EJ119+N70_DESARROLLO!BM119</f>
        <v>3.0774088329705407E-2</v>
      </c>
      <c r="EG34" s="5">
        <f>N70_DESARROLLO!EK119+N70_DESARROLLO!BN119</f>
        <v>2.9855181616038617E-2</v>
      </c>
      <c r="EH34" s="5">
        <f>N70_DESARROLLO!EL119+N70_DESARROLLO!BO119</f>
        <v>2.8989567932948379E-2</v>
      </c>
      <c r="EI34" s="5">
        <f>N70_DESARROLLO!EM119+N70_DESARROLLO!BP119</f>
        <v>2.8172741151794578E-2</v>
      </c>
      <c r="EJ34" s="5">
        <f>N70_DESARROLLO!EN119+N70_DESARROLLO!BQ119</f>
        <v>2.7400689293789693E-2</v>
      </c>
      <c r="EK34" s="5">
        <f>N70_DESARROLLO!EO119+N70_DESARROLLO!BR119</f>
        <v>2.6669828593228417E-2</v>
      </c>
      <c r="EL34" s="5">
        <f>N70_DESARROLLO!EP119+N70_DESARROLLO!BS119</f>
        <v>2.597694784486726E-2</v>
      </c>
      <c r="EM34" s="5">
        <f>N70_DESARROLLO!EQ119+N70_DESARROLLO!BT119</f>
        <v>2.5319161212279395E-2</v>
      </c>
      <c r="EN34" s="5">
        <f>N70_DESARROLLO!ER119+N70_DESARROLLO!BU119</f>
        <v>2.469386803250806E-2</v>
      </c>
      <c r="EO34" s="5">
        <f>N70_DESARROLLO!ES119+N70_DESARROLLO!BV119</f>
        <v>2.4098718436555866E-2</v>
      </c>
      <c r="EP34" s="5">
        <f>N70_DESARROLLO!ET119+N70_DESARROLLO!BW119</f>
        <v>2.3531583826950309E-2</v>
      </c>
      <c r="EQ34" s="5">
        <f>N70_DESARROLLO!EU119+N70_DESARROLLO!BX119</f>
        <v>2.2990531429692429E-2</v>
      </c>
      <c r="ER34" s="5">
        <f>N70_DESARROLLO!EV119+N70_DESARROLLO!BY119</f>
        <v>30.721745393962735</v>
      </c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>
        <v>25</v>
      </c>
      <c r="FD34" s="4">
        <v>4.5436458560290684E-4</v>
      </c>
      <c r="FE34" s="4">
        <v>9.3165674756507701E-4</v>
      </c>
      <c r="FF34" s="4">
        <v>1.2667721028678069E-3</v>
      </c>
      <c r="FG34" s="4">
        <v>1.5853311611269696E-3</v>
      </c>
      <c r="FH34" s="4">
        <v>1.9045573306654291E-3</v>
      </c>
      <c r="FI34" s="4">
        <v>2.236359734214865E-3</v>
      </c>
      <c r="FJ34" s="4">
        <v>2.5896381523057561E-3</v>
      </c>
      <c r="FK34" s="4">
        <v>2.9727617309367577E-3</v>
      </c>
      <c r="FL34" s="4">
        <v>3.3947042711535602E-3</v>
      </c>
      <c r="FM34" s="4">
        <v>3.8659279095612183E-3</v>
      </c>
      <c r="FN34" s="4">
        <v>4.3993166947663299E-3</v>
      </c>
      <c r="FO34" s="4">
        <v>5.0113794807563807E-3</v>
      </c>
      <c r="FP34" s="4">
        <v>5.7239753930979917E-3</v>
      </c>
      <c r="FQ34" s="4">
        <v>6.5669551126904466E-3</v>
      </c>
      <c r="FR34" s="4">
        <v>7.5824131440020348E-3</v>
      </c>
      <c r="FS34" s="4">
        <v>8.8318774667006678E-3</v>
      </c>
      <c r="FT34" s="4">
        <v>1.0409144297832245E-2</v>
      </c>
      <c r="FU34" s="4">
        <v>1.246472689253109E-2</v>
      </c>
      <c r="FV34" s="4">
        <v>1.5256173150186578E-2</v>
      </c>
      <c r="FW34" s="4">
        <v>1.9265160152835567E-2</v>
      </c>
      <c r="FX34" s="4">
        <v>2.5470469502264025E-2</v>
      </c>
      <c r="FY34" s="4">
        <v>3.6810905551836803E-2</v>
      </c>
      <c r="FZ34" s="4">
        <v>5.4120855058124979E-2</v>
      </c>
      <c r="GA34" s="4">
        <v>0.24475877382443884</v>
      </c>
      <c r="GB34" s="4">
        <v>-0.2509930246023121</v>
      </c>
      <c r="GC34" s="4">
        <v>-6.035825128667259E-2</v>
      </c>
      <c r="GD34" s="4">
        <v>-4.3054611640994847E-2</v>
      </c>
      <c r="GE34" s="4">
        <v>-3.1723688243145483E-2</v>
      </c>
      <c r="GF34" s="4">
        <v>-2.5531153094059369E-2</v>
      </c>
      <c r="GG34" s="4">
        <v>-2.1538282481941218E-2</v>
      </c>
      <c r="GH34" s="4">
        <v>-1.8766399493417928E-2</v>
      </c>
      <c r="GI34" s="4">
        <v>-1.673395875445997E-2</v>
      </c>
      <c r="GJ34" s="4">
        <v>-1.5183575105870347E-2</v>
      </c>
      <c r="GK34" s="4">
        <v>-1.3964934456952549E-2</v>
      </c>
      <c r="GL34" s="4">
        <v>-1.2984483457199382E-2</v>
      </c>
      <c r="GM34" s="4">
        <v>-1.2180990627884228E-2</v>
      </c>
      <c r="GN34" s="4">
        <v>-1.1512725380609681E-2</v>
      </c>
      <c r="GO34" s="4">
        <v>-1.0950287905828946E-2</v>
      </c>
      <c r="GP34" s="4">
        <v>-1.047238537165701E-2</v>
      </c>
      <c r="GQ34" s="4">
        <v>-1.0063233509302173E-2</v>
      </c>
      <c r="GR34" s="4">
        <v>-9.7108983711591094E-3</v>
      </c>
      <c r="GS34" s="4">
        <v>-9.4062042542535813E-3</v>
      </c>
      <c r="GT34" s="4">
        <v>-9.1419945778902344E-3</v>
      </c>
      <c r="GU34" s="4">
        <v>-8.912619504033539E-3</v>
      </c>
      <c r="GV34" s="4">
        <v>-8.7135730723946706E-3</v>
      </c>
      <c r="GW34" s="4">
        <v>-8.5412311673322989E-3</v>
      </c>
      <c r="GX34" s="4">
        <v>-8.3926587656950567E-3</v>
      </c>
      <c r="GY34" s="4">
        <v>-8.2654654453009103E-3</v>
      </c>
      <c r="GZ34" s="4">
        <v>-8.157694707498166E-3</v>
      </c>
      <c r="HA34" s="4">
        <v>-8.067736769277677E-3</v>
      </c>
      <c r="HB34" s="4">
        <v>-7.9942569378378802E-3</v>
      </c>
      <c r="HC34" s="4">
        <v>-7.9361329213836901E-3</v>
      </c>
      <c r="HD34" s="4">
        <v>-7.8923945896236091E-3</v>
      </c>
      <c r="HE34" s="4">
        <v>-7.8621586367827768E-3</v>
      </c>
      <c r="HF34" s="4">
        <v>-7.8445478064060534E-3</v>
      </c>
      <c r="HG34" s="4">
        <v>-7.8385786709837847E-3</v>
      </c>
      <c r="HH34" s="4">
        <v>-7.8429910543017581E-3</v>
      </c>
      <c r="HI34" s="4">
        <v>-7.855971110188046E-3</v>
      </c>
      <c r="HJ34" s="4">
        <v>-7.874678201748796E-3</v>
      </c>
      <c r="HK34" s="4">
        <v>-7.8943990460252234E-3</v>
      </c>
      <c r="HL34" s="4">
        <v>-7.9069635748163624E-3</v>
      </c>
      <c r="HM34" s="4">
        <v>-7.8976182691394229E-3</v>
      </c>
      <c r="HN34" s="4">
        <v>-7.8384475166751091E-3</v>
      </c>
      <c r="HO34" s="4">
        <v>-7.6734690501664843E-3</v>
      </c>
      <c r="HP34" s="4">
        <v>-7.279890644501007E-3</v>
      </c>
      <c r="HQ34" s="4">
        <v>-6.3754952556475102E-3</v>
      </c>
      <c r="HR34" s="4">
        <v>-3.8552215763757434E-3</v>
      </c>
      <c r="HS34" s="4">
        <v>-5.7664345903136452E-4</v>
      </c>
      <c r="HT34" s="4">
        <v>9.282377624907566E-2</v>
      </c>
      <c r="HU34" s="4">
        <v>-0.24884087807698868</v>
      </c>
    </row>
    <row r="35" spans="4:229" x14ac:dyDescent="0.25">
      <c r="D35" s="10">
        <v>26</v>
      </c>
      <c r="E35" s="5">
        <f>'N70'!E42-'N70'!E41</f>
        <v>1.428571428571429E-2</v>
      </c>
      <c r="F35" s="5">
        <f>'N70'!H41-'N70'!E16</f>
        <v>0.36428571428571432</v>
      </c>
      <c r="G35" s="5">
        <f>'N70'!H41-'N70'!E17</f>
        <v>0.35000000000000003</v>
      </c>
      <c r="H35" s="5">
        <f>'N70'!H41-'N70'!E18</f>
        <v>0.33571428571428574</v>
      </c>
      <c r="I35" s="5">
        <f>'N70'!H41-'N70'!E19</f>
        <v>0.32142857142857145</v>
      </c>
      <c r="J35" s="5">
        <f>'N70'!H41-'N70'!E20</f>
        <v>0.30714285714285716</v>
      </c>
      <c r="K35" s="5">
        <f>'N70'!H41-'N70'!E21</f>
        <v>0.29285714285714293</v>
      </c>
      <c r="L35" s="5">
        <f>'N70'!H41-'N70'!E22</f>
        <v>0.27857142857142858</v>
      </c>
      <c r="M35" s="5">
        <f>'N70'!H41-'N70'!E23</f>
        <v>0.26428571428571435</v>
      </c>
      <c r="N35" s="5">
        <f>'N70'!H41-'N70'!E24</f>
        <v>0.25000000000000006</v>
      </c>
      <c r="O35" s="5">
        <f>'N70'!H41-'N70'!E25</f>
        <v>0.23571428571428577</v>
      </c>
      <c r="P35" s="5">
        <f>'N70'!H41-'N70'!E26</f>
        <v>0.22142857142857147</v>
      </c>
      <c r="Q35" s="5">
        <f>'N70'!H41-'N70'!E27</f>
        <v>0.20714285714285718</v>
      </c>
      <c r="R35" s="5">
        <f>'N70'!H41-'N70'!E28</f>
        <v>0.19285714285714289</v>
      </c>
      <c r="S35" s="5">
        <f>'N70'!H41-'N70'!E29</f>
        <v>0.1785714285714286</v>
      </c>
      <c r="T35" s="5">
        <f>'N70'!H41-'N70'!E30</f>
        <v>0.16428571428571434</v>
      </c>
      <c r="U35" s="5">
        <f>'N70'!H41-'N70'!E31</f>
        <v>0.15000000000000005</v>
      </c>
      <c r="V35" s="5">
        <f>'N70'!H41-'N70'!E32</f>
        <v>0.13571428571428576</v>
      </c>
      <c r="W35" s="5">
        <f>'N70'!H41-'N70'!E33</f>
        <v>0.12142857142857147</v>
      </c>
      <c r="X35" s="5">
        <f>'N70'!H41-'N70'!E34</f>
        <v>0.10714285714285721</v>
      </c>
      <c r="Y35" s="5">
        <f>'N70'!H41-'N70'!E35</f>
        <v>9.2857142857142916E-2</v>
      </c>
      <c r="Z35" s="5">
        <f>'N70'!H41-'N70'!E36</f>
        <v>7.8571428571428625E-2</v>
      </c>
      <c r="AA35" s="5">
        <f>'N70'!H41-'N70'!E37</f>
        <v>6.4285714285714335E-2</v>
      </c>
      <c r="AB35" s="5">
        <f>'N70'!H41-'N70'!E38</f>
        <v>5.0000000000000044E-2</v>
      </c>
      <c r="AC35" s="5">
        <f>'N70'!H41-'N70'!E39</f>
        <v>3.5714285714285754E-2</v>
      </c>
      <c r="AD35" s="5">
        <f>'N70'!H41-'N70'!E40</f>
        <v>2.1428571428571463E-2</v>
      </c>
      <c r="AE35" s="5">
        <f>'N70'!H41-'N70'!E41</f>
        <v>7.142857142857173E-3</v>
      </c>
      <c r="AF35" s="5">
        <f>'N70'!H41-'N70'!E42</f>
        <v>-7.1428571428571175E-3</v>
      </c>
      <c r="AG35" s="5">
        <f>'N70'!H41-'N70'!E43</f>
        <v>-2.1428571428571352E-2</v>
      </c>
      <c r="AH35" s="5">
        <f>'N70'!H41-'N70'!E44</f>
        <v>-3.5714285714285643E-2</v>
      </c>
      <c r="AI35" s="5">
        <f>'N70'!H41-'N70'!E45</f>
        <v>-4.9999999999999933E-2</v>
      </c>
      <c r="AJ35" s="5">
        <f>'N70'!H41-'N70'!E46</f>
        <v>-6.4285714285714224E-2</v>
      </c>
      <c r="AK35" s="5">
        <f>'N70'!H41-'N70'!E47</f>
        <v>-7.8571428571428514E-2</v>
      </c>
      <c r="AL35" s="5">
        <f>'N70'!H41-'N70'!$E$48</f>
        <v>-9.2857142857142805E-2</v>
      </c>
      <c r="AM35" s="5">
        <f>'N70'!H41-'N70'!$E$49</f>
        <v>-0.1071428571428571</v>
      </c>
      <c r="AN35" s="5">
        <f>'N70'!H41-'N70'!$E$50</f>
        <v>-0.12142857142857139</v>
      </c>
      <c r="AO35" s="5">
        <f>'N70'!H41-'N70'!$E$51</f>
        <v>-0.13571428571428568</v>
      </c>
      <c r="AP35" s="5">
        <f>'N70'!H41-'N70'!$E$52</f>
        <v>-0.14999999999999991</v>
      </c>
      <c r="AQ35" s="5">
        <f>'N70'!H41-'N70'!$E$53</f>
        <v>-0.16428571428571426</v>
      </c>
      <c r="AR35" s="5">
        <f>'N70'!H41-'N70'!$E$54</f>
        <v>-0.17857142857142849</v>
      </c>
      <c r="AS35" s="5">
        <f>'N70'!H41-'N70'!$E$55</f>
        <v>-0.19285714285714284</v>
      </c>
      <c r="AT35" s="5">
        <f>'N70'!H41-'N70'!$E$56</f>
        <v>-0.20714285714285707</v>
      </c>
      <c r="AU35" s="5">
        <f>'N70'!H41-'N70'!$E$57</f>
        <v>-0.22142857142857142</v>
      </c>
      <c r="AV35" s="5">
        <f>'N70'!H41-'N70'!$E$58</f>
        <v>-0.23571428571428565</v>
      </c>
      <c r="AW35" s="5">
        <f>'N70'!H41-'N70'!$E$59</f>
        <v>-0.24999999999999989</v>
      </c>
      <c r="AX35" s="5">
        <f>'N70'!H41-'N70'!$E$60</f>
        <v>-0.26428571428571423</v>
      </c>
      <c r="AY35" s="5">
        <f>'N70'!H41-'N70'!$E$61</f>
        <v>-0.27857142857142847</v>
      </c>
      <c r="AZ35" s="5">
        <f>'N70'!H41-'N70'!$E$62</f>
        <v>-0.29285714285714282</v>
      </c>
      <c r="BA35" s="5">
        <f>'N70'!H41-'N70'!$E$63</f>
        <v>-0.30714285714285705</v>
      </c>
      <c r="BB35" s="5">
        <f>'N70'!H41-'N70'!$E$64</f>
        <v>-0.3214285714285714</v>
      </c>
      <c r="BC35" s="5">
        <f>'N70'!H41-'N70'!$E$65</f>
        <v>-0.33571428571428563</v>
      </c>
      <c r="BD35" s="5">
        <f>'N70'!H41-'N70'!$E$66</f>
        <v>-0.35</v>
      </c>
      <c r="BE35" s="5">
        <f>'N70'!H41-'N70'!$E$67</f>
        <v>-0.36428571428571421</v>
      </c>
      <c r="BF35" s="5">
        <f>'N70'!H41-'N70'!$E$68</f>
        <v>-0.37857142857142856</v>
      </c>
      <c r="BG35" s="5">
        <f>'N70'!H41-'N70'!$E$69</f>
        <v>-0.39285714285714279</v>
      </c>
      <c r="BH35" s="5">
        <f>'N70'!H41-'N70'!$E$70</f>
        <v>-0.40714285714285703</v>
      </c>
      <c r="BI35" s="5">
        <f>'N70'!H41-'N70'!$E$71</f>
        <v>-0.42142857142857137</v>
      </c>
      <c r="BJ35" s="5">
        <f>'N70'!H41-'N70'!$E$72</f>
        <v>-0.43571428571428561</v>
      </c>
      <c r="BK35" s="5">
        <f>'N70'!H41-'N70'!$E$73</f>
        <v>-0.44999999999999996</v>
      </c>
      <c r="BL35" s="5">
        <f>'N70'!H41-'N70'!$E$74</f>
        <v>-0.46428571428571419</v>
      </c>
      <c r="BM35" s="5">
        <f>'N70'!H41-'N70'!$E$75</f>
        <v>-0.47857142857142854</v>
      </c>
      <c r="BN35" s="5">
        <f>'N70'!H41-'N70'!$E$76</f>
        <v>-0.49285714285714277</v>
      </c>
      <c r="BO35" s="5">
        <f>'N70'!H41-'N70'!$E$77</f>
        <v>-0.50714285714285712</v>
      </c>
      <c r="BP35" s="5">
        <f>'N70'!H41-'N70'!$E$78</f>
        <v>-0.52142857142857135</v>
      </c>
      <c r="BQ35" s="5">
        <f>'N70'!H41-'N70'!$E$79</f>
        <v>-0.5357142857142857</v>
      </c>
      <c r="BR35" s="5">
        <f>'N70'!H41-'N70'!$E$80</f>
        <v>-0.54999999999999993</v>
      </c>
      <c r="BS35" s="5">
        <f>'N70'!H41-'N70'!$E$81</f>
        <v>-0.56428571428571417</v>
      </c>
      <c r="BT35" s="5">
        <f>'N70'!H41-'N70'!$E$82</f>
        <v>-0.57857142857142851</v>
      </c>
      <c r="BU35" s="5">
        <f>'N70'!H41-'N70'!$E$83</f>
        <v>-0.59285714285714275</v>
      </c>
      <c r="BV35" s="5">
        <f>'N70'!H41-'N70'!$E$84</f>
        <v>-0.6071428571428571</v>
      </c>
      <c r="BW35" s="5">
        <f>'N70'!H41-'N70'!$E$85</f>
        <v>-0.62142857142857133</v>
      </c>
      <c r="BX35" s="5">
        <v>-1</v>
      </c>
      <c r="BY35" s="5"/>
      <c r="BZ35">
        <v>26</v>
      </c>
      <c r="CA35" s="5">
        <f>N70_DESARROLLO!CE120+N70_DESARROLLO!H120</f>
        <v>-1.986928236175689E-2</v>
      </c>
      <c r="CB35" s="5">
        <f>N70_DESARROLLO!CF120+N70_DESARROLLO!I120</f>
        <v>-4.0827668052531463E-2</v>
      </c>
      <c r="CC35" s="5">
        <f>N70_DESARROLLO!CG120+N70_DESARROLLO!J120</f>
        <v>-4.2566044021113525E-2</v>
      </c>
      <c r="CD35" s="5">
        <f>N70_DESARROLLO!CH120+N70_DESARROLLO!K120</f>
        <v>-4.4459088822761617E-2</v>
      </c>
      <c r="CE35" s="5">
        <f>N70_DESARROLLO!CI120+N70_DESARROLLO!L120</f>
        <v>-4.6528413377893041E-2</v>
      </c>
      <c r="CF35" s="5">
        <f>N70_DESARROLLO!CJ120+N70_DESARROLLO!M120</f>
        <v>-4.8799853039068419E-2</v>
      </c>
      <c r="CG35" s="5">
        <f>N70_DESARROLLO!CK120+N70_DESARROLLO!N120</f>
        <v>-5.1304553326349422E-2</v>
      </c>
      <c r="CH35" s="5">
        <f>N70_DESARROLLO!CL120+N70_DESARROLLO!O120</f>
        <v>-5.4080408838144467E-2</v>
      </c>
      <c r="CI35" s="5">
        <f>N70_DESARROLLO!CM120+N70_DESARROLLO!P120</f>
        <v>-5.7173997129077114E-2</v>
      </c>
      <c r="CJ35" s="5">
        <f>N70_DESARROLLO!CN120+N70_DESARROLLO!Q120</f>
        <v>-6.0643218403522159E-2</v>
      </c>
      <c r="CK35" s="5">
        <f>N70_DESARROLLO!CO120+N70_DESARROLLO!R120</f>
        <v>-6.4560961252483118E-2</v>
      </c>
      <c r="CL35" s="5">
        <f>N70_DESARROLLO!CP120+N70_DESARROLLO!S120</f>
        <v>-6.902029235086915E-2</v>
      </c>
      <c r="CM35" s="5">
        <f>N70_DESARROLLO!CQ120+N70_DESARROLLO!T120</f>
        <v>-7.4141965022337497E-2</v>
      </c>
      <c r="CN35" s="5">
        <f>N70_DESARROLLO!CR120+N70_DESARROLLO!U120</f>
        <v>-8.0085554140358228E-2</v>
      </c>
      <c r="CO35" s="5">
        <f>N70_DESARROLLO!CS120+N70_DESARROLLO!V120</f>
        <v>-8.7066442319333914E-2</v>
      </c>
      <c r="CP35" s="5">
        <f>N70_DESARROLLO!CT120+N70_DESARROLLO!W120</f>
        <v>-9.5382594982175717E-2</v>
      </c>
      <c r="CQ35" s="5">
        <f>N70_DESARROLLO!CU120+N70_DESARROLLO!X120</f>
        <v>-0.1054584185205778</v>
      </c>
      <c r="CR35" s="5">
        <f>N70_DESARROLLO!CV120+N70_DESARROLLO!Y120</f>
        <v>-0.11791996375048708</v>
      </c>
      <c r="CS35" s="5">
        <f>N70_DESARROLLO!CW120+N70_DESARROLLO!Z120</f>
        <v>-0.13373123411929744</v>
      </c>
      <c r="CT35" s="5">
        <f>N70_DESARROLLO!CX120+N70_DESARROLLO!AA120</f>
        <v>-0.15445886474681281</v>
      </c>
      <c r="CU35" s="5">
        <f>N70_DESARROLLO!CY120+N70_DESARROLLO!AB120</f>
        <v>-0.18283342438756878</v>
      </c>
      <c r="CV35" s="5">
        <f>N70_DESARROLLO!CZ120+N70_DESARROLLO!AC120</f>
        <v>-0.22408833054042687</v>
      </c>
      <c r="CW35" s="5">
        <f>N70_DESARROLLO!DA120+N70_DESARROLLO!AD120</f>
        <v>-0.28973434150573185</v>
      </c>
      <c r="CX35" s="5">
        <f>N70_DESARROLLO!DB120+N70_DESARROLLO!AE120</f>
        <v>-0.41141440075354707</v>
      </c>
      <c r="CY35" s="5">
        <f>N70_DESARROLLO!DC120+N70_DESARROLLO!AF120</f>
        <v>-0.72775792963607955</v>
      </c>
      <c r="CZ35" s="5">
        <f>N70_DESARROLLO!DD120+N70_DESARROLLO!AG120</f>
        <v>-1.6479184659605328</v>
      </c>
      <c r="DA35" s="5">
        <f>N70_DESARROLLO!DE120+N70_DESARROLLO!AH120</f>
        <v>1.6479184659605282</v>
      </c>
      <c r="DB35" s="5">
        <f>N70_DESARROLLO!DF120+N70_DESARROLLO!AI120</f>
        <v>0.72775792963608354</v>
      </c>
      <c r="DC35" s="5">
        <f>N70_DESARROLLO!DG120+N70_DESARROLLO!AJ120</f>
        <v>0.41141440075354863</v>
      </c>
      <c r="DD35" s="5">
        <f>N70_DESARROLLO!DH120+N70_DESARROLLO!AK120</f>
        <v>0.28973434150573241</v>
      </c>
      <c r="DE35" s="5">
        <f>N70_DESARROLLO!DI120+N70_DESARROLLO!AL120</f>
        <v>0.22408833054042709</v>
      </c>
      <c r="DF35" s="5">
        <f>N70_DESARROLLO!DJ120+N70_DESARROLLO!AM120</f>
        <v>0.18283342438756922</v>
      </c>
      <c r="DG35" s="5">
        <f>N70_DESARROLLO!DK120+N70_DESARROLLO!AN120</f>
        <v>0.15445886474681303</v>
      </c>
      <c r="DH35" s="5">
        <f>N70_DESARROLLO!DL120+N70_DESARROLLO!AO120</f>
        <v>0.13373123411929988</v>
      </c>
      <c r="DI35" s="5">
        <f>N70_DESARROLLO!DM120+N70_DESARROLLO!AP120</f>
        <v>0.11791996375048475</v>
      </c>
      <c r="DJ35" s="5">
        <f>N70_DESARROLLO!DN120+N70_DESARROLLO!AQ120</f>
        <v>0.10545841852057414</v>
      </c>
      <c r="DK35" s="5">
        <f>N70_DESARROLLO!DO120+N70_DESARROLLO!AR120</f>
        <v>9.5382594982183821E-2</v>
      </c>
      <c r="DL35" s="5">
        <f>N70_DESARROLLO!DP120+N70_DESARROLLO!AS120</f>
        <v>8.7066442319328474E-2</v>
      </c>
      <c r="DM35" s="5">
        <f>N70_DESARROLLO!DQ120+N70_DESARROLLO!AT120</f>
        <v>8.0085554140362891E-2</v>
      </c>
      <c r="DN35" s="5">
        <f>N70_DESARROLLO!DR120+N70_DESARROLLO!AU120</f>
        <v>7.414196502232917E-2</v>
      </c>
      <c r="DO35" s="5">
        <f>N70_DESARROLLO!DS120+N70_DESARROLLO!AV120</f>
        <v>6.902029235087781E-2</v>
      </c>
      <c r="DP35" s="5">
        <f>N70_DESARROLLO!DT120+N70_DESARROLLO!AW120</f>
        <v>6.4560961252473681E-2</v>
      </c>
      <c r="DQ35" s="5">
        <f>N70_DESARROLLO!DU120+N70_DESARROLLO!AX120</f>
        <v>6.0643218403522048E-2</v>
      </c>
      <c r="DR35" s="5">
        <f>N70_DESARROLLO!DV120+N70_DESARROLLO!AY120</f>
        <v>5.7173997129085885E-2</v>
      </c>
      <c r="DS35" s="5">
        <f>N70_DESARROLLO!DW120+N70_DESARROLLO!AZ120</f>
        <v>5.4080408838142358E-2</v>
      </c>
      <c r="DT35" s="5">
        <f>N70_DESARROLLO!DX120+N70_DESARROLLO!BA120</f>
        <v>5.1304553326349422E-2</v>
      </c>
      <c r="DU35" s="5">
        <f>N70_DESARROLLO!DY120+N70_DESARROLLO!BB120</f>
        <v>4.8799853039066088E-2</v>
      </c>
      <c r="DV35" s="5">
        <f>N70_DESARROLLO!DZ120+N70_DESARROLLO!BC120</f>
        <v>4.6528413377898814E-2</v>
      </c>
      <c r="DW35" s="5">
        <f>N70_DESARROLLO!EA120+N70_DESARROLLO!BD120</f>
        <v>4.4459088822751736E-2</v>
      </c>
      <c r="DX35" s="5">
        <f>N70_DESARROLLO!EB120+N70_DESARROLLO!BE120</f>
        <v>4.256604402112385E-2</v>
      </c>
      <c r="DY35" s="5">
        <f>N70_DESARROLLO!EC120+N70_DESARROLLO!BF120</f>
        <v>4.0827668052522692E-2</v>
      </c>
      <c r="DZ35" s="5">
        <f>N70_DESARROLLO!ED120+N70_DESARROLLO!BG120</f>
        <v>3.9225744685487451E-2</v>
      </c>
      <c r="EA35" s="5">
        <f>N70_DESARROLLO!EE120+N70_DESARROLLO!BH120</f>
        <v>3.774481085568826E-2</v>
      </c>
      <c r="EB35" s="5">
        <f>N70_DESARROLLO!EF120+N70_DESARROLLO!BI120</f>
        <v>3.6371655357440469E-2</v>
      </c>
      <c r="EC35" s="5">
        <f>N70_DESARROLLO!EG120+N70_DESARROLLO!BJ120</f>
        <v>3.5094923244222587E-2</v>
      </c>
      <c r="ED35" s="5">
        <f>N70_DESARROLLO!EH120+N70_DESARROLLO!BK120</f>
        <v>3.3904800811315194E-2</v>
      </c>
      <c r="EE35" s="5">
        <f>N70_DESARROLLO!EI120+N70_DESARROLLO!BL120</f>
        <v>3.279276263587616E-2</v>
      </c>
      <c r="EF35" s="5">
        <f>N70_DESARROLLO!EJ120+N70_DESARROLLO!BM120</f>
        <v>3.1751366862662556E-2</v>
      </c>
      <c r="EG35" s="5">
        <f>N70_DESARROLLO!EK120+N70_DESARROLLO!BN120</f>
        <v>3.0774088329719285E-2</v>
      </c>
      <c r="EH35" s="5">
        <f>N70_DESARROLLO!EL120+N70_DESARROLLO!BO120</f>
        <v>2.9855181616024296E-2</v>
      </c>
      <c r="EI35" s="5">
        <f>N70_DESARROLLO!EM120+N70_DESARROLLO!BP120</f>
        <v>2.8989567932963367E-2</v>
      </c>
      <c r="EJ35" s="5">
        <f>N70_DESARROLLO!EN120+N70_DESARROLLO!BQ120</f>
        <v>2.8172741151779368E-2</v>
      </c>
      <c r="EK35" s="5">
        <f>N70_DESARROLLO!EO120+N70_DESARROLLO!BR120</f>
        <v>2.7400689293805458E-2</v>
      </c>
      <c r="EL35" s="5">
        <f>N70_DESARROLLO!EP120+N70_DESARROLLO!BS120</f>
        <v>2.6669828593212208E-2</v>
      </c>
      <c r="EM35" s="5">
        <f>N70_DESARROLLO!EQ120+N70_DESARROLLO!BT120</f>
        <v>2.5976947844875253E-2</v>
      </c>
      <c r="EN35" s="5">
        <f>N70_DESARROLLO!ER120+N70_DESARROLLO!BU120</f>
        <v>2.5319161212288166E-2</v>
      </c>
      <c r="EO35" s="5">
        <f>N70_DESARROLLO!ES120+N70_DESARROLLO!BV120</f>
        <v>2.4693868032490629E-2</v>
      </c>
      <c r="EP35" s="5">
        <f>N70_DESARROLLO!ET120+N70_DESARROLLO!BW120</f>
        <v>2.4098718436573741E-2</v>
      </c>
      <c r="EQ35" s="5">
        <f>N70_DESARROLLO!EU120+N70_DESARROLLO!BX120</f>
        <v>2.3531583826931768E-2</v>
      </c>
      <c r="ER35" s="5">
        <f>N70_DESARROLLO!EV120+N70_DESARROLLO!BY120</f>
        <v>32.312985281108801</v>
      </c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>
        <v>26</v>
      </c>
      <c r="FD35" s="4">
        <v>4.2264964556263046E-4</v>
      </c>
      <c r="FE35" s="4">
        <v>8.6527365036548516E-4</v>
      </c>
      <c r="FF35" s="4">
        <v>1.1741959029992843E-3</v>
      </c>
      <c r="FG35" s="4">
        <v>1.4663157791225401E-3</v>
      </c>
      <c r="FH35" s="4">
        <v>1.7574048007375502E-3</v>
      </c>
      <c r="FI35" s="4">
        <v>2.0581678505369508E-3</v>
      </c>
      <c r="FJ35" s="4">
        <v>2.3763637928792274E-3</v>
      </c>
      <c r="FK35" s="4">
        <v>2.7190670272567272E-3</v>
      </c>
      <c r="FL35" s="4">
        <v>3.0936508717032038E-3</v>
      </c>
      <c r="FM35" s="4">
        <v>3.5084973199912351E-3</v>
      </c>
      <c r="FN35" s="4">
        <v>3.973691202856784E-3</v>
      </c>
      <c r="FO35" s="4">
        <v>4.5018629889516841E-3</v>
      </c>
      <c r="FP35" s="4">
        <v>5.1093438221897084E-3</v>
      </c>
      <c r="FQ35" s="4">
        <v>5.817863968603466E-3</v>
      </c>
      <c r="FR35" s="4">
        <v>6.6571779735985874E-3</v>
      </c>
      <c r="FS35" s="4">
        <v>7.6693068572598905E-3</v>
      </c>
      <c r="FT35" s="4">
        <v>8.9157212301493888E-3</v>
      </c>
      <c r="FU35" s="4">
        <v>1.0490171675211778E-2</v>
      </c>
      <c r="FV35" s="4">
        <v>1.2543134529326016E-2</v>
      </c>
      <c r="FW35" s="4">
        <v>1.5332127357044209E-2</v>
      </c>
      <c r="FX35" s="4">
        <v>1.933880194948133E-2</v>
      </c>
      <c r="FY35" s="4">
        <v>2.554191852797395E-2</v>
      </c>
      <c r="FZ35" s="4">
        <v>3.6880263126285513E-2</v>
      </c>
      <c r="GA35" s="4">
        <v>5.4188206594528464E-2</v>
      </c>
      <c r="GB35" s="4">
        <v>0.24482419074096826</v>
      </c>
      <c r="GC35" s="4">
        <v>-0.25092948336583826</v>
      </c>
      <c r="GD35" s="4">
        <v>-6.0296538067469874E-2</v>
      </c>
      <c r="GE35" s="4">
        <v>-4.2994689107934261E-2</v>
      </c>
      <c r="GF35" s="4">
        <v>-3.166552866249682E-2</v>
      </c>
      <c r="GG35" s="4">
        <v>-2.5474737772260888E-2</v>
      </c>
      <c r="GH35" s="4">
        <v>-2.1483601359482036E-2</v>
      </c>
      <c r="GI35" s="4">
        <v>-1.871345086997131E-2</v>
      </c>
      <c r="GJ35" s="4">
        <v>-1.6682749130071436E-2</v>
      </c>
      <c r="GK35" s="4">
        <v>-1.5134119126507618E-2</v>
      </c>
      <c r="GL35" s="4">
        <v>-1.3917254955248431E-2</v>
      </c>
      <c r="GM35" s="4">
        <v>-1.2938611580931856E-2</v>
      </c>
      <c r="GN35" s="4">
        <v>-1.2136966049611984E-2</v>
      </c>
      <c r="GO35" s="4">
        <v>-1.1470596581874812E-2</v>
      </c>
      <c r="GP35" s="4">
        <v>-1.0910112528213344E-2</v>
      </c>
      <c r="GQ35" s="4">
        <v>-1.043423062422958E-2</v>
      </c>
      <c r="GR35" s="4">
        <v>-1.0027176617538476E-2</v>
      </c>
      <c r="GS35" s="4">
        <v>-9.6770270444108616E-3</v>
      </c>
      <c r="GT35" s="4">
        <v>-9.3746171370723917E-3</v>
      </c>
      <c r="GU35" s="4">
        <v>-9.1128016314148859E-3</v>
      </c>
      <c r="GV35" s="4">
        <v>-8.8859422350734355E-3</v>
      </c>
      <c r="GW35" s="4">
        <v>-8.6895444833727329E-3</v>
      </c>
      <c r="GX35" s="4">
        <v>-8.5199952317988707E-3</v>
      </c>
      <c r="GY35" s="4">
        <v>-8.3743691280754196E-3</v>
      </c>
      <c r="GZ35" s="4">
        <v>-8.2502828767325453E-3</v>
      </c>
      <c r="HA35" s="4">
        <v>-8.1457825859784314E-3</v>
      </c>
      <c r="HB35" s="4">
        <v>-8.0592534279450376E-3</v>
      </c>
      <c r="HC35" s="4">
        <v>-7.9893430336920486E-3</v>
      </c>
      <c r="HD35" s="4">
        <v>-7.934890827341454E-3</v>
      </c>
      <c r="HE35" s="4">
        <v>-7.8948548658929543E-3</v>
      </c>
      <c r="HF35" s="4">
        <v>-7.8682252605311136E-3</v>
      </c>
      <c r="HG35" s="4">
        <v>-7.8539078286021264E-3</v>
      </c>
      <c r="HH35" s="4">
        <v>-7.8505509476395584E-3</v>
      </c>
      <c r="HI35" s="4">
        <v>-7.8562677863942883E-3</v>
      </c>
      <c r="HJ35" s="4">
        <v>-7.868164653803621E-3</v>
      </c>
      <c r="HK35" s="4">
        <v>-7.8815003443550666E-3</v>
      </c>
      <c r="HL35" s="4">
        <v>-7.8881140635395572E-3</v>
      </c>
      <c r="HM35" s="4">
        <v>-7.8733247761132892E-3</v>
      </c>
      <c r="HN35" s="4">
        <v>-7.8094095605853869E-3</v>
      </c>
      <c r="HO35" s="4">
        <v>-7.6408307873859927E-3</v>
      </c>
      <c r="HP35" s="4">
        <v>-7.2458393256331485E-3</v>
      </c>
      <c r="HQ35" s="4">
        <v>-6.3446913008151969E-3</v>
      </c>
      <c r="HR35" s="4">
        <v>-3.8422506731341337E-3</v>
      </c>
      <c r="HS35" s="4">
        <v>-5.8797230380925724E-4</v>
      </c>
      <c r="HT35" s="4">
        <v>9.196723324925947E-2</v>
      </c>
      <c r="HU35" s="4">
        <v>-0.24656679441666976</v>
      </c>
    </row>
    <row r="36" spans="4:229" x14ac:dyDescent="0.25">
      <c r="D36" s="10">
        <v>27</v>
      </c>
      <c r="E36" s="5">
        <f>'N70'!E43-'N70'!E42</f>
        <v>1.4285714285714235E-2</v>
      </c>
      <c r="F36" s="5">
        <f>'N70'!H42-'N70'!E16</f>
        <v>0.37857142857142856</v>
      </c>
      <c r="G36" s="5">
        <f>'N70'!H42-'N70'!E17</f>
        <v>0.36428571428571427</v>
      </c>
      <c r="H36" s="5">
        <f>'N70'!H42-'N70'!E18</f>
        <v>0.35</v>
      </c>
      <c r="I36" s="5">
        <f>'N70'!H42-'N70'!E19</f>
        <v>0.33571428571428569</v>
      </c>
      <c r="J36" s="5">
        <f>'N70'!H42-'N70'!E20</f>
        <v>0.3214285714285714</v>
      </c>
      <c r="K36" s="5">
        <f>'N70'!H42-'N70'!E21</f>
        <v>0.30714285714285716</v>
      </c>
      <c r="L36" s="5">
        <f>'N70'!H42-'N70'!E22</f>
        <v>0.29285714285714282</v>
      </c>
      <c r="M36" s="5">
        <f>'N70'!H42-'N70'!E23</f>
        <v>0.27857142857142858</v>
      </c>
      <c r="N36" s="5">
        <f>'N70'!H42-'N70'!E24</f>
        <v>0.26428571428571429</v>
      </c>
      <c r="O36" s="5">
        <f>'N70'!H42-'N70'!E25</f>
        <v>0.25</v>
      </c>
      <c r="P36" s="5">
        <f>'N70'!H42-'N70'!E26</f>
        <v>0.23571428571428571</v>
      </c>
      <c r="Q36" s="5">
        <f>'N70'!H42-'N70'!E27</f>
        <v>0.22142857142857142</v>
      </c>
      <c r="R36" s="5">
        <f>'N70'!H42-'N70'!E28</f>
        <v>0.20714285714285713</v>
      </c>
      <c r="S36" s="5">
        <f>'N70'!H42-'N70'!E29</f>
        <v>0.19285714285714284</v>
      </c>
      <c r="T36" s="5">
        <f>'N70'!H42-'N70'!E30</f>
        <v>0.17857142857142858</v>
      </c>
      <c r="U36" s="5">
        <f>'N70'!H42-'N70'!E31</f>
        <v>0.16428571428571428</v>
      </c>
      <c r="V36" s="5">
        <f>'N70'!H42-'N70'!E32</f>
        <v>0.15</v>
      </c>
      <c r="W36" s="5">
        <f>'N70'!H42-'N70'!E33</f>
        <v>0.1357142857142857</v>
      </c>
      <c r="X36" s="5">
        <f>'N70'!H42-'N70'!E34</f>
        <v>0.12142857142857144</v>
      </c>
      <c r="Y36" s="5">
        <f>'N70'!H42-'N70'!E35</f>
        <v>0.10714285714285715</v>
      </c>
      <c r="Z36" s="5">
        <f>'N70'!H42-'N70'!E36</f>
        <v>9.285714285714286E-2</v>
      </c>
      <c r="AA36" s="5">
        <f>'N70'!H42-'N70'!E37</f>
        <v>7.857142857142857E-2</v>
      </c>
      <c r="AB36" s="5">
        <f>'N70'!H42-'N70'!E38</f>
        <v>6.4285714285714279E-2</v>
      </c>
      <c r="AC36" s="5">
        <f>'N70'!H42-'N70'!E39</f>
        <v>4.9999999999999989E-2</v>
      </c>
      <c r="AD36" s="5">
        <f>'N70'!H42-'N70'!E40</f>
        <v>3.5714285714285698E-2</v>
      </c>
      <c r="AE36" s="5">
        <f>'N70'!H42-'N70'!E41</f>
        <v>2.1428571428571408E-2</v>
      </c>
      <c r="AF36" s="5">
        <f>'N70'!H42-'N70'!E42</f>
        <v>7.1428571428571175E-3</v>
      </c>
      <c r="AG36" s="5">
        <f>'N70'!H42-'N70'!E43</f>
        <v>-7.1428571428571175E-3</v>
      </c>
      <c r="AH36" s="5">
        <f>'N70'!H42-'N70'!E44</f>
        <v>-2.1428571428571408E-2</v>
      </c>
      <c r="AI36" s="5">
        <f>'N70'!H42-'N70'!E45</f>
        <v>-3.5714285714285698E-2</v>
      </c>
      <c r="AJ36" s="5">
        <f>'N70'!H42-'N70'!E46</f>
        <v>-4.9999999999999989E-2</v>
      </c>
      <c r="AK36" s="5">
        <f>'N70'!H42-'N70'!E47</f>
        <v>-6.4285714285714279E-2</v>
      </c>
      <c r="AL36" s="5">
        <f>'N70'!H42-'N70'!$E$48</f>
        <v>-7.857142857142857E-2</v>
      </c>
      <c r="AM36" s="5">
        <f>'N70'!H42-'N70'!$E$49</f>
        <v>-9.285714285714286E-2</v>
      </c>
      <c r="AN36" s="5">
        <f>'N70'!H42-'N70'!$E$50</f>
        <v>-0.10714285714285715</v>
      </c>
      <c r="AO36" s="5">
        <f>'N70'!H42-'N70'!$E$51</f>
        <v>-0.12142857142857144</v>
      </c>
      <c r="AP36" s="5">
        <f>'N70'!H42-'N70'!$E$52</f>
        <v>-0.13571428571428568</v>
      </c>
      <c r="AQ36" s="5">
        <f>'N70'!H42-'N70'!$E$53</f>
        <v>-0.15000000000000002</v>
      </c>
      <c r="AR36" s="5">
        <f>'N70'!H42-'N70'!$E$54</f>
        <v>-0.16428571428571426</v>
      </c>
      <c r="AS36" s="5">
        <f>'N70'!H42-'N70'!$E$55</f>
        <v>-0.1785714285714286</v>
      </c>
      <c r="AT36" s="5">
        <f>'N70'!H42-'N70'!$E$56</f>
        <v>-0.19285714285714284</v>
      </c>
      <c r="AU36" s="5">
        <f>'N70'!H42-'N70'!$E$57</f>
        <v>-0.20714285714285718</v>
      </c>
      <c r="AV36" s="5">
        <f>'N70'!H42-'N70'!$E$58</f>
        <v>-0.22142857142857142</v>
      </c>
      <c r="AW36" s="5">
        <f>'N70'!H42-'N70'!$E$59</f>
        <v>-0.23571428571428565</v>
      </c>
      <c r="AX36" s="5">
        <f>'N70'!H42-'N70'!$E$60</f>
        <v>-0.25</v>
      </c>
      <c r="AY36" s="5">
        <f>'N70'!H42-'N70'!$E$61</f>
        <v>-0.26428571428571423</v>
      </c>
      <c r="AZ36" s="5">
        <f>'N70'!H42-'N70'!$E$62</f>
        <v>-0.27857142857142858</v>
      </c>
      <c r="BA36" s="5">
        <f>'N70'!H42-'N70'!$E$63</f>
        <v>-0.29285714285714282</v>
      </c>
      <c r="BB36" s="5">
        <f>'N70'!H42-'N70'!$E$64</f>
        <v>-0.30714285714285716</v>
      </c>
      <c r="BC36" s="5">
        <f>'N70'!H42-'N70'!$E$65</f>
        <v>-0.3214285714285714</v>
      </c>
      <c r="BD36" s="5">
        <f>'N70'!H42-'N70'!$E$66</f>
        <v>-0.33571428571428574</v>
      </c>
      <c r="BE36" s="5">
        <f>'N70'!H42-'N70'!$E$67</f>
        <v>-0.35</v>
      </c>
      <c r="BF36" s="5">
        <f>'N70'!H42-'N70'!$E$68</f>
        <v>-0.36428571428571432</v>
      </c>
      <c r="BG36" s="5">
        <f>'N70'!H42-'N70'!$E$69</f>
        <v>-0.37857142857142856</v>
      </c>
      <c r="BH36" s="5">
        <f>'N70'!H42-'N70'!$E$70</f>
        <v>-0.39285714285714279</v>
      </c>
      <c r="BI36" s="5">
        <f>'N70'!H42-'N70'!$E$71</f>
        <v>-0.40714285714285714</v>
      </c>
      <c r="BJ36" s="5">
        <f>'N70'!H42-'N70'!$E$72</f>
        <v>-0.42142857142857137</v>
      </c>
      <c r="BK36" s="5">
        <f>'N70'!H42-'N70'!$E$73</f>
        <v>-0.43571428571428572</v>
      </c>
      <c r="BL36" s="5">
        <f>'N70'!H42-'N70'!$E$74</f>
        <v>-0.44999999999999996</v>
      </c>
      <c r="BM36" s="5">
        <f>'N70'!H42-'N70'!$E$75</f>
        <v>-0.4642857142857143</v>
      </c>
      <c r="BN36" s="5">
        <f>'N70'!H42-'N70'!$E$76</f>
        <v>-0.47857142857142854</v>
      </c>
      <c r="BO36" s="5">
        <f>'N70'!H42-'N70'!$E$77</f>
        <v>-0.49285714285714288</v>
      </c>
      <c r="BP36" s="5">
        <f>'N70'!H42-'N70'!$E$78</f>
        <v>-0.50714285714285712</v>
      </c>
      <c r="BQ36" s="5">
        <f>'N70'!H42-'N70'!$E$79</f>
        <v>-0.52142857142857146</v>
      </c>
      <c r="BR36" s="5">
        <f>'N70'!H42-'N70'!$E$80</f>
        <v>-0.5357142857142857</v>
      </c>
      <c r="BS36" s="5">
        <f>'N70'!H42-'N70'!$E$81</f>
        <v>-0.54999999999999993</v>
      </c>
      <c r="BT36" s="5">
        <f>'N70'!H42-'N70'!$E$82</f>
        <v>-0.56428571428571428</v>
      </c>
      <c r="BU36" s="5">
        <f>'N70'!H42-'N70'!$E$83</f>
        <v>-0.57857142857142851</v>
      </c>
      <c r="BV36" s="5">
        <f>'N70'!H42-'N70'!$E$84</f>
        <v>-0.59285714285714286</v>
      </c>
      <c r="BW36" s="5">
        <f>'N70'!H42-'N70'!$E$85</f>
        <v>-0.6071428571428571</v>
      </c>
      <c r="BX36" s="5">
        <v>-1</v>
      </c>
      <c r="BY36" s="5"/>
      <c r="BZ36">
        <v>27</v>
      </c>
      <c r="CA36" s="5">
        <f>N70_DESARROLLO!CE121+N70_DESARROLLO!H121</f>
        <v>-1.9109819273397055E-2</v>
      </c>
      <c r="CB36" s="5">
        <f>N70_DESARROLLO!CF121+N70_DESARROLLO!I121</f>
        <v>-3.9225744685481789E-2</v>
      </c>
      <c r="CC36" s="5">
        <f>N70_DESARROLLO!CG121+N70_DESARROLLO!J121</f>
        <v>-4.0827668052531574E-2</v>
      </c>
      <c r="CD36" s="5">
        <f>N70_DESARROLLO!CH121+N70_DESARROLLO!K121</f>
        <v>-4.2566044021113636E-2</v>
      </c>
      <c r="CE36" s="5">
        <f>N70_DESARROLLO!CI121+N70_DESARROLLO!L121</f>
        <v>-4.4459088822766279E-2</v>
      </c>
      <c r="CF36" s="5">
        <f>N70_DESARROLLO!CJ121+N70_DESARROLLO!M121</f>
        <v>-4.6528413377880939E-2</v>
      </c>
      <c r="CG36" s="5">
        <f>N70_DESARROLLO!CK121+N70_DESARROLLO!N121</f>
        <v>-4.879985303908263E-2</v>
      </c>
      <c r="CH36" s="5">
        <f>N70_DESARROLLO!CL121+N70_DESARROLLO!O121</f>
        <v>-5.1304553326337654E-2</v>
      </c>
      <c r="CI36" s="5">
        <f>N70_DESARROLLO!CM121+N70_DESARROLLO!P121</f>
        <v>-5.4080408838149241E-2</v>
      </c>
      <c r="CJ36" s="5">
        <f>N70_DESARROLLO!CN121+N70_DESARROLLO!Q121</f>
        <v>-5.7173997129077003E-2</v>
      </c>
      <c r="CK36" s="5">
        <f>N70_DESARROLLO!CO121+N70_DESARROLLO!R121</f>
        <v>-6.0643218403522159E-2</v>
      </c>
      <c r="CL36" s="5">
        <f>N70_DESARROLLO!CP121+N70_DESARROLLO!S121</f>
        <v>-6.4560961252483229E-2</v>
      </c>
      <c r="CM36" s="5">
        <f>N70_DESARROLLO!CQ121+N70_DESARROLLO!T121</f>
        <v>-6.902029235086915E-2</v>
      </c>
      <c r="CN36" s="5">
        <f>N70_DESARROLLO!CR121+N70_DESARROLLO!U121</f>
        <v>-7.4141965022338829E-2</v>
      </c>
      <c r="CO36" s="5">
        <f>N70_DESARROLLO!CS121+N70_DESARROLLO!V121</f>
        <v>-8.0085554140353565E-2</v>
      </c>
      <c r="CP36" s="5">
        <f>N70_DESARROLLO!CT121+N70_DESARROLLO!W121</f>
        <v>-8.7066442319337245E-2</v>
      </c>
      <c r="CQ36" s="5">
        <f>N70_DESARROLLO!CU121+N70_DESARROLLO!X121</f>
        <v>-9.5382594982175606E-2</v>
      </c>
      <c r="CR36" s="5">
        <f>N70_DESARROLLO!CV121+N70_DESARROLLO!Y121</f>
        <v>-0.10545841852057858</v>
      </c>
      <c r="CS36" s="5">
        <f>N70_DESARROLLO!CW121+N70_DESARROLLO!Z121</f>
        <v>-0.1179199637504843</v>
      </c>
      <c r="CT36" s="5">
        <f>N70_DESARROLLO!CX121+N70_DESARROLLO!AA121</f>
        <v>-0.13373123411929888</v>
      </c>
      <c r="CU36" s="5">
        <f>N70_DESARROLLO!CY121+N70_DESARROLLO!AB121</f>
        <v>-0.15445886474681403</v>
      </c>
      <c r="CV36" s="5">
        <f>N70_DESARROLLO!CZ121+N70_DESARROLLO!AC121</f>
        <v>-0.18283342438756844</v>
      </c>
      <c r="CW36" s="5">
        <f>N70_DESARROLLO!DA121+N70_DESARROLLO!AD121</f>
        <v>-0.22408833054042676</v>
      </c>
      <c r="CX36" s="5">
        <f>N70_DESARROLLO!DB121+N70_DESARROLLO!AE121</f>
        <v>-0.28973434150573196</v>
      </c>
      <c r="CY36" s="5">
        <f>N70_DESARROLLO!DC121+N70_DESARROLLO!AF121</f>
        <v>-0.41141440075354807</v>
      </c>
      <c r="CZ36" s="5">
        <f>N70_DESARROLLO!DD121+N70_DESARROLLO!AG121</f>
        <v>-0.72775792963608232</v>
      </c>
      <c r="DA36" s="5">
        <f>N70_DESARROLLO!DE121+N70_DESARROLLO!AH121</f>
        <v>-1.6479184659605361</v>
      </c>
      <c r="DB36" s="5">
        <f>N70_DESARROLLO!DF121+N70_DESARROLLO!AI121</f>
        <v>1.6479184659605364</v>
      </c>
      <c r="DC36" s="5">
        <f>N70_DESARROLLO!DG121+N70_DESARROLLO!AJ121</f>
        <v>0.72775792963608221</v>
      </c>
      <c r="DD36" s="5">
        <f>N70_DESARROLLO!DH121+N70_DESARROLLO!AK121</f>
        <v>0.41141440075354785</v>
      </c>
      <c r="DE36" s="5">
        <f>N70_DESARROLLO!DI121+N70_DESARROLLO!AL121</f>
        <v>0.28973434150573174</v>
      </c>
      <c r="DF36" s="5">
        <f>N70_DESARROLLO!DJ121+N70_DESARROLLO!AM121</f>
        <v>0.22408833054042698</v>
      </c>
      <c r="DG36" s="5">
        <f>N70_DESARROLLO!DK121+N70_DESARROLLO!AN121</f>
        <v>0.18283342438756867</v>
      </c>
      <c r="DH36" s="5">
        <f>N70_DESARROLLO!DL121+N70_DESARROLLO!AO121</f>
        <v>0.15445886474681392</v>
      </c>
      <c r="DI36" s="5">
        <f>N70_DESARROLLO!DM121+N70_DESARROLLO!AP121</f>
        <v>0.13373123411929844</v>
      </c>
      <c r="DJ36" s="5">
        <f>N70_DESARROLLO!DN121+N70_DESARROLLO!AQ121</f>
        <v>0.11791996375048197</v>
      </c>
      <c r="DK36" s="5">
        <f>N70_DESARROLLO!DO121+N70_DESARROLLO!AR121</f>
        <v>0.10545841852058624</v>
      </c>
      <c r="DL36" s="5">
        <f>N70_DESARROLLO!DP121+N70_DESARROLLO!AS121</f>
        <v>9.5382594982166613E-2</v>
      </c>
      <c r="DM36" s="5">
        <f>N70_DESARROLLO!DQ121+N70_DESARROLLO!AT121</f>
        <v>8.7066442319344683E-2</v>
      </c>
      <c r="DN36" s="5">
        <f>N70_DESARROLLO!DR121+N70_DESARROLLO!AU121</f>
        <v>8.0085554140347681E-2</v>
      </c>
      <c r="DO36" s="5">
        <f>N70_DESARROLLO!DS121+N70_DESARROLLO!AV121</f>
        <v>7.4141965022345824E-2</v>
      </c>
      <c r="DP36" s="5">
        <f>N70_DESARROLLO!DT121+N70_DESARROLLO!AW121</f>
        <v>6.9020292350860046E-2</v>
      </c>
      <c r="DQ36" s="5">
        <f>N70_DESARROLLO!DU121+N70_DESARROLLO!AX121</f>
        <v>6.4560961252482119E-2</v>
      </c>
      <c r="DR36" s="5">
        <f>N70_DESARROLLO!DV121+N70_DESARROLLO!AY121</f>
        <v>6.0643218403529819E-2</v>
      </c>
      <c r="DS36" s="5">
        <f>N70_DESARROLLO!DW121+N70_DESARROLLO!AZ121</f>
        <v>5.717399712907123E-2</v>
      </c>
      <c r="DT36" s="5">
        <f>N70_DESARROLLO!DX121+N70_DESARROLLO!BA121</f>
        <v>5.4080408838158012E-2</v>
      </c>
      <c r="DU36" s="5">
        <f>N70_DESARROLLO!DY121+N70_DESARROLLO!BB121</f>
        <v>5.130455332633288E-2</v>
      </c>
      <c r="DV36" s="5">
        <f>N70_DESARROLLO!DZ121+N70_DESARROLLO!BC121</f>
        <v>4.8799853039083518E-2</v>
      </c>
      <c r="DW36" s="5">
        <f>N70_DESARROLLO!EA121+N70_DESARROLLO!BD121</f>
        <v>4.6528413377880606E-2</v>
      </c>
      <c r="DX36" s="5">
        <f>N70_DESARROLLO!EB121+N70_DESARROLLO!BE121</f>
        <v>4.4459088822771053E-2</v>
      </c>
      <c r="DY36" s="5">
        <f>N70_DESARROLLO!EC121+N70_DESARROLLO!BF121</f>
        <v>4.2566044021103977E-2</v>
      </c>
      <c r="DZ36" s="5">
        <f>N70_DESARROLLO!ED121+N70_DESARROLLO!BG121</f>
        <v>4.0827668052543675E-2</v>
      </c>
      <c r="EA36" s="5">
        <f>N70_DESARROLLO!EE121+N70_DESARROLLO!BH121</f>
        <v>3.9225744685471353E-2</v>
      </c>
      <c r="EB36" s="5">
        <f>N70_DESARROLLO!EF121+N70_DESARROLLO!BI121</f>
        <v>3.7744810855693478E-2</v>
      </c>
      <c r="EC36" s="5">
        <f>N70_DESARROLLO!EG121+N70_DESARROLLO!BJ121</f>
        <v>3.6371655357452903E-2</v>
      </c>
      <c r="ED36" s="5">
        <f>N70_DESARROLLO!EH121+N70_DESARROLLO!BK121</f>
        <v>3.509492324420449E-2</v>
      </c>
      <c r="EE36" s="5">
        <f>N70_DESARROLLO!EI121+N70_DESARROLLO!BL121</f>
        <v>3.3904800811327962E-2</v>
      </c>
      <c r="EF36" s="5">
        <f>N70_DESARROLLO!EJ121+N70_DESARROLLO!BM121</f>
        <v>3.2792762635863171E-2</v>
      </c>
      <c r="EG36" s="5">
        <f>N70_DESARROLLO!EK121+N70_DESARROLLO!BN121</f>
        <v>3.17513668626761E-2</v>
      </c>
      <c r="EH36" s="5">
        <f>N70_DESARROLLO!EL121+N70_DESARROLLO!BO121</f>
        <v>3.0774088329705407E-2</v>
      </c>
      <c r="EI36" s="5">
        <f>N70_DESARROLLO!EM121+N70_DESARROLLO!BP121</f>
        <v>2.9855181616038617E-2</v>
      </c>
      <c r="EJ36" s="5">
        <f>N70_DESARROLLO!EN121+N70_DESARROLLO!BQ121</f>
        <v>2.8989567932948379E-2</v>
      </c>
      <c r="EK36" s="5">
        <f>N70_DESARROLLO!EO121+N70_DESARROLLO!BR121</f>
        <v>2.8172741151794578E-2</v>
      </c>
      <c r="EL36" s="5">
        <f>N70_DESARROLLO!EP121+N70_DESARROLLO!BS121</f>
        <v>2.7400689293789693E-2</v>
      </c>
      <c r="EM36" s="5">
        <f>N70_DESARROLLO!EQ121+N70_DESARROLLO!BT121</f>
        <v>2.666982859321998E-2</v>
      </c>
      <c r="EN36" s="5">
        <f>N70_DESARROLLO!ER121+N70_DESARROLLO!BU121</f>
        <v>2.5976947844875475E-2</v>
      </c>
      <c r="EO36" s="5">
        <f>N70_DESARROLLO!ES121+N70_DESARROLLO!BV121</f>
        <v>2.5319161212279506E-2</v>
      </c>
      <c r="EP36" s="5">
        <f>N70_DESARROLLO!ET121+N70_DESARROLLO!BW121</f>
        <v>2.469386803250806E-2</v>
      </c>
      <c r="EQ36" s="5">
        <f>N70_DESARROLLO!EU121+N70_DESARROLLO!BX121</f>
        <v>2.4098718436555866E-2</v>
      </c>
      <c r="ER36" s="5">
        <f>N70_DESARROLLO!EV121+N70_DESARROLLO!BY121</f>
        <v>33.941240386364647</v>
      </c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>
        <v>27</v>
      </c>
      <c r="FD36" s="4">
        <v>3.9404326889738868E-4</v>
      </c>
      <c r="FE36" s="4">
        <v>8.0555085506948195E-4</v>
      </c>
      <c r="FF36" s="4">
        <v>1.0911785567915627E-3</v>
      </c>
      <c r="FG36" s="4">
        <v>1.3599704113190514E-3</v>
      </c>
      <c r="FH36" s="4">
        <v>1.6264381890873777E-3</v>
      </c>
      <c r="FI36" s="4">
        <v>1.9002741108772897E-3</v>
      </c>
      <c r="FJ36" s="4">
        <v>2.1883131501191024E-3</v>
      </c>
      <c r="FK36" s="4">
        <v>2.4966118465602669E-3</v>
      </c>
      <c r="FL36" s="4">
        <v>2.8313158069490571E-3</v>
      </c>
      <c r="FM36" s="4">
        <v>3.1992463129753503E-3</v>
      </c>
      <c r="FN36" s="4">
        <v>3.6084333596015502E-3</v>
      </c>
      <c r="FO36" s="4">
        <v>4.0687251668771731E-3</v>
      </c>
      <c r="FP36" s="4">
        <v>4.5925863520467286E-3</v>
      </c>
      <c r="FQ36" s="4">
        <v>5.1962277682222127E-3</v>
      </c>
      <c r="FR36" s="4">
        <v>5.9012899105305881E-3</v>
      </c>
      <c r="FS36" s="4">
        <v>6.7374586780353535E-3</v>
      </c>
      <c r="FT36" s="4">
        <v>7.7467014724142379E-3</v>
      </c>
      <c r="FU36" s="4">
        <v>8.9904462274598921E-3</v>
      </c>
      <c r="FV36" s="4">
        <v>1.0562408974115613E-2</v>
      </c>
      <c r="FW36" s="4">
        <v>1.2613037632175533E-2</v>
      </c>
      <c r="FX36" s="4">
        <v>1.5399826047147484E-2</v>
      </c>
      <c r="FY36" s="4">
        <v>1.9404405930961554E-2</v>
      </c>
      <c r="FZ36" s="4">
        <v>2.5605520272114827E-2</v>
      </c>
      <c r="GA36" s="4">
        <v>3.6941940112630238E-2</v>
      </c>
      <c r="GB36" s="4">
        <v>5.4248023082807226E-2</v>
      </c>
      <c r="GC36" s="4">
        <v>0.24488219917357271</v>
      </c>
      <c r="GD36" s="4">
        <v>-0.25087324125693788</v>
      </c>
      <c r="GE36" s="4">
        <v>-6.0242030394035528E-2</v>
      </c>
      <c r="GF36" s="4">
        <v>-4.294189315735468E-2</v>
      </c>
      <c r="GG36" s="4">
        <v>-3.1614430396599662E-2</v>
      </c>
      <c r="GH36" s="4">
        <v>-2.5425331469047283E-2</v>
      </c>
      <c r="GI36" s="4">
        <v>-2.1435889379434889E-2</v>
      </c>
      <c r="GJ36" s="4">
        <v>-1.8667443532953583E-2</v>
      </c>
      <c r="GK36" s="4">
        <v>-1.6638464692103418E-2</v>
      </c>
      <c r="GL36" s="4">
        <v>-1.5091583848063486E-2</v>
      </c>
      <c r="GM36" s="4">
        <v>-1.3876503254288271E-2</v>
      </c>
      <c r="GN36" s="4">
        <v>-1.2899686264668741E-2</v>
      </c>
      <c r="GO36" s="4">
        <v>-1.2099918618938266E-2</v>
      </c>
      <c r="GP36" s="4">
        <v>-1.1435487601195494E-2</v>
      </c>
      <c r="GQ36" s="4">
        <v>-1.087701205068714E-2</v>
      </c>
      <c r="GR36" s="4">
        <v>-1.0403218657960289E-2</v>
      </c>
      <c r="GS36" s="4">
        <v>-9.9983436103188335E-3</v>
      </c>
      <c r="GT36" s="4">
        <v>-9.6504743529221646E-3</v>
      </c>
      <c r="GU36" s="4">
        <v>-9.3504574275222168E-3</v>
      </c>
      <c r="GV36" s="4">
        <v>-9.0911591302501558E-3</v>
      </c>
      <c r="GW36" s="4">
        <v>-8.8669527043098405E-3</v>
      </c>
      <c r="GX36" s="4">
        <v>-8.6733547272083225E-3</v>
      </c>
      <c r="GY36" s="4">
        <v>-8.5067618360001891E-3</v>
      </c>
      <c r="GZ36" s="4">
        <v>-8.3642559681901107E-3</v>
      </c>
      <c r="HA36" s="4">
        <v>-8.2434566696680065E-3</v>
      </c>
      <c r="HB36" s="4">
        <v>-8.1424053385131031E-3</v>
      </c>
      <c r="HC36" s="4">
        <v>-8.0594699497062751E-3</v>
      </c>
      <c r="HD36" s="4">
        <v>-7.9932605418756558E-3</v>
      </c>
      <c r="HE36" s="4">
        <v>-7.9425457389091462E-3</v>
      </c>
      <c r="HF36" s="4">
        <v>-7.9061585226551778E-3</v>
      </c>
      <c r="HG36" s="4">
        <v>-7.8828743698621043E-3</v>
      </c>
      <c r="HH36" s="4">
        <v>-7.8712344680247851E-3</v>
      </c>
      <c r="HI36" s="4">
        <v>-7.8692662341480306E-3</v>
      </c>
      <c r="HJ36" s="4">
        <v>-7.8740123665647678E-3</v>
      </c>
      <c r="HK36" s="4">
        <v>-7.880694585032438E-3</v>
      </c>
      <c r="HL36" s="4">
        <v>-7.8811525454365421E-3</v>
      </c>
      <c r="HM36" s="4">
        <v>-7.8607673801348414E-3</v>
      </c>
      <c r="HN36" s="4">
        <v>-7.7919933468785533E-3</v>
      </c>
      <c r="HO36" s="4">
        <v>-7.6197082092035791E-3</v>
      </c>
      <c r="HP36" s="4">
        <v>-7.223139810200967E-3</v>
      </c>
      <c r="HQ36" s="4">
        <v>-6.3248586257345848E-3</v>
      </c>
      <c r="HR36" s="4">
        <v>-3.8389598751745273E-3</v>
      </c>
      <c r="HS36" s="4">
        <v>-6.0758558501455243E-4</v>
      </c>
      <c r="HT36" s="4">
        <v>9.1166070011321682E-2</v>
      </c>
      <c r="HU36" s="4">
        <v>-0.24448702711096088</v>
      </c>
    </row>
    <row r="37" spans="4:229" x14ac:dyDescent="0.25">
      <c r="D37" s="10">
        <v>28</v>
      </c>
      <c r="E37" s="5">
        <f>'N70'!E44-'N70'!E43</f>
        <v>1.428571428571429E-2</v>
      </c>
      <c r="F37" s="5">
        <f>'N70'!H43-'N70'!E16</f>
        <v>0.39285714285714279</v>
      </c>
      <c r="G37" s="5">
        <f>'N70'!H43-'N70'!E17</f>
        <v>0.3785714285714285</v>
      </c>
      <c r="H37" s="5">
        <f>'N70'!H43-'N70'!E18</f>
        <v>0.36428571428571421</v>
      </c>
      <c r="I37" s="5">
        <f>'N70'!H43-'N70'!E19</f>
        <v>0.34999999999999992</v>
      </c>
      <c r="J37" s="5">
        <f>'N70'!H43-'N70'!E20</f>
        <v>0.33571428571428563</v>
      </c>
      <c r="K37" s="5">
        <f>'N70'!H43-'N70'!E21</f>
        <v>0.3214285714285714</v>
      </c>
      <c r="L37" s="5">
        <f>'N70'!H43-'N70'!E22</f>
        <v>0.30714285714285705</v>
      </c>
      <c r="M37" s="5">
        <f>'N70'!H43-'N70'!E23</f>
        <v>0.29285714285714282</v>
      </c>
      <c r="N37" s="5">
        <f>'N70'!H43-'N70'!E24</f>
        <v>0.27857142857142853</v>
      </c>
      <c r="O37" s="5">
        <f>'N70'!H43-'N70'!E25</f>
        <v>0.26428571428571423</v>
      </c>
      <c r="P37" s="5">
        <f>'N70'!H43-'N70'!E26</f>
        <v>0.24999999999999994</v>
      </c>
      <c r="Q37" s="5">
        <f>'N70'!H43-'N70'!E27</f>
        <v>0.23571428571428565</v>
      </c>
      <c r="R37" s="5">
        <f>'N70'!H43-'N70'!E28</f>
        <v>0.22142857142857136</v>
      </c>
      <c r="S37" s="5">
        <f>'N70'!H43-'N70'!E29</f>
        <v>0.20714285714285707</v>
      </c>
      <c r="T37" s="5">
        <f>'N70'!H43-'N70'!E30</f>
        <v>0.19285714285714281</v>
      </c>
      <c r="U37" s="5">
        <f>'N70'!H43-'N70'!E31</f>
        <v>0.17857142857142852</v>
      </c>
      <c r="V37" s="5">
        <f>'N70'!H43-'N70'!E32</f>
        <v>0.16428571428571423</v>
      </c>
      <c r="W37" s="5">
        <f>'N70'!H43-'N70'!E33</f>
        <v>0.14999999999999994</v>
      </c>
      <c r="X37" s="5">
        <f>'N70'!H43-'N70'!E34</f>
        <v>0.13571428571428568</v>
      </c>
      <c r="Y37" s="5">
        <f>'N70'!H43-'N70'!E35</f>
        <v>0.12142857142857139</v>
      </c>
      <c r="Z37" s="5">
        <f>'N70'!H43-'N70'!E36</f>
        <v>0.1071428571428571</v>
      </c>
      <c r="AA37" s="5">
        <f>'N70'!H43-'N70'!E37</f>
        <v>9.2857142857142805E-2</v>
      </c>
      <c r="AB37" s="5">
        <f>'N70'!H43-'N70'!E38</f>
        <v>7.8571428571428514E-2</v>
      </c>
      <c r="AC37" s="5">
        <f>'N70'!H43-'N70'!E39</f>
        <v>6.4285714285714224E-2</v>
      </c>
      <c r="AD37" s="5">
        <f>'N70'!H43-'N70'!E40</f>
        <v>4.9999999999999933E-2</v>
      </c>
      <c r="AE37" s="5">
        <f>'N70'!H43-'N70'!E41</f>
        <v>3.5714285714285643E-2</v>
      </c>
      <c r="AF37" s="5">
        <f>'N70'!H43-'N70'!E42</f>
        <v>2.1428571428571352E-2</v>
      </c>
      <c r="AG37" s="5">
        <f>'N70'!H43-'N70'!E43</f>
        <v>7.1428571428571175E-3</v>
      </c>
      <c r="AH37" s="5">
        <f>'N70'!H43-'N70'!E44</f>
        <v>-7.142857142857173E-3</v>
      </c>
      <c r="AI37" s="5">
        <f>'N70'!H43-'N70'!E45</f>
        <v>-2.1428571428571463E-2</v>
      </c>
      <c r="AJ37" s="5">
        <f>'N70'!H43-'N70'!E46</f>
        <v>-3.5714285714285754E-2</v>
      </c>
      <c r="AK37" s="5">
        <f>'N70'!H43-'N70'!E47</f>
        <v>-5.0000000000000044E-2</v>
      </c>
      <c r="AL37" s="5">
        <f>'N70'!H43-'N70'!$E$48</f>
        <v>-6.4285714285714335E-2</v>
      </c>
      <c r="AM37" s="5">
        <f>'N70'!H43-'N70'!$E$49</f>
        <v>-7.8571428571428625E-2</v>
      </c>
      <c r="AN37" s="5">
        <f>'N70'!H43-'N70'!$E$50</f>
        <v>-9.2857142857142916E-2</v>
      </c>
      <c r="AO37" s="5">
        <f>'N70'!H43-'N70'!$E$51</f>
        <v>-0.10714285714285721</v>
      </c>
      <c r="AP37" s="5">
        <f>'N70'!H43-'N70'!$E$52</f>
        <v>-0.12142857142857144</v>
      </c>
      <c r="AQ37" s="5">
        <f>'N70'!H43-'N70'!$E$53</f>
        <v>-0.13571428571428579</v>
      </c>
      <c r="AR37" s="5">
        <f>'N70'!H43-'N70'!$E$54</f>
        <v>-0.15000000000000002</v>
      </c>
      <c r="AS37" s="5">
        <f>'N70'!H43-'N70'!$E$55</f>
        <v>-0.16428571428571437</v>
      </c>
      <c r="AT37" s="5">
        <f>'N70'!H43-'N70'!$E$56</f>
        <v>-0.1785714285714286</v>
      </c>
      <c r="AU37" s="5">
        <f>'N70'!H43-'N70'!$E$57</f>
        <v>-0.19285714285714295</v>
      </c>
      <c r="AV37" s="5">
        <f>'N70'!H43-'N70'!$E$58</f>
        <v>-0.20714285714285718</v>
      </c>
      <c r="AW37" s="5">
        <f>'N70'!H43-'N70'!$E$59</f>
        <v>-0.22142857142857142</v>
      </c>
      <c r="AX37" s="5">
        <f>'N70'!H43-'N70'!$E$60</f>
        <v>-0.23571428571428577</v>
      </c>
      <c r="AY37" s="5">
        <f>'N70'!H43-'N70'!$E$61</f>
        <v>-0.25</v>
      </c>
      <c r="AZ37" s="5">
        <f>'N70'!H43-'N70'!$E$62</f>
        <v>-0.26428571428571435</v>
      </c>
      <c r="BA37" s="5">
        <f>'N70'!H43-'N70'!$E$63</f>
        <v>-0.27857142857142858</v>
      </c>
      <c r="BB37" s="5">
        <f>'N70'!H43-'N70'!$E$64</f>
        <v>-0.29285714285714293</v>
      </c>
      <c r="BC37" s="5">
        <f>'N70'!H43-'N70'!$E$65</f>
        <v>-0.30714285714285716</v>
      </c>
      <c r="BD37" s="5">
        <f>'N70'!H43-'N70'!$E$66</f>
        <v>-0.32142857142857151</v>
      </c>
      <c r="BE37" s="5">
        <f>'N70'!H43-'N70'!$E$67</f>
        <v>-0.33571428571428574</v>
      </c>
      <c r="BF37" s="5">
        <f>'N70'!H43-'N70'!$E$68</f>
        <v>-0.35000000000000009</v>
      </c>
      <c r="BG37" s="5">
        <f>'N70'!H43-'N70'!$E$69</f>
        <v>-0.36428571428571432</v>
      </c>
      <c r="BH37" s="5">
        <f>'N70'!H43-'N70'!$E$70</f>
        <v>-0.37857142857142856</v>
      </c>
      <c r="BI37" s="5">
        <f>'N70'!H43-'N70'!$E$71</f>
        <v>-0.3928571428571429</v>
      </c>
      <c r="BJ37" s="5">
        <f>'N70'!H43-'N70'!$E$72</f>
        <v>-0.40714285714285714</v>
      </c>
      <c r="BK37" s="5">
        <f>'N70'!H43-'N70'!$E$73</f>
        <v>-0.42142857142857149</v>
      </c>
      <c r="BL37" s="5">
        <f>'N70'!H43-'N70'!$E$74</f>
        <v>-0.43571428571428572</v>
      </c>
      <c r="BM37" s="5">
        <f>'N70'!H43-'N70'!$E$75</f>
        <v>-0.45000000000000007</v>
      </c>
      <c r="BN37" s="5">
        <f>'N70'!H43-'N70'!$E$76</f>
        <v>-0.4642857142857143</v>
      </c>
      <c r="BO37" s="5">
        <f>'N70'!H43-'N70'!$E$77</f>
        <v>-0.47857142857142865</v>
      </c>
      <c r="BP37" s="5">
        <f>'N70'!H43-'N70'!$E$78</f>
        <v>-0.49285714285714288</v>
      </c>
      <c r="BQ37" s="5">
        <f>'N70'!H43-'N70'!$E$79</f>
        <v>-0.50714285714285723</v>
      </c>
      <c r="BR37" s="5">
        <f>'N70'!H43-'N70'!$E$80</f>
        <v>-0.52142857142857146</v>
      </c>
      <c r="BS37" s="5">
        <f>'N70'!H43-'N70'!$E$81</f>
        <v>-0.5357142857142857</v>
      </c>
      <c r="BT37" s="5">
        <f>'N70'!H43-'N70'!$E$82</f>
        <v>-0.55000000000000004</v>
      </c>
      <c r="BU37" s="5">
        <f>'N70'!H43-'N70'!$E$83</f>
        <v>-0.56428571428571428</v>
      </c>
      <c r="BV37" s="5">
        <f>'N70'!H43-'N70'!$E$84</f>
        <v>-0.57857142857142863</v>
      </c>
      <c r="BW37" s="5">
        <f>'N70'!H43-'N70'!$E$85</f>
        <v>-0.59285714285714286</v>
      </c>
      <c r="BX37" s="5">
        <v>-1</v>
      </c>
      <c r="BY37" s="5"/>
      <c r="BZ37">
        <v>28</v>
      </c>
      <c r="CA37" s="5">
        <f>N70_DESARROLLO!CE122+N70_DESARROLLO!H122</f>
        <v>-1.8406280838874745E-2</v>
      </c>
      <c r="CB37" s="5">
        <f>N70_DESARROLLO!CF122+N70_DESARROLLO!I122</f>
        <v>-3.7744810855697031E-2</v>
      </c>
      <c r="CC37" s="5">
        <f>N70_DESARROLLO!CG122+N70_DESARROLLO!J122</f>
        <v>-3.9225744685481456E-2</v>
      </c>
      <c r="CD37" s="5">
        <f>N70_DESARROLLO!CH122+N70_DESARROLLO!K122</f>
        <v>-4.0827668052531463E-2</v>
      </c>
      <c r="CE37" s="5">
        <f>N70_DESARROLLO!CI122+N70_DESARROLLO!L122</f>
        <v>-4.2566044021118632E-2</v>
      </c>
      <c r="CF37" s="5">
        <f>N70_DESARROLLO!CJ122+N70_DESARROLLO!M122</f>
        <v>-4.4459088822753623E-2</v>
      </c>
      <c r="CG37" s="5">
        <f>N70_DESARROLLO!CK122+N70_DESARROLLO!N122</f>
        <v>-4.6528413377895816E-2</v>
      </c>
      <c r="CH37" s="5">
        <f>N70_DESARROLLO!CL122+N70_DESARROLLO!O122</f>
        <v>-4.8799853039070529E-2</v>
      </c>
      <c r="CI37" s="5">
        <f>N70_DESARROLLO!CM122+N70_DESARROLLO!P122</f>
        <v>-5.1304553326342761E-2</v>
      </c>
      <c r="CJ37" s="5">
        <f>N70_DESARROLLO!CN122+N70_DESARROLLO!Q122</f>
        <v>-5.4080408838149241E-2</v>
      </c>
      <c r="CK37" s="5">
        <f>N70_DESARROLLO!CO122+N70_DESARROLLO!R122</f>
        <v>-5.7173997129077003E-2</v>
      </c>
      <c r="CL37" s="5">
        <f>N70_DESARROLLO!CP122+N70_DESARROLLO!S122</f>
        <v>-6.0643218403522159E-2</v>
      </c>
      <c r="CM37" s="5">
        <f>N70_DESARROLLO!CQ122+N70_DESARROLLO!T122</f>
        <v>-6.4560961252483229E-2</v>
      </c>
      <c r="CN37" s="5">
        <f>N70_DESARROLLO!CR122+N70_DESARROLLO!U122</f>
        <v>-6.9020292350870482E-2</v>
      </c>
      <c r="CO37" s="5">
        <f>N70_DESARROLLO!CS122+N70_DESARROLLO!V122</f>
        <v>-7.4141965022335832E-2</v>
      </c>
      <c r="CP37" s="5">
        <f>N70_DESARROLLO!CT122+N70_DESARROLLO!W122</f>
        <v>-8.0085554140355453E-2</v>
      </c>
      <c r="CQ37" s="5">
        <f>N70_DESARROLLO!CU122+N70_DESARROLLO!X122</f>
        <v>-8.7066442319337134E-2</v>
      </c>
      <c r="CR37" s="5">
        <f>N70_DESARROLLO!CV122+N70_DESARROLLO!Y122</f>
        <v>-9.5382594982176716E-2</v>
      </c>
      <c r="CS37" s="5">
        <f>N70_DESARROLLO!CW122+N70_DESARROLLO!Z122</f>
        <v>-0.10545841852057536</v>
      </c>
      <c r="CT37" s="5">
        <f>N70_DESARROLLO!CX122+N70_DESARROLLO!AA122</f>
        <v>-0.11791996375048674</v>
      </c>
      <c r="CU37" s="5">
        <f>N70_DESARROLLO!CY122+N70_DESARROLLO!AB122</f>
        <v>-0.13373123411929877</v>
      </c>
      <c r="CV37" s="5">
        <f>N70_DESARROLLO!CZ122+N70_DESARROLLO!AC122</f>
        <v>-0.15445886474681347</v>
      </c>
      <c r="CW37" s="5">
        <f>N70_DESARROLLO!DA122+N70_DESARROLLO!AD122</f>
        <v>-0.18283342438756867</v>
      </c>
      <c r="CX37" s="5">
        <f>N70_DESARROLLO!DB122+N70_DESARROLLO!AE122</f>
        <v>-0.22408833054042687</v>
      </c>
      <c r="CY37" s="5">
        <f>N70_DESARROLLO!DC122+N70_DESARROLLO!AF122</f>
        <v>-0.28973434150573285</v>
      </c>
      <c r="CZ37" s="5">
        <f>N70_DESARROLLO!DD122+N70_DESARROLLO!AG122</f>
        <v>-0.41141440075354818</v>
      </c>
      <c r="DA37" s="5">
        <f>N70_DESARROLLO!DE122+N70_DESARROLLO!AH122</f>
        <v>-0.72775792963608354</v>
      </c>
      <c r="DB37" s="5">
        <f>N70_DESARROLLO!DF122+N70_DESARROLLO!AI122</f>
        <v>-1.6479184659605282</v>
      </c>
      <c r="DC37" s="5">
        <f>N70_DESARROLLO!DG122+N70_DESARROLLO!AJ122</f>
        <v>1.6479184659605328</v>
      </c>
      <c r="DD37" s="5">
        <f>N70_DESARROLLO!DH122+N70_DESARROLLO!AK122</f>
        <v>0.72775792963607955</v>
      </c>
      <c r="DE37" s="5">
        <f>N70_DESARROLLO!DI122+N70_DESARROLLO!AL122</f>
        <v>0.41141440075354707</v>
      </c>
      <c r="DF37" s="5">
        <f>N70_DESARROLLO!DJ122+N70_DESARROLLO!AM122</f>
        <v>0.28973434150573207</v>
      </c>
      <c r="DG37" s="5">
        <f>N70_DESARROLLO!DK122+N70_DESARROLLO!AN122</f>
        <v>0.22408833054042643</v>
      </c>
      <c r="DH37" s="5">
        <f>N70_DESARROLLO!DL122+N70_DESARROLLO!AO122</f>
        <v>0.18283342438756822</v>
      </c>
      <c r="DI37" s="5">
        <f>N70_DESARROLLO!DM122+N70_DESARROLLO!AP122</f>
        <v>0.15445886474681314</v>
      </c>
      <c r="DJ37" s="5">
        <f>N70_DESARROLLO!DN122+N70_DESARROLLO!AQ122</f>
        <v>0.13373123411929577</v>
      </c>
      <c r="DK37" s="5">
        <f>N70_DESARROLLO!DO122+N70_DESARROLLO!AR122</f>
        <v>0.11791996375049285</v>
      </c>
      <c r="DL37" s="5">
        <f>N70_DESARROLLO!DP122+N70_DESARROLLO!AS122</f>
        <v>0.10545841852057103</v>
      </c>
      <c r="DM37" s="5">
        <f>N70_DESARROLLO!DQ122+N70_DESARROLLO!AT122</f>
        <v>9.5382594982181268E-2</v>
      </c>
      <c r="DN37" s="5">
        <f>N70_DESARROLLO!DR122+N70_DESARROLLO!AU122</f>
        <v>8.7066442319330473E-2</v>
      </c>
      <c r="DO37" s="5">
        <f>N70_DESARROLLO!DS122+N70_DESARROLLO!AV122</f>
        <v>8.0085554140363002E-2</v>
      </c>
      <c r="DP37" s="5">
        <f>N70_DESARROLLO!DT122+N70_DESARROLLO!AW122</f>
        <v>7.414196502232917E-2</v>
      </c>
      <c r="DQ37" s="5">
        <f>N70_DESARROLLO!DU122+N70_DESARROLLO!AX122</f>
        <v>6.9020292350867818E-2</v>
      </c>
      <c r="DR37" s="5">
        <f>N70_DESARROLLO!DV122+N70_DESARROLLO!AY122</f>
        <v>6.4560961252489446E-2</v>
      </c>
      <c r="DS37" s="5">
        <f>N70_DESARROLLO!DW122+N70_DESARROLLO!AZ122</f>
        <v>6.0643218403515942E-2</v>
      </c>
      <c r="DT37" s="5">
        <f>N70_DESARROLLO!DX122+N70_DESARROLLO!BA122</f>
        <v>5.7173997129085885E-2</v>
      </c>
      <c r="DU37" s="5">
        <f>N70_DESARROLLO!DY122+N70_DESARROLLO!BB122</f>
        <v>5.4080408838142358E-2</v>
      </c>
      <c r="DV37" s="5">
        <f>N70_DESARROLLO!DZ122+N70_DESARROLLO!BC122</f>
        <v>5.1304553326349533E-2</v>
      </c>
      <c r="DW37" s="5">
        <f>N70_DESARROLLO!EA122+N70_DESARROLLO!BD122</f>
        <v>4.8799853039066199E-2</v>
      </c>
      <c r="DX37" s="5">
        <f>N70_DESARROLLO!EB122+N70_DESARROLLO!BE122</f>
        <v>4.652841337789404E-2</v>
      </c>
      <c r="DY37" s="5">
        <f>N70_DESARROLLO!EC122+N70_DESARROLLO!BF122</f>
        <v>4.4459088822756176E-2</v>
      </c>
      <c r="DZ37" s="5">
        <f>N70_DESARROLLO!ED122+N70_DESARROLLO!BG122</f>
        <v>4.2566044021123961E-2</v>
      </c>
      <c r="EA37" s="5">
        <f>N70_DESARROLLO!EE122+N70_DESARROLLO!BH122</f>
        <v>4.0827668052522914E-2</v>
      </c>
      <c r="EB37" s="5">
        <f>N70_DESARROLLO!EF122+N70_DESARROLLO!BI122</f>
        <v>3.9225744685481567E-2</v>
      </c>
      <c r="EC37" s="5">
        <f>N70_DESARROLLO!EG122+N70_DESARROLLO!BJ122</f>
        <v>3.7744810855705468E-2</v>
      </c>
      <c r="ED37" s="5">
        <f>N70_DESARROLLO!EH122+N70_DESARROLLO!BK122</f>
        <v>3.6371655357429256E-2</v>
      </c>
      <c r="EE37" s="5">
        <f>N70_DESARROLLO!EI122+N70_DESARROLLO!BL122</f>
        <v>3.5094923244222698E-2</v>
      </c>
      <c r="EF37" s="5">
        <f>N70_DESARROLLO!EJ122+N70_DESARROLLO!BM122</f>
        <v>3.3904800811315305E-2</v>
      </c>
      <c r="EG37" s="5">
        <f>N70_DESARROLLO!EK122+N70_DESARROLLO!BN122</f>
        <v>3.279276263587616E-2</v>
      </c>
      <c r="EH37" s="5">
        <f>N70_DESARROLLO!EL122+N70_DESARROLLO!BO122</f>
        <v>3.1751366862662667E-2</v>
      </c>
      <c r="EI37" s="5">
        <f>N70_DESARROLLO!EM122+N70_DESARROLLO!BP122</f>
        <v>3.0774088329719285E-2</v>
      </c>
      <c r="EJ37" s="5">
        <f>N70_DESARROLLO!EN122+N70_DESARROLLO!BQ122</f>
        <v>2.9855181616024185E-2</v>
      </c>
      <c r="EK37" s="5">
        <f>N70_DESARROLLO!EO122+N70_DESARROLLO!BR122</f>
        <v>2.8989567932963145E-2</v>
      </c>
      <c r="EL37" s="5">
        <f>N70_DESARROLLO!EP122+N70_DESARROLLO!BS122</f>
        <v>2.8172741151779368E-2</v>
      </c>
      <c r="EM37" s="5">
        <f>N70_DESARROLLO!EQ122+N70_DESARROLLO!BT122</f>
        <v>2.7400689293797131E-2</v>
      </c>
      <c r="EN37" s="5">
        <f>N70_DESARROLLO!ER122+N70_DESARROLLO!BU122</f>
        <v>2.6669828593228417E-2</v>
      </c>
      <c r="EO37" s="5">
        <f>N70_DESARROLLO!ES122+N70_DESARROLLO!BV122</f>
        <v>2.597694784486726E-2</v>
      </c>
      <c r="EP37" s="5">
        <f>N70_DESARROLLO!ET122+N70_DESARROLLO!BW122</f>
        <v>2.5319161212288277E-2</v>
      </c>
      <c r="EQ37" s="5">
        <f>N70_DESARROLLO!EU122+N70_DESARROLLO!BX122</f>
        <v>2.4693868032490518E-2</v>
      </c>
      <c r="ER37" s="5">
        <f>N70_DESARROLLO!EV122+N70_DESARROLLO!BY122</f>
        <v>35.608273897526495</v>
      </c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>
        <v>28</v>
      </c>
      <c r="FD37" s="4">
        <v>3.681354451400256E-4</v>
      </c>
      <c r="FE37" s="4">
        <v>7.5159006712278574E-4</v>
      </c>
      <c r="FF37" s="4">
        <v>1.0163947337853438E-3</v>
      </c>
      <c r="FG37" s="4">
        <v>1.2644855164753255E-3</v>
      </c>
      <c r="FH37" s="4">
        <v>1.5092707786785284E-3</v>
      </c>
      <c r="FI37" s="4">
        <v>1.7595806579051338E-3</v>
      </c>
      <c r="FJ37" s="4">
        <v>2.0214912328862548E-3</v>
      </c>
      <c r="FK37" s="4">
        <v>2.3002465470223915E-3</v>
      </c>
      <c r="FL37" s="4">
        <v>2.6010350302366832E-3</v>
      </c>
      <c r="FM37" s="4">
        <v>2.9294862553080657E-3</v>
      </c>
      <c r="FN37" s="4">
        <v>3.2920924141008547E-3</v>
      </c>
      <c r="FO37" s="4">
        <v>3.6966622520171587E-3</v>
      </c>
      <c r="FP37" s="4">
        <v>4.1528888723581254E-3</v>
      </c>
      <c r="FQ37" s="4">
        <v>4.6731243579177543E-3</v>
      </c>
      <c r="FR37" s="4">
        <v>5.2734955518610634E-3</v>
      </c>
      <c r="FS37" s="4">
        <v>5.9755786819395426E-3</v>
      </c>
      <c r="FT37" s="4">
        <v>6.809009423371753E-3</v>
      </c>
      <c r="FU37" s="4">
        <v>7.815715177345417E-3</v>
      </c>
      <c r="FV37" s="4">
        <v>9.0570914667643665E-3</v>
      </c>
      <c r="FW37" s="4">
        <v>1.0626827640496699E-2</v>
      </c>
      <c r="FX37" s="4">
        <v>1.26753493210905E-2</v>
      </c>
      <c r="FY37" s="4">
        <v>1.5460131451579194E-2</v>
      </c>
      <c r="FZ37" s="4">
        <v>1.9462789493454102E-2</v>
      </c>
      <c r="GA37" s="4">
        <v>2.566205226998599E-2</v>
      </c>
      <c r="GB37" s="4">
        <v>3.6996678303467576E-2</v>
      </c>
      <c r="GC37" s="4">
        <v>5.4301014003362874E-2</v>
      </c>
      <c r="GD37" s="4">
        <v>0.24493347916102415</v>
      </c>
      <c r="GE37" s="4">
        <v>-0.25082364526977391</v>
      </c>
      <c r="GF37" s="4">
        <v>-6.0194100270741423E-2</v>
      </c>
      <c r="GG37" s="4">
        <v>-4.2895619107763842E-2</v>
      </c>
      <c r="GH37" s="4">
        <v>-3.1569810662195615E-2</v>
      </c>
      <c r="GI37" s="4">
        <v>-2.538237212694754E-2</v>
      </c>
      <c r="GJ37" s="4">
        <v>-2.1394604252079327E-2</v>
      </c>
      <c r="GK37" s="4">
        <v>-1.8627854193688415E-2</v>
      </c>
      <c r="GL37" s="4">
        <v>-1.6600600559046403E-2</v>
      </c>
      <c r="GM37" s="4">
        <v>-1.5055482360093686E-2</v>
      </c>
      <c r="GN37" s="4">
        <v>-1.3842210123710402E-2</v>
      </c>
      <c r="GO37" s="4">
        <v>-1.2867255800960424E-2</v>
      </c>
      <c r="GP37" s="4">
        <v>-1.2069414116786914E-2</v>
      </c>
      <c r="GQ37" s="4">
        <v>-1.1406981783288105E-2</v>
      </c>
      <c r="GR37" s="4">
        <v>-1.0850587551261002E-2</v>
      </c>
      <c r="GS37" s="4">
        <v>-1.0378968525268241E-2</v>
      </c>
      <c r="GT37" s="4">
        <v>-9.9763717945408753E-3</v>
      </c>
      <c r="GU37" s="4">
        <v>-9.6308961273323633E-3</v>
      </c>
      <c r="GV37" s="4">
        <v>-9.3333996625978924E-3</v>
      </c>
      <c r="GW37" s="4">
        <v>-9.0767602967331638E-3</v>
      </c>
      <c r="GX37" s="4">
        <v>-8.8553624139270058E-3</v>
      </c>
      <c r="GY37" s="4">
        <v>-8.664732515479532E-3</v>
      </c>
      <c r="GZ37" s="4">
        <v>-8.501274727506631E-3</v>
      </c>
      <c r="HA37" s="4">
        <v>-8.3620741052905078E-3</v>
      </c>
      <c r="HB37" s="4">
        <v>-8.2447458680846436E-3</v>
      </c>
      <c r="HC37" s="4">
        <v>-8.1473147525897398E-3</v>
      </c>
      <c r="HD37" s="4">
        <v>-8.0681118988887041E-3</v>
      </c>
      <c r="HE37" s="4">
        <v>-8.0056776334121414E-3</v>
      </c>
      <c r="HF37" s="4">
        <v>-7.9586570973664006E-3</v>
      </c>
      <c r="HG37" s="4">
        <v>-7.9256710200721198E-3</v>
      </c>
      <c r="HH37" s="4">
        <v>-7.9051338996021479E-3</v>
      </c>
      <c r="HI37" s="4">
        <v>-7.8949717167378208E-3</v>
      </c>
      <c r="HJ37" s="4">
        <v>-7.8921507742353483E-3</v>
      </c>
      <c r="HK37" s="4">
        <v>-7.8918449521452518E-3</v>
      </c>
      <c r="HL37" s="4">
        <v>-7.8858845527885937E-3</v>
      </c>
      <c r="HM37" s="4">
        <v>-7.8597023702748209E-3</v>
      </c>
      <c r="HN37" s="4">
        <v>-7.7859153717235252E-3</v>
      </c>
      <c r="HO37" s="4">
        <v>-7.6097908320781789E-3</v>
      </c>
      <c r="HP37" s="4">
        <v>-7.2114760521840198E-3</v>
      </c>
      <c r="HQ37" s="4">
        <v>-6.3157179278486991E-3</v>
      </c>
      <c r="HR37" s="4">
        <v>-3.845232708285433E-3</v>
      </c>
      <c r="HS37" s="4">
        <v>-6.3559014046757139E-4</v>
      </c>
      <c r="HT37" s="4">
        <v>9.0413080230351772E-2</v>
      </c>
      <c r="HU37" s="4">
        <v>-0.24258272812902285</v>
      </c>
    </row>
    <row r="38" spans="4:229" x14ac:dyDescent="0.25">
      <c r="D38" s="10">
        <v>29</v>
      </c>
      <c r="E38" s="5">
        <f>'N70'!E45-'N70'!E44</f>
        <v>1.428571428571429E-2</v>
      </c>
      <c r="F38" s="5">
        <f>'N70'!H44-'N70'!E16</f>
        <v>0.40714285714285714</v>
      </c>
      <c r="G38" s="5">
        <f>'N70'!H44-'N70'!E17</f>
        <v>0.39285714285714285</v>
      </c>
      <c r="H38" s="5">
        <f>'N70'!H44-'N70'!E18</f>
        <v>0.37857142857142856</v>
      </c>
      <c r="I38" s="5">
        <f>'N70'!H44-'N70'!E19</f>
        <v>0.36428571428571427</v>
      </c>
      <c r="J38" s="5">
        <f>'N70'!H44-'N70'!E20</f>
        <v>0.35</v>
      </c>
      <c r="K38" s="5">
        <f>'N70'!H44-'N70'!E21</f>
        <v>0.33571428571428574</v>
      </c>
      <c r="L38" s="5">
        <f>'N70'!H44-'N70'!E22</f>
        <v>0.3214285714285714</v>
      </c>
      <c r="M38" s="5">
        <f>'N70'!H44-'N70'!E23</f>
        <v>0.30714285714285716</v>
      </c>
      <c r="N38" s="5">
        <f>'N70'!H44-'N70'!E24</f>
        <v>0.29285714285714287</v>
      </c>
      <c r="O38" s="5">
        <f>'N70'!H44-'N70'!E25</f>
        <v>0.27857142857142858</v>
      </c>
      <c r="P38" s="5">
        <f>'N70'!H44-'N70'!E26</f>
        <v>0.26428571428571429</v>
      </c>
      <c r="Q38" s="5">
        <f>'N70'!H44-'N70'!E27</f>
        <v>0.25</v>
      </c>
      <c r="R38" s="5">
        <f>'N70'!H44-'N70'!E28</f>
        <v>0.23571428571428571</v>
      </c>
      <c r="S38" s="5">
        <f>'N70'!H44-'N70'!E29</f>
        <v>0.22142857142857142</v>
      </c>
      <c r="T38" s="5">
        <f>'N70'!H44-'N70'!E30</f>
        <v>0.20714285714285716</v>
      </c>
      <c r="U38" s="5">
        <f>'N70'!H44-'N70'!E31</f>
        <v>0.19285714285714287</v>
      </c>
      <c r="V38" s="5">
        <f>'N70'!H44-'N70'!E32</f>
        <v>0.17857142857142858</v>
      </c>
      <c r="W38" s="5">
        <f>'N70'!H44-'N70'!E33</f>
        <v>0.16428571428571428</v>
      </c>
      <c r="X38" s="5">
        <f>'N70'!H44-'N70'!E34</f>
        <v>0.15000000000000002</v>
      </c>
      <c r="Y38" s="5">
        <f>'N70'!H44-'N70'!E35</f>
        <v>0.13571428571428573</v>
      </c>
      <c r="Z38" s="5">
        <f>'N70'!H44-'N70'!E36</f>
        <v>0.12142857142857144</v>
      </c>
      <c r="AA38" s="5">
        <f>'N70'!H44-'N70'!E37</f>
        <v>0.10714285714285715</v>
      </c>
      <c r="AB38" s="5">
        <f>'N70'!H44-'N70'!E38</f>
        <v>9.285714285714286E-2</v>
      </c>
      <c r="AC38" s="5">
        <f>'N70'!H44-'N70'!E39</f>
        <v>7.857142857142857E-2</v>
      </c>
      <c r="AD38" s="5">
        <f>'N70'!H44-'N70'!E40</f>
        <v>6.4285714285714279E-2</v>
      </c>
      <c r="AE38" s="5">
        <f>'N70'!H44-'N70'!E41</f>
        <v>4.9999999999999989E-2</v>
      </c>
      <c r="AF38" s="5">
        <f>'N70'!H44-'N70'!E42</f>
        <v>3.5714285714285698E-2</v>
      </c>
      <c r="AG38" s="5">
        <f>'N70'!H44-'N70'!E43</f>
        <v>2.1428571428571463E-2</v>
      </c>
      <c r="AH38" s="5">
        <f>'N70'!H44-'N70'!E44</f>
        <v>7.142857142857173E-3</v>
      </c>
      <c r="AI38" s="5">
        <f>'N70'!H44-'N70'!E45</f>
        <v>-7.1428571428571175E-3</v>
      </c>
      <c r="AJ38" s="5">
        <f>'N70'!H44-'N70'!E46</f>
        <v>-2.1428571428571408E-2</v>
      </c>
      <c r="AK38" s="5">
        <f>'N70'!H44-'N70'!E47</f>
        <v>-3.5714285714285698E-2</v>
      </c>
      <c r="AL38" s="5">
        <f>'N70'!H44-'N70'!$E$48</f>
        <v>-4.9999999999999989E-2</v>
      </c>
      <c r="AM38" s="5">
        <f>'N70'!H44-'N70'!$E$49</f>
        <v>-6.4285714285714279E-2</v>
      </c>
      <c r="AN38" s="5">
        <f>'N70'!H44-'N70'!$E$50</f>
        <v>-7.857142857142857E-2</v>
      </c>
      <c r="AO38" s="5">
        <f>'N70'!H44-'N70'!$E$51</f>
        <v>-9.285714285714286E-2</v>
      </c>
      <c r="AP38" s="5">
        <f>'N70'!H44-'N70'!$E$52</f>
        <v>-0.1071428571428571</v>
      </c>
      <c r="AQ38" s="5">
        <f>'N70'!H44-'N70'!$E$53</f>
        <v>-0.12142857142857144</v>
      </c>
      <c r="AR38" s="5">
        <f>'N70'!H44-'N70'!$E$54</f>
        <v>-0.13571428571428568</v>
      </c>
      <c r="AS38" s="5">
        <f>'N70'!H44-'N70'!$E$55</f>
        <v>-0.15000000000000002</v>
      </c>
      <c r="AT38" s="5">
        <f>'N70'!H44-'N70'!$E$56</f>
        <v>-0.16428571428571426</v>
      </c>
      <c r="AU38" s="5">
        <f>'N70'!H44-'N70'!$E$57</f>
        <v>-0.1785714285714286</v>
      </c>
      <c r="AV38" s="5">
        <f>'N70'!H44-'N70'!$E$58</f>
        <v>-0.19285714285714284</v>
      </c>
      <c r="AW38" s="5">
        <f>'N70'!H44-'N70'!$E$59</f>
        <v>-0.20714285714285707</v>
      </c>
      <c r="AX38" s="5">
        <f>'N70'!H44-'N70'!$E$60</f>
        <v>-0.22142857142857142</v>
      </c>
      <c r="AY38" s="5">
        <f>'N70'!H44-'N70'!$E$61</f>
        <v>-0.23571428571428565</v>
      </c>
      <c r="AZ38" s="5">
        <f>'N70'!H44-'N70'!$E$62</f>
        <v>-0.25</v>
      </c>
      <c r="BA38" s="5">
        <f>'N70'!H44-'N70'!$E$63</f>
        <v>-0.26428571428571423</v>
      </c>
      <c r="BB38" s="5">
        <f>'N70'!H44-'N70'!$E$64</f>
        <v>-0.27857142857142858</v>
      </c>
      <c r="BC38" s="5">
        <f>'N70'!H44-'N70'!$E$65</f>
        <v>-0.29285714285714282</v>
      </c>
      <c r="BD38" s="5">
        <f>'N70'!H44-'N70'!$E$66</f>
        <v>-0.30714285714285716</v>
      </c>
      <c r="BE38" s="5">
        <f>'N70'!H44-'N70'!$E$67</f>
        <v>-0.3214285714285714</v>
      </c>
      <c r="BF38" s="5">
        <f>'N70'!H44-'N70'!$E$68</f>
        <v>-0.33571428571428574</v>
      </c>
      <c r="BG38" s="5">
        <f>'N70'!H44-'N70'!$E$69</f>
        <v>-0.35</v>
      </c>
      <c r="BH38" s="5">
        <f>'N70'!H44-'N70'!$E$70</f>
        <v>-0.36428571428571421</v>
      </c>
      <c r="BI38" s="5">
        <f>'N70'!H44-'N70'!$E$71</f>
        <v>-0.37857142857142856</v>
      </c>
      <c r="BJ38" s="5">
        <f>'N70'!H44-'N70'!$E$72</f>
        <v>-0.39285714285714279</v>
      </c>
      <c r="BK38" s="5">
        <f>'N70'!H44-'N70'!$E$73</f>
        <v>-0.40714285714285714</v>
      </c>
      <c r="BL38" s="5">
        <f>'N70'!H44-'N70'!$E$74</f>
        <v>-0.42142857142857137</v>
      </c>
      <c r="BM38" s="5">
        <f>'N70'!H44-'N70'!$E$75</f>
        <v>-0.43571428571428572</v>
      </c>
      <c r="BN38" s="5">
        <f>'N70'!H44-'N70'!$E$76</f>
        <v>-0.44999999999999996</v>
      </c>
      <c r="BO38" s="5">
        <f>'N70'!H44-'N70'!$E$77</f>
        <v>-0.4642857142857143</v>
      </c>
      <c r="BP38" s="5">
        <f>'N70'!H44-'N70'!$E$78</f>
        <v>-0.47857142857142854</v>
      </c>
      <c r="BQ38" s="5">
        <f>'N70'!H44-'N70'!$E$79</f>
        <v>-0.49285714285714288</v>
      </c>
      <c r="BR38" s="5">
        <f>'N70'!H44-'N70'!$E$80</f>
        <v>-0.50714285714285712</v>
      </c>
      <c r="BS38" s="5">
        <f>'N70'!H44-'N70'!$E$81</f>
        <v>-0.52142857142857135</v>
      </c>
      <c r="BT38" s="5">
        <f>'N70'!H44-'N70'!$E$82</f>
        <v>-0.5357142857142857</v>
      </c>
      <c r="BU38" s="5">
        <f>'N70'!H44-'N70'!$E$83</f>
        <v>-0.54999999999999993</v>
      </c>
      <c r="BV38" s="5">
        <f>'N70'!H44-'N70'!$E$84</f>
        <v>-0.56428571428571428</v>
      </c>
      <c r="BW38" s="5">
        <f>'N70'!H44-'N70'!$E$85</f>
        <v>-0.57857142857142851</v>
      </c>
      <c r="BX38" s="5">
        <v>-1</v>
      </c>
      <c r="BY38" s="5"/>
      <c r="BZ38">
        <v>29</v>
      </c>
      <c r="CA38" s="5">
        <f>N70_DESARROLLO!CE123+N70_DESARROLLO!H123</f>
        <v>-1.7752708797875383E-2</v>
      </c>
      <c r="CB38" s="5">
        <f>N70_DESARROLLO!CF123+N70_DESARROLLO!I123</f>
        <v>-3.6371655357440025E-2</v>
      </c>
      <c r="CC38" s="5">
        <f>N70_DESARROLLO!CG123+N70_DESARROLLO!J123</f>
        <v>-3.774481085569692E-2</v>
      </c>
      <c r="CD38" s="5">
        <f>N70_DESARROLLO!CH123+N70_DESARROLLO!K123</f>
        <v>-3.9225744685481789E-2</v>
      </c>
      <c r="CE38" s="5">
        <f>N70_DESARROLLO!CI123+N70_DESARROLLO!L123</f>
        <v>-4.0827668052537014E-2</v>
      </c>
      <c r="CF38" s="5">
        <f>N70_DESARROLLO!CJ123+N70_DESARROLLO!M123</f>
        <v>-4.2566044021105198E-2</v>
      </c>
      <c r="CG38" s="5">
        <f>N70_DESARROLLO!CK123+N70_DESARROLLO!N123</f>
        <v>-4.4459088822769166E-2</v>
      </c>
      <c r="CH38" s="5">
        <f>N70_DESARROLLO!CL123+N70_DESARROLLO!O123</f>
        <v>-4.6528413377885602E-2</v>
      </c>
      <c r="CI38" s="5">
        <f>N70_DESARROLLO!CM123+N70_DESARROLLO!P123</f>
        <v>-4.8799853039072971E-2</v>
      </c>
      <c r="CJ38" s="5">
        <f>N70_DESARROLLO!CN123+N70_DESARROLLO!Q123</f>
        <v>-5.1304553326342761E-2</v>
      </c>
      <c r="CK38" s="5">
        <f>N70_DESARROLLO!CO123+N70_DESARROLLO!R123</f>
        <v>-5.4080408838149241E-2</v>
      </c>
      <c r="CL38" s="5">
        <f>N70_DESARROLLO!CP123+N70_DESARROLLO!S123</f>
        <v>-5.7173997129077003E-2</v>
      </c>
      <c r="CM38" s="5">
        <f>N70_DESARROLLO!CQ123+N70_DESARROLLO!T123</f>
        <v>-6.0643218403522159E-2</v>
      </c>
      <c r="CN38" s="5">
        <f>N70_DESARROLLO!CR123+N70_DESARROLLO!U123</f>
        <v>-6.4560961252484894E-2</v>
      </c>
      <c r="CO38" s="5">
        <f>N70_DESARROLLO!CS123+N70_DESARROLLO!V123</f>
        <v>-6.9020292350867041E-2</v>
      </c>
      <c r="CP38" s="5">
        <f>N70_DESARROLLO!CT123+N70_DESARROLLO!W123</f>
        <v>-7.4141965022337497E-2</v>
      </c>
      <c r="CQ38" s="5">
        <f>N70_DESARROLLO!CU123+N70_DESARROLLO!X123</f>
        <v>-8.0085554140355342E-2</v>
      </c>
      <c r="CR38" s="5">
        <f>N70_DESARROLLO!CV123+N70_DESARROLLO!Y123</f>
        <v>-8.7066442319339576E-2</v>
      </c>
      <c r="CS38" s="5">
        <f>N70_DESARROLLO!CW123+N70_DESARROLLO!Z123</f>
        <v>-9.5382594982172497E-2</v>
      </c>
      <c r="CT38" s="5">
        <f>N70_DESARROLLO!CX123+N70_DESARROLLO!AA123</f>
        <v>-0.1054584185205778</v>
      </c>
      <c r="CU38" s="5">
        <f>N70_DESARROLLO!CY123+N70_DESARROLLO!AB123</f>
        <v>-0.11791996375048563</v>
      </c>
      <c r="CV38" s="5">
        <f>N70_DESARROLLO!CZ123+N70_DESARROLLO!AC123</f>
        <v>-0.13373123411929888</v>
      </c>
      <c r="CW38" s="5">
        <f>N70_DESARROLLO!DA123+N70_DESARROLLO!AD123</f>
        <v>-0.15445886474681403</v>
      </c>
      <c r="CX38" s="5">
        <f>N70_DESARROLLO!DB123+N70_DESARROLLO!AE123</f>
        <v>-0.18283342438756844</v>
      </c>
      <c r="CY38" s="5">
        <f>N70_DESARROLLO!DC123+N70_DESARROLLO!AF123</f>
        <v>-0.22408833054042676</v>
      </c>
      <c r="CZ38" s="5">
        <f>N70_DESARROLLO!DD123+N70_DESARROLLO!AG123</f>
        <v>-0.28973434150573196</v>
      </c>
      <c r="DA38" s="5">
        <f>N70_DESARROLLO!DE123+N70_DESARROLLO!AH123</f>
        <v>-0.41141440075354985</v>
      </c>
      <c r="DB38" s="5">
        <f>N70_DESARROLLO!DF123+N70_DESARROLLO!AI123</f>
        <v>-0.72775792963607422</v>
      </c>
      <c r="DC38" s="5">
        <f>N70_DESARROLLO!DG123+N70_DESARROLLO!AJ123</f>
        <v>-1.6479184659605328</v>
      </c>
      <c r="DD38" s="5">
        <f>N70_DESARROLLO!DH123+N70_DESARROLLO!AK123</f>
        <v>1.6479184659605364</v>
      </c>
      <c r="DE38" s="5">
        <f>N70_DESARROLLO!DI123+N70_DESARROLLO!AL123</f>
        <v>0.72775792963608221</v>
      </c>
      <c r="DF38" s="5">
        <f>N70_DESARROLLO!DJ123+N70_DESARROLLO!AM123</f>
        <v>0.41141440075354785</v>
      </c>
      <c r="DG38" s="5">
        <f>N70_DESARROLLO!DK123+N70_DESARROLLO!AN123</f>
        <v>0.28973434150573174</v>
      </c>
      <c r="DH38" s="5">
        <f>N70_DESARROLLO!DL123+N70_DESARROLLO!AO123</f>
        <v>0.22408833054042698</v>
      </c>
      <c r="DI38" s="5">
        <f>N70_DESARROLLO!DM123+N70_DESARROLLO!AP123</f>
        <v>0.18283342438756867</v>
      </c>
      <c r="DJ38" s="5">
        <f>N70_DESARROLLO!DN123+N70_DESARROLLO!AQ123</f>
        <v>0.15445886474680903</v>
      </c>
      <c r="DK38" s="5">
        <f>N70_DESARROLLO!DO123+N70_DESARROLLO!AR123</f>
        <v>0.1337312341193071</v>
      </c>
      <c r="DL38" s="5">
        <f>N70_DESARROLLO!DP123+N70_DESARROLLO!AS123</f>
        <v>0.11791996375047809</v>
      </c>
      <c r="DM38" s="5">
        <f>N70_DESARROLLO!DQ123+N70_DESARROLLO!AT123</f>
        <v>0.10545841852058624</v>
      </c>
      <c r="DN38" s="5">
        <f>N70_DESARROLLO!DR123+N70_DESARROLLO!AU123</f>
        <v>9.5382594982166613E-2</v>
      </c>
      <c r="DO38" s="5">
        <f>N70_DESARROLLO!DS123+N70_DESARROLLO!AV123</f>
        <v>8.7066442319344683E-2</v>
      </c>
      <c r="DP38" s="5">
        <f>N70_DESARROLLO!DT123+N70_DESARROLLO!AW123</f>
        <v>8.0085554140347681E-2</v>
      </c>
      <c r="DQ38" s="5">
        <f>N70_DESARROLLO!DU123+N70_DESARROLLO!AX123</f>
        <v>7.4141965022336276E-2</v>
      </c>
      <c r="DR38" s="5">
        <f>N70_DESARROLLO!DV123+N70_DESARROLLO!AY123</f>
        <v>6.902029235087781E-2</v>
      </c>
      <c r="DS38" s="5">
        <f>N70_DESARROLLO!DW123+N70_DESARROLLO!AZ123</f>
        <v>6.4560961252473681E-2</v>
      </c>
      <c r="DT38" s="5">
        <f>N70_DESARROLLO!DX123+N70_DESARROLLO!BA123</f>
        <v>6.0643218403529819E-2</v>
      </c>
      <c r="DU38" s="5">
        <f>N70_DESARROLLO!DY123+N70_DESARROLLO!BB123</f>
        <v>5.717399712907123E-2</v>
      </c>
      <c r="DV38" s="5">
        <f>N70_DESARROLLO!DZ123+N70_DESARROLLO!BC123</f>
        <v>5.4080408838158012E-2</v>
      </c>
      <c r="DW38" s="5">
        <f>N70_DESARROLLO!EA123+N70_DESARROLLO!BD123</f>
        <v>5.130455332633288E-2</v>
      </c>
      <c r="DX38" s="5">
        <f>N70_DESARROLLO!EB123+N70_DESARROLLO!BE123</f>
        <v>4.8799853039083518E-2</v>
      </c>
      <c r="DY38" s="5">
        <f>N70_DESARROLLO!EC123+N70_DESARROLLO!BF123</f>
        <v>4.6528413377880606E-2</v>
      </c>
      <c r="DZ38" s="5">
        <f>N70_DESARROLLO!ED123+N70_DESARROLLO!BG123</f>
        <v>4.4459088822771053E-2</v>
      </c>
      <c r="EA38" s="5">
        <f>N70_DESARROLLO!EE123+N70_DESARROLLO!BH123</f>
        <v>4.2566044021103977E-2</v>
      </c>
      <c r="EB38" s="5">
        <f>N70_DESARROLLO!EF123+N70_DESARROLLO!BI123</f>
        <v>4.0827668052532351E-2</v>
      </c>
      <c r="EC38" s="5">
        <f>N70_DESARROLLO!EG123+N70_DESARROLLO!BJ123</f>
        <v>3.9225744685487451E-2</v>
      </c>
      <c r="ED38" s="5">
        <f>N70_DESARROLLO!EH123+N70_DESARROLLO!BK123</f>
        <v>3.774481085568826E-2</v>
      </c>
      <c r="EE38" s="5">
        <f>N70_DESARROLLO!EI123+N70_DESARROLLO!BL123</f>
        <v>3.6371655357452903E-2</v>
      </c>
      <c r="EF38" s="5">
        <f>N70_DESARROLLO!EJ123+N70_DESARROLLO!BM123</f>
        <v>3.509492324420449E-2</v>
      </c>
      <c r="EG38" s="5">
        <f>N70_DESARROLLO!EK123+N70_DESARROLLO!BN123</f>
        <v>3.3904800811327962E-2</v>
      </c>
      <c r="EH38" s="5">
        <f>N70_DESARROLLO!EL123+N70_DESARROLLO!BO123</f>
        <v>3.2792762635863171E-2</v>
      </c>
      <c r="EI38" s="5">
        <f>N70_DESARROLLO!EM123+N70_DESARROLLO!BP123</f>
        <v>3.17513668626761E-2</v>
      </c>
      <c r="EJ38" s="5">
        <f>N70_DESARROLLO!EN123+N70_DESARROLLO!BQ123</f>
        <v>3.0774088329705407E-2</v>
      </c>
      <c r="EK38" s="5">
        <f>N70_DESARROLLO!EO123+N70_DESARROLLO!BR123</f>
        <v>2.9855181616038617E-2</v>
      </c>
      <c r="EL38" s="5">
        <f>N70_DESARROLLO!EP123+N70_DESARROLLO!BS123</f>
        <v>2.8989567932948379E-2</v>
      </c>
      <c r="EM38" s="5">
        <f>N70_DESARROLLO!EQ123+N70_DESARROLLO!BT123</f>
        <v>2.8172741151786584E-2</v>
      </c>
      <c r="EN38" s="5">
        <f>N70_DESARROLLO!ER123+N70_DESARROLLO!BU123</f>
        <v>2.7400689293805458E-2</v>
      </c>
      <c r="EO38" s="5">
        <f>N70_DESARROLLO!ES123+N70_DESARROLLO!BV123</f>
        <v>2.6669828593212208E-2</v>
      </c>
      <c r="EP38" s="5">
        <f>N70_DESARROLLO!ET123+N70_DESARROLLO!BW123</f>
        <v>2.5976947844875475E-2</v>
      </c>
      <c r="EQ38" s="5">
        <f>N70_DESARROLLO!EU123+N70_DESARROLLO!BX123</f>
        <v>2.5319161212279506E-2</v>
      </c>
      <c r="ER38" s="5">
        <f>N70_DESARROLLO!EV123+N70_DESARROLLO!BY123</f>
        <v>37.315978064786179</v>
      </c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>
        <v>29</v>
      </c>
      <c r="FD38" s="4">
        <v>3.4458269364107103E-4</v>
      </c>
      <c r="FE38" s="4">
        <v>7.0264200160270935E-4</v>
      </c>
      <c r="FF38" s="4">
        <v>9.4874504998955684E-4</v>
      </c>
      <c r="FG38" s="4">
        <v>1.1783692878738555E-3</v>
      </c>
      <c r="FH38" s="4">
        <v>1.4039485104167418E-3</v>
      </c>
      <c r="FI38" s="4">
        <v>1.6335708581451645E-3</v>
      </c>
      <c r="FJ38" s="4">
        <v>1.8726809077967406E-3</v>
      </c>
      <c r="FK38" s="4">
        <v>2.1258650295532563E-3</v>
      </c>
      <c r="FL38" s="4">
        <v>2.397554298277961E-3</v>
      </c>
      <c r="FM38" s="4">
        <v>2.6924538245195763E-3</v>
      </c>
      <c r="FN38" s="4">
        <v>3.0158849079700294E-3</v>
      </c>
      <c r="FO38" s="4">
        <v>3.3741324489270641E-3</v>
      </c>
      <c r="FP38" s="4">
        <v>3.7748598299229578E-3</v>
      </c>
      <c r="FQ38" s="4">
        <v>4.2276546672403402E-3</v>
      </c>
      <c r="FR38" s="4">
        <v>4.7447902678793416E-3</v>
      </c>
      <c r="FS38" s="4">
        <v>5.3423331858982711E-3</v>
      </c>
      <c r="FT38" s="4">
        <v>6.0418125088644711E-3</v>
      </c>
      <c r="FU38" s="4">
        <v>6.8728263423829756E-3</v>
      </c>
      <c r="FV38" s="4">
        <v>7.8772716212306918E-3</v>
      </c>
      <c r="FW38" s="4">
        <v>9.1165187615865045E-3</v>
      </c>
      <c r="FX38" s="4">
        <v>1.068423610569634E-2</v>
      </c>
      <c r="FY38" s="4">
        <v>1.273083144141755E-2</v>
      </c>
      <c r="FZ38" s="4">
        <v>1.551376435241902E-2</v>
      </c>
      <c r="GA38" s="4">
        <v>1.9514636884226094E-2</v>
      </c>
      <c r="GB38" s="4">
        <v>2.5712165974571176E-2</v>
      </c>
      <c r="GC38" s="4">
        <v>3.7045099464778415E-2</v>
      </c>
      <c r="GD38" s="4">
        <v>5.4347774026534804E-2</v>
      </c>
      <c r="GE38" s="4">
        <v>0.24497860044341932</v>
      </c>
      <c r="GF38" s="4">
        <v>-0.25078014878555743</v>
      </c>
      <c r="GG38" s="4">
        <v>-6.0152222693442933E-2</v>
      </c>
      <c r="GH38" s="4">
        <v>-4.2855362322927561E-2</v>
      </c>
      <c r="GI38" s="4">
        <v>-3.1531184170843433E-2</v>
      </c>
      <c r="GJ38" s="4">
        <v>-2.5345392985584178E-2</v>
      </c>
      <c r="GK38" s="4">
        <v>-2.1359297105056164E-2</v>
      </c>
      <c r="GL38" s="4">
        <v>-1.8594251391003628E-2</v>
      </c>
      <c r="GM38" s="4">
        <v>-1.6568742354017701E-2</v>
      </c>
      <c r="GN38" s="4">
        <v>-1.502541718197355E-2</v>
      </c>
      <c r="GO38" s="4">
        <v>-1.3813994920121831E-2</v>
      </c>
      <c r="GP38" s="4">
        <v>-1.2840956443822282E-2</v>
      </c>
      <c r="GQ38" s="4">
        <v>-1.2045105862643657E-2</v>
      </c>
      <c r="GR38" s="4">
        <v>-1.1384749774553643E-2</v>
      </c>
      <c r="GS38" s="4">
        <v>-1.0830527337090232E-2</v>
      </c>
      <c r="GT38" s="4">
        <v>-1.0361186569270771E-2</v>
      </c>
      <c r="GU38" s="4">
        <v>-9.9609859180136151E-3</v>
      </c>
      <c r="GV38" s="4">
        <v>-9.6180358088256823E-3</v>
      </c>
      <c r="GW38" s="4">
        <v>-9.3232060713820068E-3</v>
      </c>
      <c r="GX38" s="4">
        <v>-9.0693858710146659E-3</v>
      </c>
      <c r="GY38" s="4">
        <v>-8.8509696913263679E-3</v>
      </c>
      <c r="GZ38" s="4">
        <v>-8.6634917606128389E-3</v>
      </c>
      <c r="HA38" s="4">
        <v>-8.5033596442960803E-3</v>
      </c>
      <c r="HB38" s="4">
        <v>-8.3676545074494266E-3</v>
      </c>
      <c r="HC38" s="4">
        <v>-8.253975506052811E-3</v>
      </c>
      <c r="HD38" s="4">
        <v>-8.1603113727791998E-3</v>
      </c>
      <c r="HE38" s="4">
        <v>-8.0849247093502646E-3</v>
      </c>
      <c r="HF38" s="4">
        <v>-8.0262340510019233E-3</v>
      </c>
      <c r="HG38" s="4">
        <v>-7.982674779321559E-3</v>
      </c>
      <c r="HH38" s="4">
        <v>-7.9525104133273128E-3</v>
      </c>
      <c r="HI38" s="4">
        <v>-7.9335461055375575E-3</v>
      </c>
      <c r="HJ38" s="4">
        <v>-7.9226561372766312E-3</v>
      </c>
      <c r="HK38" s="4">
        <v>-7.9149536837795336E-3</v>
      </c>
      <c r="HL38" s="4">
        <v>-7.9022485016105211E-3</v>
      </c>
      <c r="HM38" s="4">
        <v>-7.870013974557475E-3</v>
      </c>
      <c r="HN38" s="4">
        <v>-7.791015935078918E-3</v>
      </c>
      <c r="HO38" s="4">
        <v>-7.6108880602289587E-3</v>
      </c>
      <c r="HP38" s="4">
        <v>-7.2106470964043035E-3</v>
      </c>
      <c r="HQ38" s="4">
        <v>-6.3170969187758526E-3</v>
      </c>
      <c r="HR38" s="4">
        <v>-3.8610387560290044E-3</v>
      </c>
      <c r="HS38" s="4">
        <v>-6.7215420819252952E-4</v>
      </c>
      <c r="HT38" s="4">
        <v>8.9701836606606564E-2</v>
      </c>
      <c r="HU38" s="4">
        <v>-0.24083745731699474</v>
      </c>
    </row>
    <row r="39" spans="4:229" x14ac:dyDescent="0.25">
      <c r="D39" s="10">
        <v>30</v>
      </c>
      <c r="E39" s="5">
        <f>'N70'!E46-'N70'!E45</f>
        <v>1.428571428571429E-2</v>
      </c>
      <c r="F39" s="5">
        <f>'N70'!H45-'N70'!E16</f>
        <v>0.42142857142857137</v>
      </c>
      <c r="G39" s="5">
        <f>'N70'!H45-'N70'!E17</f>
        <v>0.40714285714285708</v>
      </c>
      <c r="H39" s="5">
        <f>'N70'!H45-'N70'!E18</f>
        <v>0.39285714285714279</v>
      </c>
      <c r="I39" s="5">
        <f>'N70'!H45-'N70'!E19</f>
        <v>0.3785714285714285</v>
      </c>
      <c r="J39" s="5">
        <f>'N70'!H45-'N70'!E20</f>
        <v>0.36428571428571421</v>
      </c>
      <c r="K39" s="5">
        <f>'N70'!H45-'N70'!E21</f>
        <v>0.35</v>
      </c>
      <c r="L39" s="5">
        <f>'N70'!H45-'N70'!E22</f>
        <v>0.33571428571428563</v>
      </c>
      <c r="M39" s="5">
        <f>'N70'!H45-'N70'!E23</f>
        <v>0.3214285714285714</v>
      </c>
      <c r="N39" s="5">
        <f>'N70'!H45-'N70'!E24</f>
        <v>0.30714285714285711</v>
      </c>
      <c r="O39" s="5">
        <f>'N70'!H45-'N70'!E25</f>
        <v>0.29285714285714282</v>
      </c>
      <c r="P39" s="5">
        <f>'N70'!H45-'N70'!E26</f>
        <v>0.27857142857142853</v>
      </c>
      <c r="Q39" s="5">
        <f>'N70'!H45-'N70'!E27</f>
        <v>0.26428571428571423</v>
      </c>
      <c r="R39" s="5">
        <f>'N70'!H45-'N70'!E28</f>
        <v>0.24999999999999994</v>
      </c>
      <c r="S39" s="5">
        <f>'N70'!H45-'N70'!E29</f>
        <v>0.23571428571428565</v>
      </c>
      <c r="T39" s="5">
        <f>'N70'!H45-'N70'!E30</f>
        <v>0.22142857142857139</v>
      </c>
      <c r="U39" s="5">
        <f>'N70'!H45-'N70'!E31</f>
        <v>0.2071428571428571</v>
      </c>
      <c r="V39" s="5">
        <f>'N70'!H45-'N70'!E32</f>
        <v>0.19285714285714281</v>
      </c>
      <c r="W39" s="5">
        <f>'N70'!H45-'N70'!E33</f>
        <v>0.17857142857142852</v>
      </c>
      <c r="X39" s="5">
        <f>'N70'!H45-'N70'!E34</f>
        <v>0.16428571428571426</v>
      </c>
      <c r="Y39" s="5">
        <f>'N70'!H45-'N70'!E35</f>
        <v>0.14999999999999997</v>
      </c>
      <c r="Z39" s="5">
        <f>'N70'!H45-'N70'!E36</f>
        <v>0.13571428571428568</v>
      </c>
      <c r="AA39" s="5">
        <f>'N70'!H45-'N70'!E37</f>
        <v>0.12142857142857139</v>
      </c>
      <c r="AB39" s="5">
        <f>'N70'!H45-'N70'!E38</f>
        <v>0.1071428571428571</v>
      </c>
      <c r="AC39" s="5">
        <f>'N70'!H45-'N70'!E39</f>
        <v>9.2857142857142805E-2</v>
      </c>
      <c r="AD39" s="5">
        <f>'N70'!H45-'N70'!E40</f>
        <v>7.8571428571428514E-2</v>
      </c>
      <c r="AE39" s="5">
        <f>'N70'!H45-'N70'!E41</f>
        <v>6.4285714285714224E-2</v>
      </c>
      <c r="AF39" s="5">
        <f>'N70'!H45-'N70'!E42</f>
        <v>4.9999999999999933E-2</v>
      </c>
      <c r="AG39" s="5">
        <f>'N70'!H45-'N70'!E43</f>
        <v>3.5714285714285698E-2</v>
      </c>
      <c r="AH39" s="5">
        <f>'N70'!H45-'N70'!E44</f>
        <v>2.1428571428571408E-2</v>
      </c>
      <c r="AI39" s="5">
        <f>'N70'!H45-'N70'!E45</f>
        <v>7.1428571428571175E-3</v>
      </c>
      <c r="AJ39" s="5">
        <f>'N70'!H45-'N70'!E46</f>
        <v>-7.142857142857173E-3</v>
      </c>
      <c r="AK39" s="5">
        <f>'N70'!H45-'N70'!E47</f>
        <v>-2.1428571428571463E-2</v>
      </c>
      <c r="AL39" s="5">
        <f>'N70'!H45-'N70'!$E$48</f>
        <v>-3.5714285714285754E-2</v>
      </c>
      <c r="AM39" s="5">
        <f>'N70'!H45-'N70'!$E$49</f>
        <v>-5.0000000000000044E-2</v>
      </c>
      <c r="AN39" s="5">
        <f>'N70'!H45-'N70'!$E$50</f>
        <v>-6.4285714285714335E-2</v>
      </c>
      <c r="AO39" s="5">
        <f>'N70'!H45-'N70'!$E$51</f>
        <v>-7.8571428571428625E-2</v>
      </c>
      <c r="AP39" s="5">
        <f>'N70'!H45-'N70'!$E$52</f>
        <v>-9.285714285714286E-2</v>
      </c>
      <c r="AQ39" s="5">
        <f>'N70'!H45-'N70'!$E$53</f>
        <v>-0.10714285714285721</v>
      </c>
      <c r="AR39" s="5">
        <f>'N70'!H45-'N70'!$E$54</f>
        <v>-0.12142857142857144</v>
      </c>
      <c r="AS39" s="5">
        <f>'N70'!H45-'N70'!$E$55</f>
        <v>-0.13571428571428579</v>
      </c>
      <c r="AT39" s="5">
        <f>'N70'!H45-'N70'!$E$56</f>
        <v>-0.15000000000000002</v>
      </c>
      <c r="AU39" s="5">
        <f>'N70'!H45-'N70'!$E$57</f>
        <v>-0.16428571428571437</v>
      </c>
      <c r="AV39" s="5">
        <f>'N70'!H45-'N70'!$E$58</f>
        <v>-0.1785714285714286</v>
      </c>
      <c r="AW39" s="5">
        <f>'N70'!H45-'N70'!$E$59</f>
        <v>-0.19285714285714284</v>
      </c>
      <c r="AX39" s="5">
        <f>'N70'!H45-'N70'!$E$60</f>
        <v>-0.20714285714285718</v>
      </c>
      <c r="AY39" s="5">
        <f>'N70'!H45-'N70'!$E$61</f>
        <v>-0.22142857142857142</v>
      </c>
      <c r="AZ39" s="5">
        <f>'N70'!H45-'N70'!$E$62</f>
        <v>-0.23571428571428577</v>
      </c>
      <c r="BA39" s="5">
        <f>'N70'!H45-'N70'!$E$63</f>
        <v>-0.25</v>
      </c>
      <c r="BB39" s="5">
        <f>'N70'!H45-'N70'!$E$64</f>
        <v>-0.26428571428571435</v>
      </c>
      <c r="BC39" s="5">
        <f>'N70'!H45-'N70'!$E$65</f>
        <v>-0.27857142857142858</v>
      </c>
      <c r="BD39" s="5">
        <f>'N70'!H45-'N70'!$E$66</f>
        <v>-0.29285714285714293</v>
      </c>
      <c r="BE39" s="5">
        <f>'N70'!H45-'N70'!$E$67</f>
        <v>-0.30714285714285716</v>
      </c>
      <c r="BF39" s="5">
        <f>'N70'!H45-'N70'!$E$68</f>
        <v>-0.32142857142857151</v>
      </c>
      <c r="BG39" s="5">
        <f>'N70'!H45-'N70'!$E$69</f>
        <v>-0.33571428571428574</v>
      </c>
      <c r="BH39" s="5">
        <f>'N70'!H45-'N70'!$E$70</f>
        <v>-0.35</v>
      </c>
      <c r="BI39" s="5">
        <f>'N70'!H45-'N70'!$E$71</f>
        <v>-0.36428571428571432</v>
      </c>
      <c r="BJ39" s="5">
        <f>'N70'!H45-'N70'!$E$72</f>
        <v>-0.37857142857142856</v>
      </c>
      <c r="BK39" s="5">
        <f>'N70'!H45-'N70'!$E$73</f>
        <v>-0.3928571428571429</v>
      </c>
      <c r="BL39" s="5">
        <f>'N70'!H45-'N70'!$E$74</f>
        <v>-0.40714285714285714</v>
      </c>
      <c r="BM39" s="5">
        <f>'N70'!H45-'N70'!$E$75</f>
        <v>-0.42142857142857149</v>
      </c>
      <c r="BN39" s="5">
        <f>'N70'!H45-'N70'!$E$76</f>
        <v>-0.43571428571428572</v>
      </c>
      <c r="BO39" s="5">
        <f>'N70'!H45-'N70'!$E$77</f>
        <v>-0.45000000000000007</v>
      </c>
      <c r="BP39" s="5">
        <f>'N70'!H45-'N70'!$E$78</f>
        <v>-0.4642857142857143</v>
      </c>
      <c r="BQ39" s="5">
        <f>'N70'!H45-'N70'!$E$79</f>
        <v>-0.47857142857142865</v>
      </c>
      <c r="BR39" s="5">
        <f>'N70'!H45-'N70'!$E$80</f>
        <v>-0.49285714285714288</v>
      </c>
      <c r="BS39" s="5">
        <f>'N70'!H45-'N70'!$E$81</f>
        <v>-0.50714285714285712</v>
      </c>
      <c r="BT39" s="5">
        <f>'N70'!H45-'N70'!$E$82</f>
        <v>-0.52142857142857146</v>
      </c>
      <c r="BU39" s="5">
        <f>'N70'!H45-'N70'!$E$83</f>
        <v>-0.5357142857142857</v>
      </c>
      <c r="BV39" s="5">
        <f>'N70'!H45-'N70'!$E$84</f>
        <v>-0.55000000000000004</v>
      </c>
      <c r="BW39" s="5">
        <f>'N70'!H45-'N70'!$E$85</f>
        <v>-0.56428571428571428</v>
      </c>
      <c r="BX39" s="5">
        <v>-1</v>
      </c>
      <c r="BY39" s="5"/>
      <c r="BZ39">
        <v>30</v>
      </c>
      <c r="CA39" s="5">
        <f>N70_DESARROLLO!CE124+N70_DESARROLLO!H124</f>
        <v>-1.7143962314553729E-2</v>
      </c>
      <c r="CB39" s="5">
        <f>N70_DESARROLLO!CF124+N70_DESARROLLO!I124</f>
        <v>-3.5094923244214593E-2</v>
      </c>
      <c r="CC39" s="5">
        <f>N70_DESARROLLO!CG124+N70_DESARROLLO!J124</f>
        <v>-3.6371655357440247E-2</v>
      </c>
      <c r="CD39" s="5">
        <f>N70_DESARROLLO!CH124+N70_DESARROLLO!K124</f>
        <v>-3.7744810855697031E-2</v>
      </c>
      <c r="CE39" s="5">
        <f>N70_DESARROLLO!CI124+N70_DESARROLLO!L124</f>
        <v>-3.9225744685484121E-2</v>
      </c>
      <c r="CF39" s="5">
        <f>N70_DESARROLLO!CJ124+N70_DESARROLLO!M124</f>
        <v>-4.0827668052526023E-2</v>
      </c>
      <c r="CG39" s="5">
        <f>N70_DESARROLLO!CK124+N70_DESARROLLO!N124</f>
        <v>-4.2566044021121519E-2</v>
      </c>
      <c r="CH39" s="5">
        <f>N70_DESARROLLO!CL124+N70_DESARROLLO!O124</f>
        <v>-4.4459088822756065E-2</v>
      </c>
      <c r="CI39" s="5">
        <f>N70_DESARROLLO!CM124+N70_DESARROLLO!P124</f>
        <v>-4.652841337789082E-2</v>
      </c>
      <c r="CJ39" s="5">
        <f>N70_DESARROLLO!CN124+N70_DESARROLLO!Q124</f>
        <v>-4.8799853039073193E-2</v>
      </c>
      <c r="CK39" s="5">
        <f>N70_DESARROLLO!CO124+N70_DESARROLLO!R124</f>
        <v>-5.1304553326342761E-2</v>
      </c>
      <c r="CL39" s="5">
        <f>N70_DESARROLLO!CP124+N70_DESARROLLO!S124</f>
        <v>-5.4080408838149241E-2</v>
      </c>
      <c r="CM39" s="5">
        <f>N70_DESARROLLO!CQ124+N70_DESARROLLO!T124</f>
        <v>-5.7173997129077003E-2</v>
      </c>
      <c r="CN39" s="5">
        <f>N70_DESARROLLO!CR124+N70_DESARROLLO!U124</f>
        <v>-6.0643218403523935E-2</v>
      </c>
      <c r="CO39" s="5">
        <f>N70_DESARROLLO!CS124+N70_DESARROLLO!V124</f>
        <v>-6.4560961252480897E-2</v>
      </c>
      <c r="CP39" s="5">
        <f>N70_DESARROLLO!CT124+N70_DESARROLLO!W124</f>
        <v>-6.9020292350869039E-2</v>
      </c>
      <c r="CQ39" s="5">
        <f>N70_DESARROLLO!CU124+N70_DESARROLLO!X124</f>
        <v>-7.4141965022337608E-2</v>
      </c>
      <c r="CR39" s="5">
        <f>N70_DESARROLLO!CV124+N70_DESARROLLO!Y124</f>
        <v>-8.0085554140358228E-2</v>
      </c>
      <c r="CS39" s="5">
        <f>N70_DESARROLLO!CW124+N70_DESARROLLO!Z124</f>
        <v>-8.7066442319333914E-2</v>
      </c>
      <c r="CT39" s="5">
        <f>N70_DESARROLLO!CX124+N70_DESARROLLO!AA124</f>
        <v>-9.5382594982174607E-2</v>
      </c>
      <c r="CU39" s="5">
        <f>N70_DESARROLLO!CY124+N70_DESARROLLO!AB124</f>
        <v>-0.10545841852057825</v>
      </c>
      <c r="CV39" s="5">
        <f>N70_DESARROLLO!CZ124+N70_DESARROLLO!AC124</f>
        <v>-0.11791996375048674</v>
      </c>
      <c r="CW39" s="5">
        <f>N70_DESARROLLO!DA124+N70_DESARROLLO!AD124</f>
        <v>-0.13373123411929877</v>
      </c>
      <c r="CX39" s="5">
        <f>N70_DESARROLLO!DB124+N70_DESARROLLO!AE124</f>
        <v>-0.15445886474681347</v>
      </c>
      <c r="CY39" s="5">
        <f>N70_DESARROLLO!DC124+N70_DESARROLLO!AF124</f>
        <v>-0.18283342438756867</v>
      </c>
      <c r="CZ39" s="5">
        <f>N70_DESARROLLO!DD124+N70_DESARROLLO!AG124</f>
        <v>-0.22408833054042687</v>
      </c>
      <c r="DA39" s="5">
        <f>N70_DESARROLLO!DE124+N70_DESARROLLO!AH124</f>
        <v>-0.2897343415057354</v>
      </c>
      <c r="DB39" s="5">
        <f>N70_DESARROLLO!DF124+N70_DESARROLLO!AI124</f>
        <v>-0.41141440075354208</v>
      </c>
      <c r="DC39" s="5">
        <f>N70_DESARROLLO!DG124+N70_DESARROLLO!AJ124</f>
        <v>-0.72775792963608232</v>
      </c>
      <c r="DD39" s="5">
        <f>N70_DESARROLLO!DH124+N70_DESARROLLO!AK124</f>
        <v>-1.6479184659605361</v>
      </c>
      <c r="DE39" s="5">
        <f>N70_DESARROLLO!DI124+N70_DESARROLLO!AL124</f>
        <v>1.6479184659605328</v>
      </c>
      <c r="DF39" s="5">
        <f>N70_DESARROLLO!DJ124+N70_DESARROLLO!AM124</f>
        <v>0.72775792963607955</v>
      </c>
      <c r="DG39" s="5">
        <f>N70_DESARROLLO!DK124+N70_DESARROLLO!AN124</f>
        <v>0.41141440075354707</v>
      </c>
      <c r="DH39" s="5">
        <f>N70_DESARROLLO!DL124+N70_DESARROLLO!AO124</f>
        <v>0.28973434150573207</v>
      </c>
      <c r="DI39" s="5">
        <f>N70_DESARROLLO!DM124+N70_DESARROLLO!AP124</f>
        <v>0.22408833054042643</v>
      </c>
      <c r="DJ39" s="5">
        <f>N70_DESARROLLO!DN124+N70_DESARROLLO!AQ124</f>
        <v>0.18283342438756378</v>
      </c>
      <c r="DK39" s="5">
        <f>N70_DESARROLLO!DO124+N70_DESARROLLO!AR124</f>
        <v>0.1544588647468208</v>
      </c>
      <c r="DL39" s="5">
        <f>N70_DESARROLLO!DP124+N70_DESARROLLO!AS124</f>
        <v>0.13373123411929266</v>
      </c>
      <c r="DM39" s="5">
        <f>N70_DESARROLLO!DQ124+N70_DESARROLLO!AT124</f>
        <v>0.11791996375049285</v>
      </c>
      <c r="DN39" s="5">
        <f>N70_DESARROLLO!DR124+N70_DESARROLLO!AU124</f>
        <v>0.10545841852057103</v>
      </c>
      <c r="DO39" s="5">
        <f>N70_DESARROLLO!DS124+N70_DESARROLLO!AV124</f>
        <v>9.5382594982181268E-2</v>
      </c>
      <c r="DP39" s="5">
        <f>N70_DESARROLLO!DT124+N70_DESARROLLO!AW124</f>
        <v>8.7066442319330473E-2</v>
      </c>
      <c r="DQ39" s="5">
        <f>N70_DESARROLLO!DU124+N70_DESARROLLO!AX124</f>
        <v>8.008555414035412E-2</v>
      </c>
      <c r="DR39" s="5">
        <f>N70_DESARROLLO!DV124+N70_DESARROLLO!AY124</f>
        <v>7.4141965022345824E-2</v>
      </c>
      <c r="DS39" s="5">
        <f>N70_DESARROLLO!DW124+N70_DESARROLLO!AZ124</f>
        <v>6.9020292350860046E-2</v>
      </c>
      <c r="DT39" s="5">
        <f>N70_DESARROLLO!DX124+N70_DESARROLLO!BA124</f>
        <v>6.4560961252489446E-2</v>
      </c>
      <c r="DU39" s="5">
        <f>N70_DESARROLLO!DY124+N70_DESARROLLO!BB124</f>
        <v>6.0643218403515942E-2</v>
      </c>
      <c r="DV39" s="5">
        <f>N70_DESARROLLO!DZ124+N70_DESARROLLO!BC124</f>
        <v>5.7173997129085885E-2</v>
      </c>
      <c r="DW39" s="5">
        <f>N70_DESARROLLO!EA124+N70_DESARROLLO!BD124</f>
        <v>5.4080408838142358E-2</v>
      </c>
      <c r="DX39" s="5">
        <f>N70_DESARROLLO!EB124+N70_DESARROLLO!BE124</f>
        <v>5.1304553326349533E-2</v>
      </c>
      <c r="DY39" s="5">
        <f>N70_DESARROLLO!EC124+N70_DESARROLLO!BF124</f>
        <v>4.8799853039066199E-2</v>
      </c>
      <c r="DZ39" s="5">
        <f>N70_DESARROLLO!ED124+N70_DESARROLLO!BG124</f>
        <v>4.652841337789404E-2</v>
      </c>
      <c r="EA39" s="5">
        <f>N70_DESARROLLO!EE124+N70_DESARROLLO!BH124</f>
        <v>4.4459088822756176E-2</v>
      </c>
      <c r="EB39" s="5">
        <f>N70_DESARROLLO!EF124+N70_DESARROLLO!BI124</f>
        <v>4.2566044021113303E-2</v>
      </c>
      <c r="EC39" s="5">
        <f>N70_DESARROLLO!EG124+N70_DESARROLLO!BJ124</f>
        <v>4.0827668052543675E-2</v>
      </c>
      <c r="ED39" s="5">
        <f>N70_DESARROLLO!EH124+N70_DESARROLLO!BK124</f>
        <v>3.9225744685471353E-2</v>
      </c>
      <c r="EE39" s="5">
        <f>N70_DESARROLLO!EI124+N70_DESARROLLO!BL124</f>
        <v>3.7744810855705468E-2</v>
      </c>
      <c r="EF39" s="5">
        <f>N70_DESARROLLO!EJ124+N70_DESARROLLO!BM124</f>
        <v>3.6371655357429256E-2</v>
      </c>
      <c r="EG39" s="5">
        <f>N70_DESARROLLO!EK124+N70_DESARROLLO!BN124</f>
        <v>3.5094923244222698E-2</v>
      </c>
      <c r="EH39" s="5">
        <f>N70_DESARROLLO!EL124+N70_DESARROLLO!BO124</f>
        <v>3.3904800811315305E-2</v>
      </c>
      <c r="EI39" s="5">
        <f>N70_DESARROLLO!EM124+N70_DESARROLLO!BP124</f>
        <v>3.279276263587616E-2</v>
      </c>
      <c r="EJ39" s="5">
        <f>N70_DESARROLLO!EN124+N70_DESARROLLO!BQ124</f>
        <v>3.1751366862662667E-2</v>
      </c>
      <c r="EK39" s="5">
        <f>N70_DESARROLLO!EO124+N70_DESARROLLO!BR124</f>
        <v>3.0774088329719285E-2</v>
      </c>
      <c r="EL39" s="5">
        <f>N70_DESARROLLO!EP124+N70_DESARROLLO!BS124</f>
        <v>2.9855181616024185E-2</v>
      </c>
      <c r="EM39" s="5">
        <f>N70_DESARROLLO!EQ124+N70_DESARROLLO!BT124</f>
        <v>2.8989567932955373E-2</v>
      </c>
      <c r="EN39" s="5">
        <f>N70_DESARROLLO!ER124+N70_DESARROLLO!BU124</f>
        <v>2.8172741151794578E-2</v>
      </c>
      <c r="EO39" s="5">
        <f>N70_DESARROLLO!ES124+N70_DESARROLLO!BV124</f>
        <v>2.7400689293789693E-2</v>
      </c>
      <c r="EP39" s="5">
        <f>N70_DESARROLLO!ET124+N70_DESARROLLO!BW124</f>
        <v>2.6669828593228417E-2</v>
      </c>
      <c r="EQ39" s="5">
        <f>N70_DESARROLLO!EU124+N70_DESARROLLO!BX124</f>
        <v>2.597694784486726E-2</v>
      </c>
      <c r="ER39" s="5">
        <f>N70_DESARROLLO!EV124+N70_DESARROLLO!BY124</f>
        <v>39.066387112674043</v>
      </c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>
        <v>30</v>
      </c>
      <c r="FD39" s="4">
        <v>3.2309533708301761E-4</v>
      </c>
      <c r="FE39" s="4">
        <v>6.580772629686684E-4</v>
      </c>
      <c r="FF39" s="4">
        <v>8.8731071901115692E-4</v>
      </c>
      <c r="FG39" s="4">
        <v>1.1003820118896542E-3</v>
      </c>
      <c r="FH39" s="4">
        <v>1.3088577537897573E-3</v>
      </c>
      <c r="FI39" s="4">
        <v>1.5201811345060393E-3</v>
      </c>
      <c r="FJ39" s="4">
        <v>1.7392649908173445E-3</v>
      </c>
      <c r="FK39" s="4">
        <v>1.9701564939402587E-3</v>
      </c>
      <c r="FL39" s="4">
        <v>2.2166793283961137E-3</v>
      </c>
      <c r="FM39" s="4">
        <v>2.4828110816778153E-3</v>
      </c>
      <c r="FN39" s="4">
        <v>2.7729675734969135E-3</v>
      </c>
      <c r="FO39" s="4">
        <v>3.0922755396250025E-3</v>
      </c>
      <c r="FP39" s="4">
        <v>3.4468834113021898E-3</v>
      </c>
      <c r="FQ39" s="4">
        <v>3.8443555097534884E-3</v>
      </c>
      <c r="FR39" s="4">
        <v>4.2942054475633281E-3</v>
      </c>
      <c r="FS39" s="4">
        <v>4.8086498693920609E-3</v>
      </c>
      <c r="FT39" s="4">
        <v>5.4037109999989941E-3</v>
      </c>
      <c r="FU39" s="4">
        <v>6.1008825728529146E-3</v>
      </c>
      <c r="FV39" s="4">
        <v>6.9297339990134375E-3</v>
      </c>
      <c r="FW39" s="4">
        <v>7.932138541674863E-3</v>
      </c>
      <c r="FX39" s="4">
        <v>9.1694467857686267E-3</v>
      </c>
      <c r="FY39" s="4">
        <v>1.0735310210873983E-2</v>
      </c>
      <c r="FZ39" s="4">
        <v>1.2780122056209209E-2</v>
      </c>
      <c r="GA39" s="4">
        <v>1.5561329170704187E-2</v>
      </c>
      <c r="GB39" s="4">
        <v>1.956052229044079E-2</v>
      </c>
      <c r="GC39" s="4">
        <v>2.5756408162035591E-2</v>
      </c>
      <c r="GD39" s="4">
        <v>3.7087725307439763E-2</v>
      </c>
      <c r="GE39" s="4">
        <v>5.4388801749215052E-2</v>
      </c>
      <c r="GF39" s="4">
        <v>0.24501804012437786</v>
      </c>
      <c r="GG39" s="4">
        <v>-0.25074229485417771</v>
      </c>
      <c r="GH39" s="4">
        <v>-6.0115959768064151E-2</v>
      </c>
      <c r="GI39" s="4">
        <v>-4.2820703079339571E-2</v>
      </c>
      <c r="GJ39" s="4">
        <v>-3.1498148672432447E-2</v>
      </c>
      <c r="GK39" s="4">
        <v>-2.5314008740785886E-2</v>
      </c>
      <c r="GL39" s="4">
        <v>-2.1329599207760144E-2</v>
      </c>
      <c r="GM39" s="4">
        <v>-1.8566282738906127E-2</v>
      </c>
      <c r="GN39" s="4">
        <v>-1.6542553940490087E-2</v>
      </c>
      <c r="GO39" s="4">
        <v>-1.5001068456793481E-2</v>
      </c>
      <c r="GP39" s="4">
        <v>-1.3791554213187951E-2</v>
      </c>
      <c r="GQ39" s="4">
        <v>-1.2820501443239948E-2</v>
      </c>
      <c r="GR39" s="4">
        <v>-1.20267241342043E-2</v>
      </c>
      <c r="GS39" s="4">
        <v>-1.1368539301920414E-2</v>
      </c>
      <c r="GT39" s="4">
        <v>-1.0816597050631992E-2</v>
      </c>
      <c r="GU39" s="4">
        <v>-1.0349656813143805E-2</v>
      </c>
      <c r="GV39" s="4">
        <v>-9.9519887775252266E-3</v>
      </c>
      <c r="GW39" s="4">
        <v>-9.6117151772873582E-3</v>
      </c>
      <c r="GX39" s="4">
        <v>-9.3197172695879647E-3</v>
      </c>
      <c r="GY39" s="4">
        <v>-9.0688945300896554E-3</v>
      </c>
      <c r="GZ39" s="4">
        <v>-8.8536494484497182E-3</v>
      </c>
      <c r="HA39" s="4">
        <v>-8.6695200621104539E-3</v>
      </c>
      <c r="HB39" s="4">
        <v>-8.5129105398467162E-3</v>
      </c>
      <c r="HC39" s="4">
        <v>-8.3808866494212934E-3</v>
      </c>
      <c r="HD39" s="4">
        <v>-8.2710124544108001E-3</v>
      </c>
      <c r="HE39" s="4">
        <v>-8.1812094189252782E-3</v>
      </c>
      <c r="HF39" s="4">
        <v>-8.1096201582090445E-3</v>
      </c>
      <c r="HG39" s="4">
        <v>-8.0544560722296751E-3</v>
      </c>
      <c r="HH39" s="4">
        <v>-8.0137992481466701E-3</v>
      </c>
      <c r="HI39" s="4">
        <v>-7.9853098743115167E-3</v>
      </c>
      <c r="HJ39" s="4">
        <v>-7.9657509508816952E-3</v>
      </c>
      <c r="HK39" s="4">
        <v>-7.950159364234613E-3</v>
      </c>
      <c r="HL39" s="4">
        <v>-7.9303112442954925E-3</v>
      </c>
      <c r="HM39" s="4">
        <v>-7.8917084911394233E-3</v>
      </c>
      <c r="HN39" s="4">
        <v>-7.8072521474792968E-3</v>
      </c>
      <c r="HO39" s="4">
        <v>-7.6229213992865565E-3</v>
      </c>
      <c r="HP39" s="4">
        <v>-7.2205589742678367E-3</v>
      </c>
      <c r="HQ39" s="4">
        <v>-6.3289227680747261E-3</v>
      </c>
      <c r="HR39" s="4">
        <v>-3.8864291616334252E-3</v>
      </c>
      <c r="HS39" s="4">
        <v>-7.175071130005174E-4</v>
      </c>
      <c r="HT39" s="4">
        <v>8.9026549316759615E-2</v>
      </c>
      <c r="HU39" s="4">
        <v>-0.23923679853586036</v>
      </c>
    </row>
    <row r="40" spans="4:229" x14ac:dyDescent="0.25">
      <c r="D40" s="10">
        <v>31</v>
      </c>
      <c r="E40" s="5">
        <f>'N70'!E47-'N70'!E46</f>
        <v>1.428571428571429E-2</v>
      </c>
      <c r="F40" s="5">
        <f>'N70'!H46-'N70'!E16</f>
        <v>0.43571428571428572</v>
      </c>
      <c r="G40" s="5">
        <f>'N70'!H46-'N70'!E17</f>
        <v>0.42142857142857143</v>
      </c>
      <c r="H40" s="5">
        <f>'N70'!H46-'N70'!E18</f>
        <v>0.40714285714285714</v>
      </c>
      <c r="I40" s="5">
        <f>'N70'!H46-'N70'!E19</f>
        <v>0.39285714285714285</v>
      </c>
      <c r="J40" s="5">
        <f>'N70'!H46-'N70'!E20</f>
        <v>0.37857142857142856</v>
      </c>
      <c r="K40" s="5">
        <f>'N70'!H46-'N70'!E21</f>
        <v>0.36428571428571432</v>
      </c>
      <c r="L40" s="5">
        <f>'N70'!H46-'N70'!E22</f>
        <v>0.35</v>
      </c>
      <c r="M40" s="5">
        <f>'N70'!H46-'N70'!E23</f>
        <v>0.33571428571428574</v>
      </c>
      <c r="N40" s="5">
        <f>'N70'!H46-'N70'!E24</f>
        <v>0.32142857142857145</v>
      </c>
      <c r="O40" s="5">
        <f>'N70'!H46-'N70'!E25</f>
        <v>0.30714285714285716</v>
      </c>
      <c r="P40" s="5">
        <f>'N70'!H46-'N70'!E26</f>
        <v>0.29285714285714287</v>
      </c>
      <c r="Q40" s="5">
        <f>'N70'!H46-'N70'!E27</f>
        <v>0.27857142857142858</v>
      </c>
      <c r="R40" s="5">
        <f>'N70'!H46-'N70'!E28</f>
        <v>0.26428571428571429</v>
      </c>
      <c r="S40" s="5">
        <f>'N70'!H46-'N70'!E29</f>
        <v>0.25</v>
      </c>
      <c r="T40" s="5">
        <f>'N70'!H46-'N70'!E30</f>
        <v>0.23571428571428574</v>
      </c>
      <c r="U40" s="5">
        <f>'N70'!H46-'N70'!E31</f>
        <v>0.22142857142857145</v>
      </c>
      <c r="V40" s="5">
        <f>'N70'!H46-'N70'!E32</f>
        <v>0.20714285714285716</v>
      </c>
      <c r="W40" s="5">
        <f>'N70'!H46-'N70'!E33</f>
        <v>0.19285714285714287</v>
      </c>
      <c r="X40" s="5">
        <f>'N70'!H46-'N70'!E34</f>
        <v>0.1785714285714286</v>
      </c>
      <c r="Y40" s="5">
        <f>'N70'!H46-'N70'!E35</f>
        <v>0.16428571428571431</v>
      </c>
      <c r="Z40" s="5">
        <f>'N70'!H46-'N70'!E36</f>
        <v>0.15000000000000002</v>
      </c>
      <c r="AA40" s="5">
        <f>'N70'!H46-'N70'!E37</f>
        <v>0.13571428571428573</v>
      </c>
      <c r="AB40" s="5">
        <f>'N70'!H46-'N70'!E38</f>
        <v>0.12142857142857144</v>
      </c>
      <c r="AC40" s="5">
        <f>'N70'!H46-'N70'!E39</f>
        <v>0.10714285714285715</v>
      </c>
      <c r="AD40" s="5">
        <f>'N70'!H46-'N70'!E40</f>
        <v>9.285714285714286E-2</v>
      </c>
      <c r="AE40" s="5">
        <f>'N70'!H46-'N70'!E41</f>
        <v>7.857142857142857E-2</v>
      </c>
      <c r="AF40" s="5">
        <f>'N70'!H46-'N70'!E42</f>
        <v>6.4285714285714279E-2</v>
      </c>
      <c r="AG40" s="5">
        <f>'N70'!H46-'N70'!E43</f>
        <v>5.0000000000000044E-2</v>
      </c>
      <c r="AH40" s="5">
        <f>'N70'!H46-'N70'!E44</f>
        <v>3.5714285714285754E-2</v>
      </c>
      <c r="AI40" s="5">
        <f>'N70'!H46-'N70'!E45</f>
        <v>2.1428571428571463E-2</v>
      </c>
      <c r="AJ40" s="5">
        <f>'N70'!H46-'N70'!E46</f>
        <v>7.142857142857173E-3</v>
      </c>
      <c r="AK40" s="5">
        <f>'N70'!H46-'N70'!E47</f>
        <v>-7.1428571428571175E-3</v>
      </c>
      <c r="AL40" s="5">
        <f>'N70'!H46-'N70'!$E$48</f>
        <v>-2.1428571428571408E-2</v>
      </c>
      <c r="AM40" s="5">
        <f>'N70'!H46-'N70'!$E$49</f>
        <v>-3.5714285714285698E-2</v>
      </c>
      <c r="AN40" s="5">
        <f>'N70'!H46-'N70'!$E$50</f>
        <v>-4.9999999999999989E-2</v>
      </c>
      <c r="AO40" s="5">
        <f>'N70'!H46-'N70'!$E$51</f>
        <v>-6.4285714285714279E-2</v>
      </c>
      <c r="AP40" s="5">
        <f>'N70'!H46-'N70'!$E$52</f>
        <v>-7.8571428571428514E-2</v>
      </c>
      <c r="AQ40" s="5">
        <f>'N70'!H46-'N70'!$E$53</f>
        <v>-9.285714285714286E-2</v>
      </c>
      <c r="AR40" s="5">
        <f>'N70'!H46-'N70'!$E$54</f>
        <v>-0.1071428571428571</v>
      </c>
      <c r="AS40" s="5">
        <f>'N70'!H46-'N70'!$E$55</f>
        <v>-0.12142857142857144</v>
      </c>
      <c r="AT40" s="5">
        <f>'N70'!H46-'N70'!$E$56</f>
        <v>-0.13571428571428568</v>
      </c>
      <c r="AU40" s="5">
        <f>'N70'!H46-'N70'!$E$57</f>
        <v>-0.15000000000000002</v>
      </c>
      <c r="AV40" s="5">
        <f>'N70'!H46-'N70'!$E$58</f>
        <v>-0.16428571428571426</v>
      </c>
      <c r="AW40" s="5">
        <f>'N70'!H46-'N70'!$E$59</f>
        <v>-0.17857142857142849</v>
      </c>
      <c r="AX40" s="5">
        <f>'N70'!H46-'N70'!$E$60</f>
        <v>-0.19285714285714284</v>
      </c>
      <c r="AY40" s="5">
        <f>'N70'!H46-'N70'!$E$61</f>
        <v>-0.20714285714285707</v>
      </c>
      <c r="AZ40" s="5">
        <f>'N70'!H46-'N70'!$E$62</f>
        <v>-0.22142857142857142</v>
      </c>
      <c r="BA40" s="5">
        <f>'N70'!H46-'N70'!$E$63</f>
        <v>-0.23571428571428565</v>
      </c>
      <c r="BB40" s="5">
        <f>'N70'!H46-'N70'!$E$64</f>
        <v>-0.25</v>
      </c>
      <c r="BC40" s="5">
        <f>'N70'!H46-'N70'!$E$65</f>
        <v>-0.26428571428571423</v>
      </c>
      <c r="BD40" s="5">
        <f>'N70'!H46-'N70'!$E$66</f>
        <v>-0.27857142857142858</v>
      </c>
      <c r="BE40" s="5">
        <f>'N70'!H46-'N70'!$E$67</f>
        <v>-0.29285714285714282</v>
      </c>
      <c r="BF40" s="5">
        <f>'N70'!H46-'N70'!$E$68</f>
        <v>-0.30714285714285716</v>
      </c>
      <c r="BG40" s="5">
        <f>'N70'!H46-'N70'!$E$69</f>
        <v>-0.3214285714285714</v>
      </c>
      <c r="BH40" s="5">
        <f>'N70'!H46-'N70'!$E$70</f>
        <v>-0.33571428571428563</v>
      </c>
      <c r="BI40" s="5">
        <f>'N70'!H46-'N70'!$E$71</f>
        <v>-0.35</v>
      </c>
      <c r="BJ40" s="5">
        <f>'N70'!H46-'N70'!$E$72</f>
        <v>-0.36428571428571421</v>
      </c>
      <c r="BK40" s="5">
        <f>'N70'!H46-'N70'!$E$73</f>
        <v>-0.37857142857142856</v>
      </c>
      <c r="BL40" s="5">
        <f>'N70'!H46-'N70'!$E$74</f>
        <v>-0.39285714285714279</v>
      </c>
      <c r="BM40" s="5">
        <f>'N70'!H46-'N70'!$E$75</f>
        <v>-0.40714285714285714</v>
      </c>
      <c r="BN40" s="5">
        <f>'N70'!H46-'N70'!$E$76</f>
        <v>-0.42142857142857137</v>
      </c>
      <c r="BO40" s="5">
        <f>'N70'!H46-'N70'!$E$77</f>
        <v>-0.43571428571428572</v>
      </c>
      <c r="BP40" s="5">
        <f>'N70'!H46-'N70'!$E$78</f>
        <v>-0.44999999999999996</v>
      </c>
      <c r="BQ40" s="5">
        <f>'N70'!H46-'N70'!$E$79</f>
        <v>-0.4642857142857143</v>
      </c>
      <c r="BR40" s="5">
        <f>'N70'!H46-'N70'!$E$80</f>
        <v>-0.47857142857142854</v>
      </c>
      <c r="BS40" s="5">
        <f>'N70'!H46-'N70'!$E$81</f>
        <v>-0.49285714285714277</v>
      </c>
      <c r="BT40" s="5">
        <f>'N70'!H46-'N70'!$E$82</f>
        <v>-0.50714285714285712</v>
      </c>
      <c r="BU40" s="5">
        <f>'N70'!H46-'N70'!$E$83</f>
        <v>-0.52142857142857135</v>
      </c>
      <c r="BV40" s="5">
        <f>'N70'!H46-'N70'!$E$84</f>
        <v>-0.5357142857142857</v>
      </c>
      <c r="BW40" s="5">
        <f>'N70'!H46-'N70'!$E$85</f>
        <v>-0.54999999999999993</v>
      </c>
      <c r="BX40" s="5">
        <v>-1</v>
      </c>
      <c r="BY40" s="5"/>
      <c r="BZ40">
        <v>31</v>
      </c>
      <c r="CA40" s="5">
        <f>N70_DESARROLLO!CE125+N70_DESARROLLO!H125</f>
        <v>-1.6575582437552416E-2</v>
      </c>
      <c r="CB40" s="5">
        <f>N70_DESARROLLO!CF125+N70_DESARROLLO!I125</f>
        <v>-3.3904800811321523E-2</v>
      </c>
      <c r="CC40" s="5">
        <f>N70_DESARROLLO!CG125+N70_DESARROLLO!J125</f>
        <v>-3.5094923244214704E-2</v>
      </c>
      <c r="CD40" s="5">
        <f>N70_DESARROLLO!CH125+N70_DESARROLLO!K125</f>
        <v>-3.6371655357440025E-2</v>
      </c>
      <c r="CE40" s="5">
        <f>N70_DESARROLLO!CI125+N70_DESARROLLO!L125</f>
        <v>-3.7744810855699584E-2</v>
      </c>
      <c r="CF40" s="5">
        <f>N70_DESARROLLO!CJ125+N70_DESARROLLO!M125</f>
        <v>-3.9225744685472907E-2</v>
      </c>
      <c r="CG40" s="5">
        <f>N70_DESARROLLO!CK125+N70_DESARROLLO!N125</f>
        <v>-4.0827668052543231E-2</v>
      </c>
      <c r="CH40" s="5">
        <f>N70_DESARROLLO!CL125+N70_DESARROLLO!O125</f>
        <v>-4.2566044021107752E-2</v>
      </c>
      <c r="CI40" s="5">
        <f>N70_DESARROLLO!CM125+N70_DESARROLLO!P125</f>
        <v>-4.4459088822761617E-2</v>
      </c>
      <c r="CJ40" s="5">
        <f>N70_DESARROLLO!CN125+N70_DESARROLLO!Q125</f>
        <v>-4.6528413377890931E-2</v>
      </c>
      <c r="CK40" s="5">
        <f>N70_DESARROLLO!CO125+N70_DESARROLLO!R125</f>
        <v>-4.8799853039072971E-2</v>
      </c>
      <c r="CL40" s="5">
        <f>N70_DESARROLLO!CP125+N70_DESARROLLO!S125</f>
        <v>-5.1304553326342761E-2</v>
      </c>
      <c r="CM40" s="5">
        <f>N70_DESARROLLO!CQ125+N70_DESARROLLO!T125</f>
        <v>-5.4080408838149241E-2</v>
      </c>
      <c r="CN40" s="5">
        <f>N70_DESARROLLO!CR125+N70_DESARROLLO!U125</f>
        <v>-5.717399712907878E-2</v>
      </c>
      <c r="CO40" s="5">
        <f>N70_DESARROLLO!CS125+N70_DESARROLLO!V125</f>
        <v>-6.0643218403520049E-2</v>
      </c>
      <c r="CP40" s="5">
        <f>N70_DESARROLLO!CT125+N70_DESARROLLO!W125</f>
        <v>-6.456096125248334E-2</v>
      </c>
      <c r="CQ40" s="5">
        <f>N70_DESARROLLO!CU125+N70_DESARROLLO!X125</f>
        <v>-6.9020292350869039E-2</v>
      </c>
      <c r="CR40" s="5">
        <f>N70_DESARROLLO!CV125+N70_DESARROLLO!Y125</f>
        <v>-7.4141965022338829E-2</v>
      </c>
      <c r="CS40" s="5">
        <f>N70_DESARROLLO!CW125+N70_DESARROLLO!Z125</f>
        <v>-8.008555414035512E-2</v>
      </c>
      <c r="CT40" s="5">
        <f>N70_DESARROLLO!CX125+N70_DESARROLLO!AA125</f>
        <v>-8.706644231933558E-2</v>
      </c>
      <c r="CU40" s="5">
        <f>N70_DESARROLLO!CY125+N70_DESARROLLO!AB125</f>
        <v>-9.5382594982175606E-2</v>
      </c>
      <c r="CV40" s="5">
        <f>N70_DESARROLLO!CZ125+N70_DESARROLLO!AC125</f>
        <v>-0.1054584185205778</v>
      </c>
      <c r="CW40" s="5">
        <f>N70_DESARROLLO!DA125+N70_DESARROLLO!AD125</f>
        <v>-0.11791996375048563</v>
      </c>
      <c r="CX40" s="5">
        <f>N70_DESARROLLO!DB125+N70_DESARROLLO!AE125</f>
        <v>-0.13373123411929888</v>
      </c>
      <c r="CY40" s="5">
        <f>N70_DESARROLLO!DC125+N70_DESARROLLO!AF125</f>
        <v>-0.15445886474681403</v>
      </c>
      <c r="CZ40" s="5">
        <f>N70_DESARROLLO!DD125+N70_DESARROLLO!AG125</f>
        <v>-0.18283342438756844</v>
      </c>
      <c r="DA40" s="5">
        <f>N70_DESARROLLO!DE125+N70_DESARROLLO!AH125</f>
        <v>-0.22408833054042998</v>
      </c>
      <c r="DB40" s="5">
        <f>N70_DESARROLLO!DF125+N70_DESARROLLO!AI125</f>
        <v>-0.28973434150572674</v>
      </c>
      <c r="DC40" s="5">
        <f>N70_DESARROLLO!DG125+N70_DESARROLLO!AJ125</f>
        <v>-0.41141440075354707</v>
      </c>
      <c r="DD40" s="5">
        <f>N70_DESARROLLO!DH125+N70_DESARROLLO!AK125</f>
        <v>-0.72775792963607955</v>
      </c>
      <c r="DE40" s="5">
        <f>N70_DESARROLLO!DI125+N70_DESARROLLO!AL125</f>
        <v>-1.6479184659605328</v>
      </c>
      <c r="DF40" s="5">
        <f>N70_DESARROLLO!DJ125+N70_DESARROLLO!AM125</f>
        <v>1.6479184659605364</v>
      </c>
      <c r="DG40" s="5">
        <f>N70_DESARROLLO!DK125+N70_DESARROLLO!AN125</f>
        <v>0.72775792963608221</v>
      </c>
      <c r="DH40" s="5">
        <f>N70_DESARROLLO!DL125+N70_DESARROLLO!AO125</f>
        <v>0.41141440075354785</v>
      </c>
      <c r="DI40" s="5">
        <f>N70_DESARROLLO!DM125+N70_DESARROLLO!AP125</f>
        <v>0.28973434150573174</v>
      </c>
      <c r="DJ40" s="5">
        <f>N70_DESARROLLO!DN125+N70_DESARROLLO!AQ125</f>
        <v>0.22408833054042232</v>
      </c>
      <c r="DK40" s="5">
        <f>N70_DESARROLLO!DO125+N70_DESARROLLO!AR125</f>
        <v>0.18283342438757677</v>
      </c>
      <c r="DL40" s="5">
        <f>N70_DESARROLLO!DP125+N70_DESARROLLO!AS125</f>
        <v>0.15445886474680548</v>
      </c>
      <c r="DM40" s="5">
        <f>N70_DESARROLLO!DQ125+N70_DESARROLLO!AT125</f>
        <v>0.1337312341193071</v>
      </c>
      <c r="DN40" s="5">
        <f>N70_DESARROLLO!DR125+N70_DESARROLLO!AU125</f>
        <v>0.11791996375047809</v>
      </c>
      <c r="DO40" s="5">
        <f>N70_DESARROLLO!DS125+N70_DESARROLLO!AV125</f>
        <v>0.10545841852058624</v>
      </c>
      <c r="DP40" s="5">
        <f>N70_DESARROLLO!DT125+N70_DESARROLLO!AW125</f>
        <v>9.5382594982166613E-2</v>
      </c>
      <c r="DQ40" s="5">
        <f>N70_DESARROLLO!DU125+N70_DESARROLLO!AX125</f>
        <v>8.7066442319336246E-2</v>
      </c>
      <c r="DR40" s="5">
        <f>N70_DESARROLLO!DV125+N70_DESARROLLO!AY125</f>
        <v>8.0085554140362891E-2</v>
      </c>
      <c r="DS40" s="5">
        <f>N70_DESARROLLO!DW125+N70_DESARROLLO!AZ125</f>
        <v>7.414196502232917E-2</v>
      </c>
      <c r="DT40" s="5">
        <f>N70_DESARROLLO!DX125+N70_DESARROLLO!BA125</f>
        <v>6.902029235087781E-2</v>
      </c>
      <c r="DU40" s="5">
        <f>N70_DESARROLLO!DY125+N70_DESARROLLO!BB125</f>
        <v>6.4560961252473681E-2</v>
      </c>
      <c r="DV40" s="5">
        <f>N70_DESARROLLO!DZ125+N70_DESARROLLO!BC125</f>
        <v>6.0643218403529819E-2</v>
      </c>
      <c r="DW40" s="5">
        <f>N70_DESARROLLO!EA125+N70_DESARROLLO!BD125</f>
        <v>5.717399712907123E-2</v>
      </c>
      <c r="DX40" s="5">
        <f>N70_DESARROLLO!EB125+N70_DESARROLLO!BE125</f>
        <v>5.4080408838158012E-2</v>
      </c>
      <c r="DY40" s="5">
        <f>N70_DESARROLLO!EC125+N70_DESARROLLO!BF125</f>
        <v>5.130455332633288E-2</v>
      </c>
      <c r="DZ40" s="5">
        <f>N70_DESARROLLO!ED125+N70_DESARROLLO!BG125</f>
        <v>4.8799853039083518E-2</v>
      </c>
      <c r="EA40" s="5">
        <f>N70_DESARROLLO!EE125+N70_DESARROLLO!BH125</f>
        <v>4.6528413377880606E-2</v>
      </c>
      <c r="EB40" s="5">
        <f>N70_DESARROLLO!EF125+N70_DESARROLLO!BI125</f>
        <v>4.4459088822760617E-2</v>
      </c>
      <c r="EC40" s="5">
        <f>N70_DESARROLLO!EG125+N70_DESARROLLO!BJ125</f>
        <v>4.256604402112385E-2</v>
      </c>
      <c r="ED40" s="5">
        <f>N70_DESARROLLO!EH125+N70_DESARROLLO!BK125</f>
        <v>4.0827668052522692E-2</v>
      </c>
      <c r="EE40" s="5">
        <f>N70_DESARROLLO!EI125+N70_DESARROLLO!BL125</f>
        <v>3.9225744685487451E-2</v>
      </c>
      <c r="EF40" s="5">
        <f>N70_DESARROLLO!EJ125+N70_DESARROLLO!BM125</f>
        <v>3.774481085568826E-2</v>
      </c>
      <c r="EG40" s="5">
        <f>N70_DESARROLLO!EK125+N70_DESARROLLO!BN125</f>
        <v>3.6371655357452903E-2</v>
      </c>
      <c r="EH40" s="5">
        <f>N70_DESARROLLO!EL125+N70_DESARROLLO!BO125</f>
        <v>3.509492324420449E-2</v>
      </c>
      <c r="EI40" s="5">
        <f>N70_DESARROLLO!EM125+N70_DESARROLLO!BP125</f>
        <v>3.3904800811327962E-2</v>
      </c>
      <c r="EJ40" s="5">
        <f>N70_DESARROLLO!EN125+N70_DESARROLLO!BQ125</f>
        <v>3.2792762635863171E-2</v>
      </c>
      <c r="EK40" s="5">
        <f>N70_DESARROLLO!EO125+N70_DESARROLLO!BR125</f>
        <v>3.17513668626761E-2</v>
      </c>
      <c r="EL40" s="5">
        <f>N70_DESARROLLO!EP125+N70_DESARROLLO!BS125</f>
        <v>3.0774088329705407E-2</v>
      </c>
      <c r="EM40" s="5">
        <f>N70_DESARROLLO!EQ125+N70_DESARROLLO!BT125</f>
        <v>2.9855181616030846E-2</v>
      </c>
      <c r="EN40" s="5">
        <f>N70_DESARROLLO!ER125+N70_DESARROLLO!BU125</f>
        <v>2.8989567932963367E-2</v>
      </c>
      <c r="EO40" s="5">
        <f>N70_DESARROLLO!ES125+N70_DESARROLLO!BV125</f>
        <v>2.8172741151779368E-2</v>
      </c>
      <c r="EP40" s="5">
        <f>N70_DESARROLLO!ET125+N70_DESARROLLO!BW125</f>
        <v>2.7400689293805458E-2</v>
      </c>
      <c r="EQ40" s="5">
        <f>N70_DESARROLLO!EU125+N70_DESARROLLO!BX125</f>
        <v>2.6669828593212208E-2</v>
      </c>
      <c r="ER40" s="5">
        <f>N70_DESARROLLO!EV125+N70_DESARROLLO!BY125</f>
        <v>40.861691808225771</v>
      </c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>
        <v>31</v>
      </c>
      <c r="FD40" s="4">
        <v>3.0342755063902347E-4</v>
      </c>
      <c r="FE40" s="4">
        <v>6.1736371036572057E-4</v>
      </c>
      <c r="FF40" s="4">
        <v>8.31318571000611E-4</v>
      </c>
      <c r="FG40" s="4">
        <v>1.0294858671773669E-3</v>
      </c>
      <c r="FH40" s="4">
        <v>1.2226554535041589E-3</v>
      </c>
      <c r="FI40" s="4">
        <v>1.4177049502792543E-3</v>
      </c>
      <c r="FJ40" s="4">
        <v>1.6190946029297918E-3</v>
      </c>
      <c r="FK40" s="4">
        <v>1.8304242912842716E-3</v>
      </c>
      <c r="FL40" s="4">
        <v>2.055024504765478E-3</v>
      </c>
      <c r="FM40" s="4">
        <v>2.2962927335789898E-3</v>
      </c>
      <c r="FN40" s="4">
        <v>2.5579346407347539E-3</v>
      </c>
      <c r="FO40" s="4">
        <v>2.8441831258588209E-3</v>
      </c>
      <c r="FP40" s="4">
        <v>3.1600365917854242E-3</v>
      </c>
      <c r="FQ40" s="4">
        <v>3.5115502863880504E-3</v>
      </c>
      <c r="FR40" s="4">
        <v>3.9062188921393745E-3</v>
      </c>
      <c r="FS40" s="4">
        <v>4.3535026762707152E-3</v>
      </c>
      <c r="FT40" s="4">
        <v>4.8655765245801657E-3</v>
      </c>
      <c r="FU40" s="4">
        <v>5.458429333355698E-3</v>
      </c>
      <c r="FV40" s="4">
        <v>6.1535277611398289E-3</v>
      </c>
      <c r="FW40" s="4">
        <v>6.9804188588330832E-3</v>
      </c>
      <c r="FX40" s="4">
        <v>7.9809571320065727E-3</v>
      </c>
      <c r="FY40" s="4">
        <v>9.2164771903484686E-3</v>
      </c>
      <c r="FZ40" s="4">
        <v>1.0780616704475995E-2</v>
      </c>
      <c r="GA40" s="4">
        <v>1.2823756799869905E-2</v>
      </c>
      <c r="GB40" s="4">
        <v>1.5603333540612377E-2</v>
      </c>
      <c r="GC40" s="4">
        <v>1.9600927917112265E-2</v>
      </c>
      <c r="GD40" s="4">
        <v>2.5795237736404495E-2</v>
      </c>
      <c r="GE40" s="4">
        <v>3.7124993196113572E-2</v>
      </c>
      <c r="GF40" s="4">
        <v>5.4424514450517283E-2</v>
      </c>
      <c r="GG40" s="4">
        <v>0.2450521965890515</v>
      </c>
      <c r="GH40" s="4">
        <v>-0.25070970301972922</v>
      </c>
      <c r="GI40" s="4">
        <v>-6.0084948202526856E-2</v>
      </c>
      <c r="GJ40" s="4">
        <v>-4.2791294661174144E-2</v>
      </c>
      <c r="GK40" s="4">
        <v>-3.1470373601016045E-2</v>
      </c>
      <c r="GL40" s="4">
        <v>-2.5287904698349812E-2</v>
      </c>
      <c r="GM40" s="4">
        <v>-2.1305211597655159E-2</v>
      </c>
      <c r="GN40" s="4">
        <v>-1.8543664996249914E-2</v>
      </c>
      <c r="GO40" s="4">
        <v>-1.6521767911004712E-2</v>
      </c>
      <c r="GP40" s="4">
        <v>-1.4982184838413048E-2</v>
      </c>
      <c r="GQ40" s="4">
        <v>-1.3774653052308921E-2</v>
      </c>
      <c r="GR40" s="4">
        <v>-1.2805672673177801E-2</v>
      </c>
      <c r="GS40" s="4">
        <v>-1.2014068135805632E-2</v>
      </c>
      <c r="GT40" s="4">
        <v>-1.1358167455050416E-2</v>
      </c>
      <c r="GU40" s="4">
        <v>-1.0808632227128962E-2</v>
      </c>
      <c r="GV40" s="4">
        <v>-1.0344233734583678E-2</v>
      </c>
      <c r="GW40" s="4">
        <v>-9.949254118756393E-3</v>
      </c>
      <c r="GX40" s="4">
        <v>-9.6118272313082051E-3</v>
      </c>
      <c r="GY40" s="4">
        <v>-9.3228448879189157E-3</v>
      </c>
      <c r="GZ40" s="4">
        <v>-9.0752148930419649E-3</v>
      </c>
      <c r="HA40" s="4">
        <v>-8.8633439669343738E-3</v>
      </c>
      <c r="HB40" s="4">
        <v>-8.6827673053713837E-3</v>
      </c>
      <c r="HC40" s="4">
        <v>-8.5298744192743477E-3</v>
      </c>
      <c r="HD40" s="4">
        <v>-8.4016969839137562E-3</v>
      </c>
      <c r="HE40" s="4">
        <v>-8.2957331703139361E-3</v>
      </c>
      <c r="HF40" s="4">
        <v>-8.2097863883199753E-3</v>
      </c>
      <c r="HG40" s="4">
        <v>-8.1417948940962718E-3</v>
      </c>
      <c r="HH40" s="4">
        <v>-8.0896208865241341E-3</v>
      </c>
      <c r="HI40" s="4">
        <v>-8.0507493362226828E-3</v>
      </c>
      <c r="HJ40" s="4">
        <v>-8.0218080302421127E-3</v>
      </c>
      <c r="HK40" s="4">
        <v>-7.9977384656887487E-3</v>
      </c>
      <c r="HL40" s="4">
        <v>-7.9702675478837606E-3</v>
      </c>
      <c r="HM40" s="4">
        <v>-7.9249120970924913E-3</v>
      </c>
      <c r="HN40" s="4">
        <v>-7.8346944178315208E-3</v>
      </c>
      <c r="HO40" s="4">
        <v>-7.6459199790475697E-3</v>
      </c>
      <c r="HP40" s="4">
        <v>-7.2412197213509322E-3</v>
      </c>
      <c r="HQ40" s="4">
        <v>-6.3512173876947454E-3</v>
      </c>
      <c r="HR40" s="4">
        <v>-3.9215343006716342E-3</v>
      </c>
      <c r="HS40" s="4">
        <v>-7.7194032568305673E-4</v>
      </c>
      <c r="HT40" s="4">
        <v>8.8381948360481632E-2</v>
      </c>
      <c r="HU40" s="4">
        <v>-0.23776804667675516</v>
      </c>
    </row>
    <row r="41" spans="4:229" x14ac:dyDescent="0.25">
      <c r="D41" s="10">
        <v>32</v>
      </c>
      <c r="E41" s="5">
        <f>'N70'!E48-'N70'!E47</f>
        <v>1.428571428571429E-2</v>
      </c>
      <c r="F41" s="5">
        <f>'N70'!H47-'N70'!$E$16</f>
        <v>0.44999999999999996</v>
      </c>
      <c r="G41" s="5">
        <f>'N70'!H47-'N70'!$E$17</f>
        <v>0.43571428571428567</v>
      </c>
      <c r="H41" s="5">
        <f>'N70'!H47-'N70'!$E$18</f>
        <v>0.42142857142857137</v>
      </c>
      <c r="I41" s="5">
        <f>'N70'!H47-'N70'!$E$19</f>
        <v>0.40714285714285708</v>
      </c>
      <c r="J41" s="5">
        <f>'N70'!H47-'N70'!$E$20</f>
        <v>0.39285714285714279</v>
      </c>
      <c r="K41" s="5">
        <f>'N70'!H47-'N70'!$E$21</f>
        <v>0.37857142857142856</v>
      </c>
      <c r="L41" s="5">
        <f>'N70'!H47-'N70'!$E$22</f>
        <v>0.36428571428571421</v>
      </c>
      <c r="M41" s="5">
        <f>'N70'!H47-'N70'!$E$23</f>
        <v>0.35</v>
      </c>
      <c r="N41" s="5">
        <f>'N70'!H47-'N70'!$E$24</f>
        <v>0.33571428571428569</v>
      </c>
      <c r="O41" s="5">
        <f>'N70'!H47-'N70'!$E$25</f>
        <v>0.3214285714285714</v>
      </c>
      <c r="P41" s="5">
        <f>'N70'!H47-'N70'!$E$26</f>
        <v>0.30714285714285711</v>
      </c>
      <c r="Q41" s="5">
        <f>'N70'!H47-'N70'!$E$27</f>
        <v>0.29285714285714282</v>
      </c>
      <c r="R41" s="5">
        <f>'N70'!H47-'N70'!$E$28</f>
        <v>0.27857142857142853</v>
      </c>
      <c r="S41" s="5">
        <f>'N70'!H47-'N70'!$E$29</f>
        <v>0.26428571428571423</v>
      </c>
      <c r="T41" s="5">
        <f>'N70'!H47-'N70'!$E$30</f>
        <v>0.24999999999999997</v>
      </c>
      <c r="U41" s="5">
        <f>'N70'!H47-'N70'!$E$31</f>
        <v>0.23571428571428568</v>
      </c>
      <c r="V41" s="5">
        <f>'N70'!H47-'N70'!$E$32</f>
        <v>0.22142857142857139</v>
      </c>
      <c r="W41" s="5">
        <f>'N70'!H47-'N70'!$E$33</f>
        <v>0.2071428571428571</v>
      </c>
      <c r="X41" s="5">
        <f>'N70'!H47-'N70'!$E$34</f>
        <v>0.19285714285714284</v>
      </c>
      <c r="Y41" s="5">
        <f>'N70'!H47-'N70'!$E$35</f>
        <v>0.17857142857142855</v>
      </c>
      <c r="Z41" s="5">
        <f>'N70'!H47-'N70'!$E$36</f>
        <v>0.16428571428571426</v>
      </c>
      <c r="AA41" s="5">
        <f>'N70'!H47-'N70'!$E$37</f>
        <v>0.14999999999999997</v>
      </c>
      <c r="AB41" s="5">
        <f>'N70'!H47-'N70'!$E$38</f>
        <v>0.13571428571428568</v>
      </c>
      <c r="AC41" s="5">
        <f>'N70'!H47-'N70'!$E$39</f>
        <v>0.12142857142857139</v>
      </c>
      <c r="AD41" s="5">
        <f>'N70'!H47-'N70'!$E$40</f>
        <v>0.1071428571428571</v>
      </c>
      <c r="AE41" s="5">
        <f>'N70'!H47-'N70'!$E$41</f>
        <v>9.2857142857142805E-2</v>
      </c>
      <c r="AF41" s="5">
        <f>'N70'!H47-'N70'!$E$42</f>
        <v>7.8571428571428514E-2</v>
      </c>
      <c r="AG41" s="5">
        <f>'N70'!H47-'N70'!$E$43</f>
        <v>6.4285714285714279E-2</v>
      </c>
      <c r="AH41" s="5">
        <f>'N70'!H47-'N70'!$E$44</f>
        <v>4.9999999999999989E-2</v>
      </c>
      <c r="AI41" s="5">
        <f>'N70'!H47-'N70'!$E$45</f>
        <v>3.5714285714285698E-2</v>
      </c>
      <c r="AJ41" s="5">
        <f>'N70'!H47-'N70'!$E$46</f>
        <v>2.1428571428571408E-2</v>
      </c>
      <c r="AK41" s="5">
        <f>'N70'!H47-'N70'!$E$47</f>
        <v>7.1428571428571175E-3</v>
      </c>
      <c r="AL41" s="5">
        <f>'N70'!H47-'N70'!$E$48</f>
        <v>-7.142857142857173E-3</v>
      </c>
      <c r="AM41" s="5">
        <f>'N70'!H47-'N70'!$E$49</f>
        <v>-2.1428571428571463E-2</v>
      </c>
      <c r="AN41" s="5">
        <f>'N70'!H47-'N70'!$E$50</f>
        <v>-3.5714285714285754E-2</v>
      </c>
      <c r="AO41" s="5">
        <f>'N70'!H47-'N70'!$E$51</f>
        <v>-5.0000000000000044E-2</v>
      </c>
      <c r="AP41" s="5">
        <f>'N70'!H47-'N70'!$E$52</f>
        <v>-6.4285714285714279E-2</v>
      </c>
      <c r="AQ41" s="5">
        <f>'N70'!H47-'N70'!$E$53</f>
        <v>-7.8571428571428625E-2</v>
      </c>
      <c r="AR41" s="5">
        <f>'N70'!H47-'N70'!$E$54</f>
        <v>-9.285714285714286E-2</v>
      </c>
      <c r="AS41" s="5">
        <f>'N70'!H47-'N70'!$E$55</f>
        <v>-0.10714285714285721</v>
      </c>
      <c r="AT41" s="5">
        <f>'N70'!H47-'N70'!$E$56</f>
        <v>-0.12142857142857144</v>
      </c>
      <c r="AU41" s="5">
        <f>'N70'!H47-'N70'!$E$57</f>
        <v>-0.13571428571428579</v>
      </c>
      <c r="AV41" s="5">
        <f>'N70'!H47-'N70'!$E$58</f>
        <v>-0.15000000000000002</v>
      </c>
      <c r="AW41" s="5">
        <f>'N70'!H47-'N70'!$E$59</f>
        <v>-0.16428571428571426</v>
      </c>
      <c r="AX41" s="5">
        <f>'N70'!H47-'N70'!$E$60</f>
        <v>-0.1785714285714286</v>
      </c>
      <c r="AY41" s="5">
        <f>'N70'!H47-'N70'!$E$61</f>
        <v>-0.19285714285714284</v>
      </c>
      <c r="AZ41" s="5">
        <f>'N70'!H47-'N70'!$E$62</f>
        <v>-0.20714285714285718</v>
      </c>
      <c r="BA41" s="5">
        <f>'N70'!H47-'N70'!$E$63</f>
        <v>-0.22142857142857142</v>
      </c>
      <c r="BB41" s="5">
        <f>'N70'!H47-'N70'!$E$64</f>
        <v>-0.23571428571428577</v>
      </c>
      <c r="BC41" s="5">
        <f>'N70'!H47-'N70'!$E$65</f>
        <v>-0.25</v>
      </c>
      <c r="BD41" s="5">
        <f>'N70'!H47-'N70'!$E$66</f>
        <v>-0.26428571428571435</v>
      </c>
      <c r="BE41" s="5">
        <f>'N70'!H47-'N70'!$E$67</f>
        <v>-0.27857142857142858</v>
      </c>
      <c r="BF41" s="5">
        <f>'N70'!H47-'N70'!$E$68</f>
        <v>-0.29285714285714293</v>
      </c>
      <c r="BG41" s="5">
        <f>'N70'!H47-'N70'!$E$69</f>
        <v>-0.30714285714285716</v>
      </c>
      <c r="BH41" s="5">
        <f>'N70'!H47-'N70'!$E$70</f>
        <v>-0.3214285714285714</v>
      </c>
      <c r="BI41" s="5">
        <f>'N70'!H47-'N70'!$E$71</f>
        <v>-0.33571428571428574</v>
      </c>
      <c r="BJ41" s="5">
        <f>'N70'!H47-'N70'!$E$72</f>
        <v>-0.35</v>
      </c>
      <c r="BK41" s="5">
        <f>'N70'!H47-'N70'!$E$73</f>
        <v>-0.36428571428571432</v>
      </c>
      <c r="BL41" s="5">
        <f>'N70'!H47-'N70'!$E$74</f>
        <v>-0.37857142857142856</v>
      </c>
      <c r="BM41" s="5">
        <f>'N70'!H47-'N70'!$E$75</f>
        <v>-0.3928571428571429</v>
      </c>
      <c r="BN41" s="5">
        <f>'N70'!H47-'N70'!$E$76</f>
        <v>-0.40714285714285714</v>
      </c>
      <c r="BO41" s="5">
        <f>'N70'!H47-'N70'!$E$77</f>
        <v>-0.42142857142857149</v>
      </c>
      <c r="BP41" s="5">
        <f>'N70'!H47-'N70'!$E$78</f>
        <v>-0.43571428571428572</v>
      </c>
      <c r="BQ41" s="5">
        <f>'N70'!H47-'N70'!$E$79</f>
        <v>-0.45000000000000007</v>
      </c>
      <c r="BR41" s="5">
        <f>'N70'!H47-'N70'!$E$80</f>
        <v>-0.4642857142857143</v>
      </c>
      <c r="BS41" s="5">
        <f>'N70'!H47-'N70'!$E$81</f>
        <v>-0.47857142857142854</v>
      </c>
      <c r="BT41" s="5">
        <f>'N70'!H47-'N70'!$E$82</f>
        <v>-0.49285714285714288</v>
      </c>
      <c r="BU41" s="5">
        <f>'N70'!H47-'N70'!$E$83</f>
        <v>-0.50714285714285712</v>
      </c>
      <c r="BV41" s="5">
        <f>'N70'!H47-'N70'!$E$84</f>
        <v>-0.52142857142857146</v>
      </c>
      <c r="BW41" s="5">
        <f>'N70'!H47-'N70'!$E$85</f>
        <v>-0.5357142857142857</v>
      </c>
      <c r="BX41" s="5">
        <v>-1</v>
      </c>
      <c r="BY41" s="5"/>
      <c r="BZ41">
        <v>32</v>
      </c>
      <c r="CA41" s="5">
        <f>N70_DESARROLLO!CE126+N70_DESARROLLO!H126</f>
        <v>-1.6043682665120018E-2</v>
      </c>
      <c r="CB41" s="5">
        <f>N70_DESARROLLO!CF126+N70_DESARROLLO!I126</f>
        <v>-3.2792762635871164E-2</v>
      </c>
      <c r="CC41" s="5">
        <f>N70_DESARROLLO!CG126+N70_DESARROLLO!J126</f>
        <v>-3.3904800811321412E-2</v>
      </c>
      <c r="CD41" s="5">
        <f>N70_DESARROLLO!CH126+N70_DESARROLLO!K126</f>
        <v>-3.5094923244214593E-2</v>
      </c>
      <c r="CE41" s="5">
        <f>N70_DESARROLLO!CI126+N70_DESARROLLO!L126</f>
        <v>-3.6371655357443133E-2</v>
      </c>
      <c r="CF41" s="5">
        <f>N70_DESARROLLO!CJ126+N70_DESARROLLO!M126</f>
        <v>-3.7744810855687927E-2</v>
      </c>
      <c r="CG41" s="5">
        <f>N70_DESARROLLO!CK126+N70_DESARROLLO!N126</f>
        <v>-3.922574468549056E-2</v>
      </c>
      <c r="CH41" s="5">
        <f>N70_DESARROLLO!CL126+N70_DESARROLLO!O126</f>
        <v>-4.0827668052528465E-2</v>
      </c>
      <c r="CI41" s="5">
        <f>N70_DESARROLLO!CM126+N70_DESARROLLO!P126</f>
        <v>-4.2566044021113636E-2</v>
      </c>
      <c r="CJ41" s="5">
        <f>N70_DESARROLLO!CN126+N70_DESARROLLO!Q126</f>
        <v>-4.4459088822761617E-2</v>
      </c>
      <c r="CK41" s="5">
        <f>N70_DESARROLLO!CO126+N70_DESARROLLO!R126</f>
        <v>-4.652841337789082E-2</v>
      </c>
      <c r="CL41" s="5">
        <f>N70_DESARROLLO!CP126+N70_DESARROLLO!S126</f>
        <v>-4.8799853039073193E-2</v>
      </c>
      <c r="CM41" s="5">
        <f>N70_DESARROLLO!CQ126+N70_DESARROLLO!T126</f>
        <v>-5.1304553326342761E-2</v>
      </c>
      <c r="CN41" s="5">
        <f>N70_DESARROLLO!CR126+N70_DESARROLLO!U126</f>
        <v>-5.4080408838151239E-2</v>
      </c>
      <c r="CO41" s="5">
        <f>N70_DESARROLLO!CS126+N70_DESARROLLO!V126</f>
        <v>-5.7173997129074783E-2</v>
      </c>
      <c r="CP41" s="5">
        <f>N70_DESARROLLO!CT126+N70_DESARROLLO!W126</f>
        <v>-6.0643218403522048E-2</v>
      </c>
      <c r="CQ41" s="5">
        <f>N70_DESARROLLO!CU126+N70_DESARROLLO!X126</f>
        <v>-6.456096125248334E-2</v>
      </c>
      <c r="CR41" s="5">
        <f>N70_DESARROLLO!CV126+N70_DESARROLLO!Y126</f>
        <v>-6.9020292350870371E-2</v>
      </c>
      <c r="CS41" s="5">
        <f>N70_DESARROLLO!CW126+N70_DESARROLLO!Z126</f>
        <v>-7.414196502233561E-2</v>
      </c>
      <c r="CT41" s="5">
        <f>N70_DESARROLLO!CX126+N70_DESARROLLO!AA126</f>
        <v>-8.0085554140355564E-2</v>
      </c>
      <c r="CU41" s="5">
        <f>N70_DESARROLLO!CY126+N70_DESARROLLO!AB126</f>
        <v>-8.7066442319337245E-2</v>
      </c>
      <c r="CV41" s="5">
        <f>N70_DESARROLLO!CZ126+N70_DESARROLLO!AC126</f>
        <v>-9.5382594982174607E-2</v>
      </c>
      <c r="CW41" s="5">
        <f>N70_DESARROLLO!DA126+N70_DESARROLLO!AD126</f>
        <v>-0.10545841852057825</v>
      </c>
      <c r="CX41" s="5">
        <f>N70_DESARROLLO!DB126+N70_DESARROLLO!AE126</f>
        <v>-0.11791996375048674</v>
      </c>
      <c r="CY41" s="5">
        <f>N70_DESARROLLO!DC126+N70_DESARROLLO!AF126</f>
        <v>-0.13373123411929877</v>
      </c>
      <c r="CZ41" s="5">
        <f>N70_DESARROLLO!DD126+N70_DESARROLLO!AG126</f>
        <v>-0.15445886474681347</v>
      </c>
      <c r="DA41" s="5">
        <f>N70_DESARROLLO!DE126+N70_DESARROLLO!AH126</f>
        <v>-0.18283342438757177</v>
      </c>
      <c r="DB41" s="5">
        <f>N70_DESARROLLO!DF126+N70_DESARROLLO!AI126</f>
        <v>-0.2240883305404221</v>
      </c>
      <c r="DC41" s="5">
        <f>N70_DESARROLLO!DG126+N70_DESARROLLO!AJ126</f>
        <v>-0.28973434150573196</v>
      </c>
      <c r="DD41" s="5">
        <f>N70_DESARROLLO!DH126+N70_DESARROLLO!AK126</f>
        <v>-0.41141440075354807</v>
      </c>
      <c r="DE41" s="5">
        <f>N70_DESARROLLO!DI126+N70_DESARROLLO!AL126</f>
        <v>-0.72775792963608232</v>
      </c>
      <c r="DF41" s="5">
        <f>N70_DESARROLLO!DJ126+N70_DESARROLLO!AM126</f>
        <v>-1.6479184659605361</v>
      </c>
      <c r="DG41" s="5">
        <f>N70_DESARROLLO!DK126+N70_DESARROLLO!AN126</f>
        <v>1.6479184659605328</v>
      </c>
      <c r="DH41" s="5">
        <f>N70_DESARROLLO!DL126+N70_DESARROLLO!AO126</f>
        <v>0.72775792963607955</v>
      </c>
      <c r="DI41" s="5">
        <f>N70_DESARROLLO!DM126+N70_DESARROLLO!AP126</f>
        <v>0.41141440075354707</v>
      </c>
      <c r="DJ41" s="5">
        <f>N70_DESARROLLO!DN126+N70_DESARROLLO!AQ126</f>
        <v>0.28973434150572697</v>
      </c>
      <c r="DK41" s="5">
        <f>N70_DESARROLLO!DO126+N70_DESARROLLO!AR126</f>
        <v>0.22408833054043464</v>
      </c>
      <c r="DL41" s="5">
        <f>N70_DESARROLLO!DP126+N70_DESARROLLO!AS126</f>
        <v>0.18283342438756045</v>
      </c>
      <c r="DM41" s="5">
        <f>N70_DESARROLLO!DQ126+N70_DESARROLLO!AT126</f>
        <v>0.1544588647468208</v>
      </c>
      <c r="DN41" s="5">
        <f>N70_DESARROLLO!DR126+N70_DESARROLLO!AU126</f>
        <v>0.13373123411929266</v>
      </c>
      <c r="DO41" s="5">
        <f>N70_DESARROLLO!DS126+N70_DESARROLLO!AV126</f>
        <v>0.11791996375049285</v>
      </c>
      <c r="DP41" s="5">
        <f>N70_DESARROLLO!DT126+N70_DESARROLLO!AW126</f>
        <v>0.10545841852057103</v>
      </c>
      <c r="DQ41" s="5">
        <f>N70_DESARROLLO!DU126+N70_DESARROLLO!AX126</f>
        <v>9.5382594982173496E-2</v>
      </c>
      <c r="DR41" s="5">
        <f>N70_DESARROLLO!DV126+N70_DESARROLLO!AY126</f>
        <v>8.7066442319344683E-2</v>
      </c>
      <c r="DS41" s="5">
        <f>N70_DESARROLLO!DW126+N70_DESARROLLO!AZ126</f>
        <v>8.0085554140347681E-2</v>
      </c>
      <c r="DT41" s="5">
        <f>N70_DESARROLLO!DX126+N70_DESARROLLO!BA126</f>
        <v>7.4141965022345824E-2</v>
      </c>
      <c r="DU41" s="5">
        <f>N70_DESARROLLO!DY126+N70_DESARROLLO!BB126</f>
        <v>6.9020292350860046E-2</v>
      </c>
      <c r="DV41" s="5">
        <f>N70_DESARROLLO!DZ126+N70_DESARROLLO!BC126</f>
        <v>6.4560961252489446E-2</v>
      </c>
      <c r="DW41" s="5">
        <f>N70_DESARROLLO!EA126+N70_DESARROLLO!BD126</f>
        <v>6.0643218403515942E-2</v>
      </c>
      <c r="DX41" s="5">
        <f>N70_DESARROLLO!EB126+N70_DESARROLLO!BE126</f>
        <v>5.7173997129085885E-2</v>
      </c>
      <c r="DY41" s="5">
        <f>N70_DESARROLLO!EC126+N70_DESARROLLO!BF126</f>
        <v>5.4080408838142358E-2</v>
      </c>
      <c r="DZ41" s="5">
        <f>N70_DESARROLLO!ED126+N70_DESARROLLO!BG126</f>
        <v>5.1304553326349533E-2</v>
      </c>
      <c r="EA41" s="5">
        <f>N70_DESARROLLO!EE126+N70_DESARROLLO!BH126</f>
        <v>4.8799853039066199E-2</v>
      </c>
      <c r="EB41" s="5">
        <f>N70_DESARROLLO!EF126+N70_DESARROLLO!BI126</f>
        <v>4.6528413377888933E-2</v>
      </c>
      <c r="EC41" s="5">
        <f>N70_DESARROLLO!EG126+N70_DESARROLLO!BJ126</f>
        <v>4.4459088822771053E-2</v>
      </c>
      <c r="ED41" s="5">
        <f>N70_DESARROLLO!EH126+N70_DESARROLLO!BK126</f>
        <v>4.2566044021103977E-2</v>
      </c>
      <c r="EE41" s="5">
        <f>N70_DESARROLLO!EI126+N70_DESARROLLO!BL126</f>
        <v>4.0827668052543675E-2</v>
      </c>
      <c r="EF41" s="5">
        <f>N70_DESARROLLO!EJ126+N70_DESARROLLO!BM126</f>
        <v>3.9225744685471353E-2</v>
      </c>
      <c r="EG41" s="5">
        <f>N70_DESARROLLO!EK126+N70_DESARROLLO!BN126</f>
        <v>3.7744810855705468E-2</v>
      </c>
      <c r="EH41" s="5">
        <f>N70_DESARROLLO!EL126+N70_DESARROLLO!BO126</f>
        <v>3.6371655357429256E-2</v>
      </c>
      <c r="EI41" s="5">
        <f>N70_DESARROLLO!EM126+N70_DESARROLLO!BP126</f>
        <v>3.5094923244222698E-2</v>
      </c>
      <c r="EJ41" s="5">
        <f>N70_DESARROLLO!EN126+N70_DESARROLLO!BQ126</f>
        <v>3.3904800811315305E-2</v>
      </c>
      <c r="EK41" s="5">
        <f>N70_DESARROLLO!EO126+N70_DESARROLLO!BR126</f>
        <v>3.279276263587616E-2</v>
      </c>
      <c r="EL41" s="5">
        <f>N70_DESARROLLO!EP126+N70_DESARROLLO!BS126</f>
        <v>3.1751366862662667E-2</v>
      </c>
      <c r="EM41" s="5">
        <f>N70_DESARROLLO!EQ126+N70_DESARROLLO!BT126</f>
        <v>3.0774088329711957E-2</v>
      </c>
      <c r="EN41" s="5">
        <f>N70_DESARROLLO!ER126+N70_DESARROLLO!BU126</f>
        <v>2.9855181616038617E-2</v>
      </c>
      <c r="EO41" s="5">
        <f>N70_DESARROLLO!ES126+N70_DESARROLLO!BV126</f>
        <v>2.8989567932948379E-2</v>
      </c>
      <c r="EP41" s="5">
        <f>N70_DESARROLLO!ET126+N70_DESARROLLO!BW126</f>
        <v>2.8172741151794578E-2</v>
      </c>
      <c r="EQ41" s="5">
        <f>N70_DESARROLLO!EU126+N70_DESARROLLO!BX126</f>
        <v>2.7400689293789693E-2</v>
      </c>
      <c r="ER41" s="5">
        <f>N70_DESARROLLO!EV126+N70_DESARROLLO!BY126</f>
        <v>42.704255947035641</v>
      </c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>
        <v>32</v>
      </c>
      <c r="FD41" s="4">
        <v>2.8536951124873876E-4</v>
      </c>
      <c r="FE41" s="4">
        <v>5.800486975054965E-4</v>
      </c>
      <c r="FF41" s="4">
        <v>7.8011379738863692E-4</v>
      </c>
      <c r="FG41" s="4">
        <v>9.6480611832648491E-4</v>
      </c>
      <c r="FH41" s="4">
        <v>1.1442156078738696E-3</v>
      </c>
      <c r="FI41" s="4">
        <v>1.3247199702442053E-3</v>
      </c>
      <c r="FJ41" s="4">
        <v>1.5103904128015168E-3</v>
      </c>
      <c r="FK41" s="4">
        <v>1.7044517257103456E-3</v>
      </c>
      <c r="FL41" s="4">
        <v>1.9098293261017567E-3</v>
      </c>
      <c r="FM41" s="4">
        <v>2.1294525563070282E-3</v>
      </c>
      <c r="FN41" s="4">
        <v>2.3664629189752537E-3</v>
      </c>
      <c r="FO41" s="4">
        <v>2.6243938420499129E-3</v>
      </c>
      <c r="FP41" s="4">
        <v>2.9073573579731201E-3</v>
      </c>
      <c r="FQ41" s="4">
        <v>3.2202640794598506E-3</v>
      </c>
      <c r="FR41" s="4">
        <v>3.5691036202604165E-3</v>
      </c>
      <c r="FS41" s="4">
        <v>3.9613203602849381E-3</v>
      </c>
      <c r="FT41" s="4">
        <v>4.4063351654604673E-3</v>
      </c>
      <c r="FU41" s="4">
        <v>4.9162914505772037E-3</v>
      </c>
      <c r="FV41" s="4">
        <v>5.5071525217308976E-3</v>
      </c>
      <c r="FW41" s="4">
        <v>6.2003638790713049E-3</v>
      </c>
      <c r="FX41" s="4">
        <v>7.0254547992532326E-3</v>
      </c>
      <c r="FY41" s="4">
        <v>8.0242646249345882E-3</v>
      </c>
      <c r="FZ41" s="4">
        <v>9.2581148333904482E-3</v>
      </c>
      <c r="GA41" s="4">
        <v>1.0820631548924842E-2</v>
      </c>
      <c r="GB41" s="4">
        <v>1.2862185590881139E-2</v>
      </c>
      <c r="GC41" s="4">
        <v>1.5640203683465113E-2</v>
      </c>
      <c r="GD41" s="4">
        <v>1.9636258222741412E-2</v>
      </c>
      <c r="GE41" s="4">
        <v>2.5829038985836536E-2</v>
      </c>
      <c r="GF41" s="4">
        <v>3.7157268553417479E-2</v>
      </c>
      <c r="GG41" s="4">
        <v>5.4455259746578943E-2</v>
      </c>
      <c r="GH41" s="4">
        <v>0.2450814004928025</v>
      </c>
      <c r="GI41" s="4">
        <v>-0.25068205893014373</v>
      </c>
      <c r="GJ41" s="4">
        <v>-6.0058889459405636E-2</v>
      </c>
      <c r="GK41" s="4">
        <v>-4.2766854010941525E-2</v>
      </c>
      <c r="GL41" s="4">
        <v>-3.1447591186848159E-2</v>
      </c>
      <c r="GM41" s="4">
        <v>-2.5266828317796516E-2</v>
      </c>
      <c r="GN41" s="4">
        <v>-2.1285897031787519E-2</v>
      </c>
      <c r="GO41" s="4">
        <v>-1.8526176406602222E-2</v>
      </c>
      <c r="GP41" s="4">
        <v>-1.6506178299358337E-2</v>
      </c>
      <c r="GQ41" s="4">
        <v>-1.4968576561802492E-2</v>
      </c>
      <c r="GR41" s="4">
        <v>-1.3763118381382788E-2</v>
      </c>
      <c r="GS41" s="4">
        <v>-1.2796314374543649E-2</v>
      </c>
      <c r="GT41" s="4">
        <v>-1.200700004791359E-2</v>
      </c>
      <c r="GU41" s="4">
        <v>-1.1353515009277858E-2</v>
      </c>
      <c r="GV41" s="4">
        <v>-1.0806532838814342E-2</v>
      </c>
      <c r="GW41" s="4">
        <v>-1.0344836946852419E-2</v>
      </c>
      <c r="GX41" s="4">
        <v>-9.9527213173087516E-3</v>
      </c>
      <c r="GY41" s="4">
        <v>-9.6183306479325995E-3</v>
      </c>
      <c r="GZ41" s="4">
        <v>-9.3325654522982988E-3</v>
      </c>
      <c r="HA41" s="4">
        <v>-9.0883382419776112E-3</v>
      </c>
      <c r="HB41" s="4">
        <v>-8.8800535164240777E-3</v>
      </c>
      <c r="HC41" s="4">
        <v>-8.7032326323582578E-3</v>
      </c>
      <c r="HD41" s="4">
        <v>-8.5542321041793216E-3</v>
      </c>
      <c r="HE41" s="4">
        <v>-8.4300192073472249E-3</v>
      </c>
      <c r="HF41" s="4">
        <v>-8.3279761328851759E-3</v>
      </c>
      <c r="HG41" s="4">
        <v>-8.2457048802297393E-3</v>
      </c>
      <c r="HH41" s="4">
        <v>-8.1807988053815041E-3</v>
      </c>
      <c r="HI41" s="4">
        <v>-8.1305294493876652E-3</v>
      </c>
      <c r="HJ41" s="4">
        <v>-8.0913594073239465E-3</v>
      </c>
      <c r="HK41" s="4">
        <v>-8.0581111292821715E-3</v>
      </c>
      <c r="HL41" s="4">
        <v>-8.022443377057242E-3</v>
      </c>
      <c r="HM41" s="4">
        <v>-7.9698721288039998E-3</v>
      </c>
      <c r="HN41" s="4">
        <v>-7.8735261519459303E-3</v>
      </c>
      <c r="HO41" s="4">
        <v>-7.6800190701304784E-3</v>
      </c>
      <c r="HP41" s="4">
        <v>-7.2727371794829273E-3</v>
      </c>
      <c r="HQ41" s="4">
        <v>-6.3840952344403294E-3</v>
      </c>
      <c r="HR41" s="4">
        <v>-3.9665634161767218E-3</v>
      </c>
      <c r="HS41" s="4">
        <v>-8.3580984492837463E-4</v>
      </c>
      <c r="HT41" s="4">
        <v>8.7763184281438492E-2</v>
      </c>
      <c r="HU41" s="4">
        <v>-0.23641995042067718</v>
      </c>
    </row>
    <row r="42" spans="4:229" x14ac:dyDescent="0.25">
      <c r="D42" s="10">
        <v>33</v>
      </c>
      <c r="E42" s="5">
        <f>'N70'!E49-'N70'!E48</f>
        <v>1.428571428571429E-2</v>
      </c>
      <c r="F42" s="5">
        <f>'N70'!H48-'N70'!$E$16</f>
        <v>0.4642857142857143</v>
      </c>
      <c r="G42" s="5">
        <f>'N70'!H48-'N70'!$E$17</f>
        <v>0.45</v>
      </c>
      <c r="H42" s="5">
        <f>'N70'!H48-'N70'!$E$18</f>
        <v>0.43571428571428572</v>
      </c>
      <c r="I42" s="5">
        <f>'N70'!H48-'N70'!$E$19</f>
        <v>0.42142857142857143</v>
      </c>
      <c r="J42" s="5">
        <f>'N70'!H48-'N70'!$E$20</f>
        <v>0.40714285714285714</v>
      </c>
      <c r="K42" s="5">
        <f>'N70'!H48-'N70'!$E$21</f>
        <v>0.3928571428571429</v>
      </c>
      <c r="L42" s="5">
        <f>'N70'!H48-'N70'!$E$22</f>
        <v>0.37857142857142856</v>
      </c>
      <c r="M42" s="5">
        <f>'N70'!H48-'N70'!$E$23</f>
        <v>0.36428571428571432</v>
      </c>
      <c r="N42" s="5">
        <f>'N70'!H48-'N70'!$E$24</f>
        <v>0.35000000000000003</v>
      </c>
      <c r="O42" s="5">
        <f>'N70'!H48-'N70'!$E$25</f>
        <v>0.33571428571428574</v>
      </c>
      <c r="P42" s="5">
        <f>'N70'!H48-'N70'!$E$26</f>
        <v>0.32142857142857145</v>
      </c>
      <c r="Q42" s="5">
        <f>'N70'!H48-'N70'!$E$27</f>
        <v>0.30714285714285716</v>
      </c>
      <c r="R42" s="5">
        <f>'N70'!H48-'N70'!$E$28</f>
        <v>0.29285714285714287</v>
      </c>
      <c r="S42" s="5">
        <f>'N70'!H48-'N70'!$E$29</f>
        <v>0.27857142857142858</v>
      </c>
      <c r="T42" s="5">
        <f>'N70'!H48-'N70'!$E$30</f>
        <v>0.26428571428571435</v>
      </c>
      <c r="U42" s="5">
        <f>'N70'!H48-'N70'!$E$31</f>
        <v>0.25</v>
      </c>
      <c r="V42" s="5">
        <f>'N70'!H48-'N70'!$E$32</f>
        <v>0.23571428571428574</v>
      </c>
      <c r="W42" s="5">
        <f>'N70'!H48-'N70'!$E$33</f>
        <v>0.22142857142857145</v>
      </c>
      <c r="X42" s="5">
        <f>'N70'!H48-'N70'!$E$34</f>
        <v>0.20714285714285718</v>
      </c>
      <c r="Y42" s="5">
        <f>'N70'!H48-'N70'!$E$35</f>
        <v>0.19285714285714289</v>
      </c>
      <c r="Z42" s="5">
        <f>'N70'!H48-'N70'!$E$36</f>
        <v>0.1785714285714286</v>
      </c>
      <c r="AA42" s="5">
        <f>'N70'!H48-'N70'!$E$37</f>
        <v>0.16428571428571431</v>
      </c>
      <c r="AB42" s="5">
        <f>'N70'!H48-'N70'!$E$38</f>
        <v>0.15000000000000002</v>
      </c>
      <c r="AC42" s="5">
        <f>'N70'!H48-'N70'!$E$39</f>
        <v>0.13571428571428573</v>
      </c>
      <c r="AD42" s="5">
        <f>'N70'!H48-'N70'!$E$40</f>
        <v>0.12142857142857144</v>
      </c>
      <c r="AE42" s="5">
        <f>'N70'!H48-'N70'!$E$41</f>
        <v>0.10714285714285715</v>
      </c>
      <c r="AF42" s="5">
        <f>'N70'!H48-'N70'!$E$42</f>
        <v>9.285714285714286E-2</v>
      </c>
      <c r="AG42" s="5">
        <f>'N70'!H48-'N70'!$E$43</f>
        <v>7.8571428571428625E-2</v>
      </c>
      <c r="AH42" s="5">
        <f>'N70'!H48-'N70'!$E$44</f>
        <v>6.4285714285714335E-2</v>
      </c>
      <c r="AI42" s="5">
        <f>'N70'!H48-'N70'!$E$45</f>
        <v>5.0000000000000044E-2</v>
      </c>
      <c r="AJ42" s="5">
        <f>'N70'!H48-'N70'!$E$46</f>
        <v>3.5714285714285754E-2</v>
      </c>
      <c r="AK42" s="5">
        <f>'N70'!H48-'N70'!$E$47</f>
        <v>2.1428571428571463E-2</v>
      </c>
      <c r="AL42" s="5">
        <f>'N70'!H48-'N70'!$E$48</f>
        <v>7.142857142857173E-3</v>
      </c>
      <c r="AM42" s="5">
        <f>'N70'!H48-'N70'!$E$49</f>
        <v>-7.1428571428571175E-3</v>
      </c>
      <c r="AN42" s="5">
        <f>'N70'!H48-'N70'!$E$50</f>
        <v>-2.1428571428571408E-2</v>
      </c>
      <c r="AO42" s="5">
        <f>'N70'!H48-'N70'!$E$51</f>
        <v>-3.5714285714285698E-2</v>
      </c>
      <c r="AP42" s="5">
        <f>'N70'!H48-'N70'!$E$52</f>
        <v>-4.9999999999999933E-2</v>
      </c>
      <c r="AQ42" s="5">
        <f>'N70'!H48-'N70'!$E$53</f>
        <v>-6.4285714285714279E-2</v>
      </c>
      <c r="AR42" s="5">
        <f>'N70'!H48-'N70'!$E$54</f>
        <v>-7.8571428571428514E-2</v>
      </c>
      <c r="AS42" s="5">
        <f>'N70'!H48-'N70'!$E$55</f>
        <v>-9.285714285714286E-2</v>
      </c>
      <c r="AT42" s="5">
        <f>'N70'!H48-'N70'!$E$56</f>
        <v>-0.1071428571428571</v>
      </c>
      <c r="AU42" s="5">
        <f>'N70'!H48-'N70'!$E$57</f>
        <v>-0.12142857142857144</v>
      </c>
      <c r="AV42" s="5">
        <f>'N70'!H48-'N70'!$E$58</f>
        <v>-0.13571428571428568</v>
      </c>
      <c r="AW42" s="5">
        <f>'N70'!H48-'N70'!$E$59</f>
        <v>-0.14999999999999991</v>
      </c>
      <c r="AX42" s="5">
        <f>'N70'!H48-'N70'!$E$60</f>
        <v>-0.16428571428571426</v>
      </c>
      <c r="AY42" s="5">
        <f>'N70'!H48-'N70'!$E$61</f>
        <v>-0.17857142857142849</v>
      </c>
      <c r="AZ42" s="5">
        <f>'N70'!H48-'N70'!$E$62</f>
        <v>-0.19285714285714284</v>
      </c>
      <c r="BA42" s="5">
        <f>'N70'!H48-'N70'!$E$63</f>
        <v>-0.20714285714285707</v>
      </c>
      <c r="BB42" s="5">
        <f>'N70'!H48-'N70'!$E$64</f>
        <v>-0.22142857142857142</v>
      </c>
      <c r="BC42" s="5">
        <f>'N70'!H48-'N70'!$E$65</f>
        <v>-0.23571428571428565</v>
      </c>
      <c r="BD42" s="5">
        <f>'N70'!H48-'N70'!$E$66</f>
        <v>-0.25</v>
      </c>
      <c r="BE42" s="5">
        <f>'N70'!H48-'N70'!$E$67</f>
        <v>-0.26428571428571423</v>
      </c>
      <c r="BF42" s="5">
        <f>'N70'!H48-'N70'!$E$68</f>
        <v>-0.27857142857142858</v>
      </c>
      <c r="BG42" s="5">
        <f>'N70'!H48-'N70'!$E$69</f>
        <v>-0.29285714285714282</v>
      </c>
      <c r="BH42" s="5">
        <f>'N70'!H48-'N70'!$E$70</f>
        <v>-0.30714285714285705</v>
      </c>
      <c r="BI42" s="5">
        <f>'N70'!H48-'N70'!$E$71</f>
        <v>-0.3214285714285714</v>
      </c>
      <c r="BJ42" s="5">
        <f>'N70'!H48-'N70'!$E$72</f>
        <v>-0.33571428571428563</v>
      </c>
      <c r="BK42" s="5">
        <f>'N70'!H48-'N70'!$E$73</f>
        <v>-0.35</v>
      </c>
      <c r="BL42" s="5">
        <f>'N70'!H48-'N70'!$E$74</f>
        <v>-0.36428571428571421</v>
      </c>
      <c r="BM42" s="5">
        <f>'N70'!H48-'N70'!$E$75</f>
        <v>-0.37857142857142856</v>
      </c>
      <c r="BN42" s="5">
        <f>'N70'!H48-'N70'!$E$76</f>
        <v>-0.39285714285714279</v>
      </c>
      <c r="BO42" s="5">
        <f>'N70'!H48-'N70'!$E$77</f>
        <v>-0.40714285714285714</v>
      </c>
      <c r="BP42" s="5">
        <f>'N70'!H48-'N70'!$E$78</f>
        <v>-0.42142857142857137</v>
      </c>
      <c r="BQ42" s="5">
        <f>'N70'!H48-'N70'!$E$79</f>
        <v>-0.43571428571428572</v>
      </c>
      <c r="BR42" s="5">
        <f>'N70'!H48-'N70'!$E$80</f>
        <v>-0.44999999999999996</v>
      </c>
      <c r="BS42" s="5">
        <f>'N70'!H48-'N70'!$E$81</f>
        <v>-0.46428571428571419</v>
      </c>
      <c r="BT42" s="5">
        <f>'N70'!H48-'N70'!$E$82</f>
        <v>-0.47857142857142854</v>
      </c>
      <c r="BU42" s="5">
        <f>'N70'!H48-'N70'!$E$83</f>
        <v>-0.49285714285714277</v>
      </c>
      <c r="BV42" s="5">
        <f>'N70'!H48-'N70'!$E$84</f>
        <v>-0.50714285714285712</v>
      </c>
      <c r="BW42" s="5">
        <f>'N70'!H48-'N70'!$E$85</f>
        <v>-0.52142857142857135</v>
      </c>
      <c r="BX42" s="5">
        <v>-1</v>
      </c>
      <c r="BZ42">
        <v>33</v>
      </c>
      <c r="CA42" s="5">
        <f>N70_DESARROLLO!CE127+N70_DESARROLLO!H127</f>
        <v>-1.5544859931607813E-2</v>
      </c>
      <c r="CB42" s="5">
        <f>N70_DESARROLLO!CF127+N70_DESARROLLO!I127</f>
        <v>-3.1751366862667441E-2</v>
      </c>
      <c r="CC42" s="5">
        <f>N70_DESARROLLO!CG127+N70_DESARROLLO!J127</f>
        <v>-3.2792762635871275E-2</v>
      </c>
      <c r="CD42" s="5">
        <f>N70_DESARROLLO!CH127+N70_DESARROLLO!K127</f>
        <v>-3.3904800811321523E-2</v>
      </c>
      <c r="CE42" s="5">
        <f>N70_DESARROLLO!CI127+N70_DESARROLLO!L127</f>
        <v>-3.5094923244217813E-2</v>
      </c>
      <c r="CF42" s="5">
        <f>N70_DESARROLLO!CJ127+N70_DESARROLLO!M127</f>
        <v>-3.6371655357433585E-2</v>
      </c>
      <c r="CG42" s="5">
        <f>N70_DESARROLLO!CK127+N70_DESARROLLO!N127</f>
        <v>-3.7744810855703137E-2</v>
      </c>
      <c r="CH42" s="5">
        <f>N70_DESARROLLO!CL127+N70_DESARROLLO!O127</f>
        <v>-3.922574468547857E-2</v>
      </c>
      <c r="CI42" s="5">
        <f>N70_DESARROLLO!CM127+N70_DESARROLLO!P127</f>
        <v>-4.0827668052531463E-2</v>
      </c>
      <c r="CJ42" s="5">
        <f>N70_DESARROLLO!CN127+N70_DESARROLLO!Q127</f>
        <v>-4.2566044021113525E-2</v>
      </c>
      <c r="CK42" s="5">
        <f>N70_DESARROLLO!CO127+N70_DESARROLLO!R127</f>
        <v>-4.4459088822761617E-2</v>
      </c>
      <c r="CL42" s="5">
        <f>N70_DESARROLLO!CP127+N70_DESARROLLO!S127</f>
        <v>-4.6528413377890931E-2</v>
      </c>
      <c r="CM42" s="5">
        <f>N70_DESARROLLO!CQ127+N70_DESARROLLO!T127</f>
        <v>-4.8799853039072971E-2</v>
      </c>
      <c r="CN42" s="5">
        <f>N70_DESARROLLO!CR127+N70_DESARROLLO!U127</f>
        <v>-5.130455332634698E-2</v>
      </c>
      <c r="CO42" s="5">
        <f>N70_DESARROLLO!CS127+N70_DESARROLLO!V127</f>
        <v>-5.408040883814047E-2</v>
      </c>
      <c r="CP42" s="5">
        <f>N70_DESARROLLO!CT127+N70_DESARROLLO!W127</f>
        <v>-5.7173997129083443E-2</v>
      </c>
      <c r="CQ42" s="5">
        <f>N70_DESARROLLO!CU127+N70_DESARROLLO!X127</f>
        <v>-6.0643218403520049E-2</v>
      </c>
      <c r="CR42" s="5">
        <f>N70_DESARROLLO!CV127+N70_DESARROLLO!Y127</f>
        <v>-6.4560961252484894E-2</v>
      </c>
      <c r="CS42" s="5">
        <f>N70_DESARROLLO!CW127+N70_DESARROLLO!Z127</f>
        <v>-6.9020292350867152E-2</v>
      </c>
      <c r="CT42" s="5">
        <f>N70_DESARROLLO!CX127+N70_DESARROLLO!AA127</f>
        <v>-7.4141965022337497E-2</v>
      </c>
      <c r="CU42" s="5">
        <f>N70_DESARROLLO!CY127+N70_DESARROLLO!AB127</f>
        <v>-8.0085554140356896E-2</v>
      </c>
      <c r="CV42" s="5">
        <f>N70_DESARROLLO!CZ127+N70_DESARROLLO!AC127</f>
        <v>-8.706644231933558E-2</v>
      </c>
      <c r="CW42" s="5">
        <f>N70_DESARROLLO!DA127+N70_DESARROLLO!AD127</f>
        <v>-9.5382594982175606E-2</v>
      </c>
      <c r="CX42" s="5">
        <f>N70_DESARROLLO!DB127+N70_DESARROLLO!AE127</f>
        <v>-0.1054584185205778</v>
      </c>
      <c r="CY42" s="5">
        <f>N70_DESARROLLO!DC127+N70_DESARROLLO!AF127</f>
        <v>-0.11791996375048563</v>
      </c>
      <c r="CZ42" s="5">
        <f>N70_DESARROLLO!DD127+N70_DESARROLLO!AG127</f>
        <v>-0.13373123411929888</v>
      </c>
      <c r="DA42" s="5">
        <f>N70_DESARROLLO!DE127+N70_DESARROLLO!AH127</f>
        <v>-0.15445886474681692</v>
      </c>
      <c r="DB42" s="5">
        <f>N70_DESARROLLO!DF127+N70_DESARROLLO!AI127</f>
        <v>-0.18283342438756367</v>
      </c>
      <c r="DC42" s="5">
        <f>N70_DESARROLLO!DG127+N70_DESARROLLO!AJ127</f>
        <v>-0.22408833054042687</v>
      </c>
      <c r="DD42" s="5">
        <f>N70_DESARROLLO!DH127+N70_DESARROLLO!AK127</f>
        <v>-0.28973434150573185</v>
      </c>
      <c r="DE42" s="5">
        <f>N70_DESARROLLO!DI127+N70_DESARROLLO!AL127</f>
        <v>-0.41141440075354707</v>
      </c>
      <c r="DF42" s="5">
        <f>N70_DESARROLLO!DJ127+N70_DESARROLLO!AM127</f>
        <v>-0.72775792963607955</v>
      </c>
      <c r="DG42" s="5">
        <f>N70_DESARROLLO!DK127+N70_DESARROLLO!AN127</f>
        <v>-1.6479184659605328</v>
      </c>
      <c r="DH42" s="5">
        <f>N70_DESARROLLO!DL127+N70_DESARROLLO!AO127</f>
        <v>1.6479184659605364</v>
      </c>
      <c r="DI42" s="5">
        <f>N70_DESARROLLO!DM127+N70_DESARROLLO!AP127</f>
        <v>0.72775792963608221</v>
      </c>
      <c r="DJ42" s="5">
        <f>N70_DESARROLLO!DN127+N70_DESARROLLO!AQ127</f>
        <v>0.41141440075354252</v>
      </c>
      <c r="DK42" s="5">
        <f>N70_DESARROLLO!DO127+N70_DESARROLLO!AR127</f>
        <v>0.28973434150574007</v>
      </c>
      <c r="DL42" s="5">
        <f>N70_DESARROLLO!DP127+N70_DESARROLLO!AS127</f>
        <v>0.2240883305404191</v>
      </c>
      <c r="DM42" s="5">
        <f>N70_DESARROLLO!DQ127+N70_DESARROLLO!AT127</f>
        <v>0.18283342438757677</v>
      </c>
      <c r="DN42" s="5">
        <f>N70_DESARROLLO!DR127+N70_DESARROLLO!AU127</f>
        <v>0.15445886474680548</v>
      </c>
      <c r="DO42" s="5">
        <f>N70_DESARROLLO!DS127+N70_DESARROLLO!AV127</f>
        <v>0.1337312341193071</v>
      </c>
      <c r="DP42" s="5">
        <f>N70_DESARROLLO!DT127+N70_DESARROLLO!AW127</f>
        <v>0.11791996375047809</v>
      </c>
      <c r="DQ42" s="5">
        <f>N70_DESARROLLO!DU127+N70_DESARROLLO!AX127</f>
        <v>0.10545841852057691</v>
      </c>
      <c r="DR42" s="5">
        <f>N70_DESARROLLO!DV127+N70_DESARROLLO!AY127</f>
        <v>9.5382594982183821E-2</v>
      </c>
      <c r="DS42" s="5">
        <f>N70_DESARROLLO!DW127+N70_DESARROLLO!AZ127</f>
        <v>8.7066442319328474E-2</v>
      </c>
      <c r="DT42" s="5">
        <f>N70_DESARROLLO!DX127+N70_DESARROLLO!BA127</f>
        <v>8.0085554140362891E-2</v>
      </c>
      <c r="DU42" s="5">
        <f>N70_DESARROLLO!DY127+N70_DESARROLLO!BB127</f>
        <v>7.414196502232917E-2</v>
      </c>
      <c r="DV42" s="5">
        <f>N70_DESARROLLO!DZ127+N70_DESARROLLO!BC127</f>
        <v>6.902029235087781E-2</v>
      </c>
      <c r="DW42" s="5">
        <f>N70_DESARROLLO!EA127+N70_DESARROLLO!BD127</f>
        <v>6.4560961252473681E-2</v>
      </c>
      <c r="DX42" s="5">
        <f>N70_DESARROLLO!EB127+N70_DESARROLLO!BE127</f>
        <v>6.0643218403529819E-2</v>
      </c>
      <c r="DY42" s="5">
        <f>N70_DESARROLLO!EC127+N70_DESARROLLO!BF127</f>
        <v>5.717399712907123E-2</v>
      </c>
      <c r="DZ42" s="5">
        <f>N70_DESARROLLO!ED127+N70_DESARROLLO!BG127</f>
        <v>5.4080408838158012E-2</v>
      </c>
      <c r="EA42" s="5">
        <f>N70_DESARROLLO!EE127+N70_DESARROLLO!BH127</f>
        <v>5.130455332633288E-2</v>
      </c>
      <c r="EB42" s="5">
        <f>N70_DESARROLLO!EF127+N70_DESARROLLO!BI127</f>
        <v>4.879985303907397E-2</v>
      </c>
      <c r="EC42" s="5">
        <f>N70_DESARROLLO!EG127+N70_DESARROLLO!BJ127</f>
        <v>4.6528413377898814E-2</v>
      </c>
      <c r="ED42" s="5">
        <f>N70_DESARROLLO!EH127+N70_DESARROLLO!BK127</f>
        <v>4.4459088822751736E-2</v>
      </c>
      <c r="EE42" s="5">
        <f>N70_DESARROLLO!EI127+N70_DESARROLLO!BL127</f>
        <v>4.256604402112385E-2</v>
      </c>
      <c r="EF42" s="5">
        <f>N70_DESARROLLO!EJ127+N70_DESARROLLO!BM127</f>
        <v>4.0827668052522692E-2</v>
      </c>
      <c r="EG42" s="5">
        <f>N70_DESARROLLO!EK127+N70_DESARROLLO!BN127</f>
        <v>3.9225744685487451E-2</v>
      </c>
      <c r="EH42" s="5">
        <f>N70_DESARROLLO!EL127+N70_DESARROLLO!BO127</f>
        <v>3.774481085568826E-2</v>
      </c>
      <c r="EI42" s="5">
        <f>N70_DESARROLLO!EM127+N70_DESARROLLO!BP127</f>
        <v>3.6371655357452903E-2</v>
      </c>
      <c r="EJ42" s="5">
        <f>N70_DESARROLLO!EN127+N70_DESARROLLO!BQ127</f>
        <v>3.509492324420449E-2</v>
      </c>
      <c r="EK42" s="5">
        <f>N70_DESARROLLO!EO127+N70_DESARROLLO!BR127</f>
        <v>3.3904800811327962E-2</v>
      </c>
      <c r="EL42" s="5">
        <f>N70_DESARROLLO!EP127+N70_DESARROLLO!BS127</f>
        <v>3.2792762635863171E-2</v>
      </c>
      <c r="EM42" s="5">
        <f>N70_DESARROLLO!EQ127+N70_DESARROLLO!BT127</f>
        <v>3.1751366862668773E-2</v>
      </c>
      <c r="EN42" s="5">
        <f>N70_DESARROLLO!ER127+N70_DESARROLLO!BU127</f>
        <v>3.0774088329719285E-2</v>
      </c>
      <c r="EO42" s="5">
        <f>N70_DESARROLLO!ES127+N70_DESARROLLO!BV127</f>
        <v>2.9855181616024296E-2</v>
      </c>
      <c r="EP42" s="5">
        <f>N70_DESARROLLO!ET127+N70_DESARROLLO!BW127</f>
        <v>2.8989567932963367E-2</v>
      </c>
      <c r="EQ42" s="5">
        <f>N70_DESARROLLO!EU127+N70_DESARROLLO!BX127</f>
        <v>2.8172741151779368E-2</v>
      </c>
      <c r="ER42" s="5">
        <f>N70_DESARROLLO!EV127+N70_DESARROLLO!BY127</f>
        <v>44.59663506839545</v>
      </c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>
        <v>33</v>
      </c>
      <c r="FD42" s="4">
        <v>2.6874115182724942E-4</v>
      </c>
      <c r="FE42" s="4">
        <v>5.4574501489001298E-4</v>
      </c>
      <c r="FF42" s="4">
        <v>7.3313851718843231E-4</v>
      </c>
      <c r="FG42" s="4">
        <v>9.0560081919942878E-4</v>
      </c>
      <c r="FH42" s="4">
        <v>1.0725878221020855E-3</v>
      </c>
      <c r="FI42" s="4">
        <v>1.2400321651822989E-3</v>
      </c>
      <c r="FJ42" s="4">
        <v>1.4116676181346556E-3</v>
      </c>
      <c r="FK42" s="4">
        <v>1.590401266237344E-3</v>
      </c>
      <c r="FL42" s="4">
        <v>1.7788222951605466E-3</v>
      </c>
      <c r="FM42" s="4">
        <v>1.9794780277378374E-3</v>
      </c>
      <c r="FN42" s="4">
        <v>2.1950564861632944E-3</v>
      </c>
      <c r="FO42" s="4">
        <v>2.4285367714238664E-3</v>
      </c>
      <c r="FP42" s="4">
        <v>2.6833383145563666E-3</v>
      </c>
      <c r="FQ42" s="4">
        <v>2.9634903205317778E-3</v>
      </c>
      <c r="FR42" s="4">
        <v>3.2738414524139982E-3</v>
      </c>
      <c r="FS42" s="4">
        <v>3.6203338204999422E-3</v>
      </c>
      <c r="FT42" s="4">
        <v>4.0103745717092075E-3</v>
      </c>
      <c r="FU42" s="4">
        <v>4.4533548088834451E-3</v>
      </c>
      <c r="FV42" s="4">
        <v>4.9613937213556442E-3</v>
      </c>
      <c r="FW42" s="4">
        <v>5.5504345609808927E-3</v>
      </c>
      <c r="FX42" s="4">
        <v>6.2419059566502675E-3</v>
      </c>
      <c r="FY42" s="4">
        <v>7.0653227674831696E-3</v>
      </c>
      <c r="FZ42" s="4">
        <v>8.0625118239245758E-3</v>
      </c>
      <c r="GA42" s="4">
        <v>9.2947835764701295E-3</v>
      </c>
      <c r="GB42" s="4">
        <v>1.0855754280907733E-2</v>
      </c>
      <c r="GC42" s="4">
        <v>1.2895785786920673E-2</v>
      </c>
      <c r="GD42" s="4">
        <v>1.5672296538514041E-2</v>
      </c>
      <c r="GE42" s="4">
        <v>1.9666851168833731E-2</v>
      </c>
      <c r="GF42" s="4">
        <v>2.5858132064943709E-2</v>
      </c>
      <c r="GG42" s="4">
        <v>3.71848546667366E-2</v>
      </c>
      <c r="GH42" s="4">
        <v>5.4481324795733303E-2</v>
      </c>
      <c r="GI42" s="4">
        <v>0.24510592342451065</v>
      </c>
      <c r="GJ42" s="4">
        <v>-0.25065910616745973</v>
      </c>
      <c r="GK42" s="4">
        <v>-6.003754204091423E-2</v>
      </c>
      <c r="GL42" s="4">
        <v>-4.2747154438075564E-2</v>
      </c>
      <c r="GM42" s="4">
        <v>-3.1429589563915401E-2</v>
      </c>
      <c r="GN42" s="4">
        <v>-2.5250582699524099E-2</v>
      </c>
      <c r="GO42" s="4">
        <v>-2.1271473838536954E-2</v>
      </c>
      <c r="GP42" s="4">
        <v>-1.8513650902782605E-2</v>
      </c>
      <c r="GQ42" s="4">
        <v>-1.6495635127950308E-2</v>
      </c>
      <c r="GR42" s="4">
        <v>-1.4960110323727705E-2</v>
      </c>
      <c r="GS42" s="4">
        <v>-1.3756834241076535E-2</v>
      </c>
      <c r="GT42" s="4">
        <v>-1.2792328662184863E-2</v>
      </c>
      <c r="GU42" s="4">
        <v>-1.2005440811133052E-2</v>
      </c>
      <c r="GV42" s="4">
        <v>-1.1354522440596896E-2</v>
      </c>
      <c r="GW42" s="4">
        <v>-1.0810259463694469E-2</v>
      </c>
      <c r="GX42" s="4">
        <v>-1.0351447393289574E-2</v>
      </c>
      <c r="GY42" s="4">
        <v>-9.9623913885894012E-3</v>
      </c>
      <c r="GZ42" s="4">
        <v>-9.6312452635840817E-3</v>
      </c>
      <c r="HA42" s="4">
        <v>-9.3489147742182137E-3</v>
      </c>
      <c r="HB42" s="4">
        <v>-9.1083109027300137E-3</v>
      </c>
      <c r="HC42" s="4">
        <v>-8.9038252138132767E-3</v>
      </c>
      <c r="HD42" s="4">
        <v>-8.7309472678319643E-3</v>
      </c>
      <c r="HE42" s="4">
        <v>-8.5859707997967376E-3</v>
      </c>
      <c r="HF42" s="4">
        <v>-8.465749336555195E-3</v>
      </c>
      <c r="HG42" s="4">
        <v>-8.3674668010849957E-3</v>
      </c>
      <c r="HH42" s="4">
        <v>-8.2883848318685734E-3</v>
      </c>
      <c r="HI42" s="4">
        <v>-8.2255128761899114E-3</v>
      </c>
      <c r="HJ42" s="4">
        <v>-8.1751104708389314E-3</v>
      </c>
      <c r="HK42" s="4">
        <v>-8.1318514281451607E-3</v>
      </c>
      <c r="HL42" s="4">
        <v>-8.0873030819951161E-3</v>
      </c>
      <c r="HM42" s="4">
        <v>-8.0269618262161033E-3</v>
      </c>
      <c r="HN42" s="4">
        <v>-7.9240465729055187E-3</v>
      </c>
      <c r="HO42" s="4">
        <v>-7.7254614472698708E-3</v>
      </c>
      <c r="HP42" s="4">
        <v>-7.3153194013466554E-3</v>
      </c>
      <c r="HQ42" s="4">
        <v>-6.4277634464649487E-3</v>
      </c>
      <c r="HR42" s="4">
        <v>-4.0218061109985282E-3</v>
      </c>
      <c r="HS42" s="4">
        <v>-9.0953991299595814E-4</v>
      </c>
      <c r="HT42" s="4">
        <v>8.7165742980104058E-2</v>
      </c>
      <c r="HU42" s="4">
        <v>-0.23518249917194245</v>
      </c>
    </row>
    <row r="43" spans="4:229" x14ac:dyDescent="0.25">
      <c r="D43" s="10">
        <v>34</v>
      </c>
      <c r="E43" s="5">
        <f>'N70'!E50-'N70'!E49</f>
        <v>1.428571428571429E-2</v>
      </c>
      <c r="F43" s="5">
        <f>'N70'!H49-'N70'!$E$16</f>
        <v>0.47857142857142854</v>
      </c>
      <c r="G43" s="5">
        <f>'N70'!H49-'N70'!$E$17</f>
        <v>0.46428571428571425</v>
      </c>
      <c r="H43" s="5">
        <f>'N70'!H49-'N70'!$E$18</f>
        <v>0.44999999999999996</v>
      </c>
      <c r="I43" s="5">
        <f>'N70'!H49-'N70'!$E$19</f>
        <v>0.43571428571428567</v>
      </c>
      <c r="J43" s="5">
        <f>'N70'!H49-'N70'!$E$20</f>
        <v>0.42142857142857137</v>
      </c>
      <c r="K43" s="5">
        <f>'N70'!H49-'N70'!$E$21</f>
        <v>0.40714285714285714</v>
      </c>
      <c r="L43" s="5">
        <f>'N70'!H49-'N70'!$E$22</f>
        <v>0.39285714285714279</v>
      </c>
      <c r="M43" s="5">
        <f>'N70'!H49-'N70'!$E$23</f>
        <v>0.37857142857142856</v>
      </c>
      <c r="N43" s="5">
        <f>'N70'!H49-'N70'!$E$24</f>
        <v>0.36428571428571427</v>
      </c>
      <c r="O43" s="5">
        <f>'N70'!H49-'N70'!$E$25</f>
        <v>0.35</v>
      </c>
      <c r="P43" s="5">
        <f>'N70'!H49-'N70'!$E$26</f>
        <v>0.33571428571428569</v>
      </c>
      <c r="Q43" s="5">
        <f>'N70'!H49-'N70'!$E$27</f>
        <v>0.3214285714285714</v>
      </c>
      <c r="R43" s="5">
        <f>'N70'!H49-'N70'!$E$28</f>
        <v>0.30714285714285711</v>
      </c>
      <c r="S43" s="5">
        <f>'N70'!H49-'N70'!$E$29</f>
        <v>0.29285714285714282</v>
      </c>
      <c r="T43" s="5">
        <f>'N70'!H49-'N70'!$E$30</f>
        <v>0.27857142857142858</v>
      </c>
      <c r="U43" s="5">
        <f>'N70'!H49-'N70'!$E$31</f>
        <v>0.26428571428571423</v>
      </c>
      <c r="V43" s="5">
        <f>'N70'!H49-'N70'!$E$32</f>
        <v>0.24999999999999997</v>
      </c>
      <c r="W43" s="5">
        <f>'N70'!H49-'N70'!$E$33</f>
        <v>0.23571428571428568</v>
      </c>
      <c r="X43" s="5">
        <f>'N70'!H49-'N70'!$E$34</f>
        <v>0.22142857142857142</v>
      </c>
      <c r="Y43" s="5">
        <f>'N70'!H49-'N70'!$E$35</f>
        <v>0.20714285714285713</v>
      </c>
      <c r="Z43" s="5">
        <f>'N70'!H49-'N70'!$E$36</f>
        <v>0.19285714285714284</v>
      </c>
      <c r="AA43" s="5">
        <f>'N70'!H49-'N70'!$E$37</f>
        <v>0.17857142857142855</v>
      </c>
      <c r="AB43" s="5">
        <f>'N70'!H49-'N70'!$E$38</f>
        <v>0.16428571428571426</v>
      </c>
      <c r="AC43" s="5">
        <f>'N70'!H49-'N70'!$E$39</f>
        <v>0.14999999999999997</v>
      </c>
      <c r="AD43" s="5">
        <f>'N70'!H49-'N70'!$E$40</f>
        <v>0.13571428571428568</v>
      </c>
      <c r="AE43" s="5">
        <f>'N70'!H49-'N70'!$E$41</f>
        <v>0.12142857142857139</v>
      </c>
      <c r="AF43" s="5">
        <f>'N70'!H49-'N70'!$E$42</f>
        <v>0.1071428571428571</v>
      </c>
      <c r="AG43" s="5">
        <f>'N70'!H49-'N70'!$E$43</f>
        <v>9.285714285714286E-2</v>
      </c>
      <c r="AH43" s="5">
        <f>'N70'!H49-'N70'!$E$44</f>
        <v>7.857142857142857E-2</v>
      </c>
      <c r="AI43" s="5">
        <f>'N70'!H49-'N70'!$E$45</f>
        <v>6.4285714285714279E-2</v>
      </c>
      <c r="AJ43" s="5">
        <f>'N70'!H49-'N70'!$E$46</f>
        <v>4.9999999999999989E-2</v>
      </c>
      <c r="AK43" s="5">
        <f>'N70'!H49-'N70'!$E$47</f>
        <v>3.5714285714285698E-2</v>
      </c>
      <c r="AL43" s="5">
        <f>'N70'!H49-'N70'!$E$48</f>
        <v>2.1428571428571408E-2</v>
      </c>
      <c r="AM43" s="5">
        <f>'N70'!H49-'N70'!$E$49</f>
        <v>7.1428571428571175E-3</v>
      </c>
      <c r="AN43" s="5">
        <f>'N70'!H49-'N70'!$E$50</f>
        <v>-7.142857142857173E-3</v>
      </c>
      <c r="AO43" s="5">
        <f>'N70'!H49-'N70'!$E$51</f>
        <v>-2.1428571428571463E-2</v>
      </c>
      <c r="AP43" s="5">
        <f>'N70'!H49-'N70'!$E$52</f>
        <v>-3.5714285714285698E-2</v>
      </c>
      <c r="AQ43" s="5">
        <f>'N70'!H49-'N70'!$E$53</f>
        <v>-5.0000000000000044E-2</v>
      </c>
      <c r="AR43" s="5">
        <f>'N70'!H49-'N70'!$E$54</f>
        <v>-6.4285714285714279E-2</v>
      </c>
      <c r="AS43" s="5">
        <f>'N70'!H49-'N70'!$E$55</f>
        <v>-7.8571428571428625E-2</v>
      </c>
      <c r="AT43" s="5">
        <f>'N70'!H49-'N70'!$E$56</f>
        <v>-9.285714285714286E-2</v>
      </c>
      <c r="AU43" s="5">
        <f>'N70'!H49-'N70'!$E$57</f>
        <v>-0.10714285714285721</v>
      </c>
      <c r="AV43" s="5">
        <f>'N70'!H49-'N70'!$E$58</f>
        <v>-0.12142857142857144</v>
      </c>
      <c r="AW43" s="5">
        <f>'N70'!H49-'N70'!$E$59</f>
        <v>-0.13571428571428568</v>
      </c>
      <c r="AX43" s="5">
        <f>'N70'!H49-'N70'!$E$60</f>
        <v>-0.15000000000000002</v>
      </c>
      <c r="AY43" s="5">
        <f>'N70'!H49-'N70'!$E$61</f>
        <v>-0.16428571428571426</v>
      </c>
      <c r="AZ43" s="5">
        <f>'N70'!H49-'N70'!$E$62</f>
        <v>-0.1785714285714286</v>
      </c>
      <c r="BA43" s="5">
        <f>'N70'!H49-'N70'!$E$63</f>
        <v>-0.19285714285714284</v>
      </c>
      <c r="BB43" s="5">
        <f>'N70'!H49-'N70'!$E$64</f>
        <v>-0.20714285714285718</v>
      </c>
      <c r="BC43" s="5">
        <f>'N70'!H49-'N70'!$E$65</f>
        <v>-0.22142857142857142</v>
      </c>
      <c r="BD43" s="5">
        <f>'N70'!H49-'N70'!$E$66</f>
        <v>-0.23571428571428577</v>
      </c>
      <c r="BE43" s="5">
        <f>'N70'!H49-'N70'!$E$67</f>
        <v>-0.25</v>
      </c>
      <c r="BF43" s="5">
        <f>'N70'!H49-'N70'!$E$68</f>
        <v>-0.26428571428571435</v>
      </c>
      <c r="BG43" s="5">
        <f>'N70'!H49-'N70'!$E$69</f>
        <v>-0.27857142857142858</v>
      </c>
      <c r="BH43" s="5">
        <f>'N70'!H49-'N70'!$E$70</f>
        <v>-0.29285714285714282</v>
      </c>
      <c r="BI43" s="5">
        <f>'N70'!H49-'N70'!$E$71</f>
        <v>-0.30714285714285716</v>
      </c>
      <c r="BJ43" s="5">
        <f>'N70'!H49-'N70'!$E$72</f>
        <v>-0.3214285714285714</v>
      </c>
      <c r="BK43" s="5">
        <f>'N70'!H49-'N70'!$E$73</f>
        <v>-0.33571428571428574</v>
      </c>
      <c r="BL43" s="5">
        <f>'N70'!H49-'N70'!$E$74</f>
        <v>-0.35</v>
      </c>
      <c r="BM43" s="5">
        <f>'N70'!H49-'N70'!$E$75</f>
        <v>-0.36428571428571432</v>
      </c>
      <c r="BN43" s="5">
        <f>'N70'!H49-'N70'!$E$76</f>
        <v>-0.37857142857142856</v>
      </c>
      <c r="BO43" s="5">
        <f>'N70'!H49-'N70'!$E$77</f>
        <v>-0.3928571428571429</v>
      </c>
      <c r="BP43" s="5">
        <f>'N70'!H49-'N70'!$E$78</f>
        <v>-0.40714285714285714</v>
      </c>
      <c r="BQ43" s="5">
        <f>'N70'!H49-'N70'!$E$79</f>
        <v>-0.42142857142857149</v>
      </c>
      <c r="BR43" s="5">
        <f>'N70'!H49-'N70'!$E$80</f>
        <v>-0.43571428571428572</v>
      </c>
      <c r="BS43" s="5">
        <f>'N70'!H49-'N70'!$E$81</f>
        <v>-0.44999999999999996</v>
      </c>
      <c r="BT43" s="5">
        <f>'N70'!H49-'N70'!$E$82</f>
        <v>-0.4642857142857143</v>
      </c>
      <c r="BU43" s="5">
        <f>'N70'!H49-'N70'!$E$83</f>
        <v>-0.47857142857142854</v>
      </c>
      <c r="BV43" s="5">
        <f>'N70'!H49-'N70'!$E$84</f>
        <v>-0.49285714285714288</v>
      </c>
      <c r="BW43" s="5">
        <f>'N70'!H49-'N70'!$E$85</f>
        <v>-0.50714285714285712</v>
      </c>
      <c r="BX43" s="5">
        <v>-1</v>
      </c>
      <c r="BZ43">
        <v>34</v>
      </c>
      <c r="CA43" s="5">
        <f>N70_DESARROLLO!CE128+N70_DESARROLLO!H128</f>
        <v>-1.5076121703332501E-2</v>
      </c>
      <c r="CB43" s="5">
        <f>N70_DESARROLLO!CF128+N70_DESARROLLO!I128</f>
        <v>-3.0774088329711402E-2</v>
      </c>
      <c r="CC43" s="5">
        <f>N70_DESARROLLO!CG128+N70_DESARROLLO!J128</f>
        <v>-3.1751366862667441E-2</v>
      </c>
      <c r="CD43" s="5">
        <f>N70_DESARROLLO!CH128+N70_DESARROLLO!K128</f>
        <v>-3.2792762635871164E-2</v>
      </c>
      <c r="CE43" s="5">
        <f>N70_DESARROLLO!CI128+N70_DESARROLLO!L128</f>
        <v>-3.3904800811324631E-2</v>
      </c>
      <c r="CF43" s="5">
        <f>N70_DESARROLLO!CJ128+N70_DESARROLLO!M128</f>
        <v>-3.5094923244208154E-2</v>
      </c>
      <c r="CG43" s="5">
        <f>N70_DESARROLLO!CK128+N70_DESARROLLO!N128</f>
        <v>-3.6371655357446464E-2</v>
      </c>
      <c r="CH43" s="5">
        <f>N70_DESARROLLO!CL128+N70_DESARROLLO!O128</f>
        <v>-3.7744810855693589E-2</v>
      </c>
      <c r="CI43" s="5">
        <f>N70_DESARROLLO!CM128+N70_DESARROLLO!P128</f>
        <v>-3.9225744685481789E-2</v>
      </c>
      <c r="CJ43" s="5">
        <f>N70_DESARROLLO!CN128+N70_DESARROLLO!Q128</f>
        <v>-4.0827668052531574E-2</v>
      </c>
      <c r="CK43" s="5">
        <f>N70_DESARROLLO!CO128+N70_DESARROLLO!R128</f>
        <v>-4.2566044021113636E-2</v>
      </c>
      <c r="CL43" s="5">
        <f>N70_DESARROLLO!CP128+N70_DESARROLLO!S128</f>
        <v>-4.4459088822761617E-2</v>
      </c>
      <c r="CM43" s="5">
        <f>N70_DESARROLLO!CQ128+N70_DESARROLLO!T128</f>
        <v>-4.652841337789082E-2</v>
      </c>
      <c r="CN43" s="5">
        <f>N70_DESARROLLO!CR128+N70_DESARROLLO!U128</f>
        <v>-4.8799853039077523E-2</v>
      </c>
      <c r="CO43" s="5">
        <f>N70_DESARROLLO!CS128+N70_DESARROLLO!V128</f>
        <v>-5.1304553326333657E-2</v>
      </c>
      <c r="CP43" s="5">
        <f>N70_DESARROLLO!CT128+N70_DESARROLLO!W128</f>
        <v>-5.4080408838155902E-2</v>
      </c>
      <c r="CQ43" s="5">
        <f>N70_DESARROLLO!CU128+N70_DESARROLLO!X128</f>
        <v>-5.7173997129074783E-2</v>
      </c>
      <c r="CR43" s="5">
        <f>N70_DESARROLLO!CV128+N70_DESARROLLO!Y128</f>
        <v>-6.0643218403523824E-2</v>
      </c>
      <c r="CS43" s="5">
        <f>N70_DESARROLLO!CW128+N70_DESARROLLO!Z128</f>
        <v>-6.4560961252481008E-2</v>
      </c>
      <c r="CT43" s="5">
        <f>N70_DESARROLLO!CX128+N70_DESARROLLO!AA128</f>
        <v>-6.902029235086915E-2</v>
      </c>
      <c r="CU43" s="5">
        <f>N70_DESARROLLO!CY128+N70_DESARROLLO!AB128</f>
        <v>-7.4141965022337386E-2</v>
      </c>
      <c r="CV43" s="5">
        <f>N70_DESARROLLO!CZ128+N70_DESARROLLO!AC128</f>
        <v>-8.0085554140355564E-2</v>
      </c>
      <c r="CW43" s="5">
        <f>N70_DESARROLLO!DA128+N70_DESARROLLO!AD128</f>
        <v>-8.7066442319337245E-2</v>
      </c>
      <c r="CX43" s="5">
        <f>N70_DESARROLLO!DB128+N70_DESARROLLO!AE128</f>
        <v>-9.5382594982174607E-2</v>
      </c>
      <c r="CY43" s="5">
        <f>N70_DESARROLLO!DC128+N70_DESARROLLO!AF128</f>
        <v>-0.10545841852057825</v>
      </c>
      <c r="CZ43" s="5">
        <f>N70_DESARROLLO!DD128+N70_DESARROLLO!AG128</f>
        <v>-0.11791996375048674</v>
      </c>
      <c r="DA43" s="5">
        <f>N70_DESARROLLO!DE128+N70_DESARROLLO!AH128</f>
        <v>-0.13373123411930166</v>
      </c>
      <c r="DB43" s="5">
        <f>N70_DESARROLLO!DF128+N70_DESARROLLO!AI128</f>
        <v>-0.15445886474680959</v>
      </c>
      <c r="DC43" s="5">
        <f>N70_DESARROLLO!DG128+N70_DESARROLLO!AJ128</f>
        <v>-0.18283342438756844</v>
      </c>
      <c r="DD43" s="5">
        <f>N70_DESARROLLO!DH128+N70_DESARROLLO!AK128</f>
        <v>-0.22408833054042676</v>
      </c>
      <c r="DE43" s="5">
        <f>N70_DESARROLLO!DI128+N70_DESARROLLO!AL128</f>
        <v>-0.28973434150573196</v>
      </c>
      <c r="DF43" s="5">
        <f>N70_DESARROLLO!DJ128+N70_DESARROLLO!AM128</f>
        <v>-0.41141440075354807</v>
      </c>
      <c r="DG43" s="5">
        <f>N70_DESARROLLO!DK128+N70_DESARROLLO!AN128</f>
        <v>-0.72775792963608232</v>
      </c>
      <c r="DH43" s="5">
        <f>N70_DESARROLLO!DL128+N70_DESARROLLO!AO128</f>
        <v>-1.6479184659605361</v>
      </c>
      <c r="DI43" s="5">
        <f>N70_DESARROLLO!DM128+N70_DESARROLLO!AP128</f>
        <v>1.6479184659605328</v>
      </c>
      <c r="DJ43" s="5">
        <f>N70_DESARROLLO!DN128+N70_DESARROLLO!AQ128</f>
        <v>0.727757929636074</v>
      </c>
      <c r="DK43" s="5">
        <f>N70_DESARROLLO!DO128+N70_DESARROLLO!AR128</f>
        <v>0.41141440075355495</v>
      </c>
      <c r="DL43" s="5">
        <f>N70_DESARROLLO!DP128+N70_DESARROLLO!AS128</f>
        <v>0.2897343415057243</v>
      </c>
      <c r="DM43" s="5">
        <f>N70_DESARROLLO!DQ128+N70_DESARROLLO!AT128</f>
        <v>0.22408833054043464</v>
      </c>
      <c r="DN43" s="5">
        <f>N70_DESARROLLO!DR128+N70_DESARROLLO!AU128</f>
        <v>0.18283342438756045</v>
      </c>
      <c r="DO43" s="5">
        <f>N70_DESARROLLO!DS128+N70_DESARROLLO!AV128</f>
        <v>0.1544588647468208</v>
      </c>
      <c r="DP43" s="5">
        <f>N70_DESARROLLO!DT128+N70_DESARROLLO!AW128</f>
        <v>0.13373123411929266</v>
      </c>
      <c r="DQ43" s="5">
        <f>N70_DESARROLLO!DU128+N70_DESARROLLO!AX128</f>
        <v>0.11791996375048441</v>
      </c>
      <c r="DR43" s="5">
        <f>N70_DESARROLLO!DV128+N70_DESARROLLO!AY128</f>
        <v>0.10545841852058624</v>
      </c>
      <c r="DS43" s="5">
        <f>N70_DESARROLLO!DW128+N70_DESARROLLO!AZ128</f>
        <v>9.5382594982166613E-2</v>
      </c>
      <c r="DT43" s="5">
        <f>N70_DESARROLLO!DX128+N70_DESARROLLO!BA128</f>
        <v>8.7066442319344683E-2</v>
      </c>
      <c r="DU43" s="5">
        <f>N70_DESARROLLO!DY128+N70_DESARROLLO!BB128</f>
        <v>8.0085554140347681E-2</v>
      </c>
      <c r="DV43" s="5">
        <f>N70_DESARROLLO!DZ128+N70_DESARROLLO!BC128</f>
        <v>7.4141965022345824E-2</v>
      </c>
      <c r="DW43" s="5">
        <f>N70_DESARROLLO!EA128+N70_DESARROLLO!BD128</f>
        <v>6.9020292350860046E-2</v>
      </c>
      <c r="DX43" s="5">
        <f>N70_DESARROLLO!EB128+N70_DESARROLLO!BE128</f>
        <v>6.4560961252489446E-2</v>
      </c>
      <c r="DY43" s="5">
        <f>N70_DESARROLLO!EC128+N70_DESARROLLO!BF128</f>
        <v>6.0643218403515942E-2</v>
      </c>
      <c r="DZ43" s="5">
        <f>N70_DESARROLLO!ED128+N70_DESARROLLO!BG128</f>
        <v>5.7173997129085885E-2</v>
      </c>
      <c r="EA43" s="5">
        <f>N70_DESARROLLO!EE128+N70_DESARROLLO!BH128</f>
        <v>5.4080408838142358E-2</v>
      </c>
      <c r="EB43" s="5">
        <f>N70_DESARROLLO!EF128+N70_DESARROLLO!BI128</f>
        <v>5.130455332634043E-2</v>
      </c>
      <c r="EC43" s="5">
        <f>N70_DESARROLLO!EG128+N70_DESARROLLO!BJ128</f>
        <v>4.8799853039083518E-2</v>
      </c>
      <c r="ED43" s="5">
        <f>N70_DESARROLLO!EH128+N70_DESARROLLO!BK128</f>
        <v>4.6528413377880606E-2</v>
      </c>
      <c r="EE43" s="5">
        <f>N70_DESARROLLO!EI128+N70_DESARROLLO!BL128</f>
        <v>4.4459088822771053E-2</v>
      </c>
      <c r="EF43" s="5">
        <f>N70_DESARROLLO!EJ128+N70_DESARROLLO!BM128</f>
        <v>4.2566044021103977E-2</v>
      </c>
      <c r="EG43" s="5">
        <f>N70_DESARROLLO!EK128+N70_DESARROLLO!BN128</f>
        <v>4.0827668052543675E-2</v>
      </c>
      <c r="EH43" s="5">
        <f>N70_DESARROLLO!EL128+N70_DESARROLLO!BO128</f>
        <v>3.9225744685471353E-2</v>
      </c>
      <c r="EI43" s="5">
        <f>N70_DESARROLLO!EM128+N70_DESARROLLO!BP128</f>
        <v>3.7744810855705468E-2</v>
      </c>
      <c r="EJ43" s="5">
        <f>N70_DESARROLLO!EN128+N70_DESARROLLO!BQ128</f>
        <v>3.6371655357429256E-2</v>
      </c>
      <c r="EK43" s="5">
        <f>N70_DESARROLLO!EO128+N70_DESARROLLO!BR128</f>
        <v>3.5094923244222698E-2</v>
      </c>
      <c r="EL43" s="5">
        <f>N70_DESARROLLO!EP128+N70_DESARROLLO!BS128</f>
        <v>3.3904800811315305E-2</v>
      </c>
      <c r="EM43" s="5">
        <f>N70_DESARROLLO!EQ128+N70_DESARROLLO!BT128</f>
        <v>3.2792762635869277E-2</v>
      </c>
      <c r="EN43" s="5">
        <f>N70_DESARROLLO!ER128+N70_DESARROLLO!BU128</f>
        <v>3.17513668626761E-2</v>
      </c>
      <c r="EO43" s="5">
        <f>N70_DESARROLLO!ES128+N70_DESARROLLO!BV128</f>
        <v>3.0774088329705407E-2</v>
      </c>
      <c r="EP43" s="5">
        <f>N70_DESARROLLO!ET128+N70_DESARROLLO!BW128</f>
        <v>2.9855181616038617E-2</v>
      </c>
      <c r="EQ43" s="5">
        <f>N70_DESARROLLO!EU128+N70_DESARROLLO!BX128</f>
        <v>2.8989567932948379E-2</v>
      </c>
      <c r="ER43" s="5">
        <f>N70_DESARROLLO!EV128+N70_DESARROLLO!BY128</f>
        <v>46.541597771271249</v>
      </c>
      <c r="FC43">
        <v>34</v>
      </c>
      <c r="FD43" s="4">
        <v>2.5338715340979826E-4</v>
      </c>
      <c r="FE43" s="4">
        <v>5.1411967151136816E-4</v>
      </c>
      <c r="FF43" s="4">
        <v>6.8991477548195114E-4</v>
      </c>
      <c r="FG43" s="4">
        <v>8.5123694196811159E-4</v>
      </c>
      <c r="FH43" s="4">
        <v>1.0069648956125288E-3</v>
      </c>
      <c r="FI43" s="4">
        <v>1.1626324626493564E-3</v>
      </c>
      <c r="FJ43" s="4">
        <v>1.3216783031772328E-3</v>
      </c>
      <c r="FK43" s="4">
        <v>1.4867379004338177E-3</v>
      </c>
      <c r="FL43" s="4">
        <v>1.6601185979119052E-3</v>
      </c>
      <c r="FM43" s="4">
        <v>1.8440527620522476E-3</v>
      </c>
      <c r="FN43" s="4">
        <v>2.0408599313190062E-3</v>
      </c>
      <c r="FO43" s="4">
        <v>2.253074800438654E-3</v>
      </c>
      <c r="FP43" s="4">
        <v>2.4835688128448871E-3</v>
      </c>
      <c r="FQ43" s="4">
        <v>2.7356831507737013E-3</v>
      </c>
      <c r="FR43" s="4">
        <v>3.0133884684783387E-3</v>
      </c>
      <c r="FS43" s="4">
        <v>3.3214885072801359E-3</v>
      </c>
      <c r="FT43" s="4">
        <v>3.6658901439310322E-3</v>
      </c>
      <c r="FU43" s="4">
        <v>4.0539723366851696E-3</v>
      </c>
      <c r="FV43" s="4">
        <v>4.4951032204811206E-3</v>
      </c>
      <c r="FW43" s="4">
        <v>5.0013829473200162E-3</v>
      </c>
      <c r="FX43" s="4">
        <v>5.5887387288789721E-3</v>
      </c>
      <c r="FY43" s="4">
        <v>6.2785854619399782E-3</v>
      </c>
      <c r="FZ43" s="4">
        <v>7.100426063088988E-3</v>
      </c>
      <c r="GA43" s="4">
        <v>8.096076812517599E-3</v>
      </c>
      <c r="GB43" s="4">
        <v>9.326838692851459E-3</v>
      </c>
      <c r="GC43" s="4">
        <v>1.0886319328337139E-2</v>
      </c>
      <c r="GD43" s="4">
        <v>1.2924872574465198E-2</v>
      </c>
      <c r="GE43" s="4">
        <v>1.5699909354399497E-2</v>
      </c>
      <c r="GF43" s="4">
        <v>1.9692987115827856E-2</v>
      </c>
      <c r="GG43" s="4">
        <v>2.5882781277282736E-2</v>
      </c>
      <c r="GH43" s="4">
        <v>3.7208000422999585E-2</v>
      </c>
      <c r="GI43" s="4">
        <v>5.4502943538351015E-2</v>
      </c>
      <c r="GJ43" s="4">
        <v>0.24512598469365909</v>
      </c>
      <c r="GK43" s="4">
        <v>-0.25064063988003604</v>
      </c>
      <c r="GL43" s="4">
        <v>-6.0020715514165539E-2</v>
      </c>
      <c r="GM43" s="4">
        <v>-4.2732020017046346E-2</v>
      </c>
      <c r="GN43" s="4">
        <v>-3.1416207525745823E-2</v>
      </c>
      <c r="GO43" s="4">
        <v>-2.5239021687267299E-2</v>
      </c>
      <c r="GP43" s="4">
        <v>-2.1261811358815118E-2</v>
      </c>
      <c r="GQ43" s="4">
        <v>-1.8505973880755294E-2</v>
      </c>
      <c r="GR43" s="4">
        <v>-1.6490040508969548E-2</v>
      </c>
      <c r="GS43" s="4">
        <v>-1.4956705703822496E-2</v>
      </c>
      <c r="GT43" s="4">
        <v>-1.3755738497691874E-2</v>
      </c>
      <c r="GU43" s="4">
        <v>-1.2793672539239484E-2</v>
      </c>
      <c r="GV43" s="4">
        <v>-1.2009367386286983E-2</v>
      </c>
      <c r="GW43" s="4">
        <v>-1.136118736178344E-2</v>
      </c>
      <c r="GX43" s="4">
        <v>-1.0819830778827739E-2</v>
      </c>
      <c r="GY43" s="4">
        <v>-1.0364104698874565E-2</v>
      </c>
      <c r="GZ43" s="4">
        <v>-9.9783238680670547E-3</v>
      </c>
      <c r="HA43" s="4">
        <v>-9.6506479406942413E-3</v>
      </c>
      <c r="HB43" s="4">
        <v>-9.3719819104988878E-3</v>
      </c>
      <c r="HC43" s="4">
        <v>-9.1352248213056268E-3</v>
      </c>
      <c r="HD43" s="4">
        <v>-8.9347377544367178E-3</v>
      </c>
      <c r="HE43" s="4">
        <v>-8.7659492505307891E-3</v>
      </c>
      <c r="HF43" s="4">
        <v>-8.6250417002825385E-3</v>
      </c>
      <c r="HG43" s="4">
        <v>-8.5086737206408868E-3</v>
      </c>
      <c r="HH43" s="4">
        <v>-8.4136936828529789E-3</v>
      </c>
      <c r="HI43" s="4">
        <v>-8.336786403169644E-3</v>
      </c>
      <c r="HJ43" s="4">
        <v>-8.2739601133511882E-3</v>
      </c>
      <c r="HK43" s="4">
        <v>-8.2197026243484086E-3</v>
      </c>
      <c r="HL43" s="4">
        <v>-8.1654608157906306E-3</v>
      </c>
      <c r="HM43" s="4">
        <v>-8.0966887255856969E-3</v>
      </c>
      <c r="HN43" s="4">
        <v>-7.9866767432653467E-3</v>
      </c>
      <c r="HO43" s="4">
        <v>-7.7826016029667695E-3</v>
      </c>
      <c r="HP43" s="4">
        <v>-7.3692776113068164E-3</v>
      </c>
      <c r="HQ43" s="4">
        <v>-6.4825242492448903E-3</v>
      </c>
      <c r="HR43" s="4">
        <v>-4.0876356823167795E-3</v>
      </c>
      <c r="HS43" s="4">
        <v>-9.9362813370296546E-4</v>
      </c>
      <c r="HT43" s="4">
        <v>8.6585371217275497E-2</v>
      </c>
      <c r="HU43" s="4">
        <v>-0.23404674522643509</v>
      </c>
    </row>
    <row r="44" spans="4:229" x14ac:dyDescent="0.25">
      <c r="D44" s="10">
        <v>35</v>
      </c>
      <c r="E44" s="5">
        <f>'N70'!E51-'N70'!E50</f>
        <v>1.428571428571429E-2</v>
      </c>
      <c r="F44" s="5">
        <f>'N70'!H50-'N70'!$E$16</f>
        <v>0.49285714285714288</v>
      </c>
      <c r="G44" s="5">
        <f>'N70'!H50-'N70'!$E$17</f>
        <v>0.47857142857142859</v>
      </c>
      <c r="H44" s="5">
        <f>'N70'!H50-'N70'!$E$18</f>
        <v>0.4642857142857143</v>
      </c>
      <c r="I44" s="5">
        <f>'N70'!H50-'N70'!$E$19</f>
        <v>0.45</v>
      </c>
      <c r="J44" s="5">
        <f>'N70'!H50-'N70'!$E$20</f>
        <v>0.43571428571428572</v>
      </c>
      <c r="K44" s="5">
        <f>'N70'!H50-'N70'!$E$21</f>
        <v>0.42142857142857149</v>
      </c>
      <c r="L44" s="5">
        <f>'N70'!H50-'N70'!$E$22</f>
        <v>0.40714285714285714</v>
      </c>
      <c r="M44" s="5">
        <f>'N70'!H50-'N70'!$E$23</f>
        <v>0.3928571428571429</v>
      </c>
      <c r="N44" s="5">
        <f>'N70'!H50-'N70'!$E$24</f>
        <v>0.37857142857142861</v>
      </c>
      <c r="O44" s="5">
        <f>'N70'!H50-'N70'!$E$25</f>
        <v>0.36428571428571432</v>
      </c>
      <c r="P44" s="5">
        <f>'N70'!H50-'N70'!$E$26</f>
        <v>0.35000000000000003</v>
      </c>
      <c r="Q44" s="5">
        <f>'N70'!H50-'N70'!$E$27</f>
        <v>0.33571428571428574</v>
      </c>
      <c r="R44" s="5">
        <f>'N70'!H50-'N70'!$E$28</f>
        <v>0.32142857142857145</v>
      </c>
      <c r="S44" s="5">
        <f>'N70'!H50-'N70'!$E$29</f>
        <v>0.30714285714285716</v>
      </c>
      <c r="T44" s="5">
        <f>'N70'!H50-'N70'!$E$30</f>
        <v>0.29285714285714293</v>
      </c>
      <c r="U44" s="5">
        <f>'N70'!H50-'N70'!$E$31</f>
        <v>0.27857142857142858</v>
      </c>
      <c r="V44" s="5">
        <f>'N70'!H50-'N70'!$E$32</f>
        <v>0.26428571428571435</v>
      </c>
      <c r="W44" s="5">
        <f>'N70'!H50-'N70'!$E$33</f>
        <v>0.25</v>
      </c>
      <c r="X44" s="5">
        <f>'N70'!H50-'N70'!$E$34</f>
        <v>0.23571428571428577</v>
      </c>
      <c r="Y44" s="5">
        <f>'N70'!H50-'N70'!$E$35</f>
        <v>0.22142857142857147</v>
      </c>
      <c r="Z44" s="5">
        <f>'N70'!H50-'N70'!$E$36</f>
        <v>0.20714285714285718</v>
      </c>
      <c r="AA44" s="5">
        <f>'N70'!H50-'N70'!$E$37</f>
        <v>0.19285714285714289</v>
      </c>
      <c r="AB44" s="5">
        <f>'N70'!H50-'N70'!$E$38</f>
        <v>0.1785714285714286</v>
      </c>
      <c r="AC44" s="5">
        <f>'N70'!H50-'N70'!$E$39</f>
        <v>0.16428571428571431</v>
      </c>
      <c r="AD44" s="5">
        <f>'N70'!H50-'N70'!$E$40</f>
        <v>0.15000000000000002</v>
      </c>
      <c r="AE44" s="5">
        <f>'N70'!H50-'N70'!$E$41</f>
        <v>0.13571428571428573</v>
      </c>
      <c r="AF44" s="5">
        <f>'N70'!H50-'N70'!$E$42</f>
        <v>0.12142857142857144</v>
      </c>
      <c r="AG44" s="5">
        <f>'N70'!H50-'N70'!$E$43</f>
        <v>0.10714285714285721</v>
      </c>
      <c r="AH44" s="5">
        <f>'N70'!H50-'N70'!$E$44</f>
        <v>9.2857142857142916E-2</v>
      </c>
      <c r="AI44" s="5">
        <f>'N70'!H50-'N70'!$E$45</f>
        <v>7.8571428571428625E-2</v>
      </c>
      <c r="AJ44" s="5">
        <f>'N70'!H50-'N70'!$E$46</f>
        <v>6.4285714285714335E-2</v>
      </c>
      <c r="AK44" s="5">
        <f>'N70'!H50-'N70'!$E$47</f>
        <v>5.0000000000000044E-2</v>
      </c>
      <c r="AL44" s="5">
        <f>'N70'!H50-'N70'!$E$48</f>
        <v>3.5714285714285754E-2</v>
      </c>
      <c r="AM44" s="5">
        <f>'N70'!H50-'N70'!$E$49</f>
        <v>2.1428571428571463E-2</v>
      </c>
      <c r="AN44" s="5">
        <f>'N70'!H50-'N70'!$E$50</f>
        <v>7.142857142857173E-3</v>
      </c>
      <c r="AO44" s="5">
        <f>'N70'!H50-'N70'!$E$51</f>
        <v>-7.1428571428571175E-3</v>
      </c>
      <c r="AP44" s="5">
        <f>'N70'!H50-'N70'!$E$52</f>
        <v>-2.1428571428571352E-2</v>
      </c>
      <c r="AQ44" s="5">
        <f>'N70'!H50-'N70'!$E$53</f>
        <v>-3.5714285714285698E-2</v>
      </c>
      <c r="AR44" s="5">
        <f>'N70'!H50-'N70'!$E$54</f>
        <v>-4.9999999999999933E-2</v>
      </c>
      <c r="AS44" s="5">
        <f>'N70'!H50-'N70'!$E$55</f>
        <v>-6.4285714285714279E-2</v>
      </c>
      <c r="AT44" s="5">
        <f>'N70'!H50-'N70'!$E$56</f>
        <v>-7.8571428571428514E-2</v>
      </c>
      <c r="AU44" s="5">
        <f>'N70'!H50-'N70'!$E$57</f>
        <v>-9.285714285714286E-2</v>
      </c>
      <c r="AV44" s="5">
        <f>'N70'!H50-'N70'!$E$58</f>
        <v>-0.1071428571428571</v>
      </c>
      <c r="AW44" s="5">
        <f>'N70'!H50-'N70'!$E$59</f>
        <v>-0.12142857142857133</v>
      </c>
      <c r="AX44" s="5">
        <f>'N70'!H50-'N70'!$E$60</f>
        <v>-0.13571428571428568</v>
      </c>
      <c r="AY44" s="5">
        <f>'N70'!H50-'N70'!$E$61</f>
        <v>-0.14999999999999991</v>
      </c>
      <c r="AZ44" s="5">
        <f>'N70'!H50-'N70'!$E$62</f>
        <v>-0.16428571428571426</v>
      </c>
      <c r="BA44" s="5">
        <f>'N70'!H50-'N70'!$E$63</f>
        <v>-0.17857142857142849</v>
      </c>
      <c r="BB44" s="5">
        <f>'N70'!H50-'N70'!$E$64</f>
        <v>-0.19285714285714284</v>
      </c>
      <c r="BC44" s="5">
        <f>'N70'!H50-'N70'!$E$65</f>
        <v>-0.20714285714285707</v>
      </c>
      <c r="BD44" s="5">
        <f>'N70'!H50-'N70'!$E$66</f>
        <v>-0.22142857142857142</v>
      </c>
      <c r="BE44" s="5">
        <f>'N70'!H50-'N70'!$E$67</f>
        <v>-0.23571428571428565</v>
      </c>
      <c r="BF44" s="5">
        <f>'N70'!H50-'N70'!$E$68</f>
        <v>-0.25</v>
      </c>
      <c r="BG44" s="5">
        <f>'N70'!H50-'N70'!$E$69</f>
        <v>-0.26428571428571423</v>
      </c>
      <c r="BH44" s="5">
        <f>'N70'!H50-'N70'!$E$70</f>
        <v>-0.27857142857142847</v>
      </c>
      <c r="BI44" s="5">
        <f>'N70'!H50-'N70'!$E$71</f>
        <v>-0.29285714285714282</v>
      </c>
      <c r="BJ44" s="5">
        <f>'N70'!H50-'N70'!$E$72</f>
        <v>-0.30714285714285705</v>
      </c>
      <c r="BK44" s="5">
        <f>'N70'!H50-'N70'!$E$73</f>
        <v>-0.3214285714285714</v>
      </c>
      <c r="BL44" s="5">
        <f>'N70'!H50-'N70'!$E$74</f>
        <v>-0.33571428571428563</v>
      </c>
      <c r="BM44" s="5">
        <f>'N70'!H50-'N70'!$E$75</f>
        <v>-0.35</v>
      </c>
      <c r="BN44" s="5">
        <f>'N70'!H50-'N70'!$E$76</f>
        <v>-0.36428571428571421</v>
      </c>
      <c r="BO44" s="5">
        <f>'N70'!H50-'N70'!$E$77</f>
        <v>-0.37857142857142856</v>
      </c>
      <c r="BP44" s="5">
        <f>'N70'!H50-'N70'!$E$78</f>
        <v>-0.39285714285714279</v>
      </c>
      <c r="BQ44" s="5">
        <f>'N70'!H50-'N70'!$E$79</f>
        <v>-0.40714285714285714</v>
      </c>
      <c r="BR44" s="5">
        <f>'N70'!H50-'N70'!$E$80</f>
        <v>-0.42142857142857137</v>
      </c>
      <c r="BS44" s="5">
        <f>'N70'!H50-'N70'!$E$81</f>
        <v>-0.43571428571428561</v>
      </c>
      <c r="BT44" s="5">
        <f>'N70'!H50-'N70'!$E$82</f>
        <v>-0.44999999999999996</v>
      </c>
      <c r="BU44" s="5">
        <f>'N70'!H50-'N70'!$E$83</f>
        <v>-0.46428571428571419</v>
      </c>
      <c r="BV44" s="5">
        <f>'N70'!H50-'N70'!$E$84</f>
        <v>-0.47857142857142854</v>
      </c>
      <c r="BW44" s="5">
        <f>'N70'!H50-'N70'!$E$85</f>
        <v>-0.49285714285714277</v>
      </c>
      <c r="BX44" s="5">
        <v>-1</v>
      </c>
      <c r="BZ44">
        <v>35</v>
      </c>
      <c r="CA44" s="5">
        <f>N70_DESARROLLO!CE129+N70_DESARROLLO!H129</f>
        <v>-1.4634825881869595E-2</v>
      </c>
      <c r="CB44" s="5">
        <f>N70_DESARROLLO!CF129+N70_DESARROLLO!I129</f>
        <v>-2.9855181616033843E-2</v>
      </c>
      <c r="CC44" s="5">
        <f>N70_DESARROLLO!CG129+N70_DESARROLLO!J129</f>
        <v>-3.0774088329711291E-2</v>
      </c>
      <c r="CD44" s="5">
        <f>N70_DESARROLLO!CH129+N70_DESARROLLO!K129</f>
        <v>-3.1751366862667441E-2</v>
      </c>
      <c r="CE44" s="5">
        <f>N70_DESARROLLO!CI129+N70_DESARROLLO!L129</f>
        <v>-3.2792762635874606E-2</v>
      </c>
      <c r="CF44" s="5">
        <f>N70_DESARROLLO!CJ129+N70_DESARROLLO!M129</f>
        <v>-3.3904800811314639E-2</v>
      </c>
      <c r="CG44" s="5">
        <f>N70_DESARROLLO!CK129+N70_DESARROLLO!N129</f>
        <v>-3.5094923244221365E-2</v>
      </c>
      <c r="CH44" s="5">
        <f>N70_DESARROLLO!CL129+N70_DESARROLLO!O129</f>
        <v>-3.6371655357436583E-2</v>
      </c>
      <c r="CI44" s="5">
        <f>N70_DESARROLLO!CM129+N70_DESARROLLO!P129</f>
        <v>-3.7744810855697031E-2</v>
      </c>
      <c r="CJ44" s="5">
        <f>N70_DESARROLLO!CN129+N70_DESARROLLO!Q129</f>
        <v>-3.9225744685481678E-2</v>
      </c>
      <c r="CK44" s="5">
        <f>N70_DESARROLLO!CO129+N70_DESARROLLO!R129</f>
        <v>-4.0827668052531463E-2</v>
      </c>
      <c r="CL44" s="5">
        <f>N70_DESARROLLO!CP129+N70_DESARROLLO!S129</f>
        <v>-4.2566044021113525E-2</v>
      </c>
      <c r="CM44" s="5">
        <f>N70_DESARROLLO!CQ129+N70_DESARROLLO!T129</f>
        <v>-4.4459088822761617E-2</v>
      </c>
      <c r="CN44" s="5">
        <f>N70_DESARROLLO!CR129+N70_DESARROLLO!U129</f>
        <v>-4.6528413377893041E-2</v>
      </c>
      <c r="CO44" s="5">
        <f>N70_DESARROLLO!CS129+N70_DESARROLLO!V129</f>
        <v>-4.8799853039068419E-2</v>
      </c>
      <c r="CP44" s="5">
        <f>N70_DESARROLLO!CT129+N70_DESARROLLO!W129</f>
        <v>-5.1304553326349422E-2</v>
      </c>
      <c r="CQ44" s="5">
        <f>N70_DESARROLLO!CU129+N70_DESARROLLO!X129</f>
        <v>-5.408040883814047E-2</v>
      </c>
      <c r="CR44" s="5">
        <f>N70_DESARROLLO!CV129+N70_DESARROLLO!Y129</f>
        <v>-5.7173997129085441E-2</v>
      </c>
      <c r="CS44" s="5">
        <f>N70_DESARROLLO!CW129+N70_DESARROLLO!Z129</f>
        <v>-6.064321840351794E-2</v>
      </c>
      <c r="CT44" s="5">
        <f>N70_DESARROLLO!CX129+N70_DESARROLLO!AA129</f>
        <v>-6.4560961252483118E-2</v>
      </c>
      <c r="CU44" s="5">
        <f>N70_DESARROLLO!CY129+N70_DESARROLLO!AB129</f>
        <v>-6.902029235086915E-2</v>
      </c>
      <c r="CV44" s="5">
        <f>N70_DESARROLLO!CZ129+N70_DESARROLLO!AC129</f>
        <v>-7.4141965022337497E-2</v>
      </c>
      <c r="CW44" s="5">
        <f>N70_DESARROLLO!DA129+N70_DESARROLLO!AD129</f>
        <v>-8.0085554140356896E-2</v>
      </c>
      <c r="CX44" s="5">
        <f>N70_DESARROLLO!DB129+N70_DESARROLLO!AE129</f>
        <v>-8.706644231933558E-2</v>
      </c>
      <c r="CY44" s="5">
        <f>N70_DESARROLLO!DC129+N70_DESARROLLO!AF129</f>
        <v>-9.5382594982175606E-2</v>
      </c>
      <c r="CZ44" s="5">
        <f>N70_DESARROLLO!DD129+N70_DESARROLLO!AG129</f>
        <v>-0.1054584185205778</v>
      </c>
      <c r="DA44" s="5">
        <f>N70_DESARROLLO!DE129+N70_DESARROLLO!AH129</f>
        <v>-0.11791996375048874</v>
      </c>
      <c r="DB44" s="5">
        <f>N70_DESARROLLO!DF129+N70_DESARROLLO!AI129</f>
        <v>-0.13373123411929499</v>
      </c>
      <c r="DC44" s="5">
        <f>N70_DESARROLLO!DG129+N70_DESARROLLO!AJ129</f>
        <v>-0.15445886474681281</v>
      </c>
      <c r="DD44" s="5">
        <f>N70_DESARROLLO!DH129+N70_DESARROLLO!AK129</f>
        <v>-0.18283342438756878</v>
      </c>
      <c r="DE44" s="5">
        <f>N70_DESARROLLO!DI129+N70_DESARROLLO!AL129</f>
        <v>-0.22408833054042687</v>
      </c>
      <c r="DF44" s="5">
        <f>N70_DESARROLLO!DJ129+N70_DESARROLLO!AM129</f>
        <v>-0.28973434150573185</v>
      </c>
      <c r="DG44" s="5">
        <f>N70_DESARROLLO!DK129+N70_DESARROLLO!AN129</f>
        <v>-0.41141440075354707</v>
      </c>
      <c r="DH44" s="5">
        <f>N70_DESARROLLO!DL129+N70_DESARROLLO!AO129</f>
        <v>-0.72775792963607955</v>
      </c>
      <c r="DI44" s="5">
        <f>N70_DESARROLLO!DM129+N70_DESARROLLO!AP129</f>
        <v>-1.6479184659605328</v>
      </c>
      <c r="DJ44" s="5">
        <f>N70_DESARROLLO!DN129+N70_DESARROLLO!AQ129</f>
        <v>1.6479184659605282</v>
      </c>
      <c r="DK44" s="5">
        <f>N70_DESARROLLO!DO129+N70_DESARROLLO!AR129</f>
        <v>0.72775792963608976</v>
      </c>
      <c r="DL44" s="5">
        <f>N70_DESARROLLO!DP129+N70_DESARROLLO!AS129</f>
        <v>0.41141440075354063</v>
      </c>
      <c r="DM44" s="5">
        <f>N70_DESARROLLO!DQ129+N70_DESARROLLO!AT129</f>
        <v>0.28973434150574007</v>
      </c>
      <c r="DN44" s="5">
        <f>N70_DESARROLLO!DR129+N70_DESARROLLO!AU129</f>
        <v>0.2240883305404191</v>
      </c>
      <c r="DO44" s="5">
        <f>N70_DESARROLLO!DS129+N70_DESARROLLO!AV129</f>
        <v>0.18283342438757677</v>
      </c>
      <c r="DP44" s="5">
        <f>N70_DESARROLLO!DT129+N70_DESARROLLO!AW129</f>
        <v>0.15445886474680548</v>
      </c>
      <c r="DQ44" s="5">
        <f>N70_DESARROLLO!DU129+N70_DESARROLLO!AX129</f>
        <v>0.13373123411929777</v>
      </c>
      <c r="DR44" s="5">
        <f>N70_DESARROLLO!DV129+N70_DESARROLLO!AY129</f>
        <v>0.11791996375049496</v>
      </c>
      <c r="DS44" s="5">
        <f>N70_DESARROLLO!DW129+N70_DESARROLLO!AZ129</f>
        <v>0.10545841852056947</v>
      </c>
      <c r="DT44" s="5">
        <f>N70_DESARROLLO!DX129+N70_DESARROLLO!BA129</f>
        <v>9.5382594982183821E-2</v>
      </c>
      <c r="DU44" s="5">
        <f>N70_DESARROLLO!DY129+N70_DESARROLLO!BB129</f>
        <v>8.7066442319328474E-2</v>
      </c>
      <c r="DV44" s="5">
        <f>N70_DESARROLLO!DZ129+N70_DESARROLLO!BC129</f>
        <v>8.0085554140362891E-2</v>
      </c>
      <c r="DW44" s="5">
        <f>N70_DESARROLLO!EA129+N70_DESARROLLO!BD129</f>
        <v>7.414196502232917E-2</v>
      </c>
      <c r="DX44" s="5">
        <f>N70_DESARROLLO!EB129+N70_DESARROLLO!BE129</f>
        <v>6.902029235087781E-2</v>
      </c>
      <c r="DY44" s="5">
        <f>N70_DESARROLLO!EC129+N70_DESARROLLO!BF129</f>
        <v>6.4560961252473681E-2</v>
      </c>
      <c r="DZ44" s="5">
        <f>N70_DESARROLLO!ED129+N70_DESARROLLO!BG129</f>
        <v>6.0643218403529819E-2</v>
      </c>
      <c r="EA44" s="5">
        <f>N70_DESARROLLO!EE129+N70_DESARROLLO!BH129</f>
        <v>5.717399712907123E-2</v>
      </c>
      <c r="EB44" s="5">
        <f>N70_DESARROLLO!EF129+N70_DESARROLLO!BI129</f>
        <v>5.4080408838149352E-2</v>
      </c>
      <c r="EC44" s="5">
        <f>N70_DESARROLLO!EG129+N70_DESARROLLO!BJ129</f>
        <v>5.1304553326349422E-2</v>
      </c>
      <c r="ED44" s="5">
        <f>N70_DESARROLLO!EH129+N70_DESARROLLO!BK129</f>
        <v>4.8799853039066088E-2</v>
      </c>
      <c r="EE44" s="5">
        <f>N70_DESARROLLO!EI129+N70_DESARROLLO!BL129</f>
        <v>4.6528413377898814E-2</v>
      </c>
      <c r="EF44" s="5">
        <f>N70_DESARROLLO!EJ129+N70_DESARROLLO!BM129</f>
        <v>4.4459088822751736E-2</v>
      </c>
      <c r="EG44" s="5">
        <f>N70_DESARROLLO!EK129+N70_DESARROLLO!BN129</f>
        <v>4.256604402112385E-2</v>
      </c>
      <c r="EH44" s="5">
        <f>N70_DESARROLLO!EL129+N70_DESARROLLO!BO129</f>
        <v>4.0827668052522692E-2</v>
      </c>
      <c r="EI44" s="5">
        <f>N70_DESARROLLO!EM129+N70_DESARROLLO!BP129</f>
        <v>3.9225744685487451E-2</v>
      </c>
      <c r="EJ44" s="5">
        <f>N70_DESARROLLO!EN129+N70_DESARROLLO!BQ129</f>
        <v>3.774481085568826E-2</v>
      </c>
      <c r="EK44" s="5">
        <f>N70_DESARROLLO!EO129+N70_DESARROLLO!BR129</f>
        <v>3.6371655357452903E-2</v>
      </c>
      <c r="EL44" s="5">
        <f>N70_DESARROLLO!EP129+N70_DESARROLLO!BS129</f>
        <v>3.509492324420449E-2</v>
      </c>
      <c r="EM44" s="5">
        <f>N70_DESARROLLO!EQ129+N70_DESARROLLO!BT129</f>
        <v>3.3904800811321079E-2</v>
      </c>
      <c r="EN44" s="5">
        <f>N70_DESARROLLO!ER129+N70_DESARROLLO!BU129</f>
        <v>3.279276263587616E-2</v>
      </c>
      <c r="EO44" s="5">
        <f>N70_DESARROLLO!ES129+N70_DESARROLLO!BV129</f>
        <v>3.1751366862662556E-2</v>
      </c>
      <c r="EP44" s="5">
        <f>N70_DESARROLLO!ET129+N70_DESARROLLO!BW129</f>
        <v>3.0774088329719285E-2</v>
      </c>
      <c r="EQ44" s="5">
        <f>N70_DESARROLLO!EU129+N70_DESARROLLO!BX129</f>
        <v>2.9855181616024296E-2</v>
      </c>
      <c r="ER44" s="5">
        <f>N70_DESARROLLO!EV129+N70_DESARROLLO!BY129</f>
        <v>48.542150077275345</v>
      </c>
      <c r="FC44">
        <v>35</v>
      </c>
      <c r="FD44" s="4">
        <v>2.3917290042068173E-4</v>
      </c>
      <c r="FE44" s="4">
        <v>4.8488487402679543E-4</v>
      </c>
      <c r="FF44" s="4">
        <v>6.5003094875652084E-4</v>
      </c>
      <c r="FG44" s="4">
        <v>8.0117140796381187E-4</v>
      </c>
      <c r="FH44" s="4">
        <v>9.4665724268922662E-4</v>
      </c>
      <c r="FI44" s="4">
        <v>1.0916627981880781E-3</v>
      </c>
      <c r="FJ44" s="4">
        <v>1.2393666788441014E-3</v>
      </c>
      <c r="FK44" s="4">
        <v>1.39217017754434E-3</v>
      </c>
      <c r="FL44" s="4">
        <v>1.5521422194384204E-3</v>
      </c>
      <c r="FM44" s="4">
        <v>1.7212530138355725E-3</v>
      </c>
      <c r="FN44" s="4">
        <v>1.9015196663191092E-3</v>
      </c>
      <c r="FO44" s="4">
        <v>2.0951167829012978E-3</v>
      </c>
      <c r="FP44" s="4">
        <v>2.304477265089094E-3</v>
      </c>
      <c r="FQ44" s="4">
        <v>2.532398542583603E-3</v>
      </c>
      <c r="FR44" s="4">
        <v>2.7821663902643048E-3</v>
      </c>
      <c r="FS44" s="4">
        <v>3.0577089277213599E-3</v>
      </c>
      <c r="FT44" s="4">
        <v>3.3637965109375948E-3</v>
      </c>
      <c r="FU44" s="4">
        <v>3.7063092827967544E-3</v>
      </c>
      <c r="FV44" s="4">
        <v>4.0926043951141971E-3</v>
      </c>
      <c r="FW44" s="4">
        <v>4.5320318841307831E-3</v>
      </c>
      <c r="FX44" s="4">
        <v>5.0366766281738683E-3</v>
      </c>
      <c r="FY44" s="4">
        <v>5.6224527383337709E-3</v>
      </c>
      <c r="FZ44" s="4">
        <v>6.3107636930465876E-3</v>
      </c>
      <c r="GA44" s="4">
        <v>7.131102296371046E-3</v>
      </c>
      <c r="GB44" s="4">
        <v>8.1252757278401262E-3</v>
      </c>
      <c r="GC44" s="4">
        <v>9.3545766475510213E-3</v>
      </c>
      <c r="GD44" s="4">
        <v>1.0912604945963288E-2</v>
      </c>
      <c r="GE44" s="4">
        <v>1.2949707177038644E-2</v>
      </c>
      <c r="GF44" s="4">
        <v>1.57232872626181E-2</v>
      </c>
      <c r="GG44" s="4">
        <v>1.9714895835472531E-2</v>
      </c>
      <c r="GH44" s="4">
        <v>2.5903201585220186E-2</v>
      </c>
      <c r="GI44" s="4">
        <v>3.7226906362653342E-2</v>
      </c>
      <c r="GJ44" s="4">
        <v>5.4520302331703803E-2</v>
      </c>
      <c r="GK44" s="4">
        <v>0.24514175657474463</v>
      </c>
      <c r="GL44" s="4">
        <v>-0.25062650190669217</v>
      </c>
      <c r="GM44" s="4">
        <v>-6.0008265987692648E-2</v>
      </c>
      <c r="GN44" s="4">
        <v>-4.2721321404902417E-2</v>
      </c>
      <c r="GO44" s="4">
        <v>-3.1407330676616843E-2</v>
      </c>
      <c r="GP44" s="4">
        <v>-2.523204634873474E-2</v>
      </c>
      <c r="GQ44" s="4">
        <v>-2.1256826753855866E-2</v>
      </c>
      <c r="GR44" s="4">
        <v>-1.8503079333134546E-2</v>
      </c>
      <c r="GS44" s="4">
        <v>-1.6489346100513773E-2</v>
      </c>
      <c r="GT44" s="4">
        <v>-1.4958332936042547E-2</v>
      </c>
      <c r="GU44" s="4">
        <v>-1.3759820913171558E-2</v>
      </c>
      <c r="GV44" s="4">
        <v>-1.2800356232441327E-2</v>
      </c>
      <c r="GW44" s="4">
        <v>-1.2018811293183967E-2</v>
      </c>
      <c r="GX44" s="4">
        <v>-1.1373563155419798E-2</v>
      </c>
      <c r="GY44" s="4">
        <v>-1.0835322100935149E-2</v>
      </c>
      <c r="GZ44" s="4">
        <v>-1.0382905304550509E-2</v>
      </c>
      <c r="HA44" s="4">
        <v>-1.0000634017595426E-2</v>
      </c>
      <c r="HB44" s="4">
        <v>-9.6766679804156756E-3</v>
      </c>
      <c r="HC44" s="4">
        <v>-9.4019013437924188E-3</v>
      </c>
      <c r="HD44" s="4">
        <v>-9.1692041032276662E-3</v>
      </c>
      <c r="HE44" s="4">
        <v>-8.9728782315396157E-3</v>
      </c>
      <c r="HF44" s="4">
        <v>-8.8082435189982215E-3</v>
      </c>
      <c r="HG44" s="4">
        <v>-8.6712910436000587E-3</v>
      </c>
      <c r="HH44" s="4">
        <v>-8.5583489829867063E-3</v>
      </c>
      <c r="HI44" s="4">
        <v>-8.4656963587557543E-3</v>
      </c>
      <c r="HJ44" s="4">
        <v>-8.3890280518128524E-3</v>
      </c>
      <c r="HK44" s="4">
        <v>-8.3225982444727706E-3</v>
      </c>
      <c r="HL44" s="4">
        <v>-8.2576967557136741E-3</v>
      </c>
      <c r="HM44" s="4">
        <v>-8.1797070897606915E-3</v>
      </c>
      <c r="HN44" s="4">
        <v>-8.061969040794318E-3</v>
      </c>
      <c r="HO44" s="4">
        <v>-7.8519129626467409E-3</v>
      </c>
      <c r="HP44" s="4">
        <v>-7.4350318044429081E-3</v>
      </c>
      <c r="HQ44" s="4">
        <v>-6.5487796768758117E-3</v>
      </c>
      <c r="HR44" s="4">
        <v>-4.1645143682435852E-3</v>
      </c>
      <c r="HS44" s="4">
        <v>-1.0886521194592397E-3</v>
      </c>
      <c r="HT44" s="4">
        <v>8.6018010041566298E-2</v>
      </c>
      <c r="HU44" s="4">
        <v>-0.2330046541980467</v>
      </c>
    </row>
    <row r="45" spans="4:229" x14ac:dyDescent="0.25">
      <c r="D45" s="10">
        <v>36</v>
      </c>
      <c r="E45" s="5">
        <f>'N70'!E52-'N70'!E51</f>
        <v>1.4285714285714235E-2</v>
      </c>
      <c r="F45" s="5">
        <f>'N70'!H51-'N70'!$E$16</f>
        <v>0.50714285714285712</v>
      </c>
      <c r="G45" s="5">
        <f>'N70'!H51-'N70'!$E$17</f>
        <v>0.49285714285714283</v>
      </c>
      <c r="H45" s="5">
        <f>'N70'!H51-'N70'!$E$18</f>
        <v>0.47857142857142854</v>
      </c>
      <c r="I45" s="5">
        <f>'N70'!H51-'N70'!$E$19</f>
        <v>0.46428571428571425</v>
      </c>
      <c r="J45" s="5">
        <f>'N70'!H51-'N70'!$E$20</f>
        <v>0.44999999999999996</v>
      </c>
      <c r="K45" s="5">
        <f>'N70'!H51-'N70'!$E$21</f>
        <v>0.43571428571428572</v>
      </c>
      <c r="L45" s="5">
        <f>'N70'!H51-'N70'!$E$22</f>
        <v>0.42142857142857137</v>
      </c>
      <c r="M45" s="5">
        <f>'N70'!H51-'N70'!$E$23</f>
        <v>0.40714285714285714</v>
      </c>
      <c r="N45" s="5">
        <f>'N70'!H51-'N70'!$E$24</f>
        <v>0.39285714285714285</v>
      </c>
      <c r="O45" s="5">
        <f>'N70'!H51-'N70'!$E$25</f>
        <v>0.37857142857142856</v>
      </c>
      <c r="P45" s="5">
        <f>'N70'!H51-'N70'!$E$26</f>
        <v>0.36428571428571427</v>
      </c>
      <c r="Q45" s="5">
        <f>'N70'!H51-'N70'!$E$27</f>
        <v>0.35</v>
      </c>
      <c r="R45" s="5">
        <f>'N70'!H51-'N70'!$E$28</f>
        <v>0.33571428571428569</v>
      </c>
      <c r="S45" s="5">
        <f>'N70'!H51-'N70'!$E$29</f>
        <v>0.3214285714285714</v>
      </c>
      <c r="T45" s="5">
        <f>'N70'!H51-'N70'!$E$30</f>
        <v>0.30714285714285716</v>
      </c>
      <c r="U45" s="5">
        <f>'N70'!H51-'N70'!$E$31</f>
        <v>0.29285714285714282</v>
      </c>
      <c r="V45" s="5">
        <f>'N70'!H51-'N70'!$E$32</f>
        <v>0.27857142857142858</v>
      </c>
      <c r="W45" s="5">
        <f>'N70'!H51-'N70'!$E$33</f>
        <v>0.26428571428571423</v>
      </c>
      <c r="X45" s="5">
        <f>'N70'!H51-'N70'!$E$34</f>
        <v>0.25</v>
      </c>
      <c r="Y45" s="5">
        <f>'N70'!H51-'N70'!$E$35</f>
        <v>0.23571428571428571</v>
      </c>
      <c r="Z45" s="5">
        <f>'N70'!H51-'N70'!$E$36</f>
        <v>0.22142857142857142</v>
      </c>
      <c r="AA45" s="5">
        <f>'N70'!H51-'N70'!$E$37</f>
        <v>0.20714285714285713</v>
      </c>
      <c r="AB45" s="5">
        <f>'N70'!H51-'N70'!$E$38</f>
        <v>0.19285714285714284</v>
      </c>
      <c r="AC45" s="5">
        <f>'N70'!H51-'N70'!$E$39</f>
        <v>0.17857142857142855</v>
      </c>
      <c r="AD45" s="5">
        <f>'N70'!H51-'N70'!$E$40</f>
        <v>0.16428571428571426</v>
      </c>
      <c r="AE45" s="5">
        <f>'N70'!H51-'N70'!$E$41</f>
        <v>0.14999999999999997</v>
      </c>
      <c r="AF45" s="5">
        <f>'N70'!H51-'N70'!$E$42</f>
        <v>0.13571428571428568</v>
      </c>
      <c r="AG45" s="5">
        <f>'N70'!H51-'N70'!$E$43</f>
        <v>0.12142857142857144</v>
      </c>
      <c r="AH45" s="5">
        <f>'N70'!H51-'N70'!$E$44</f>
        <v>0.10714285714285715</v>
      </c>
      <c r="AI45" s="5">
        <f>'N70'!H51-'N70'!$E$45</f>
        <v>9.285714285714286E-2</v>
      </c>
      <c r="AJ45" s="5">
        <f>'N70'!H51-'N70'!$E$46</f>
        <v>7.857142857142857E-2</v>
      </c>
      <c r="AK45" s="5">
        <f>'N70'!H51-'N70'!$E$47</f>
        <v>6.4285714285714279E-2</v>
      </c>
      <c r="AL45" s="5">
        <f>'N70'!H51-'N70'!$E$48</f>
        <v>4.9999999999999989E-2</v>
      </c>
      <c r="AM45" s="5">
        <f>'N70'!H51-'N70'!$E$49</f>
        <v>3.5714285714285698E-2</v>
      </c>
      <c r="AN45" s="5">
        <f>'N70'!H51-'N70'!$E$50</f>
        <v>2.1428571428571408E-2</v>
      </c>
      <c r="AO45" s="5">
        <f>'N70'!H51-'N70'!$E$51</f>
        <v>7.1428571428571175E-3</v>
      </c>
      <c r="AP45" s="5">
        <f>'N70'!H51-'N70'!$E$52</f>
        <v>-7.1428571428571175E-3</v>
      </c>
      <c r="AQ45" s="5">
        <f>'N70'!H51-'N70'!$E$53</f>
        <v>-2.1428571428571463E-2</v>
      </c>
      <c r="AR45" s="5">
        <f>'N70'!H51-'N70'!$E$54</f>
        <v>-3.5714285714285698E-2</v>
      </c>
      <c r="AS45" s="5">
        <f>'N70'!H51-'N70'!$E$55</f>
        <v>-5.0000000000000044E-2</v>
      </c>
      <c r="AT45" s="5">
        <f>'N70'!H51-'N70'!$E$56</f>
        <v>-6.4285714285714279E-2</v>
      </c>
      <c r="AU45" s="5">
        <f>'N70'!H51-'N70'!$E$57</f>
        <v>-7.8571428571428625E-2</v>
      </c>
      <c r="AV45" s="5">
        <f>'N70'!H51-'N70'!$E$58</f>
        <v>-9.285714285714286E-2</v>
      </c>
      <c r="AW45" s="5">
        <f>'N70'!H51-'N70'!$E$59</f>
        <v>-0.1071428571428571</v>
      </c>
      <c r="AX45" s="5">
        <f>'N70'!H51-'N70'!$E$60</f>
        <v>-0.12142857142857144</v>
      </c>
      <c r="AY45" s="5">
        <f>'N70'!H51-'N70'!$E$61</f>
        <v>-0.13571428571428568</v>
      </c>
      <c r="AZ45" s="5">
        <f>'N70'!H51-'N70'!$E$62</f>
        <v>-0.15000000000000002</v>
      </c>
      <c r="BA45" s="5">
        <f>'N70'!H51-'N70'!$E$63</f>
        <v>-0.16428571428571426</v>
      </c>
      <c r="BB45" s="5">
        <f>'N70'!H51-'N70'!$E$64</f>
        <v>-0.1785714285714286</v>
      </c>
      <c r="BC45" s="5">
        <f>'N70'!H51-'N70'!$E$65</f>
        <v>-0.19285714285714284</v>
      </c>
      <c r="BD45" s="5">
        <f>'N70'!H51-'N70'!$E$66</f>
        <v>-0.20714285714285718</v>
      </c>
      <c r="BE45" s="5">
        <f>'N70'!H51-'N70'!$E$67</f>
        <v>-0.22142857142857142</v>
      </c>
      <c r="BF45" s="5">
        <f>'N70'!H51-'N70'!$E$68</f>
        <v>-0.23571428571428577</v>
      </c>
      <c r="BG45" s="5">
        <f>'N70'!H51-'N70'!$E$69</f>
        <v>-0.25</v>
      </c>
      <c r="BH45" s="5">
        <f>'N70'!H51-'N70'!$E$70</f>
        <v>-0.26428571428571423</v>
      </c>
      <c r="BI45" s="5">
        <f>'N70'!H51-'N70'!$E$71</f>
        <v>-0.27857142857142858</v>
      </c>
      <c r="BJ45" s="5">
        <f>'N70'!H51-'N70'!$E$72</f>
        <v>-0.29285714285714282</v>
      </c>
      <c r="BK45" s="5">
        <f>'N70'!H51-'N70'!$E$73</f>
        <v>-0.30714285714285716</v>
      </c>
      <c r="BL45" s="5">
        <f>'N70'!H51-'N70'!$E$74</f>
        <v>-0.3214285714285714</v>
      </c>
      <c r="BM45" s="5">
        <f>'N70'!H51-'N70'!$E$75</f>
        <v>-0.33571428571428574</v>
      </c>
      <c r="BN45" s="5">
        <f>'N70'!H51-'N70'!$E$76</f>
        <v>-0.35</v>
      </c>
      <c r="BO45" s="5">
        <f>'N70'!H51-'N70'!$E$77</f>
        <v>-0.36428571428571432</v>
      </c>
      <c r="BP45" s="5">
        <f>'N70'!H51-'N70'!$E$78</f>
        <v>-0.37857142857142856</v>
      </c>
      <c r="BQ45" s="5">
        <f>'N70'!H51-'N70'!$E$79</f>
        <v>-0.3928571428571429</v>
      </c>
      <c r="BR45" s="5">
        <f>'N70'!H51-'N70'!$E$80</f>
        <v>-0.40714285714285714</v>
      </c>
      <c r="BS45" s="5">
        <f>'N70'!H51-'N70'!$E$81</f>
        <v>-0.42142857142857137</v>
      </c>
      <c r="BT45" s="5">
        <f>'N70'!H51-'N70'!$E$82</f>
        <v>-0.43571428571428572</v>
      </c>
      <c r="BU45" s="5">
        <f>'N70'!H51-'N70'!$E$83</f>
        <v>-0.44999999999999996</v>
      </c>
      <c r="BV45" s="5">
        <f>'N70'!H51-'N70'!$E$84</f>
        <v>-0.4642857142857143</v>
      </c>
      <c r="BW45" s="5">
        <f>'N70'!H51-'N70'!$E$85</f>
        <v>-0.47857142857142854</v>
      </c>
      <c r="BX45" s="5">
        <v>-1</v>
      </c>
      <c r="BZ45">
        <v>36</v>
      </c>
      <c r="CA45" s="5">
        <f>N70_DESARROLLO!CE130+N70_DESARROLLO!H130</f>
        <v>-1.4218630964440648E-2</v>
      </c>
      <c r="CB45" s="5">
        <f>N70_DESARROLLO!CF130+N70_DESARROLLO!I130</f>
        <v>-2.8989567932952598E-2</v>
      </c>
      <c r="CC45" s="5">
        <f>N70_DESARROLLO!CG130+N70_DESARROLLO!J130</f>
        <v>-2.9855181616034066E-2</v>
      </c>
      <c r="CD45" s="5">
        <f>N70_DESARROLLO!CH130+N70_DESARROLLO!K130</f>
        <v>-3.0774088329711402E-2</v>
      </c>
      <c r="CE45" s="5">
        <f>N70_DESARROLLO!CI130+N70_DESARROLLO!L130</f>
        <v>-3.1751366862670549E-2</v>
      </c>
      <c r="CF45" s="5">
        <f>N70_DESARROLLO!CJ130+N70_DESARROLLO!M130</f>
        <v>-3.2792762635864614E-2</v>
      </c>
      <c r="CG45" s="5">
        <f>N70_DESARROLLO!CK130+N70_DESARROLLO!N130</f>
        <v>-3.3904800811328184E-2</v>
      </c>
      <c r="CH45" s="5">
        <f>N70_DESARROLLO!CL130+N70_DESARROLLO!O130</f>
        <v>-3.5094923244211151E-2</v>
      </c>
      <c r="CI45" s="5">
        <f>N70_DESARROLLO!CM130+N70_DESARROLLO!P130</f>
        <v>-3.6371655357440025E-2</v>
      </c>
      <c r="CJ45" s="5">
        <f>N70_DESARROLLO!CN130+N70_DESARROLLO!Q130</f>
        <v>-3.774481085569692E-2</v>
      </c>
      <c r="CK45" s="5">
        <f>N70_DESARROLLO!CO130+N70_DESARROLLO!R130</f>
        <v>-3.9225744685481789E-2</v>
      </c>
      <c r="CL45" s="5">
        <f>N70_DESARROLLO!CP130+N70_DESARROLLO!S130</f>
        <v>-4.0827668052531574E-2</v>
      </c>
      <c r="CM45" s="5">
        <f>N70_DESARROLLO!CQ130+N70_DESARROLLO!T130</f>
        <v>-4.2566044021113636E-2</v>
      </c>
      <c r="CN45" s="5">
        <f>N70_DESARROLLO!CR130+N70_DESARROLLO!U130</f>
        <v>-4.4459088822766279E-2</v>
      </c>
      <c r="CO45" s="5">
        <f>N70_DESARROLLO!CS130+N70_DESARROLLO!V130</f>
        <v>-4.6528413377880939E-2</v>
      </c>
      <c r="CP45" s="5">
        <f>N70_DESARROLLO!CT130+N70_DESARROLLO!W130</f>
        <v>-4.879985303908263E-2</v>
      </c>
      <c r="CQ45" s="5">
        <f>N70_DESARROLLO!CU130+N70_DESARROLLO!X130</f>
        <v>-5.1304553326333657E-2</v>
      </c>
      <c r="CR45" s="5">
        <f>N70_DESARROLLO!CV130+N70_DESARROLLO!Y130</f>
        <v>-5.408040883815779E-2</v>
      </c>
      <c r="CS45" s="5">
        <f>N70_DESARROLLO!CW130+N70_DESARROLLO!Z130</f>
        <v>-5.7173997129072562E-2</v>
      </c>
      <c r="CT45" s="5">
        <f>N70_DESARROLLO!CX130+N70_DESARROLLO!AA130</f>
        <v>-6.0643218403522159E-2</v>
      </c>
      <c r="CU45" s="5">
        <f>N70_DESARROLLO!CY130+N70_DESARROLLO!AB130</f>
        <v>-6.4560961252483229E-2</v>
      </c>
      <c r="CV45" s="5">
        <f>N70_DESARROLLO!CZ130+N70_DESARROLLO!AC130</f>
        <v>-6.902029235086915E-2</v>
      </c>
      <c r="CW45" s="5">
        <f>N70_DESARROLLO!DA130+N70_DESARROLLO!AD130</f>
        <v>-7.4141965022337386E-2</v>
      </c>
      <c r="CX45" s="5">
        <f>N70_DESARROLLO!DB130+N70_DESARROLLO!AE130</f>
        <v>-8.0085554140355564E-2</v>
      </c>
      <c r="CY45" s="5">
        <f>N70_DESARROLLO!DC130+N70_DESARROLLO!AF130</f>
        <v>-8.7066442319337245E-2</v>
      </c>
      <c r="CZ45" s="5">
        <f>N70_DESARROLLO!DD130+N70_DESARROLLO!AG130</f>
        <v>-9.5382594982174607E-2</v>
      </c>
      <c r="DA45" s="5">
        <f>N70_DESARROLLO!DE130+N70_DESARROLLO!AH130</f>
        <v>-0.1054584185205818</v>
      </c>
      <c r="DB45" s="5">
        <f>N70_DESARROLLO!DF130+N70_DESARROLLO!AI130</f>
        <v>-0.11791996375048164</v>
      </c>
      <c r="DC45" s="5">
        <f>N70_DESARROLLO!DG130+N70_DESARROLLO!AJ130</f>
        <v>-0.13373123411929888</v>
      </c>
      <c r="DD45" s="5">
        <f>N70_DESARROLLO!DH130+N70_DESARROLLO!AK130</f>
        <v>-0.15445886474681403</v>
      </c>
      <c r="DE45" s="5">
        <f>N70_DESARROLLO!DI130+N70_DESARROLLO!AL130</f>
        <v>-0.18283342438756844</v>
      </c>
      <c r="DF45" s="5">
        <f>N70_DESARROLLO!DJ130+N70_DESARROLLO!AM130</f>
        <v>-0.22408833054042676</v>
      </c>
      <c r="DG45" s="5">
        <f>N70_DESARROLLO!DK130+N70_DESARROLLO!AN130</f>
        <v>-0.28973434150573196</v>
      </c>
      <c r="DH45" s="5">
        <f>N70_DESARROLLO!DL130+N70_DESARROLLO!AO130</f>
        <v>-0.41141440075354807</v>
      </c>
      <c r="DI45" s="5">
        <f>N70_DESARROLLO!DM130+N70_DESARROLLO!AP130</f>
        <v>-0.72775792963608232</v>
      </c>
      <c r="DJ45" s="5">
        <f>N70_DESARROLLO!DN130+N70_DESARROLLO!AQ130</f>
        <v>-1.6479184659605361</v>
      </c>
      <c r="DK45" s="5">
        <f>N70_DESARROLLO!DO130+N70_DESARROLLO!AR130</f>
        <v>1.6479184659605444</v>
      </c>
      <c r="DL45" s="5">
        <f>N70_DESARROLLO!DP130+N70_DESARROLLO!AS130</f>
        <v>0.72775792963607433</v>
      </c>
      <c r="DM45" s="5">
        <f>N70_DESARROLLO!DQ130+N70_DESARROLLO!AT130</f>
        <v>0.41141440075355495</v>
      </c>
      <c r="DN45" s="5">
        <f>N70_DESARROLLO!DR130+N70_DESARROLLO!AU130</f>
        <v>0.2897343415057243</v>
      </c>
      <c r="DO45" s="5">
        <f>N70_DESARROLLO!DS130+N70_DESARROLLO!AV130</f>
        <v>0.22408833054043464</v>
      </c>
      <c r="DP45" s="5">
        <f>N70_DESARROLLO!DT130+N70_DESARROLLO!AW130</f>
        <v>0.18283342438756045</v>
      </c>
      <c r="DQ45" s="5">
        <f>N70_DESARROLLO!DU130+N70_DESARROLLO!AX130</f>
        <v>0.15445886474681236</v>
      </c>
      <c r="DR45" s="5">
        <f>N70_DESARROLLO!DV130+N70_DESARROLLO!AY130</f>
        <v>0.1337312341193071</v>
      </c>
      <c r="DS45" s="5">
        <f>N70_DESARROLLO!DW130+N70_DESARROLLO!AZ130</f>
        <v>0.11791996375047809</v>
      </c>
      <c r="DT45" s="5">
        <f>N70_DESARROLLO!DX130+N70_DESARROLLO!BA130</f>
        <v>0.10545841852058624</v>
      </c>
      <c r="DU45" s="5">
        <f>N70_DESARROLLO!DY130+N70_DESARROLLO!BB130</f>
        <v>9.5382594982166613E-2</v>
      </c>
      <c r="DV45" s="5">
        <f>N70_DESARROLLO!DZ130+N70_DESARROLLO!BC130</f>
        <v>8.7066442319344683E-2</v>
      </c>
      <c r="DW45" s="5">
        <f>N70_DESARROLLO!EA130+N70_DESARROLLO!BD130</f>
        <v>8.0085554140347681E-2</v>
      </c>
      <c r="DX45" s="5">
        <f>N70_DESARROLLO!EB130+N70_DESARROLLO!BE130</f>
        <v>7.4141965022345824E-2</v>
      </c>
      <c r="DY45" s="5">
        <f>N70_DESARROLLO!EC130+N70_DESARROLLO!BF130</f>
        <v>6.9020292350860046E-2</v>
      </c>
      <c r="DZ45" s="5">
        <f>N70_DESARROLLO!ED130+N70_DESARROLLO!BG130</f>
        <v>6.4560961252489446E-2</v>
      </c>
      <c r="EA45" s="5">
        <f>N70_DESARROLLO!EE130+N70_DESARROLLO!BH130</f>
        <v>6.0643218403515942E-2</v>
      </c>
      <c r="EB45" s="5">
        <f>N70_DESARROLLO!EF130+N70_DESARROLLO!BI130</f>
        <v>5.7173997129077669E-2</v>
      </c>
      <c r="EC45" s="5">
        <f>N70_DESARROLLO!EG130+N70_DESARROLLO!BJ130</f>
        <v>5.4080408838158012E-2</v>
      </c>
      <c r="ED45" s="5">
        <f>N70_DESARROLLO!EH130+N70_DESARROLLO!BK130</f>
        <v>5.130455332633288E-2</v>
      </c>
      <c r="EE45" s="5">
        <f>N70_DESARROLLO!EI130+N70_DESARROLLO!BL130</f>
        <v>4.8799853039083518E-2</v>
      </c>
      <c r="EF45" s="5">
        <f>N70_DESARROLLO!EJ130+N70_DESARROLLO!BM130</f>
        <v>4.6528413377880606E-2</v>
      </c>
      <c r="EG45" s="5">
        <f>N70_DESARROLLO!EK130+N70_DESARROLLO!BN130</f>
        <v>4.4459088822771053E-2</v>
      </c>
      <c r="EH45" s="5">
        <f>N70_DESARROLLO!EL130+N70_DESARROLLO!BO130</f>
        <v>4.2566044021103977E-2</v>
      </c>
      <c r="EI45" s="5">
        <f>N70_DESARROLLO!EM130+N70_DESARROLLO!BP130</f>
        <v>4.0827668052543675E-2</v>
      </c>
      <c r="EJ45" s="5">
        <f>N70_DESARROLLO!EN130+N70_DESARROLLO!BQ130</f>
        <v>3.9225744685471353E-2</v>
      </c>
      <c r="EK45" s="5">
        <f>N70_DESARROLLO!EO130+N70_DESARROLLO!BR130</f>
        <v>3.7744810855705468E-2</v>
      </c>
      <c r="EL45" s="5">
        <f>N70_DESARROLLO!EP130+N70_DESARROLLO!BS130</f>
        <v>3.6371655357429256E-2</v>
      </c>
      <c r="EM45" s="5">
        <f>N70_DESARROLLO!EQ130+N70_DESARROLLO!BT130</f>
        <v>3.5094923244216036E-2</v>
      </c>
      <c r="EN45" s="5">
        <f>N70_DESARROLLO!ER130+N70_DESARROLLO!BU130</f>
        <v>3.3904800811327962E-2</v>
      </c>
      <c r="EO45" s="5">
        <f>N70_DESARROLLO!ES130+N70_DESARROLLO!BV130</f>
        <v>3.2792762635863171E-2</v>
      </c>
      <c r="EP45" s="5">
        <f>N70_DESARROLLO!ET130+N70_DESARROLLO!BW130</f>
        <v>3.17513668626761E-2</v>
      </c>
      <c r="EQ45" s="5">
        <f>N70_DESARROLLO!EU130+N70_DESARROLLO!BX130</f>
        <v>3.0774088329705407E-2</v>
      </c>
      <c r="ER45" s="5">
        <f>N70_DESARROLLO!EV130+N70_DESARROLLO!BY130</f>
        <v>50.601563378716769</v>
      </c>
      <c r="FC45">
        <v>36</v>
      </c>
      <c r="FD45" s="4">
        <v>2.2598119134888283E-4</v>
      </c>
      <c r="FE45" s="4">
        <v>4.5779072092977559E-4</v>
      </c>
      <c r="FF45" s="4">
        <v>6.1313079236771976E-4</v>
      </c>
      <c r="FG45" s="4">
        <v>7.5493589340343097E-4</v>
      </c>
      <c r="FH45" s="4">
        <v>8.9107253433477914E-4</v>
      </c>
      <c r="FI45" s="4">
        <v>1.0263892869247341E-3</v>
      </c>
      <c r="FJ45" s="4">
        <v>1.1638339868038756E-3</v>
      </c>
      <c r="FK45" s="4">
        <v>1.3056043796620235E-3</v>
      </c>
      <c r="FL45" s="4">
        <v>1.4535659803425304E-3</v>
      </c>
      <c r="FM45" s="4">
        <v>1.6094688381431716E-3</v>
      </c>
      <c r="FN45" s="4">
        <v>1.7750795166483501E-3</v>
      </c>
      <c r="FO45" s="4">
        <v>1.9522779744498321E-3</v>
      </c>
      <c r="FP45" s="4">
        <v>2.1431424622850295E-3</v>
      </c>
      <c r="FQ45" s="4">
        <v>2.3500357945143518E-3</v>
      </c>
      <c r="FR45" s="4">
        <v>2.5757029073291619E-3</v>
      </c>
      <c r="FS45" s="4">
        <v>2.823389253196779E-3</v>
      </c>
      <c r="FT45" s="4">
        <v>3.0969912786543421E-3</v>
      </c>
      <c r="FU45" s="4">
        <v>3.4012539530560875E-3</v>
      </c>
      <c r="FV45" s="4">
        <v>3.7420366878565337E-3</v>
      </c>
      <c r="FW45" s="4">
        <v>4.1266794043174496E-3</v>
      </c>
      <c r="FX45" s="4">
        <v>4.5645175732925867E-3</v>
      </c>
      <c r="FY45" s="4">
        <v>5.0676235553833229E-3</v>
      </c>
      <c r="FZ45" s="4">
        <v>5.651900526382661E-3</v>
      </c>
      <c r="GA45" s="4">
        <v>6.338742254762453E-3</v>
      </c>
      <c r="GB45" s="4">
        <v>7.1576327807535995E-3</v>
      </c>
      <c r="GC45" s="4">
        <v>8.150371243841192E-3</v>
      </c>
      <c r="GD45" s="4">
        <v>9.3782428073094226E-3</v>
      </c>
      <c r="GE45" s="4">
        <v>1.0934840258469958E-2</v>
      </c>
      <c r="GF45" s="4">
        <v>1.2970503315172644E-2</v>
      </c>
      <c r="GG45" s="4">
        <v>1.5742629220619128E-2</v>
      </c>
      <c r="GH45" s="4">
        <v>1.9732761989310944E-2</v>
      </c>
      <c r="GI45" s="4">
        <v>2.5919563664955434E-2</v>
      </c>
      <c r="GJ45" s="4">
        <v>3.7241729343191428E-2</v>
      </c>
      <c r="GK45" s="4">
        <v>5.4533544246345864E-2</v>
      </c>
      <c r="GL45" s="4">
        <v>0.24515336825447034</v>
      </c>
      <c r="GM45" s="4">
        <v>-0.25061657716622709</v>
      </c>
      <c r="GN45" s="4">
        <v>-6.000009282985843E-2</v>
      </c>
      <c r="GO45" s="4">
        <v>-4.2714972884706583E-2</v>
      </c>
      <c r="GP45" s="4">
        <v>-3.1402888799304279E-2</v>
      </c>
      <c r="GQ45" s="4">
        <v>-2.5229602669069616E-2</v>
      </c>
      <c r="GR45" s="4">
        <v>-2.1256483026882149E-2</v>
      </c>
      <c r="GS45" s="4">
        <v>-1.8504948200310775E-2</v>
      </c>
      <c r="GT45" s="4">
        <v>-1.6493551784822775E-2</v>
      </c>
      <c r="GU45" s="4">
        <v>-1.4965011902950798E-2</v>
      </c>
      <c r="GV45" s="4">
        <v>-1.3769122429001832E-2</v>
      </c>
      <c r="GW45" s="4">
        <v>-1.2812442712095359E-2</v>
      </c>
      <c r="GX45" s="4">
        <v>-1.2033858267764116E-2</v>
      </c>
      <c r="GY45" s="4">
        <v>-1.1391758594585263E-2</v>
      </c>
      <c r="GZ45" s="4">
        <v>-1.0856864673596669E-2</v>
      </c>
      <c r="HA45" s="4">
        <v>-1.0408000921337739E-2</v>
      </c>
      <c r="HB45" s="4">
        <v>-1.0029489610534693E-2</v>
      </c>
      <c r="HC45" s="4">
        <v>-9.7094808407882684E-3</v>
      </c>
      <c r="HD45" s="4">
        <v>-9.4388412816654478E-3</v>
      </c>
      <c r="HE45" s="4">
        <v>-9.2103838962033311E-3</v>
      </c>
      <c r="HF45" s="4">
        <v>-9.0183047083781005E-3</v>
      </c>
      <c r="HG45" s="4">
        <v>-8.8577360567922477E-3</v>
      </c>
      <c r="HH45" s="4">
        <v>-8.7243440308601757E-3</v>
      </c>
      <c r="HI45" s="4">
        <v>-8.6138953684232571E-3</v>
      </c>
      <c r="HJ45" s="4">
        <v>-8.5216910044344871E-3</v>
      </c>
      <c r="HK45" s="4">
        <v>-8.4416901868196743E-3</v>
      </c>
      <c r="HL45" s="4">
        <v>-8.3649790011031833E-3</v>
      </c>
      <c r="HM45" s="4">
        <v>-8.2768350001160545E-3</v>
      </c>
      <c r="HN45" s="4">
        <v>-8.1506205290573716E-3</v>
      </c>
      <c r="HO45" s="4">
        <v>-7.9339984090231932E-3</v>
      </c>
      <c r="HP45" s="4">
        <v>-7.513119197220231E-3</v>
      </c>
      <c r="HQ45" s="4">
        <v>-6.6270387651038536E-3</v>
      </c>
      <c r="HR45" s="4">
        <v>-4.253000662732348E-3</v>
      </c>
      <c r="HS45" s="4">
        <v>-1.1952778574538532E-3</v>
      </c>
      <c r="HT45" s="4">
        <v>8.5459733822100953E-2</v>
      </c>
      <c r="HU45" s="4">
        <v>-0.2320489782003636</v>
      </c>
    </row>
    <row r="46" spans="4:229" x14ac:dyDescent="0.25">
      <c r="D46" s="10">
        <v>37</v>
      </c>
      <c r="E46" s="5">
        <f>'N70'!E53-'N70'!E52</f>
        <v>1.4285714285714346E-2</v>
      </c>
      <c r="F46" s="5">
        <f>'N70'!H52-'N70'!$E$16</f>
        <v>0.52142857142857135</v>
      </c>
      <c r="G46" s="5">
        <f>'N70'!H52-'N70'!$E$17</f>
        <v>0.50714285714285712</v>
      </c>
      <c r="H46" s="5">
        <f>'N70'!H52-'N70'!$E$18</f>
        <v>0.49285714285714277</v>
      </c>
      <c r="I46" s="5">
        <f>'N70'!H52-'N70'!$E$19</f>
        <v>0.47857142857142848</v>
      </c>
      <c r="J46" s="5">
        <f>'N70'!H52-'N70'!$E$20</f>
        <v>0.46428571428571419</v>
      </c>
      <c r="K46" s="5">
        <f>'N70'!H52-'N70'!$E$21</f>
        <v>0.44999999999999996</v>
      </c>
      <c r="L46" s="5">
        <f>'N70'!H52-'N70'!$E$22</f>
        <v>0.43571428571428561</v>
      </c>
      <c r="M46" s="5">
        <f>'N70'!H52-'N70'!$E$23</f>
        <v>0.42142857142857137</v>
      </c>
      <c r="N46" s="5">
        <f>'N70'!H52-'N70'!$E$24</f>
        <v>0.40714285714285708</v>
      </c>
      <c r="O46" s="5">
        <f>'N70'!H52-'N70'!$E$25</f>
        <v>0.39285714285714279</v>
      </c>
      <c r="P46" s="5">
        <f>'N70'!H52-'N70'!$E$26</f>
        <v>0.3785714285714285</v>
      </c>
      <c r="Q46" s="5">
        <f>'N70'!H52-'N70'!$E$27</f>
        <v>0.36428571428571421</v>
      </c>
      <c r="R46" s="5">
        <f>'N70'!H52-'N70'!$E$28</f>
        <v>0.34999999999999992</v>
      </c>
      <c r="S46" s="5">
        <f>'N70'!H52-'N70'!$E$29</f>
        <v>0.33571428571428563</v>
      </c>
      <c r="T46" s="5">
        <f>'N70'!H52-'N70'!$E$30</f>
        <v>0.3214285714285714</v>
      </c>
      <c r="U46" s="5">
        <f>'N70'!H52-'N70'!$E$31</f>
        <v>0.30714285714285705</v>
      </c>
      <c r="V46" s="5">
        <f>'N70'!H52-'N70'!$E$32</f>
        <v>0.29285714285714282</v>
      </c>
      <c r="W46" s="5">
        <f>'N70'!H52-'N70'!$E$33</f>
        <v>0.27857142857142847</v>
      </c>
      <c r="X46" s="5">
        <f>'N70'!H52-'N70'!$E$34</f>
        <v>0.26428571428571423</v>
      </c>
      <c r="Y46" s="5">
        <f>'N70'!H52-'N70'!$E$35</f>
        <v>0.24999999999999994</v>
      </c>
      <c r="Z46" s="5">
        <f>'N70'!H52-'N70'!$E$36</f>
        <v>0.23571428571428565</v>
      </c>
      <c r="AA46" s="5">
        <f>'N70'!H52-'N70'!$E$37</f>
        <v>0.22142857142857136</v>
      </c>
      <c r="AB46" s="5">
        <f>'N70'!H52-'N70'!$E$38</f>
        <v>0.20714285714285707</v>
      </c>
      <c r="AC46" s="5">
        <f>'N70'!H52-'N70'!$E$39</f>
        <v>0.19285714285714278</v>
      </c>
      <c r="AD46" s="5">
        <f>'N70'!H52-'N70'!$E$40</f>
        <v>0.17857142857142849</v>
      </c>
      <c r="AE46" s="5">
        <f>'N70'!H52-'N70'!$E$41</f>
        <v>0.1642857142857142</v>
      </c>
      <c r="AF46" s="5">
        <f>'N70'!H52-'N70'!$E$42</f>
        <v>0.14999999999999991</v>
      </c>
      <c r="AG46" s="5">
        <f>'N70'!H52-'N70'!$E$43</f>
        <v>0.13571428571428568</v>
      </c>
      <c r="AH46" s="5">
        <f>'N70'!H52-'N70'!$E$44</f>
        <v>0.12142857142857139</v>
      </c>
      <c r="AI46" s="5">
        <f>'N70'!H52-'N70'!$E$45</f>
        <v>0.1071428571428571</v>
      </c>
      <c r="AJ46" s="5">
        <f>'N70'!H52-'N70'!$E$46</f>
        <v>9.2857142857142805E-2</v>
      </c>
      <c r="AK46" s="5">
        <f>'N70'!H52-'N70'!$E$47</f>
        <v>7.8571428571428514E-2</v>
      </c>
      <c r="AL46" s="5">
        <f>'N70'!H52-'N70'!$E$48</f>
        <v>6.4285714285714224E-2</v>
      </c>
      <c r="AM46" s="5">
        <f>'N70'!H52-'N70'!$E$49</f>
        <v>4.9999999999999933E-2</v>
      </c>
      <c r="AN46" s="5">
        <f>'N70'!H52-'N70'!$E$50</f>
        <v>3.5714285714285643E-2</v>
      </c>
      <c r="AO46" s="5">
        <f>'N70'!H52-'N70'!$E$51</f>
        <v>2.1428571428571352E-2</v>
      </c>
      <c r="AP46" s="5">
        <f>'N70'!H52-'N70'!$E$52</f>
        <v>7.1428571428571175E-3</v>
      </c>
      <c r="AQ46" s="5">
        <f>'N70'!H52-'N70'!$E$53</f>
        <v>-7.1428571428572285E-3</v>
      </c>
      <c r="AR46" s="5">
        <f>'N70'!H52-'N70'!$E$54</f>
        <v>-2.1428571428571463E-2</v>
      </c>
      <c r="AS46" s="5">
        <f>'N70'!H52-'N70'!$E$55</f>
        <v>-3.5714285714285809E-2</v>
      </c>
      <c r="AT46" s="5">
        <f>'N70'!H52-'N70'!$E$56</f>
        <v>-5.0000000000000044E-2</v>
      </c>
      <c r="AU46" s="5">
        <f>'N70'!H52-'N70'!$E$57</f>
        <v>-6.428571428571439E-2</v>
      </c>
      <c r="AV46" s="5">
        <f>'N70'!H52-'N70'!$E$58</f>
        <v>-7.8571428571428625E-2</v>
      </c>
      <c r="AW46" s="5">
        <f>'N70'!H52-'N70'!$E$59</f>
        <v>-9.285714285714286E-2</v>
      </c>
      <c r="AX46" s="5">
        <f>'N70'!H52-'N70'!$E$60</f>
        <v>-0.10714285714285721</v>
      </c>
      <c r="AY46" s="5">
        <f>'N70'!H52-'N70'!$E$61</f>
        <v>-0.12142857142857144</v>
      </c>
      <c r="AZ46" s="5">
        <f>'N70'!H52-'N70'!$E$62</f>
        <v>-0.13571428571428579</v>
      </c>
      <c r="BA46" s="5">
        <f>'N70'!H52-'N70'!$E$63</f>
        <v>-0.15000000000000002</v>
      </c>
      <c r="BB46" s="5">
        <f>'N70'!H52-'N70'!$E$64</f>
        <v>-0.16428571428571437</v>
      </c>
      <c r="BC46" s="5">
        <f>'N70'!H52-'N70'!$E$65</f>
        <v>-0.1785714285714286</v>
      </c>
      <c r="BD46" s="5">
        <f>'N70'!H52-'N70'!$E$66</f>
        <v>-0.19285714285714295</v>
      </c>
      <c r="BE46" s="5">
        <f>'N70'!H52-'N70'!$E$67</f>
        <v>-0.20714285714285718</v>
      </c>
      <c r="BF46" s="5">
        <f>'N70'!H52-'N70'!$E$68</f>
        <v>-0.22142857142857153</v>
      </c>
      <c r="BG46" s="5">
        <f>'N70'!H52-'N70'!$E$69</f>
        <v>-0.23571428571428577</v>
      </c>
      <c r="BH46" s="5">
        <f>'N70'!H52-'N70'!$E$70</f>
        <v>-0.25</v>
      </c>
      <c r="BI46" s="5">
        <f>'N70'!H52-'N70'!$E$71</f>
        <v>-0.26428571428571435</v>
      </c>
      <c r="BJ46" s="5">
        <f>'N70'!H52-'N70'!$E$72</f>
        <v>-0.27857142857142858</v>
      </c>
      <c r="BK46" s="5">
        <f>'N70'!H52-'N70'!$E$73</f>
        <v>-0.29285714285714293</v>
      </c>
      <c r="BL46" s="5">
        <f>'N70'!H52-'N70'!$E$74</f>
        <v>-0.30714285714285716</v>
      </c>
      <c r="BM46" s="5">
        <f>'N70'!H52-'N70'!$E$75</f>
        <v>-0.32142857142857151</v>
      </c>
      <c r="BN46" s="5">
        <f>'N70'!H52-'N70'!$E$76</f>
        <v>-0.33571428571428574</v>
      </c>
      <c r="BO46" s="5">
        <f>'N70'!H52-'N70'!$E$77</f>
        <v>-0.35000000000000009</v>
      </c>
      <c r="BP46" s="5">
        <f>'N70'!H52-'N70'!$E$78</f>
        <v>-0.36428571428571432</v>
      </c>
      <c r="BQ46" s="5">
        <f>'N70'!H52-'N70'!$E$79</f>
        <v>-0.37857142857142867</v>
      </c>
      <c r="BR46" s="5">
        <f>'N70'!H52-'N70'!$E$80</f>
        <v>-0.3928571428571429</v>
      </c>
      <c r="BS46" s="5">
        <f>'N70'!H52-'N70'!$E$81</f>
        <v>-0.40714285714285714</v>
      </c>
      <c r="BT46" s="5">
        <f>'N70'!H52-'N70'!$E$82</f>
        <v>-0.42142857142857149</v>
      </c>
      <c r="BU46" s="5">
        <f>'N70'!H52-'N70'!$E$83</f>
        <v>-0.43571428571428572</v>
      </c>
      <c r="BV46" s="5">
        <f>'N70'!H52-'N70'!$E$84</f>
        <v>-0.45000000000000007</v>
      </c>
      <c r="BW46" s="5">
        <f>'N70'!H52-'N70'!$E$85</f>
        <v>-0.4642857142857143</v>
      </c>
      <c r="BX46" s="5">
        <v>-1</v>
      </c>
      <c r="BZ46">
        <v>37</v>
      </c>
      <c r="CA46" s="5">
        <f>N70_DESARROLLO!CE131+N70_DESARROLLO!H131</f>
        <v>-1.3825454475325571E-2</v>
      </c>
      <c r="CB46" s="5">
        <f>N70_DESARROLLO!CF131+N70_DESARROLLO!I131</f>
        <v>-2.8172741151778147E-2</v>
      </c>
      <c r="CC46" s="5">
        <f>N70_DESARROLLO!CG131+N70_DESARROLLO!J131</f>
        <v>-2.8989567932956817E-2</v>
      </c>
      <c r="CD46" s="5">
        <f>N70_DESARROLLO!CH131+N70_DESARROLLO!K131</f>
        <v>-2.9855181616034066E-2</v>
      </c>
      <c r="CE46" s="5">
        <f>N70_DESARROLLO!CI131+N70_DESARROLLO!L131</f>
        <v>-3.0774088329714844E-2</v>
      </c>
      <c r="CF46" s="5">
        <f>N70_DESARROLLO!CJ131+N70_DESARROLLO!M131</f>
        <v>-3.1751366862660002E-2</v>
      </c>
      <c r="CG46" s="5">
        <f>N70_DESARROLLO!CK131+N70_DESARROLLO!N131</f>
        <v>-3.2792762635878492E-2</v>
      </c>
      <c r="CH46" s="5">
        <f>N70_DESARROLLO!CL131+N70_DESARROLLO!O131</f>
        <v>-3.3904800811317637E-2</v>
      </c>
      <c r="CI46" s="5">
        <f>N70_DESARROLLO!CM131+N70_DESARROLLO!P131</f>
        <v>-3.5094923244214593E-2</v>
      </c>
      <c r="CJ46" s="5">
        <f>N70_DESARROLLO!CN131+N70_DESARROLLO!Q131</f>
        <v>-3.6371655357440247E-2</v>
      </c>
      <c r="CK46" s="5">
        <f>N70_DESARROLLO!CO131+N70_DESARROLLO!R131</f>
        <v>-3.7744810855697031E-2</v>
      </c>
      <c r="CL46" s="5">
        <f>N70_DESARROLLO!CP131+N70_DESARROLLO!S131</f>
        <v>-3.9225744685481456E-2</v>
      </c>
      <c r="CM46" s="5">
        <f>N70_DESARROLLO!CQ131+N70_DESARROLLO!T131</f>
        <v>-4.0827668052531463E-2</v>
      </c>
      <c r="CN46" s="5">
        <f>N70_DESARROLLO!CR131+N70_DESARROLLO!U131</f>
        <v>-4.2566044021118632E-2</v>
      </c>
      <c r="CO46" s="5">
        <f>N70_DESARROLLO!CS131+N70_DESARROLLO!V131</f>
        <v>-4.4459088822753623E-2</v>
      </c>
      <c r="CP46" s="5">
        <f>N70_DESARROLLO!CT131+N70_DESARROLLO!W131</f>
        <v>-4.6528413377895816E-2</v>
      </c>
      <c r="CQ46" s="5">
        <f>N70_DESARROLLO!CU131+N70_DESARROLLO!X131</f>
        <v>-4.8799853039066088E-2</v>
      </c>
      <c r="CR46" s="5">
        <f>N70_DESARROLLO!CV131+N70_DESARROLLO!Y131</f>
        <v>-5.1304553326351976E-2</v>
      </c>
      <c r="CS46" s="5">
        <f>N70_DESARROLLO!CW131+N70_DESARROLLO!Z131</f>
        <v>-5.4080408838144356E-2</v>
      </c>
      <c r="CT46" s="5">
        <f>N70_DESARROLLO!CX131+N70_DESARROLLO!AA131</f>
        <v>-5.7173997129077003E-2</v>
      </c>
      <c r="CU46" s="5">
        <f>N70_DESARROLLO!CY131+N70_DESARROLLO!AB131</f>
        <v>-6.0643218403522159E-2</v>
      </c>
      <c r="CV46" s="5">
        <f>N70_DESARROLLO!CZ131+N70_DESARROLLO!AC131</f>
        <v>-6.4560961252483229E-2</v>
      </c>
      <c r="CW46" s="5">
        <f>N70_DESARROLLO!DA131+N70_DESARROLLO!AD131</f>
        <v>-6.902029235086915E-2</v>
      </c>
      <c r="CX46" s="5">
        <f>N70_DESARROLLO!DB131+N70_DESARROLLO!AE131</f>
        <v>-7.4141965022336054E-2</v>
      </c>
      <c r="CY46" s="5">
        <f>N70_DESARROLLO!DC131+N70_DESARROLLO!AF131</f>
        <v>-8.0085554140356896E-2</v>
      </c>
      <c r="CZ46" s="5">
        <f>N70_DESARROLLO!DD131+N70_DESARROLLO!AG131</f>
        <v>-8.7066442319337356E-2</v>
      </c>
      <c r="DA46" s="5">
        <f>N70_DESARROLLO!DE131+N70_DESARROLLO!AH131</f>
        <v>-9.5382594982177715E-2</v>
      </c>
      <c r="DB46" s="5">
        <f>N70_DESARROLLO!DF131+N70_DESARROLLO!AI131</f>
        <v>-0.1054584185205738</v>
      </c>
      <c r="DC46" s="5">
        <f>N70_DESARROLLO!DG131+N70_DESARROLLO!AJ131</f>
        <v>-0.11791996375048674</v>
      </c>
      <c r="DD46" s="5">
        <f>N70_DESARROLLO!DH131+N70_DESARROLLO!AK131</f>
        <v>-0.13373123411929877</v>
      </c>
      <c r="DE46" s="5">
        <f>N70_DESARROLLO!DI131+N70_DESARROLLO!AL131</f>
        <v>-0.15445886474681347</v>
      </c>
      <c r="DF46" s="5">
        <f>N70_DESARROLLO!DJ131+N70_DESARROLLO!AM131</f>
        <v>-0.18283342438756867</v>
      </c>
      <c r="DG46" s="5">
        <f>N70_DESARROLLO!DK131+N70_DESARROLLO!AN131</f>
        <v>-0.22408833054042687</v>
      </c>
      <c r="DH46" s="5">
        <f>N70_DESARROLLO!DL131+N70_DESARROLLO!AO131</f>
        <v>-0.28973434150573285</v>
      </c>
      <c r="DI46" s="5">
        <f>N70_DESARROLLO!DM131+N70_DESARROLLO!AP131</f>
        <v>-0.41141440075354818</v>
      </c>
      <c r="DJ46" s="5">
        <f>N70_DESARROLLO!DN131+N70_DESARROLLO!AQ131</f>
        <v>-0.72775792963608354</v>
      </c>
      <c r="DK46" s="5">
        <f>N70_DESARROLLO!DO131+N70_DESARROLLO!AR131</f>
        <v>-1.6479184659605282</v>
      </c>
      <c r="DL46" s="5">
        <f>N70_DESARROLLO!DP131+N70_DESARROLLO!AS131</f>
        <v>1.6479184659605211</v>
      </c>
      <c r="DM46" s="5">
        <f>N70_DESARROLLO!DQ131+N70_DESARROLLO!AT131</f>
        <v>0.72775792963608488</v>
      </c>
      <c r="DN46" s="5">
        <f>N70_DESARROLLO!DR131+N70_DESARROLLO!AU131</f>
        <v>0.4114144007535393</v>
      </c>
      <c r="DO46" s="5">
        <f>N70_DESARROLLO!DS131+N70_DESARROLLO!AV131</f>
        <v>0.2897343415057394</v>
      </c>
      <c r="DP46" s="5">
        <f>N70_DESARROLLO!DT131+N70_DESARROLLO!AW131</f>
        <v>0.22408833054041866</v>
      </c>
      <c r="DQ46" s="5">
        <f>N70_DESARROLLO!DU131+N70_DESARROLLO!AX131</f>
        <v>0.182833424387567</v>
      </c>
      <c r="DR46" s="5">
        <f>N70_DESARROLLO!DV131+N70_DESARROLLO!AY131</f>
        <v>0.1544588647468208</v>
      </c>
      <c r="DS46" s="5">
        <f>N70_DESARROLLO!DW131+N70_DESARROLLO!AZ131</f>
        <v>0.13373123411929266</v>
      </c>
      <c r="DT46" s="5">
        <f>N70_DESARROLLO!DX131+N70_DESARROLLO!BA131</f>
        <v>0.11791996375049285</v>
      </c>
      <c r="DU46" s="5">
        <f>N70_DESARROLLO!DY131+N70_DESARROLLO!BB131</f>
        <v>0.10545841852057103</v>
      </c>
      <c r="DV46" s="5">
        <f>N70_DESARROLLO!DZ131+N70_DESARROLLO!BC131</f>
        <v>9.5382594982181268E-2</v>
      </c>
      <c r="DW46" s="5">
        <f>N70_DESARROLLO!EA131+N70_DESARROLLO!BD131</f>
        <v>8.7066442319330473E-2</v>
      </c>
      <c r="DX46" s="5">
        <f>N70_DESARROLLO!EB131+N70_DESARROLLO!BE131</f>
        <v>8.0085554140363002E-2</v>
      </c>
      <c r="DY46" s="5">
        <f>N70_DESARROLLO!EC131+N70_DESARROLLO!BF131</f>
        <v>7.414196502232917E-2</v>
      </c>
      <c r="DZ46" s="5">
        <f>N70_DESARROLLO!ED131+N70_DESARROLLO!BG131</f>
        <v>6.902029235087781E-2</v>
      </c>
      <c r="EA46" s="5">
        <f>N70_DESARROLLO!EE131+N70_DESARROLLO!BH131</f>
        <v>6.4560961252473459E-2</v>
      </c>
      <c r="EB46" s="5">
        <f>N70_DESARROLLO!EF131+N70_DESARROLLO!BI131</f>
        <v>6.0643218403522048E-2</v>
      </c>
      <c r="EC46" s="5">
        <f>N70_DESARROLLO!EG131+N70_DESARROLLO!BJ131</f>
        <v>5.7173997129085885E-2</v>
      </c>
      <c r="ED46" s="5">
        <f>N70_DESARROLLO!EH131+N70_DESARROLLO!BK131</f>
        <v>5.4080408838142358E-2</v>
      </c>
      <c r="EE46" s="5">
        <f>N70_DESARROLLO!EI131+N70_DESARROLLO!BL131</f>
        <v>5.1304553326349533E-2</v>
      </c>
      <c r="EF46" s="5">
        <f>N70_DESARROLLO!EJ131+N70_DESARROLLO!BM131</f>
        <v>4.8799853039066199E-2</v>
      </c>
      <c r="EG46" s="5">
        <f>N70_DESARROLLO!EK131+N70_DESARROLLO!BN131</f>
        <v>4.652841337789404E-2</v>
      </c>
      <c r="EH46" s="5">
        <f>N70_DESARROLLO!EL131+N70_DESARROLLO!BO131</f>
        <v>4.4459088822756176E-2</v>
      </c>
      <c r="EI46" s="5">
        <f>N70_DESARROLLO!EM131+N70_DESARROLLO!BP131</f>
        <v>4.2566044021123961E-2</v>
      </c>
      <c r="EJ46" s="5">
        <f>N70_DESARROLLO!EN131+N70_DESARROLLO!BQ131</f>
        <v>4.0827668052522914E-2</v>
      </c>
      <c r="EK46" s="5">
        <f>N70_DESARROLLO!EO131+N70_DESARROLLO!BR131</f>
        <v>3.9225744685487562E-2</v>
      </c>
      <c r="EL46" s="5">
        <f>N70_DESARROLLO!EP131+N70_DESARROLLO!BS131</f>
        <v>3.774481085568826E-2</v>
      </c>
      <c r="EM46" s="5">
        <f>N70_DESARROLLO!EQ131+N70_DESARROLLO!BT131</f>
        <v>3.6371655357440469E-2</v>
      </c>
      <c r="EN46" s="5">
        <f>N70_DESARROLLO!ER131+N70_DESARROLLO!BU131</f>
        <v>3.5094923244222698E-2</v>
      </c>
      <c r="EO46" s="5">
        <f>N70_DESARROLLO!ES131+N70_DESARROLLO!BV131</f>
        <v>3.3904800811315305E-2</v>
      </c>
      <c r="EP46" s="5">
        <f>N70_DESARROLLO!ET131+N70_DESARROLLO!BW131</f>
        <v>3.279276263587616E-2</v>
      </c>
      <c r="EQ46" s="5">
        <f>N70_DESARROLLO!EU131+N70_DESARROLLO!BX131</f>
        <v>3.1751366862662667E-2</v>
      </c>
      <c r="ER46" s="5">
        <f>N70_DESARROLLO!EV131+N70_DESARROLLO!BY131</f>
        <v>52.723406624045552</v>
      </c>
      <c r="FC46">
        <v>37</v>
      </c>
      <c r="FD46" s="4">
        <v>2.1370954634362507E-4</v>
      </c>
      <c r="FE46" s="4">
        <v>4.3261924573122608E-4</v>
      </c>
      <c r="FF46" s="4">
        <v>5.7890455408412416E-4</v>
      </c>
      <c r="FG46" s="4">
        <v>7.1212456779926243E-4</v>
      </c>
      <c r="FH46" s="4">
        <v>8.3969936714808186E-4</v>
      </c>
      <c r="FI46" s="4">
        <v>9.6618084298737866E-4</v>
      </c>
      <c r="FJ46" s="4">
        <v>1.0943107319365771E-3</v>
      </c>
      <c r="FK46" s="4">
        <v>1.2261085505580857E-3</v>
      </c>
      <c r="FL46" s="4">
        <v>1.3632648834940695E-3</v>
      </c>
      <c r="FM46" s="4">
        <v>1.5073433440410176E-3</v>
      </c>
      <c r="FN46" s="4">
        <v>1.6599011332816174E-3</v>
      </c>
      <c r="FO46" s="4">
        <v>1.8225749045387618E-3</v>
      </c>
      <c r="FP46" s="4">
        <v>1.9971533151664838E-3</v>
      </c>
      <c r="FQ46" s="4">
        <v>2.1856481775279382E-3</v>
      </c>
      <c r="FR46" s="4">
        <v>2.3903725195760037E-3</v>
      </c>
      <c r="FS46" s="4">
        <v>2.614033009783016E-3</v>
      </c>
      <c r="FT46" s="4">
        <v>2.8598450173050642E-3</v>
      </c>
      <c r="FU46" s="4">
        <v>3.1316808522605195E-3</v>
      </c>
      <c r="FV46" s="4">
        <v>3.4342657495282369E-3</v>
      </c>
      <c r="FW46" s="4">
        <v>3.7734426944416393E-3</v>
      </c>
      <c r="FX46" s="4">
        <v>4.1565376984852662E-3</v>
      </c>
      <c r="FY46" s="4">
        <v>4.5928742535418302E-3</v>
      </c>
      <c r="FZ46" s="4">
        <v>5.0945142306033156E-3</v>
      </c>
      <c r="GA46" s="4">
        <v>5.6773514660483767E-3</v>
      </c>
      <c r="GB46" s="4">
        <v>6.3627712736108229E-3</v>
      </c>
      <c r="GC46" s="4">
        <v>7.1802499116366989E-3</v>
      </c>
      <c r="GD46" s="4">
        <v>8.1715792382005183E-3</v>
      </c>
      <c r="GE46" s="4">
        <v>9.3980374924522835E-3</v>
      </c>
      <c r="GF46" s="4">
        <v>1.0953210773179107E-2</v>
      </c>
      <c r="GG46" s="4">
        <v>1.2987432239614528E-2</v>
      </c>
      <c r="GH46" s="4">
        <v>1.5758092612119759E-2</v>
      </c>
      <c r="GI46" s="4">
        <v>1.9746729332348386E-2</v>
      </c>
      <c r="GJ46" s="4">
        <v>2.5931997741157304E-2</v>
      </c>
      <c r="GK46" s="4">
        <v>3.7252586025175428E-2</v>
      </c>
      <c r="GL46" s="4">
        <v>5.4542772217839534E-2</v>
      </c>
      <c r="GM46" s="4">
        <v>0.24516090865820819</v>
      </c>
      <c r="GN46" s="4">
        <v>-0.25061079115173995</v>
      </c>
      <c r="GO46" s="4">
        <v>-5.9996136483443922E-2</v>
      </c>
      <c r="GP46" s="4">
        <v>-4.2712930503119695E-2</v>
      </c>
      <c r="GQ46" s="4">
        <v>-3.1402854320713727E-2</v>
      </c>
      <c r="GR46" s="4">
        <v>-2.523168035100018E-2</v>
      </c>
      <c r="GS46" s="4">
        <v>-2.1260788163492181E-2</v>
      </c>
      <c r="GT46" s="4">
        <v>-1.8511607853829107E-2</v>
      </c>
      <c r="GU46" s="4">
        <v>-1.6502705489605963E-2</v>
      </c>
      <c r="GV46" s="4">
        <v>-1.4976812275780531E-2</v>
      </c>
      <c r="GW46" s="4">
        <v>-1.3783735580303463E-2</v>
      </c>
      <c r="GX46" s="4">
        <v>-1.2830048292332995E-2</v>
      </c>
      <c r="GY46" s="4">
        <v>-1.2054648888903192E-2</v>
      </c>
      <c r="GZ46" s="4">
        <v>-1.141593821729873E-2</v>
      </c>
      <c r="HA46" s="4">
        <v>-1.0884645313611521E-2</v>
      </c>
      <c r="HB46" s="4">
        <v>-1.0439596644732563E-2</v>
      </c>
      <c r="HC46" s="4">
        <v>-1.0065106160002373E-2</v>
      </c>
      <c r="HD46" s="4">
        <v>-9.7492981878694041E-3</v>
      </c>
      <c r="HE46" s="4">
        <v>-9.482984620684325E-3</v>
      </c>
      <c r="HF46" s="4">
        <v>-9.2588755011195692E-3</v>
      </c>
      <c r="HG46" s="4">
        <v>-9.0709835529761782E-3</v>
      </c>
      <c r="HH46" s="4">
        <v>-8.914121952810633E-3</v>
      </c>
      <c r="HI46" s="4">
        <v>-8.7834037516706619E-3</v>
      </c>
      <c r="HJ46" s="4">
        <v>-8.6736300991879182E-3</v>
      </c>
      <c r="HK46" s="4">
        <v>-8.5783855799061153E-3</v>
      </c>
      <c r="HL46" s="4">
        <v>-8.4884923989315842E-3</v>
      </c>
      <c r="HM46" s="4">
        <v>-8.3890770226124969E-3</v>
      </c>
      <c r="HN46" s="4">
        <v>-8.2534908889504068E-3</v>
      </c>
      <c r="HO46" s="4">
        <v>-8.0296046023963161E-3</v>
      </c>
      <c r="HP46" s="4">
        <v>-7.6042058887899784E-3</v>
      </c>
      <c r="HQ46" s="4">
        <v>-6.7179274919594301E-3</v>
      </c>
      <c r="HR46" s="4">
        <v>-4.3537589493164702E-3</v>
      </c>
      <c r="HS46" s="4">
        <v>-1.3142700577507109E-3</v>
      </c>
      <c r="HT46" s="4">
        <v>8.4906692870254485E-2</v>
      </c>
      <c r="HU46" s="4">
        <v>-0.23117314739436676</v>
      </c>
    </row>
    <row r="47" spans="4:229" x14ac:dyDescent="0.25">
      <c r="D47" s="10">
        <v>38</v>
      </c>
      <c r="E47" s="5">
        <f>'N70'!E54-'N70'!E53</f>
        <v>1.4285714285714235E-2</v>
      </c>
      <c r="F47" s="5">
        <f>'N70'!H53-'N70'!$E$16</f>
        <v>0.5357142857142857</v>
      </c>
      <c r="G47" s="5">
        <f>'N70'!H53-'N70'!$E$17</f>
        <v>0.52142857142857146</v>
      </c>
      <c r="H47" s="5">
        <f>'N70'!H53-'N70'!$E$18</f>
        <v>0.50714285714285712</v>
      </c>
      <c r="I47" s="5">
        <f>'N70'!H53-'N70'!$E$19</f>
        <v>0.49285714285714283</v>
      </c>
      <c r="J47" s="5">
        <f>'N70'!H53-'N70'!$E$20</f>
        <v>0.47857142857142854</v>
      </c>
      <c r="K47" s="5">
        <f>'N70'!H53-'N70'!$E$21</f>
        <v>0.4642857142857143</v>
      </c>
      <c r="L47" s="5">
        <f>'N70'!H53-'N70'!$E$22</f>
        <v>0.44999999999999996</v>
      </c>
      <c r="M47" s="5">
        <f>'N70'!H53-'N70'!$E$23</f>
        <v>0.43571428571428572</v>
      </c>
      <c r="N47" s="5">
        <f>'N70'!H53-'N70'!$E$24</f>
        <v>0.42142857142857143</v>
      </c>
      <c r="O47" s="5">
        <f>'N70'!H53-'N70'!$E$25</f>
        <v>0.40714285714285714</v>
      </c>
      <c r="P47" s="5">
        <f>'N70'!H53-'N70'!$E$26</f>
        <v>0.39285714285714285</v>
      </c>
      <c r="Q47" s="5">
        <f>'N70'!H53-'N70'!$E$27</f>
        <v>0.37857142857142856</v>
      </c>
      <c r="R47" s="5">
        <f>'N70'!H53-'N70'!$E$28</f>
        <v>0.36428571428571427</v>
      </c>
      <c r="S47" s="5">
        <f>'N70'!H53-'N70'!$E$29</f>
        <v>0.35</v>
      </c>
      <c r="T47" s="5">
        <f>'N70'!H53-'N70'!$E$30</f>
        <v>0.33571428571428574</v>
      </c>
      <c r="U47" s="5">
        <f>'N70'!H53-'N70'!$E$31</f>
        <v>0.3214285714285714</v>
      </c>
      <c r="V47" s="5">
        <f>'N70'!H53-'N70'!$E$32</f>
        <v>0.30714285714285716</v>
      </c>
      <c r="W47" s="5">
        <f>'N70'!H53-'N70'!$E$33</f>
        <v>0.29285714285714282</v>
      </c>
      <c r="X47" s="5">
        <f>'N70'!H53-'N70'!$E$34</f>
        <v>0.27857142857142858</v>
      </c>
      <c r="Y47" s="5">
        <f>'N70'!H53-'N70'!$E$35</f>
        <v>0.26428571428571429</v>
      </c>
      <c r="Z47" s="5">
        <f>'N70'!H53-'N70'!$E$36</f>
        <v>0.25</v>
      </c>
      <c r="AA47" s="5">
        <f>'N70'!H53-'N70'!$E$37</f>
        <v>0.23571428571428571</v>
      </c>
      <c r="AB47" s="5">
        <f>'N70'!H53-'N70'!$E$38</f>
        <v>0.22142857142857142</v>
      </c>
      <c r="AC47" s="5">
        <f>'N70'!H53-'N70'!$E$39</f>
        <v>0.20714285714285713</v>
      </c>
      <c r="AD47" s="5">
        <f>'N70'!H53-'N70'!$E$40</f>
        <v>0.19285714285714284</v>
      </c>
      <c r="AE47" s="5">
        <f>'N70'!H53-'N70'!$E$41</f>
        <v>0.17857142857142855</v>
      </c>
      <c r="AF47" s="5">
        <f>'N70'!H53-'N70'!$E$42</f>
        <v>0.16428571428571426</v>
      </c>
      <c r="AG47" s="5">
        <f>'N70'!H53-'N70'!$E$43</f>
        <v>0.15000000000000002</v>
      </c>
      <c r="AH47" s="5">
        <f>'N70'!H53-'N70'!$E$44</f>
        <v>0.13571428571428573</v>
      </c>
      <c r="AI47" s="5">
        <f>'N70'!H53-'N70'!$E$45</f>
        <v>0.12142857142857144</v>
      </c>
      <c r="AJ47" s="5">
        <f>'N70'!H53-'N70'!$E$46</f>
        <v>0.10714285714285715</v>
      </c>
      <c r="AK47" s="5">
        <f>'N70'!H53-'N70'!$E$47</f>
        <v>9.285714285714286E-2</v>
      </c>
      <c r="AL47" s="5">
        <f>'N70'!H53-'N70'!$E$48</f>
        <v>7.857142857142857E-2</v>
      </c>
      <c r="AM47" s="5">
        <f>'N70'!H53-'N70'!$E$49</f>
        <v>6.4285714285714279E-2</v>
      </c>
      <c r="AN47" s="5">
        <f>'N70'!H53-'N70'!$E$50</f>
        <v>4.9999999999999989E-2</v>
      </c>
      <c r="AO47" s="5">
        <f>'N70'!H53-'N70'!$E$51</f>
        <v>3.5714285714285698E-2</v>
      </c>
      <c r="AP47" s="5">
        <f>'N70'!H53-'N70'!$E$52</f>
        <v>2.1428571428571463E-2</v>
      </c>
      <c r="AQ47" s="5">
        <f>'N70'!H53-'N70'!$E$53</f>
        <v>7.1428571428571175E-3</v>
      </c>
      <c r="AR47" s="5">
        <f>'N70'!H53-'N70'!$E$54</f>
        <v>-7.1428571428571175E-3</v>
      </c>
      <c r="AS47" s="5">
        <f>'N70'!H53-'N70'!$E$55</f>
        <v>-2.1428571428571463E-2</v>
      </c>
      <c r="AT47" s="5">
        <f>'N70'!H53-'N70'!$E$56</f>
        <v>-3.5714285714285698E-2</v>
      </c>
      <c r="AU47" s="5">
        <f>'N70'!H53-'N70'!$E$57</f>
        <v>-5.0000000000000044E-2</v>
      </c>
      <c r="AV47" s="5">
        <f>'N70'!H53-'N70'!$E$58</f>
        <v>-6.4285714285714279E-2</v>
      </c>
      <c r="AW47" s="5">
        <f>'N70'!H53-'N70'!$E$59</f>
        <v>-7.8571428571428514E-2</v>
      </c>
      <c r="AX47" s="5">
        <f>'N70'!H53-'N70'!$E$60</f>
        <v>-9.285714285714286E-2</v>
      </c>
      <c r="AY47" s="5">
        <f>'N70'!H53-'N70'!$E$61</f>
        <v>-0.1071428571428571</v>
      </c>
      <c r="AZ47" s="5">
        <f>'N70'!H53-'N70'!$E$62</f>
        <v>-0.12142857142857144</v>
      </c>
      <c r="BA47" s="5">
        <f>'N70'!H53-'N70'!$E$63</f>
        <v>-0.13571428571428568</v>
      </c>
      <c r="BB47" s="5">
        <f>'N70'!H53-'N70'!$E$64</f>
        <v>-0.15000000000000002</v>
      </c>
      <c r="BC47" s="5">
        <f>'N70'!H53-'N70'!$E$65</f>
        <v>-0.16428571428571426</v>
      </c>
      <c r="BD47" s="5">
        <f>'N70'!H53-'N70'!$E$66</f>
        <v>-0.1785714285714286</v>
      </c>
      <c r="BE47" s="5">
        <f>'N70'!H53-'N70'!$E$67</f>
        <v>-0.19285714285714284</v>
      </c>
      <c r="BF47" s="5">
        <f>'N70'!H53-'N70'!$E$68</f>
        <v>-0.20714285714285718</v>
      </c>
      <c r="BG47" s="5">
        <f>'N70'!H53-'N70'!$E$69</f>
        <v>-0.22142857142857142</v>
      </c>
      <c r="BH47" s="5">
        <f>'N70'!H53-'N70'!$E$70</f>
        <v>-0.23571428571428565</v>
      </c>
      <c r="BI47" s="5">
        <f>'N70'!H53-'N70'!$E$71</f>
        <v>-0.25</v>
      </c>
      <c r="BJ47" s="5">
        <f>'N70'!H53-'N70'!$E$72</f>
        <v>-0.26428571428571423</v>
      </c>
      <c r="BK47" s="5">
        <f>'N70'!H53-'N70'!$E$73</f>
        <v>-0.27857142857142858</v>
      </c>
      <c r="BL47" s="5">
        <f>'N70'!H53-'N70'!$E$74</f>
        <v>-0.29285714285714282</v>
      </c>
      <c r="BM47" s="5">
        <f>'N70'!H53-'N70'!$E$75</f>
        <v>-0.30714285714285716</v>
      </c>
      <c r="BN47" s="5">
        <f>'N70'!H53-'N70'!$E$76</f>
        <v>-0.3214285714285714</v>
      </c>
      <c r="BO47" s="5">
        <f>'N70'!H53-'N70'!$E$77</f>
        <v>-0.33571428571428574</v>
      </c>
      <c r="BP47" s="5">
        <f>'N70'!H53-'N70'!$E$78</f>
        <v>-0.35</v>
      </c>
      <c r="BQ47" s="5">
        <f>'N70'!H53-'N70'!$E$79</f>
        <v>-0.36428571428571432</v>
      </c>
      <c r="BR47" s="5">
        <f>'N70'!H53-'N70'!$E$80</f>
        <v>-0.37857142857142856</v>
      </c>
      <c r="BS47" s="5">
        <f>'N70'!H53-'N70'!$E$81</f>
        <v>-0.39285714285714279</v>
      </c>
      <c r="BT47" s="5">
        <f>'N70'!H53-'N70'!$E$82</f>
        <v>-0.40714285714285714</v>
      </c>
      <c r="BU47" s="5">
        <f>'N70'!H53-'N70'!$E$83</f>
        <v>-0.42142857142857137</v>
      </c>
      <c r="BV47" s="5">
        <f>'N70'!H53-'N70'!$E$84</f>
        <v>-0.43571428571428572</v>
      </c>
      <c r="BW47" s="5">
        <f>'N70'!H53-'N70'!$E$85</f>
        <v>-0.44999999999999996</v>
      </c>
      <c r="BX47" s="5">
        <v>-1</v>
      </c>
      <c r="BZ47">
        <v>38</v>
      </c>
      <c r="CA47" s="5">
        <f>N70_DESARROLLO!CE132+N70_DESARROLLO!H132</f>
        <v>-1.3453438110015759E-2</v>
      </c>
      <c r="CB47" s="5">
        <f>N70_DESARROLLO!CF132+N70_DESARROLLO!I132</f>
        <v>-2.7400689293794245E-2</v>
      </c>
      <c r="CC47" s="5">
        <f>N70_DESARROLLO!CG132+N70_DESARROLLO!J132</f>
        <v>-2.8172741151790359E-2</v>
      </c>
      <c r="CD47" s="5">
        <f>N70_DESARROLLO!CH132+N70_DESARROLLO!K132</f>
        <v>-2.8989567932952598E-2</v>
      </c>
      <c r="CE47" s="5">
        <f>N70_DESARROLLO!CI132+N70_DESARROLLO!L132</f>
        <v>-2.9855181616037618E-2</v>
      </c>
      <c r="CF47" s="5">
        <f>N70_DESARROLLO!CJ132+N70_DESARROLLO!M132</f>
        <v>-3.0774088329704075E-2</v>
      </c>
      <c r="CG47" s="5">
        <f>N70_DESARROLLO!CK132+N70_DESARROLLO!N132</f>
        <v>-3.1751366862674324E-2</v>
      </c>
      <c r="CH47" s="5">
        <f>N70_DESARROLLO!CL132+N70_DESARROLLO!O132</f>
        <v>-3.2792762635867723E-2</v>
      </c>
      <c r="CI47" s="5">
        <f>N70_DESARROLLO!CM132+N70_DESARROLLO!P132</f>
        <v>-3.3904800811321523E-2</v>
      </c>
      <c r="CJ47" s="5">
        <f>N70_DESARROLLO!CN132+N70_DESARROLLO!Q132</f>
        <v>-3.5094923244214704E-2</v>
      </c>
      <c r="CK47" s="5">
        <f>N70_DESARROLLO!CO132+N70_DESARROLLO!R132</f>
        <v>-3.6371655357440025E-2</v>
      </c>
      <c r="CL47" s="5">
        <f>N70_DESARROLLO!CP132+N70_DESARROLLO!S132</f>
        <v>-3.774481085569692E-2</v>
      </c>
      <c r="CM47" s="5">
        <f>N70_DESARROLLO!CQ132+N70_DESARROLLO!T132</f>
        <v>-3.9225744685481789E-2</v>
      </c>
      <c r="CN47" s="5">
        <f>N70_DESARROLLO!CR132+N70_DESARROLLO!U132</f>
        <v>-4.0827668052537014E-2</v>
      </c>
      <c r="CO47" s="5">
        <f>N70_DESARROLLO!CS132+N70_DESARROLLO!V132</f>
        <v>-4.2566044021105198E-2</v>
      </c>
      <c r="CP47" s="5">
        <f>N70_DESARROLLO!CT132+N70_DESARROLLO!W132</f>
        <v>-4.4459088822769166E-2</v>
      </c>
      <c r="CQ47" s="5">
        <f>N70_DESARROLLO!CU132+N70_DESARROLLO!X132</f>
        <v>-4.6528413377880939E-2</v>
      </c>
      <c r="CR47" s="5">
        <f>N70_DESARROLLO!CV132+N70_DESARROLLO!Y132</f>
        <v>-4.879985303908263E-2</v>
      </c>
      <c r="CS47" s="5">
        <f>N70_DESARROLLO!CW132+N70_DESARROLLO!Z132</f>
        <v>-5.1304553326337654E-2</v>
      </c>
      <c r="CT47" s="5">
        <f>N70_DESARROLLO!CX132+N70_DESARROLLO!AA132</f>
        <v>-5.4080408838149241E-2</v>
      </c>
      <c r="CU47" s="5">
        <f>N70_DESARROLLO!CY132+N70_DESARROLLO!AB132</f>
        <v>-5.7173997129077003E-2</v>
      </c>
      <c r="CV47" s="5">
        <f>N70_DESARROLLO!CZ132+N70_DESARROLLO!AC132</f>
        <v>-6.0643218403522159E-2</v>
      </c>
      <c r="CW47" s="5">
        <f>N70_DESARROLLO!DA132+N70_DESARROLLO!AD132</f>
        <v>-6.4560961252483229E-2</v>
      </c>
      <c r="CX47" s="5">
        <f>N70_DESARROLLO!DB132+N70_DESARROLLO!AE132</f>
        <v>-6.902029235086915E-2</v>
      </c>
      <c r="CY47" s="5">
        <f>N70_DESARROLLO!DC132+N70_DESARROLLO!AF132</f>
        <v>-7.4141965022337386E-2</v>
      </c>
      <c r="CZ47" s="5">
        <f>N70_DESARROLLO!DD132+N70_DESARROLLO!AG132</f>
        <v>-8.0085554140355564E-2</v>
      </c>
      <c r="DA47" s="5">
        <f>N70_DESARROLLO!DE132+N70_DESARROLLO!AH132</f>
        <v>-8.7066442319340687E-2</v>
      </c>
      <c r="DB47" s="5">
        <f>N70_DESARROLLO!DF132+N70_DESARROLLO!AI132</f>
        <v>-9.5382594982170943E-2</v>
      </c>
      <c r="DC47" s="5">
        <f>N70_DESARROLLO!DG132+N70_DESARROLLO!AJ132</f>
        <v>-0.1054584185205778</v>
      </c>
      <c r="DD47" s="5">
        <f>N70_DESARROLLO!DH132+N70_DESARROLLO!AK132</f>
        <v>-0.11791996375048563</v>
      </c>
      <c r="DE47" s="5">
        <f>N70_DESARROLLO!DI132+N70_DESARROLLO!AL132</f>
        <v>-0.13373123411929888</v>
      </c>
      <c r="DF47" s="5">
        <f>N70_DESARROLLO!DJ132+N70_DESARROLLO!AM132</f>
        <v>-0.15445886474681403</v>
      </c>
      <c r="DG47" s="5">
        <f>N70_DESARROLLO!DK132+N70_DESARROLLO!AN132</f>
        <v>-0.18283342438756844</v>
      </c>
      <c r="DH47" s="5">
        <f>N70_DESARROLLO!DL132+N70_DESARROLLO!AO132</f>
        <v>-0.22408833054042676</v>
      </c>
      <c r="DI47" s="5">
        <f>N70_DESARROLLO!DM132+N70_DESARROLLO!AP132</f>
        <v>-0.28973434150573196</v>
      </c>
      <c r="DJ47" s="5">
        <f>N70_DESARROLLO!DN132+N70_DESARROLLO!AQ132</f>
        <v>-0.41141440075354985</v>
      </c>
      <c r="DK47" s="5">
        <f>N70_DESARROLLO!DO132+N70_DESARROLLO!AR132</f>
        <v>-0.72775792963607455</v>
      </c>
      <c r="DL47" s="5">
        <f>N70_DESARROLLO!DP132+N70_DESARROLLO!AS132</f>
        <v>-1.6479184659605444</v>
      </c>
      <c r="DM47" s="5">
        <f>N70_DESARROLLO!DQ132+N70_DESARROLLO!AT132</f>
        <v>1.6479184659605444</v>
      </c>
      <c r="DN47" s="5">
        <f>N70_DESARROLLO!DR132+N70_DESARROLLO!AU132</f>
        <v>0.72775792963607433</v>
      </c>
      <c r="DO47" s="5">
        <f>N70_DESARROLLO!DS132+N70_DESARROLLO!AV132</f>
        <v>0.41141440075355495</v>
      </c>
      <c r="DP47" s="5">
        <f>N70_DESARROLLO!DT132+N70_DESARROLLO!AW132</f>
        <v>0.2897343415057243</v>
      </c>
      <c r="DQ47" s="5">
        <f>N70_DESARROLLO!DU132+N70_DESARROLLO!AX132</f>
        <v>0.2240883305404251</v>
      </c>
      <c r="DR47" s="5">
        <f>N70_DESARROLLO!DV132+N70_DESARROLLO!AY132</f>
        <v>0.18283342438757677</v>
      </c>
      <c r="DS47" s="5">
        <f>N70_DESARROLLO!DW132+N70_DESARROLLO!AZ132</f>
        <v>0.15445886474680548</v>
      </c>
      <c r="DT47" s="5">
        <f>N70_DESARROLLO!DX132+N70_DESARROLLO!BA132</f>
        <v>0.1337312341193071</v>
      </c>
      <c r="DU47" s="5">
        <f>N70_DESARROLLO!DY132+N70_DESARROLLO!BB132</f>
        <v>0.11791996375047809</v>
      </c>
      <c r="DV47" s="5">
        <f>N70_DESARROLLO!DZ132+N70_DESARROLLO!BC132</f>
        <v>0.10545841852058624</v>
      </c>
      <c r="DW47" s="5">
        <f>N70_DESARROLLO!EA132+N70_DESARROLLO!BD132</f>
        <v>9.5382594982166613E-2</v>
      </c>
      <c r="DX47" s="5">
        <f>N70_DESARROLLO!EB132+N70_DESARROLLO!BE132</f>
        <v>8.7066442319344683E-2</v>
      </c>
      <c r="DY47" s="5">
        <f>N70_DESARROLLO!EC132+N70_DESARROLLO!BF132</f>
        <v>8.0085554140347681E-2</v>
      </c>
      <c r="DZ47" s="5">
        <f>N70_DESARROLLO!ED132+N70_DESARROLLO!BG132</f>
        <v>7.4141965022345824E-2</v>
      </c>
      <c r="EA47" s="5">
        <f>N70_DESARROLLO!EE132+N70_DESARROLLO!BH132</f>
        <v>6.9020292350860046E-2</v>
      </c>
      <c r="EB47" s="5">
        <f>N70_DESARROLLO!EF132+N70_DESARROLLO!BI132</f>
        <v>6.4560961252482119E-2</v>
      </c>
      <c r="EC47" s="5">
        <f>N70_DESARROLLO!EG132+N70_DESARROLLO!BJ132</f>
        <v>6.0643218403529819E-2</v>
      </c>
      <c r="ED47" s="5">
        <f>N70_DESARROLLO!EH132+N70_DESARROLLO!BK132</f>
        <v>5.717399712907123E-2</v>
      </c>
      <c r="EE47" s="5">
        <f>N70_DESARROLLO!EI132+N70_DESARROLLO!BL132</f>
        <v>5.4080408838158012E-2</v>
      </c>
      <c r="EF47" s="5">
        <f>N70_DESARROLLO!EJ132+N70_DESARROLLO!BM132</f>
        <v>5.130455332633288E-2</v>
      </c>
      <c r="EG47" s="5">
        <f>N70_DESARROLLO!EK132+N70_DESARROLLO!BN132</f>
        <v>4.8799853039083518E-2</v>
      </c>
      <c r="EH47" s="5">
        <f>N70_DESARROLLO!EL132+N70_DESARROLLO!BO132</f>
        <v>4.6528413377880606E-2</v>
      </c>
      <c r="EI47" s="5">
        <f>N70_DESARROLLO!EM132+N70_DESARROLLO!BP132</f>
        <v>4.4459088822771053E-2</v>
      </c>
      <c r="EJ47" s="5">
        <f>N70_DESARROLLO!EN132+N70_DESARROLLO!BQ132</f>
        <v>4.2566044021103977E-2</v>
      </c>
      <c r="EK47" s="5">
        <f>N70_DESARROLLO!EO132+N70_DESARROLLO!BR132</f>
        <v>4.0827668052543675E-2</v>
      </c>
      <c r="EL47" s="5">
        <f>N70_DESARROLLO!EP132+N70_DESARROLLO!BS132</f>
        <v>3.9225744685471353E-2</v>
      </c>
      <c r="EM47" s="5">
        <f>N70_DESARROLLO!EQ132+N70_DESARROLLO!BT132</f>
        <v>3.7744810855693478E-2</v>
      </c>
      <c r="EN47" s="5">
        <f>N70_DESARROLLO!ER132+N70_DESARROLLO!BU132</f>
        <v>3.6371655357452903E-2</v>
      </c>
      <c r="EO47" s="5">
        <f>N70_DESARROLLO!ES132+N70_DESARROLLO!BV132</f>
        <v>3.509492324420449E-2</v>
      </c>
      <c r="EP47" s="5">
        <f>N70_DESARROLLO!ET132+N70_DESARROLLO!BW132</f>
        <v>3.3904800811327962E-2</v>
      </c>
      <c r="EQ47" s="5">
        <f>N70_DESARROLLO!EU132+N70_DESARROLLO!BX132</f>
        <v>3.2792762635863171E-2</v>
      </c>
      <c r="ER47" s="5">
        <f>N70_DESARROLLO!EV132+N70_DESARROLLO!BY132</f>
        <v>54.911583535819943</v>
      </c>
      <c r="FC47">
        <v>38</v>
      </c>
      <c r="FD47" s="4">
        <v>2.0226798985498518E-4</v>
      </c>
      <c r="FE47" s="4">
        <v>4.0917952904016288E-4</v>
      </c>
      <c r="FF47" s="4">
        <v>5.4708171580300762E-4</v>
      </c>
      <c r="FG47" s="4">
        <v>6.723841294496945E-4</v>
      </c>
      <c r="FH47" s="4">
        <v>7.9209406531285356E-4</v>
      </c>
      <c r="FI47" s="4">
        <v>9.1049200603804056E-4</v>
      </c>
      <c r="FJ47" s="4">
        <v>1.0301345278782514E-3</v>
      </c>
      <c r="FK47" s="4">
        <v>1.1528840067623384E-3</v>
      </c>
      <c r="FL47" s="4">
        <v>1.2802794632367509E-3</v>
      </c>
      <c r="FM47" s="4">
        <v>1.413725395849847E-3</v>
      </c>
      <c r="FN47" s="4">
        <v>1.5546026291815859E-3</v>
      </c>
      <c r="FO47" s="4">
        <v>1.7043451954030487E-3</v>
      </c>
      <c r="FP47" s="4">
        <v>1.8645031539836227E-3</v>
      </c>
      <c r="FQ47" s="4">
        <v>2.0368021217582774E-3</v>
      </c>
      <c r="FR47" s="4">
        <v>2.2232066449883476E-3</v>
      </c>
      <c r="FS47" s="4">
        <v>2.4259933961898244E-3</v>
      </c>
      <c r="FT47" s="4">
        <v>2.6478404394392652E-3</v>
      </c>
      <c r="FU47" s="4">
        <v>2.8919401698674512E-3</v>
      </c>
      <c r="FV47" s="4">
        <v>3.1621460893580598E-3</v>
      </c>
      <c r="FW47" s="4">
        <v>3.4631677533276451E-3</v>
      </c>
      <c r="FX47" s="4">
        <v>3.8008348450924538E-3</v>
      </c>
      <c r="FY47" s="4">
        <v>4.1824618957888087E-3</v>
      </c>
      <c r="FZ47" s="4">
        <v>4.6173623193030769E-3</v>
      </c>
      <c r="GA47" s="4">
        <v>5.1175889884843145E-3</v>
      </c>
      <c r="GB47" s="4">
        <v>5.6990275686019205E-3</v>
      </c>
      <c r="GC47" s="4">
        <v>6.3830558272547451E-3</v>
      </c>
      <c r="GD47" s="4">
        <v>7.1991429368045909E-3</v>
      </c>
      <c r="GE47" s="4">
        <v>8.1890739921584351E-3</v>
      </c>
      <c r="GF47" s="4">
        <v>9.4141206749999411E-3</v>
      </c>
      <c r="GG47" s="4">
        <v>1.0967862630160969E-2</v>
      </c>
      <c r="GH47" s="4">
        <v>1.3000626574956334E-2</v>
      </c>
      <c r="GI47" s="4">
        <v>1.5769796716041687E-2</v>
      </c>
      <c r="GJ47" s="4">
        <v>1.9756903830934702E-2</v>
      </c>
      <c r="GK47" s="4">
        <v>2.5940596370580698E-2</v>
      </c>
      <c r="GL47" s="4">
        <v>3.7259555332509908E-2</v>
      </c>
      <c r="GM47" s="4">
        <v>5.4548051189467685E-2</v>
      </c>
      <c r="GN47" s="4">
        <v>0.24516442827640686</v>
      </c>
      <c r="GO47" s="4">
        <v>-0.25060910842330092</v>
      </c>
      <c r="GP47" s="4">
        <v>-5.9996377283547564E-2</v>
      </c>
      <c r="GQ47" s="4">
        <v>-4.2715191222271826E-2</v>
      </c>
      <c r="GR47" s="4">
        <v>-3.1407241808276226E-2</v>
      </c>
      <c r="GS47" s="4">
        <v>-2.5238312666110901E-2</v>
      </c>
      <c r="GT47" s="4">
        <v>-2.1269795345929956E-2</v>
      </c>
      <c r="GU47" s="4">
        <v>-1.8523132674996074E-2</v>
      </c>
      <c r="GV47" s="4">
        <v>-1.6516904119476327E-2</v>
      </c>
      <c r="GW47" s="4">
        <v>-1.4993854763469958E-2</v>
      </c>
      <c r="GX47" s="4">
        <v>-1.3803805986495115E-2</v>
      </c>
      <c r="GY47" s="4">
        <v>-1.2853344218917921E-2</v>
      </c>
      <c r="GZ47" s="4">
        <v>-1.2081380004068267E-2</v>
      </c>
      <c r="HA47" s="4">
        <v>-1.1446323140136024E-2</v>
      </c>
      <c r="HB47" s="4">
        <v>-1.0918905843348254E-2</v>
      </c>
      <c r="HC47" s="4">
        <v>-1.0477947698936839E-2</v>
      </c>
      <c r="HD47" s="4">
        <v>-1.010773875005844E-2</v>
      </c>
      <c r="HE47" s="4">
        <v>-9.7963509981390442E-3</v>
      </c>
      <c r="HF47" s="4">
        <v>-9.5344966916909839E-3</v>
      </c>
      <c r="HG47" s="4">
        <v>-9.314707044037196E-3</v>
      </c>
      <c r="HH47" s="4">
        <v>-9.1306818597324015E-3</v>
      </c>
      <c r="HI47" s="4">
        <v>-8.9766902282167882E-3</v>
      </c>
      <c r="HJ47" s="4">
        <v>-8.8468928469943101E-3</v>
      </c>
      <c r="HK47" s="4">
        <v>-8.734394797193212E-3</v>
      </c>
      <c r="HL47" s="4">
        <v>-8.6296760475763068E-3</v>
      </c>
      <c r="HM47" s="4">
        <v>-8.5176537315405469E-3</v>
      </c>
      <c r="HN47" s="4">
        <v>-8.3716258584637365E-3</v>
      </c>
      <c r="HO47" s="4">
        <v>-8.1396408012721026E-3</v>
      </c>
      <c r="HP47" s="4">
        <v>-7.7091022636974586E-3</v>
      </c>
      <c r="HQ47" s="4">
        <v>-6.822201879781044E-3</v>
      </c>
      <c r="HR47" s="4">
        <v>-4.4675718135457612E-3</v>
      </c>
      <c r="HS47" s="4">
        <v>-1.4465048333125916E-3</v>
      </c>
      <c r="HT47" s="4">
        <v>8.4355057817621912E-2</v>
      </c>
      <c r="HU47" s="4">
        <v>-0.23037117635605239</v>
      </c>
    </row>
    <row r="48" spans="4:229" x14ac:dyDescent="0.25">
      <c r="D48" s="10">
        <v>39</v>
      </c>
      <c r="E48" s="5">
        <f>'N70'!E55-'N70'!E54</f>
        <v>1.4285714285714346E-2</v>
      </c>
      <c r="F48" s="5">
        <f>'N70'!H54-'N70'!$E$16</f>
        <v>0.55000000000000004</v>
      </c>
      <c r="G48" s="5">
        <f>'N70'!H54-'N70'!$E$17</f>
        <v>0.53571428571428581</v>
      </c>
      <c r="H48" s="5">
        <f>'N70'!H54-'N70'!$E$18</f>
        <v>0.52142857142857146</v>
      </c>
      <c r="I48" s="5">
        <f>'N70'!H54-'N70'!$E$19</f>
        <v>0.50714285714285723</v>
      </c>
      <c r="J48" s="5">
        <f>'N70'!H54-'N70'!$E$20</f>
        <v>0.49285714285714288</v>
      </c>
      <c r="K48" s="5">
        <f>'N70'!H54-'N70'!$E$21</f>
        <v>0.47857142857142865</v>
      </c>
      <c r="L48" s="5">
        <f>'N70'!H54-'N70'!$E$22</f>
        <v>0.4642857142857143</v>
      </c>
      <c r="M48" s="5">
        <f>'N70'!H54-'N70'!$E$23</f>
        <v>0.45000000000000007</v>
      </c>
      <c r="N48" s="5">
        <f>'N70'!H54-'N70'!$E$24</f>
        <v>0.43571428571428578</v>
      </c>
      <c r="O48" s="5">
        <f>'N70'!H54-'N70'!$E$25</f>
        <v>0.42142857142857149</v>
      </c>
      <c r="P48" s="5">
        <f>'N70'!H54-'N70'!$E$26</f>
        <v>0.4071428571428572</v>
      </c>
      <c r="Q48" s="5">
        <f>'N70'!H54-'N70'!$E$27</f>
        <v>0.3928571428571429</v>
      </c>
      <c r="R48" s="5">
        <f>'N70'!H54-'N70'!$E$28</f>
        <v>0.37857142857142861</v>
      </c>
      <c r="S48" s="5">
        <f>'N70'!H54-'N70'!$E$29</f>
        <v>0.36428571428571432</v>
      </c>
      <c r="T48" s="5">
        <f>'N70'!H54-'N70'!$E$30</f>
        <v>0.35000000000000009</v>
      </c>
      <c r="U48" s="5">
        <f>'N70'!H54-'N70'!$E$31</f>
        <v>0.33571428571428574</v>
      </c>
      <c r="V48" s="5">
        <f>'N70'!H54-'N70'!$E$32</f>
        <v>0.32142857142857151</v>
      </c>
      <c r="W48" s="5">
        <f>'N70'!H54-'N70'!$E$33</f>
        <v>0.30714285714285716</v>
      </c>
      <c r="X48" s="5">
        <f>'N70'!H54-'N70'!$E$34</f>
        <v>0.29285714285714293</v>
      </c>
      <c r="Y48" s="5">
        <f>'N70'!H54-'N70'!$E$35</f>
        <v>0.27857142857142864</v>
      </c>
      <c r="Z48" s="5">
        <f>'N70'!H54-'N70'!$E$36</f>
        <v>0.26428571428571435</v>
      </c>
      <c r="AA48" s="5">
        <f>'N70'!H54-'N70'!$E$37</f>
        <v>0.25000000000000006</v>
      </c>
      <c r="AB48" s="5">
        <f>'N70'!H54-'N70'!$E$38</f>
        <v>0.23571428571428577</v>
      </c>
      <c r="AC48" s="5">
        <f>'N70'!H54-'N70'!$E$39</f>
        <v>0.22142857142857147</v>
      </c>
      <c r="AD48" s="5">
        <f>'N70'!H54-'N70'!$E$40</f>
        <v>0.20714285714285718</v>
      </c>
      <c r="AE48" s="5">
        <f>'N70'!H54-'N70'!$E$41</f>
        <v>0.19285714285714289</v>
      </c>
      <c r="AF48" s="5">
        <f>'N70'!H54-'N70'!$E$42</f>
        <v>0.1785714285714286</v>
      </c>
      <c r="AG48" s="5">
        <f>'N70'!H54-'N70'!$E$43</f>
        <v>0.16428571428571437</v>
      </c>
      <c r="AH48" s="5">
        <f>'N70'!H54-'N70'!$E$44</f>
        <v>0.15000000000000008</v>
      </c>
      <c r="AI48" s="5">
        <f>'N70'!H54-'N70'!$E$45</f>
        <v>0.13571428571428579</v>
      </c>
      <c r="AJ48" s="5">
        <f>'N70'!H54-'N70'!$E$46</f>
        <v>0.1214285714285715</v>
      </c>
      <c r="AK48" s="5">
        <f>'N70'!H54-'N70'!$E$47</f>
        <v>0.10714285714285721</v>
      </c>
      <c r="AL48" s="5">
        <f>'N70'!H54-'N70'!$E$48</f>
        <v>9.2857142857142916E-2</v>
      </c>
      <c r="AM48" s="5">
        <f>'N70'!H54-'N70'!$E$49</f>
        <v>7.8571428571428625E-2</v>
      </c>
      <c r="AN48" s="5">
        <f>'N70'!H54-'N70'!$E$50</f>
        <v>6.4285714285714335E-2</v>
      </c>
      <c r="AO48" s="5">
        <f>'N70'!H54-'N70'!$E$51</f>
        <v>5.0000000000000044E-2</v>
      </c>
      <c r="AP48" s="5">
        <f>'N70'!H54-'N70'!$E$52</f>
        <v>3.5714285714285809E-2</v>
      </c>
      <c r="AQ48" s="5">
        <f>'N70'!H54-'N70'!$E$53</f>
        <v>2.1428571428571463E-2</v>
      </c>
      <c r="AR48" s="5">
        <f>'N70'!H54-'N70'!$E$54</f>
        <v>7.1428571428572285E-3</v>
      </c>
      <c r="AS48" s="5">
        <f>'N70'!H54-'N70'!$E$55</f>
        <v>-7.1428571428571175E-3</v>
      </c>
      <c r="AT48" s="5">
        <f>'N70'!H54-'N70'!$E$56</f>
        <v>-2.1428571428571352E-2</v>
      </c>
      <c r="AU48" s="5">
        <f>'N70'!H54-'N70'!$E$57</f>
        <v>-3.5714285714285698E-2</v>
      </c>
      <c r="AV48" s="5">
        <f>'N70'!H54-'N70'!$E$58</f>
        <v>-4.9999999999999933E-2</v>
      </c>
      <c r="AW48" s="5">
        <f>'N70'!H54-'N70'!$E$59</f>
        <v>-6.4285714285714168E-2</v>
      </c>
      <c r="AX48" s="5">
        <f>'N70'!H54-'N70'!$E$60</f>
        <v>-7.8571428571428514E-2</v>
      </c>
      <c r="AY48" s="5">
        <f>'N70'!H54-'N70'!$E$61</f>
        <v>-9.2857142857142749E-2</v>
      </c>
      <c r="AZ48" s="5">
        <f>'N70'!H54-'N70'!$E$62</f>
        <v>-0.1071428571428571</v>
      </c>
      <c r="BA48" s="5">
        <f>'N70'!H54-'N70'!$E$63</f>
        <v>-0.12142857142857133</v>
      </c>
      <c r="BB48" s="5">
        <f>'N70'!H54-'N70'!$E$64</f>
        <v>-0.13571428571428568</v>
      </c>
      <c r="BC48" s="5">
        <f>'N70'!H54-'N70'!$E$65</f>
        <v>-0.14999999999999991</v>
      </c>
      <c r="BD48" s="5">
        <f>'N70'!H54-'N70'!$E$66</f>
        <v>-0.16428571428571426</v>
      </c>
      <c r="BE48" s="5">
        <f>'N70'!H54-'N70'!$E$67</f>
        <v>-0.17857142857142849</v>
      </c>
      <c r="BF48" s="5">
        <f>'N70'!H54-'N70'!$E$68</f>
        <v>-0.19285714285714284</v>
      </c>
      <c r="BG48" s="5">
        <f>'N70'!H54-'N70'!$E$69</f>
        <v>-0.20714285714285707</v>
      </c>
      <c r="BH48" s="5">
        <f>'N70'!H54-'N70'!$E$70</f>
        <v>-0.22142857142857131</v>
      </c>
      <c r="BI48" s="5">
        <f>'N70'!H54-'N70'!$E$71</f>
        <v>-0.23571428571428565</v>
      </c>
      <c r="BJ48" s="5">
        <f>'N70'!H54-'N70'!$E$72</f>
        <v>-0.24999999999999989</v>
      </c>
      <c r="BK48" s="5">
        <f>'N70'!H54-'N70'!$E$73</f>
        <v>-0.26428571428571423</v>
      </c>
      <c r="BL48" s="5">
        <f>'N70'!H54-'N70'!$E$74</f>
        <v>-0.27857142857142847</v>
      </c>
      <c r="BM48" s="5">
        <f>'N70'!H54-'N70'!$E$75</f>
        <v>-0.29285714285714282</v>
      </c>
      <c r="BN48" s="5">
        <f>'N70'!H54-'N70'!$E$76</f>
        <v>-0.30714285714285705</v>
      </c>
      <c r="BO48" s="5">
        <f>'N70'!H54-'N70'!$E$77</f>
        <v>-0.3214285714285714</v>
      </c>
      <c r="BP48" s="5">
        <f>'N70'!H54-'N70'!$E$78</f>
        <v>-0.33571428571428563</v>
      </c>
      <c r="BQ48" s="5">
        <f>'N70'!H54-'N70'!$E$79</f>
        <v>-0.35</v>
      </c>
      <c r="BR48" s="5">
        <f>'N70'!H54-'N70'!$E$80</f>
        <v>-0.36428571428571421</v>
      </c>
      <c r="BS48" s="5">
        <f>'N70'!H54-'N70'!$E$81</f>
        <v>-0.37857142857142845</v>
      </c>
      <c r="BT48" s="5">
        <f>'N70'!H54-'N70'!$E$82</f>
        <v>-0.39285714285714279</v>
      </c>
      <c r="BU48" s="5">
        <f>'N70'!H54-'N70'!$E$83</f>
        <v>-0.40714285714285703</v>
      </c>
      <c r="BV48" s="5">
        <f>'N70'!H54-'N70'!$E$84</f>
        <v>-0.42142857142857137</v>
      </c>
      <c r="BW48" s="5">
        <f>'N70'!H54-'N70'!$E$85</f>
        <v>-0.43571428571428561</v>
      </c>
      <c r="BX48" s="5">
        <v>-1</v>
      </c>
      <c r="BZ48">
        <v>39</v>
      </c>
      <c r="CA48" s="5">
        <f>N70_DESARROLLO!CE133+N70_DESARROLLO!H133</f>
        <v>-1.3100918360519409E-2</v>
      </c>
      <c r="CB48" s="5">
        <f>N70_DESARROLLO!CF133+N70_DESARROLLO!I133</f>
        <v>-2.6669828593211653E-2</v>
      </c>
      <c r="CC48" s="5">
        <f>N70_DESARROLLO!CG133+N70_DESARROLLO!J133</f>
        <v>-2.740068929380679E-2</v>
      </c>
      <c r="CD48" s="5">
        <f>N70_DESARROLLO!CH133+N70_DESARROLLO!K133</f>
        <v>-2.8172741151777925E-2</v>
      </c>
      <c r="CE48" s="5">
        <f>N70_DESARROLLO!CI133+N70_DESARROLLO!L133</f>
        <v>-2.8989567932960481E-2</v>
      </c>
      <c r="CF48" s="5">
        <f>N70_DESARROLLO!CJ133+N70_DESARROLLO!M133</f>
        <v>-2.9855181616026183E-2</v>
      </c>
      <c r="CG48" s="5">
        <f>N70_DESARROLLO!CK133+N70_DESARROLLO!N133</f>
        <v>-3.0774088329718841E-2</v>
      </c>
      <c r="CH48" s="5">
        <f>N70_DESARROLLO!CL133+N70_DESARROLLO!O133</f>
        <v>-3.1751366862663555E-2</v>
      </c>
      <c r="CI48" s="5">
        <f>N70_DESARROLLO!CM133+N70_DESARROLLO!P133</f>
        <v>-3.2792762635871164E-2</v>
      </c>
      <c r="CJ48" s="5">
        <f>N70_DESARROLLO!CN133+N70_DESARROLLO!Q133</f>
        <v>-3.3904800811321412E-2</v>
      </c>
      <c r="CK48" s="5">
        <f>N70_DESARROLLO!CO133+N70_DESARROLLO!R133</f>
        <v>-3.5094923244214482E-2</v>
      </c>
      <c r="CL48" s="5">
        <f>N70_DESARROLLO!CP133+N70_DESARROLLO!S133</f>
        <v>-3.6371655357440136E-2</v>
      </c>
      <c r="CM48" s="5">
        <f>N70_DESARROLLO!CQ133+N70_DESARROLLO!T133</f>
        <v>-3.7744810855697031E-2</v>
      </c>
      <c r="CN48" s="5">
        <f>N70_DESARROLLO!CR133+N70_DESARROLLO!U133</f>
        <v>-3.9225744685484232E-2</v>
      </c>
      <c r="CO48" s="5">
        <f>N70_DESARROLLO!CS133+N70_DESARROLLO!V133</f>
        <v>-4.0827668052526134E-2</v>
      </c>
      <c r="CP48" s="5">
        <f>N70_DESARROLLO!CT133+N70_DESARROLLO!W133</f>
        <v>-4.2566044021121408E-2</v>
      </c>
      <c r="CQ48" s="5">
        <f>N70_DESARROLLO!CU133+N70_DESARROLLO!X133</f>
        <v>-4.4459088822753734E-2</v>
      </c>
      <c r="CR48" s="5">
        <f>N70_DESARROLLO!CV133+N70_DESARROLLO!Y133</f>
        <v>-4.6528413377895705E-2</v>
      </c>
      <c r="CS48" s="5">
        <f>N70_DESARROLLO!CW133+N70_DESARROLLO!Z133</f>
        <v>-4.8799853039070418E-2</v>
      </c>
      <c r="CT48" s="5">
        <f>N70_DESARROLLO!CX133+N70_DESARROLLO!AA133</f>
        <v>-5.1304553326342539E-2</v>
      </c>
      <c r="CU48" s="5">
        <f>N70_DESARROLLO!CY133+N70_DESARROLLO!AB133</f>
        <v>-5.4080408838149574E-2</v>
      </c>
      <c r="CV48" s="5">
        <f>N70_DESARROLLO!CZ133+N70_DESARROLLO!AC133</f>
        <v>-5.7173997129077114E-2</v>
      </c>
      <c r="CW48" s="5">
        <f>N70_DESARROLLO!DA133+N70_DESARROLLO!AD133</f>
        <v>-6.0643218403522159E-2</v>
      </c>
      <c r="CX48" s="5">
        <f>N70_DESARROLLO!DB133+N70_DESARROLLO!AE133</f>
        <v>-6.4560961252483118E-2</v>
      </c>
      <c r="CY48" s="5">
        <f>N70_DESARROLLO!DC133+N70_DESARROLLO!AF133</f>
        <v>-6.902029235086915E-2</v>
      </c>
      <c r="CZ48" s="5">
        <f>N70_DESARROLLO!DD133+N70_DESARROLLO!AG133</f>
        <v>-7.4141965022337497E-2</v>
      </c>
      <c r="DA48" s="5">
        <f>N70_DESARROLLO!DE133+N70_DESARROLLO!AH133</f>
        <v>-8.0085554140359339E-2</v>
      </c>
      <c r="DB48" s="5">
        <f>N70_DESARROLLO!DF133+N70_DESARROLLO!AI133</f>
        <v>-8.7066442319333692E-2</v>
      </c>
      <c r="DC48" s="5">
        <f>N70_DESARROLLO!DG133+N70_DESARROLLO!AJ133</f>
        <v>-9.5382594982174163E-2</v>
      </c>
      <c r="DD48" s="5">
        <f>N70_DESARROLLO!DH133+N70_DESARROLLO!AK133</f>
        <v>-0.1054584185205778</v>
      </c>
      <c r="DE48" s="5">
        <f>N70_DESARROLLO!DI133+N70_DESARROLLO!AL133</f>
        <v>-0.11791996375048552</v>
      </c>
      <c r="DF48" s="5">
        <f>N70_DESARROLLO!DJ133+N70_DESARROLLO!AM133</f>
        <v>-0.13373123411929966</v>
      </c>
      <c r="DG48" s="5">
        <f>N70_DESARROLLO!DK133+N70_DESARROLLO!AN133</f>
        <v>-0.15445886474681281</v>
      </c>
      <c r="DH48" s="5">
        <f>N70_DESARROLLO!DL133+N70_DESARROLLO!AO133</f>
        <v>-0.18283342438756878</v>
      </c>
      <c r="DI48" s="5">
        <f>N70_DESARROLLO!DM133+N70_DESARROLLO!AP133</f>
        <v>-0.22408833054042687</v>
      </c>
      <c r="DJ48" s="5">
        <f>N70_DESARROLLO!DN133+N70_DESARROLLO!AQ133</f>
        <v>-0.28973434150573441</v>
      </c>
      <c r="DK48" s="5">
        <f>N70_DESARROLLO!DO133+N70_DESARROLLO!AR133</f>
        <v>-0.41141440075353952</v>
      </c>
      <c r="DL48" s="5">
        <f>N70_DESARROLLO!DP133+N70_DESARROLLO!AS133</f>
        <v>-0.72775792963608488</v>
      </c>
      <c r="DM48" s="5">
        <f>N70_DESARROLLO!DQ133+N70_DESARROLLO!AT133</f>
        <v>-1.6479184659605211</v>
      </c>
      <c r="DN48" s="5">
        <f>N70_DESARROLLO!DR133+N70_DESARROLLO!AU133</f>
        <v>1.6479184659605282</v>
      </c>
      <c r="DO48" s="5">
        <f>N70_DESARROLLO!DS133+N70_DESARROLLO!AV133</f>
        <v>0.72775792963608976</v>
      </c>
      <c r="DP48" s="5">
        <f>N70_DESARROLLO!DT133+N70_DESARROLLO!AW133</f>
        <v>0.41141440075354063</v>
      </c>
      <c r="DQ48" s="5">
        <f>N70_DESARROLLO!DU133+N70_DESARROLLO!AX133</f>
        <v>0.28973434150573008</v>
      </c>
      <c r="DR48" s="5">
        <f>N70_DESARROLLO!DV133+N70_DESARROLLO!AY133</f>
        <v>0.22408833054043509</v>
      </c>
      <c r="DS48" s="5">
        <f>N70_DESARROLLO!DW133+N70_DESARROLLO!AZ133</f>
        <v>0.18283342438756023</v>
      </c>
      <c r="DT48" s="5">
        <f>N70_DESARROLLO!DX133+N70_DESARROLLO!BA133</f>
        <v>0.15445886474682136</v>
      </c>
      <c r="DU48" s="5">
        <f>N70_DESARROLLO!DY133+N70_DESARROLLO!BB133</f>
        <v>0.13373123411929144</v>
      </c>
      <c r="DV48" s="5">
        <f>N70_DESARROLLO!DZ133+N70_DESARROLLO!BC133</f>
        <v>0.11791996375049496</v>
      </c>
      <c r="DW48" s="5">
        <f>N70_DESARROLLO!EA133+N70_DESARROLLO!BD133</f>
        <v>0.10545841852056947</v>
      </c>
      <c r="DX48" s="5">
        <f>N70_DESARROLLO!EB133+N70_DESARROLLO!BE133</f>
        <v>9.5382594982183821E-2</v>
      </c>
      <c r="DY48" s="5">
        <f>N70_DESARROLLO!EC133+N70_DESARROLLO!BF133</f>
        <v>8.7066442319328474E-2</v>
      </c>
      <c r="DZ48" s="5">
        <f>N70_DESARROLLO!ED133+N70_DESARROLLO!BG133</f>
        <v>8.0085554140362891E-2</v>
      </c>
      <c r="EA48" s="5">
        <f>N70_DESARROLLO!EE133+N70_DESARROLLO!BH133</f>
        <v>7.414196502232917E-2</v>
      </c>
      <c r="EB48" s="5">
        <f>N70_DESARROLLO!EF133+N70_DESARROLLO!BI133</f>
        <v>6.9020292350867596E-2</v>
      </c>
      <c r="EC48" s="5">
        <f>N70_DESARROLLO!EG133+N70_DESARROLLO!BJ133</f>
        <v>6.4560961252492888E-2</v>
      </c>
      <c r="ED48" s="5">
        <f>N70_DESARROLLO!EH133+N70_DESARROLLO!BK133</f>
        <v>6.0643218403512833E-2</v>
      </c>
      <c r="EE48" s="5">
        <f>N70_DESARROLLO!EI133+N70_DESARROLLO!BL133</f>
        <v>5.7173997129085885E-2</v>
      </c>
      <c r="EF48" s="5">
        <f>N70_DESARROLLO!EJ133+N70_DESARROLLO!BM133</f>
        <v>5.4080408838142358E-2</v>
      </c>
      <c r="EG48" s="5">
        <f>N70_DESARROLLO!EK133+N70_DESARROLLO!BN133</f>
        <v>5.1304553326349422E-2</v>
      </c>
      <c r="EH48" s="5">
        <f>N70_DESARROLLO!EL133+N70_DESARROLLO!BO133</f>
        <v>4.8799853039066088E-2</v>
      </c>
      <c r="EI48" s="5">
        <f>N70_DESARROLLO!EM133+N70_DESARROLLO!BP133</f>
        <v>4.6528413377898814E-2</v>
      </c>
      <c r="EJ48" s="5">
        <f>N70_DESARROLLO!EN133+N70_DESARROLLO!BQ133</f>
        <v>4.4459088822751736E-2</v>
      </c>
      <c r="EK48" s="5">
        <f>N70_DESARROLLO!EO133+N70_DESARROLLO!BR133</f>
        <v>4.256604402112385E-2</v>
      </c>
      <c r="EL48" s="5">
        <f>N70_DESARROLLO!EP133+N70_DESARROLLO!BS133</f>
        <v>4.0827668052522692E-2</v>
      </c>
      <c r="EM48" s="5">
        <f>N70_DESARROLLO!EQ133+N70_DESARROLLO!BT133</f>
        <v>3.9225744685481456E-2</v>
      </c>
      <c r="EN48" s="5">
        <f>N70_DESARROLLO!ER133+N70_DESARROLLO!BU133</f>
        <v>3.7744810855705579E-2</v>
      </c>
      <c r="EO48" s="5">
        <f>N70_DESARROLLO!ES133+N70_DESARROLLO!BV133</f>
        <v>3.6371655357429478E-2</v>
      </c>
      <c r="EP48" s="5">
        <f>N70_DESARROLLO!ET133+N70_DESARROLLO!BW133</f>
        <v>3.5094923244222587E-2</v>
      </c>
      <c r="EQ48" s="5">
        <f>N70_DESARROLLO!EU133+N70_DESARROLLO!BX133</f>
        <v>3.3904800811315194E-2</v>
      </c>
      <c r="ER48" s="5">
        <f>N70_DESARROLLO!EV133+N70_DESARROLLO!BY133</f>
        <v>57.170375836033102</v>
      </c>
      <c r="FC48">
        <v>39</v>
      </c>
      <c r="FD48" s="4">
        <v>1.9157721377411664E-4</v>
      </c>
      <c r="FE48" s="4">
        <v>3.873036634064065E-4</v>
      </c>
      <c r="FF48" s="4">
        <v>5.17425027557266E-4</v>
      </c>
      <c r="FG48" s="4">
        <v>6.3540565391190739E-4</v>
      </c>
      <c r="FH48" s="4">
        <v>7.4786993998433014E-4</v>
      </c>
      <c r="FI48" s="4">
        <v>8.5884904493025674E-4</v>
      </c>
      <c r="FJ48" s="4">
        <v>9.7073228180654563E-4</v>
      </c>
      <c r="FK48" s="4">
        <v>1.085242584717893E-3</v>
      </c>
      <c r="FL48" s="4">
        <v>1.2037867325440119E-3</v>
      </c>
      <c r="FM48" s="4">
        <v>1.3276324265718569E-3</v>
      </c>
      <c r="FN48" s="4">
        <v>1.4580107682208208E-3</v>
      </c>
      <c r="FO48" s="4">
        <v>1.596185706099363E-3</v>
      </c>
      <c r="FP48" s="4">
        <v>1.743509072051396E-3</v>
      </c>
      <c r="FQ48" s="4">
        <v>1.9014710556331663E-3</v>
      </c>
      <c r="FR48" s="4">
        <v>2.0717523586429067E-3</v>
      </c>
      <c r="FS48" s="4">
        <v>2.2562829550919305E-3</v>
      </c>
      <c r="FT48" s="4">
        <v>2.4573122914868231E-3</v>
      </c>
      <c r="FU48" s="4">
        <v>2.6774965405513954E-3</v>
      </c>
      <c r="FV48" s="4">
        <v>2.9200101511567575E-3</v>
      </c>
      <c r="FW48" s="4">
        <v>3.1886916398036896E-3</v>
      </c>
      <c r="FX48" s="4">
        <v>3.488237824033168E-3</v>
      </c>
      <c r="FY48" s="4">
        <v>3.8244673687716909E-3</v>
      </c>
      <c r="FZ48" s="4">
        <v>4.2046851075601011E-3</v>
      </c>
      <c r="GA48" s="4">
        <v>4.63819577050603E-3</v>
      </c>
      <c r="GB48" s="4">
        <v>5.1370443194877604E-3</v>
      </c>
      <c r="GC48" s="4">
        <v>5.7171090886150369E-3</v>
      </c>
      <c r="GD48" s="4">
        <v>6.399760936303729E-3</v>
      </c>
      <c r="GE48" s="4">
        <v>7.2144624157843354E-3</v>
      </c>
      <c r="GF48" s="4">
        <v>8.2029921799341571E-3</v>
      </c>
      <c r="GG48" s="4">
        <v>9.4266155464987553E-3</v>
      </c>
      <c r="GH48" s="4">
        <v>1.0978905785362071E-2</v>
      </c>
      <c r="GI48" s="4">
        <v>1.3010183145757789E-2</v>
      </c>
      <c r="GJ48" s="4">
        <v>1.5777825195590418E-2</v>
      </c>
      <c r="GK48" s="4">
        <v>1.9763355828189649E-2</v>
      </c>
      <c r="GL48" s="4">
        <v>2.5945416291537328E-2</v>
      </c>
      <c r="GM48" s="4">
        <v>3.7262679988593665E-2</v>
      </c>
      <c r="GN48" s="4">
        <v>5.4549409333157772E-2</v>
      </c>
      <c r="GO48" s="4">
        <v>0.24516394006425826</v>
      </c>
      <c r="GP48" s="4">
        <v>-0.25061153203914027</v>
      </c>
      <c r="GQ48" s="4">
        <v>-6.0000835232172173E-2</v>
      </c>
      <c r="GR48" s="4">
        <v>-4.2721793052552554E-2</v>
      </c>
      <c r="GS48" s="4">
        <v>-3.1416108476162698E-2</v>
      </c>
      <c r="GT48" s="4">
        <v>-2.5249577348305713E-2</v>
      </c>
      <c r="GU48" s="4">
        <v>-2.1283604241955429E-2</v>
      </c>
      <c r="GV48" s="4">
        <v>-1.8539645735926071E-2</v>
      </c>
      <c r="GW48" s="4">
        <v>-1.6536295604195162E-2</v>
      </c>
      <c r="GX48" s="4">
        <v>-1.5016313465005515E-2</v>
      </c>
      <c r="GY48" s="4">
        <v>-1.3829534879666381E-2</v>
      </c>
      <c r="GZ48" s="4">
        <v>-1.2882559135657752E-2</v>
      </c>
      <c r="HA48" s="4">
        <v>-1.2114306711935448E-2</v>
      </c>
      <c r="HB48" s="4">
        <v>-1.1483191825444857E-2</v>
      </c>
      <c r="HC48" s="4">
        <v>-1.0959941387060941E-2</v>
      </c>
      <c r="HD48" s="4">
        <v>-1.0523353108902707E-2</v>
      </c>
      <c r="HE48" s="4">
        <v>-1.0157667369566793E-2</v>
      </c>
      <c r="HF48" s="4">
        <v>-9.8508600743624514E-3</v>
      </c>
      <c r="HG48" s="4">
        <v>-9.5934694641536394E-3</v>
      </c>
      <c r="HH48" s="4">
        <v>-9.3777205360791992E-3</v>
      </c>
      <c r="HI48" s="4">
        <v>-9.1967785716525058E-3</v>
      </c>
      <c r="HJ48" s="4">
        <v>-9.0439743706947854E-3</v>
      </c>
      <c r="HK48" s="4">
        <v>-8.9117939858279222E-3</v>
      </c>
      <c r="HL48" s="4">
        <v>-8.7902719097785274E-3</v>
      </c>
      <c r="HM48" s="4">
        <v>-8.6640398692642805E-3</v>
      </c>
      <c r="HN48" s="4">
        <v>-8.5062874944608104E-3</v>
      </c>
      <c r="HO48" s="4">
        <v>-8.2652031644424202E-3</v>
      </c>
      <c r="HP48" s="4">
        <v>-7.8287828802028423E-3</v>
      </c>
      <c r="HQ48" s="4">
        <v>-6.9407648401617825E-3</v>
      </c>
      <c r="HR48" s="4">
        <v>-4.5953555269798042E-3</v>
      </c>
      <c r="HS48" s="4">
        <v>-1.5929851701166375E-3</v>
      </c>
      <c r="HT48" s="4">
        <v>8.3800963996986735E-2</v>
      </c>
      <c r="HU48" s="4">
        <v>-0.22963758235585385</v>
      </c>
    </row>
    <row r="49" spans="4:229" x14ac:dyDescent="0.25">
      <c r="D49" s="10">
        <v>40</v>
      </c>
      <c r="E49" s="5">
        <f>'N70'!E56-'N70'!E55</f>
        <v>1.4285714285714235E-2</v>
      </c>
      <c r="F49" s="5">
        <f>'N70'!H55-'N70'!$E$16</f>
        <v>0.56428571428571428</v>
      </c>
      <c r="G49" s="5">
        <f>'N70'!H55-'N70'!$E$17</f>
        <v>0.55000000000000004</v>
      </c>
      <c r="H49" s="5">
        <f>'N70'!H55-'N70'!$E$18</f>
        <v>0.5357142857142857</v>
      </c>
      <c r="I49" s="5">
        <f>'N70'!H55-'N70'!$E$19</f>
        <v>0.52142857142857146</v>
      </c>
      <c r="J49" s="5">
        <f>'N70'!H55-'N70'!$E$20</f>
        <v>0.50714285714285712</v>
      </c>
      <c r="K49" s="5">
        <f>'N70'!H55-'N70'!$E$21</f>
        <v>0.49285714285714288</v>
      </c>
      <c r="L49" s="5">
        <f>'N70'!H55-'N70'!$E$22</f>
        <v>0.47857142857142854</v>
      </c>
      <c r="M49" s="5">
        <f>'N70'!H55-'N70'!$E$23</f>
        <v>0.4642857142857143</v>
      </c>
      <c r="N49" s="5">
        <f>'N70'!H55-'N70'!$E$24</f>
        <v>0.45</v>
      </c>
      <c r="O49" s="5">
        <f>'N70'!H55-'N70'!$E$25</f>
        <v>0.43571428571428572</v>
      </c>
      <c r="P49" s="5">
        <f>'N70'!H55-'N70'!$E$26</f>
        <v>0.42142857142857143</v>
      </c>
      <c r="Q49" s="5">
        <f>'N70'!H55-'N70'!$E$27</f>
        <v>0.40714285714285714</v>
      </c>
      <c r="R49" s="5">
        <f>'N70'!H55-'N70'!$E$28</f>
        <v>0.39285714285714285</v>
      </c>
      <c r="S49" s="5">
        <f>'N70'!H55-'N70'!$E$29</f>
        <v>0.37857142857142856</v>
      </c>
      <c r="T49" s="5">
        <f>'N70'!H55-'N70'!$E$30</f>
        <v>0.36428571428571432</v>
      </c>
      <c r="U49" s="5">
        <f>'N70'!H55-'N70'!$E$31</f>
        <v>0.35</v>
      </c>
      <c r="V49" s="5">
        <f>'N70'!H55-'N70'!$E$32</f>
        <v>0.33571428571428574</v>
      </c>
      <c r="W49" s="5">
        <f>'N70'!H55-'N70'!$E$33</f>
        <v>0.3214285714285714</v>
      </c>
      <c r="X49" s="5">
        <f>'N70'!H55-'N70'!$E$34</f>
        <v>0.30714285714285716</v>
      </c>
      <c r="Y49" s="5">
        <f>'N70'!H55-'N70'!$E$35</f>
        <v>0.29285714285714287</v>
      </c>
      <c r="Z49" s="5">
        <f>'N70'!H55-'N70'!$E$36</f>
        <v>0.27857142857142858</v>
      </c>
      <c r="AA49" s="5">
        <f>'N70'!H55-'N70'!$E$37</f>
        <v>0.26428571428571429</v>
      </c>
      <c r="AB49" s="5">
        <f>'N70'!H55-'N70'!$E$38</f>
        <v>0.25</v>
      </c>
      <c r="AC49" s="5">
        <f>'N70'!H55-'N70'!$E$39</f>
        <v>0.23571428571428571</v>
      </c>
      <c r="AD49" s="5">
        <f>'N70'!H55-'N70'!$E$40</f>
        <v>0.22142857142857142</v>
      </c>
      <c r="AE49" s="5">
        <f>'N70'!H55-'N70'!$E$41</f>
        <v>0.20714285714285713</v>
      </c>
      <c r="AF49" s="5">
        <f>'N70'!H55-'N70'!$E$42</f>
        <v>0.19285714285714284</v>
      </c>
      <c r="AG49" s="5">
        <f>'N70'!H55-'N70'!$E$43</f>
        <v>0.1785714285714286</v>
      </c>
      <c r="AH49" s="5">
        <f>'N70'!H55-'N70'!$E$44</f>
        <v>0.16428571428571431</v>
      </c>
      <c r="AI49" s="5">
        <f>'N70'!H55-'N70'!$E$45</f>
        <v>0.15000000000000002</v>
      </c>
      <c r="AJ49" s="5">
        <f>'N70'!H55-'N70'!$E$46</f>
        <v>0.13571428571428573</v>
      </c>
      <c r="AK49" s="5">
        <f>'N70'!H55-'N70'!$E$47</f>
        <v>0.12142857142857144</v>
      </c>
      <c r="AL49" s="5">
        <f>'N70'!H55-'N70'!$E$48</f>
        <v>0.10714285714285715</v>
      </c>
      <c r="AM49" s="5">
        <f>'N70'!H55-'N70'!$E$49</f>
        <v>9.285714285714286E-2</v>
      </c>
      <c r="AN49" s="5">
        <f>'N70'!H55-'N70'!$E$50</f>
        <v>7.857142857142857E-2</v>
      </c>
      <c r="AO49" s="5">
        <f>'N70'!H55-'N70'!$E$51</f>
        <v>6.4285714285714279E-2</v>
      </c>
      <c r="AP49" s="5">
        <f>'N70'!H55-'N70'!$E$52</f>
        <v>5.0000000000000044E-2</v>
      </c>
      <c r="AQ49" s="5">
        <f>'N70'!H55-'N70'!$E$53</f>
        <v>3.5714285714285698E-2</v>
      </c>
      <c r="AR49" s="5">
        <f>'N70'!H55-'N70'!$E$54</f>
        <v>2.1428571428571463E-2</v>
      </c>
      <c r="AS49" s="5">
        <f>'N70'!H55-'N70'!$E$55</f>
        <v>7.1428571428571175E-3</v>
      </c>
      <c r="AT49" s="5">
        <f>'N70'!H55-'N70'!$E$56</f>
        <v>-7.1428571428571175E-3</v>
      </c>
      <c r="AU49" s="5">
        <f>'N70'!H55-'N70'!$E$57</f>
        <v>-2.1428571428571463E-2</v>
      </c>
      <c r="AV49" s="5">
        <f>'N70'!H55-'N70'!$E$58</f>
        <v>-3.5714285714285698E-2</v>
      </c>
      <c r="AW49" s="5">
        <f>'N70'!H55-'N70'!$E$59</f>
        <v>-4.9999999999999933E-2</v>
      </c>
      <c r="AX49" s="5">
        <f>'N70'!H55-'N70'!$E$60</f>
        <v>-6.4285714285714279E-2</v>
      </c>
      <c r="AY49" s="5">
        <f>'N70'!H55-'N70'!$E$61</f>
        <v>-7.8571428571428514E-2</v>
      </c>
      <c r="AZ49" s="5">
        <f>'N70'!H55-'N70'!$E$62</f>
        <v>-9.285714285714286E-2</v>
      </c>
      <c r="BA49" s="5">
        <f>'N70'!H55-'N70'!$E$63</f>
        <v>-0.1071428571428571</v>
      </c>
      <c r="BB49" s="5">
        <f>'N70'!H55-'N70'!$E$64</f>
        <v>-0.12142857142857144</v>
      </c>
      <c r="BC49" s="5">
        <f>'N70'!H55-'N70'!$E$65</f>
        <v>-0.13571428571428568</v>
      </c>
      <c r="BD49" s="5">
        <f>'N70'!H55-'N70'!$E$66</f>
        <v>-0.15000000000000002</v>
      </c>
      <c r="BE49" s="5">
        <f>'N70'!H55-'N70'!$E$67</f>
        <v>-0.16428571428571426</v>
      </c>
      <c r="BF49" s="5">
        <f>'N70'!H55-'N70'!$E$68</f>
        <v>-0.1785714285714286</v>
      </c>
      <c r="BG49" s="5">
        <f>'N70'!H55-'N70'!$E$69</f>
        <v>-0.19285714285714284</v>
      </c>
      <c r="BH49" s="5">
        <f>'N70'!H55-'N70'!$E$70</f>
        <v>-0.20714285714285707</v>
      </c>
      <c r="BI49" s="5">
        <f>'N70'!H55-'N70'!$E$71</f>
        <v>-0.22142857142857142</v>
      </c>
      <c r="BJ49" s="5">
        <f>'N70'!H55-'N70'!$E$72</f>
        <v>-0.23571428571428565</v>
      </c>
      <c r="BK49" s="5">
        <f>'N70'!H55-'N70'!$E$73</f>
        <v>-0.25</v>
      </c>
      <c r="BL49" s="5">
        <f>'N70'!H55-'N70'!$E$74</f>
        <v>-0.26428571428571423</v>
      </c>
      <c r="BM49" s="5">
        <f>'N70'!H55-'N70'!$E$75</f>
        <v>-0.27857142857142858</v>
      </c>
      <c r="BN49" s="5">
        <f>'N70'!H55-'N70'!$E$76</f>
        <v>-0.29285714285714282</v>
      </c>
      <c r="BO49" s="5">
        <f>'N70'!H55-'N70'!$E$77</f>
        <v>-0.30714285714285716</v>
      </c>
      <c r="BP49" s="5">
        <f>'N70'!H55-'N70'!$E$78</f>
        <v>-0.3214285714285714</v>
      </c>
      <c r="BQ49" s="5">
        <f>'N70'!H55-'N70'!$E$79</f>
        <v>-0.33571428571428574</v>
      </c>
      <c r="BR49" s="5">
        <f>'N70'!H55-'N70'!$E$80</f>
        <v>-0.35</v>
      </c>
      <c r="BS49" s="5">
        <f>'N70'!H55-'N70'!$E$81</f>
        <v>-0.36428571428571421</v>
      </c>
      <c r="BT49" s="5">
        <f>'N70'!H55-'N70'!$E$82</f>
        <v>-0.37857142857142856</v>
      </c>
      <c r="BU49" s="5">
        <f>'N70'!H55-'N70'!$E$83</f>
        <v>-0.39285714285714279</v>
      </c>
      <c r="BV49" s="5">
        <f>'N70'!H55-'N70'!$E$84</f>
        <v>-0.40714285714285714</v>
      </c>
      <c r="BW49" s="5">
        <f>'N70'!H55-'N70'!$E$85</f>
        <v>-0.42142857142857137</v>
      </c>
      <c r="BX49" s="5">
        <v>-1</v>
      </c>
      <c r="BZ49">
        <v>40</v>
      </c>
      <c r="CA49" s="5">
        <f>N70_DESARROLLO!CE134+N70_DESARROLLO!H134</f>
        <v>-1.2766401641831959E-2</v>
      </c>
      <c r="CB49" s="5">
        <f>N70_DESARROLLO!CF134+N70_DESARROLLO!I134</f>
        <v>-2.5976947844864928E-2</v>
      </c>
      <c r="CC49" s="5">
        <f>N70_DESARROLLO!CG134+N70_DESARROLLO!J134</f>
        <v>-2.6669828593224754E-2</v>
      </c>
      <c r="CD49" s="5">
        <f>N70_DESARROLLO!CH134+N70_DESARROLLO!K134</f>
        <v>-2.7400689293794245E-2</v>
      </c>
      <c r="CE49" s="5">
        <f>N70_DESARROLLO!CI134+N70_DESARROLLO!L134</f>
        <v>-2.8172741151794245E-2</v>
      </c>
      <c r="CF49" s="5">
        <f>N70_DESARROLLO!CJ134+N70_DESARROLLO!M134</f>
        <v>-2.8989567932944604E-2</v>
      </c>
      <c r="CG49" s="5">
        <f>N70_DESARROLLO!CK134+N70_DESARROLLO!N134</f>
        <v>-2.9855181616041393E-2</v>
      </c>
      <c r="CH49" s="5">
        <f>N70_DESARROLLO!CL134+N70_DESARROLLO!O134</f>
        <v>-3.0774088329707516E-2</v>
      </c>
      <c r="CI49" s="5">
        <f>N70_DESARROLLO!CM134+N70_DESARROLLO!P134</f>
        <v>-3.1751366862667441E-2</v>
      </c>
      <c r="CJ49" s="5">
        <f>N70_DESARROLLO!CN134+N70_DESARROLLO!Q134</f>
        <v>-3.2792762635871275E-2</v>
      </c>
      <c r="CK49" s="5">
        <f>N70_DESARROLLO!CO134+N70_DESARROLLO!R134</f>
        <v>-3.3904800811321523E-2</v>
      </c>
      <c r="CL49" s="5">
        <f>N70_DESARROLLO!CP134+N70_DESARROLLO!S134</f>
        <v>-3.5094923244214704E-2</v>
      </c>
      <c r="CM49" s="5">
        <f>N70_DESARROLLO!CQ134+N70_DESARROLLO!T134</f>
        <v>-3.6371655357440025E-2</v>
      </c>
      <c r="CN49" s="5">
        <f>N70_DESARROLLO!CR134+N70_DESARROLLO!U134</f>
        <v>-3.7744810855699584E-2</v>
      </c>
      <c r="CO49" s="5">
        <f>N70_DESARROLLO!CS134+N70_DESARROLLO!V134</f>
        <v>-3.9225744685472907E-2</v>
      </c>
      <c r="CP49" s="5">
        <f>N70_DESARROLLO!CT134+N70_DESARROLLO!W134</f>
        <v>-4.0827668052543231E-2</v>
      </c>
      <c r="CQ49" s="5">
        <f>N70_DESARROLLO!CU134+N70_DESARROLLO!X134</f>
        <v>-4.2566044021105198E-2</v>
      </c>
      <c r="CR49" s="5">
        <f>N70_DESARROLLO!CV134+N70_DESARROLLO!Y134</f>
        <v>-4.4459088822769166E-2</v>
      </c>
      <c r="CS49" s="5">
        <f>N70_DESARROLLO!CW134+N70_DESARROLLO!Z134</f>
        <v>-4.6528413377885602E-2</v>
      </c>
      <c r="CT49" s="5">
        <f>N70_DESARROLLO!CX134+N70_DESARROLLO!AA134</f>
        <v>-4.8799853039072971E-2</v>
      </c>
      <c r="CU49" s="5">
        <f>N70_DESARROLLO!CY134+N70_DESARROLLO!AB134</f>
        <v>-5.1304553326342761E-2</v>
      </c>
      <c r="CV49" s="5">
        <f>N70_DESARROLLO!CZ134+N70_DESARROLLO!AC134</f>
        <v>-5.4080408838149241E-2</v>
      </c>
      <c r="CW49" s="5">
        <f>N70_DESARROLLO!DA134+N70_DESARROLLO!AD134</f>
        <v>-5.7173997129077003E-2</v>
      </c>
      <c r="CX49" s="5">
        <f>N70_DESARROLLO!DB134+N70_DESARROLLO!AE134</f>
        <v>-6.0643218403522159E-2</v>
      </c>
      <c r="CY49" s="5">
        <f>N70_DESARROLLO!DC134+N70_DESARROLLO!AF134</f>
        <v>-6.4560961252483229E-2</v>
      </c>
      <c r="CZ49" s="5">
        <f>N70_DESARROLLO!DD134+N70_DESARROLLO!AG134</f>
        <v>-6.902029235086915E-2</v>
      </c>
      <c r="DA49" s="5">
        <f>N70_DESARROLLO!DE134+N70_DESARROLLO!AH134</f>
        <v>-7.4141965022340162E-2</v>
      </c>
      <c r="DB49" s="5">
        <f>N70_DESARROLLO!DF134+N70_DESARROLLO!AI134</f>
        <v>-8.0085554140353121E-2</v>
      </c>
      <c r="DC49" s="5">
        <f>N70_DESARROLLO!DG134+N70_DESARROLLO!AJ134</f>
        <v>-8.706644231933558E-2</v>
      </c>
      <c r="DD49" s="5">
        <f>N70_DESARROLLO!DH134+N70_DESARROLLO!AK134</f>
        <v>-9.5382594982175606E-2</v>
      </c>
      <c r="DE49" s="5">
        <f>N70_DESARROLLO!DI134+N70_DESARROLLO!AL134</f>
        <v>-0.1054584185205778</v>
      </c>
      <c r="DF49" s="5">
        <f>N70_DESARROLLO!DJ134+N70_DESARROLLO!AM134</f>
        <v>-0.11791996375048563</v>
      </c>
      <c r="DG49" s="5">
        <f>N70_DESARROLLO!DK134+N70_DESARROLLO!AN134</f>
        <v>-0.13373123411929888</v>
      </c>
      <c r="DH49" s="5">
        <f>N70_DESARROLLO!DL134+N70_DESARROLLO!AO134</f>
        <v>-0.15445886474681403</v>
      </c>
      <c r="DI49" s="5">
        <f>N70_DESARROLLO!DM134+N70_DESARROLLO!AP134</f>
        <v>-0.18283342438756844</v>
      </c>
      <c r="DJ49" s="5">
        <f>N70_DESARROLLO!DN134+N70_DESARROLLO!AQ134</f>
        <v>-0.22408833054042998</v>
      </c>
      <c r="DK49" s="5">
        <f>N70_DESARROLLO!DO134+N70_DESARROLLO!AR134</f>
        <v>-0.28973434150572408</v>
      </c>
      <c r="DL49" s="5">
        <f>N70_DESARROLLO!DP134+N70_DESARROLLO!AS134</f>
        <v>-0.41141440075355473</v>
      </c>
      <c r="DM49" s="5">
        <f>N70_DESARROLLO!DQ134+N70_DESARROLLO!AT134</f>
        <v>-0.72775792963607455</v>
      </c>
      <c r="DN49" s="5">
        <f>N70_DESARROLLO!DR134+N70_DESARROLLO!AU134</f>
        <v>-1.6479184659605444</v>
      </c>
      <c r="DO49" s="5">
        <f>N70_DESARROLLO!DS134+N70_DESARROLLO!AV134</f>
        <v>1.6479184659605444</v>
      </c>
      <c r="DP49" s="5">
        <f>N70_DESARROLLO!DT134+N70_DESARROLLO!AW134</f>
        <v>0.72775792963607433</v>
      </c>
      <c r="DQ49" s="5">
        <f>N70_DESARROLLO!DU134+N70_DESARROLLO!AX134</f>
        <v>0.41141440075354452</v>
      </c>
      <c r="DR49" s="5">
        <f>N70_DESARROLLO!DV134+N70_DESARROLLO!AY134</f>
        <v>0.28973434150574007</v>
      </c>
      <c r="DS49" s="5">
        <f>N70_DESARROLLO!DW134+N70_DESARROLLO!AZ134</f>
        <v>0.2240883305404191</v>
      </c>
      <c r="DT49" s="5">
        <f>N70_DESARROLLO!DX134+N70_DESARROLLO!BA134</f>
        <v>0.18283342438757677</v>
      </c>
      <c r="DU49" s="5">
        <f>N70_DESARROLLO!DY134+N70_DESARROLLO!BB134</f>
        <v>0.15445886474680548</v>
      </c>
      <c r="DV49" s="5">
        <f>N70_DESARROLLO!DZ134+N70_DESARROLLO!BC134</f>
        <v>0.1337312341193071</v>
      </c>
      <c r="DW49" s="5">
        <f>N70_DESARROLLO!EA134+N70_DESARROLLO!BD134</f>
        <v>0.11791996375047809</v>
      </c>
      <c r="DX49" s="5">
        <f>N70_DESARROLLO!EB134+N70_DESARROLLO!BE134</f>
        <v>0.10545841852058624</v>
      </c>
      <c r="DY49" s="5">
        <f>N70_DESARROLLO!EC134+N70_DESARROLLO!BF134</f>
        <v>9.5382594982166613E-2</v>
      </c>
      <c r="DZ49" s="5">
        <f>N70_DESARROLLO!ED134+N70_DESARROLLO!BG134</f>
        <v>8.7066442319344683E-2</v>
      </c>
      <c r="EA49" s="5">
        <f>N70_DESARROLLO!EE134+N70_DESARROLLO!BH134</f>
        <v>8.0085554140347681E-2</v>
      </c>
      <c r="EB49" s="5">
        <f>N70_DESARROLLO!EF134+N70_DESARROLLO!BI134</f>
        <v>7.4141965022336276E-2</v>
      </c>
      <c r="EC49" s="5">
        <f>N70_DESARROLLO!EG134+N70_DESARROLLO!BJ134</f>
        <v>6.902029235087781E-2</v>
      </c>
      <c r="ED49" s="5">
        <f>N70_DESARROLLO!EH134+N70_DESARROLLO!BK134</f>
        <v>6.4560961252473681E-2</v>
      </c>
      <c r="EE49" s="5">
        <f>N70_DESARROLLO!EI134+N70_DESARROLLO!BL134</f>
        <v>6.0643218403529819E-2</v>
      </c>
      <c r="EF49" s="5">
        <f>N70_DESARROLLO!EJ134+N70_DESARROLLO!BM134</f>
        <v>5.717399712907123E-2</v>
      </c>
      <c r="EG49" s="5">
        <f>N70_DESARROLLO!EK134+N70_DESARROLLO!BN134</f>
        <v>5.4080408838158012E-2</v>
      </c>
      <c r="EH49" s="5">
        <f>N70_DESARROLLO!EL134+N70_DESARROLLO!BO134</f>
        <v>5.130455332633288E-2</v>
      </c>
      <c r="EI49" s="5">
        <f>N70_DESARROLLO!EM134+N70_DESARROLLO!BP134</f>
        <v>4.8799853039083518E-2</v>
      </c>
      <c r="EJ49" s="5">
        <f>N70_DESARROLLO!EN134+N70_DESARROLLO!BQ134</f>
        <v>4.6528413377880606E-2</v>
      </c>
      <c r="EK49" s="5">
        <f>N70_DESARROLLO!EO134+N70_DESARROLLO!BR134</f>
        <v>4.4459088822771053E-2</v>
      </c>
      <c r="EL49" s="5">
        <f>N70_DESARROLLO!EP134+N70_DESARROLLO!BS134</f>
        <v>4.2566044021103977E-2</v>
      </c>
      <c r="EM49" s="5">
        <f>N70_DESARROLLO!EQ134+N70_DESARROLLO!BT134</f>
        <v>4.0827668052532351E-2</v>
      </c>
      <c r="EN49" s="5">
        <f>N70_DESARROLLO!ER134+N70_DESARROLLO!BU134</f>
        <v>3.9225744685487451E-2</v>
      </c>
      <c r="EO49" s="5">
        <f>N70_DESARROLLO!ES134+N70_DESARROLLO!BV134</f>
        <v>3.774481085568826E-2</v>
      </c>
      <c r="EP49" s="5">
        <f>N70_DESARROLLO!ET134+N70_DESARROLLO!BW134</f>
        <v>3.6371655357452903E-2</v>
      </c>
      <c r="EQ49" s="5">
        <f>N70_DESARROLLO!EU134+N70_DESARROLLO!BX134</f>
        <v>3.509492324420449E-2</v>
      </c>
      <c r="ER49" s="5">
        <f>N70_DESARROLLO!EV134+N70_DESARROLLO!BY134</f>
        <v>59.504493681312496</v>
      </c>
      <c r="FC49">
        <v>40</v>
      </c>
      <c r="FD49" s="4">
        <v>1.8156704720033272E-4</v>
      </c>
      <c r="FE49" s="4">
        <v>3.6684340279497386E-4</v>
      </c>
      <c r="FF49" s="4">
        <v>4.8972557411908581E-4</v>
      </c>
      <c r="FG49" s="4">
        <v>6.0091788349040374E-4</v>
      </c>
      <c r="FH49" s="4">
        <v>7.0668849062076355E-4</v>
      </c>
      <c r="FI49" s="4">
        <v>8.1083863457393846E-4</v>
      </c>
      <c r="FJ49" s="4">
        <v>9.1560576255758012E-4</v>
      </c>
      <c r="FK49" s="4">
        <v>1.0225883259972512E-3</v>
      </c>
      <c r="FL49" s="4">
        <v>1.1330769591747789E-3</v>
      </c>
      <c r="FM49" s="4">
        <v>1.2482209373533141E-3</v>
      </c>
      <c r="FN49" s="4">
        <v>1.3691233503179137E-3</v>
      </c>
      <c r="FO49" s="4">
        <v>1.4969043095489829E-3</v>
      </c>
      <c r="FP49" s="4">
        <v>1.6327496719656925E-3</v>
      </c>
      <c r="FQ49" s="4">
        <v>1.7779543637593753E-3</v>
      </c>
      <c r="FR49" s="4">
        <v>1.9339658567647958E-3</v>
      </c>
      <c r="FS49" s="4">
        <v>2.1024319463763979E-3</v>
      </c>
      <c r="FT49" s="4">
        <v>2.2852566675320065E-3</v>
      </c>
      <c r="FU49" s="4">
        <v>2.4846685854643812E-3</v>
      </c>
      <c r="FV49" s="4">
        <v>2.7033067300200496E-3</v>
      </c>
      <c r="FW49" s="4">
        <v>2.9443312107540814E-3</v>
      </c>
      <c r="FX49" s="4">
        <v>3.2115683305208005E-3</v>
      </c>
      <c r="FY49" s="4">
        <v>3.509704316798578E-3</v>
      </c>
      <c r="FZ49" s="4">
        <v>3.8445484886008375E-3</v>
      </c>
      <c r="GA49" s="4">
        <v>4.2233972852042398E-3</v>
      </c>
      <c r="GB49" s="4">
        <v>4.6555477640919983E-3</v>
      </c>
      <c r="GC49" s="4">
        <v>5.1530377515797967E-3</v>
      </c>
      <c r="GD49" s="4">
        <v>5.7317388319190251E-3</v>
      </c>
      <c r="GE49" s="4">
        <v>6.413015372426536E-3</v>
      </c>
      <c r="GF49" s="4">
        <v>7.2263235848520294E-3</v>
      </c>
      <c r="GG49" s="4">
        <v>8.2134358340747327E-3</v>
      </c>
      <c r="GH49" s="4">
        <v>9.4356111163234578E-3</v>
      </c>
      <c r="GI49" s="4">
        <v>1.0986416265771664E-2</v>
      </c>
      <c r="GJ49" s="4">
        <v>1.3016164905086006E-2</v>
      </c>
      <c r="GK49" s="4">
        <v>1.5782227710323792E-2</v>
      </c>
      <c r="GL49" s="4">
        <v>1.9766121344189251E-2</v>
      </c>
      <c r="GM49" s="4">
        <v>2.5946479411754982E-2</v>
      </c>
      <c r="GN49" s="4">
        <v>3.726196718680188E-2</v>
      </c>
      <c r="GO49" s="4">
        <v>5.454683839326676E-2</v>
      </c>
      <c r="GP49" s="4">
        <v>0.24515941944562045</v>
      </c>
      <c r="GQ49" s="4">
        <v>-0.2506181039080973</v>
      </c>
      <c r="GR49" s="4">
        <v>-6.000957072631289E-2</v>
      </c>
      <c r="GS49" s="4">
        <v>-4.2732816176724128E-2</v>
      </c>
      <c r="GT49" s="4">
        <v>-3.1429555725362143E-2</v>
      </c>
      <c r="GU49" s="4">
        <v>-2.5265598565357813E-2</v>
      </c>
      <c r="GV49" s="4">
        <v>-2.1302363413601349E-2</v>
      </c>
      <c r="GW49" s="4">
        <v>-1.8561321631656098E-2</v>
      </c>
      <c r="GX49" s="4">
        <v>-1.6561082105042074E-2</v>
      </c>
      <c r="GY49" s="4">
        <v>-1.5044419339874854E-2</v>
      </c>
      <c r="GZ49" s="4">
        <v>-1.3861182624334551E-2</v>
      </c>
      <c r="HA49" s="4">
        <v>-1.2917982262216469E-2</v>
      </c>
      <c r="HB49" s="4">
        <v>-1.2153744507627856E-2</v>
      </c>
      <c r="HC49" s="4">
        <v>-1.1526879994411786E-2</v>
      </c>
      <c r="HD49" s="4">
        <v>-1.1008095976159494E-2</v>
      </c>
      <c r="HE49" s="4">
        <v>-1.057614339435225E-2</v>
      </c>
      <c r="HF49" s="4">
        <v>-1.0215170375935828E-2</v>
      </c>
      <c r="HG49" s="4">
        <v>-9.9129840258692127E-3</v>
      </c>
      <c r="HH49" s="4">
        <v>-9.6598235803795635E-3</v>
      </c>
      <c r="HI49" s="4">
        <v>-9.4473897592168565E-3</v>
      </c>
      <c r="HJ49" s="4">
        <v>-9.2679245484580362E-3</v>
      </c>
      <c r="HK49" s="4">
        <v>-9.1131068220306425E-3</v>
      </c>
      <c r="HL49" s="4">
        <v>-8.9723879155571146E-3</v>
      </c>
      <c r="HM49" s="4">
        <v>-8.8300135978734672E-3</v>
      </c>
      <c r="HN49" s="4">
        <v>-8.6589930624003681E-3</v>
      </c>
      <c r="HO49" s="4">
        <v>-8.4076058799156129E-3</v>
      </c>
      <c r="HP49" s="4">
        <v>-7.964411863491257E-3</v>
      </c>
      <c r="HQ49" s="4">
        <v>-7.0746875558846704E-3</v>
      </c>
      <c r="HR49" s="4">
        <v>-4.7381793630694238E-3</v>
      </c>
      <c r="HS49" s="4">
        <v>-1.7548597829350431E-3</v>
      </c>
      <c r="HT49" s="4">
        <v>8.3240454054623436E-2</v>
      </c>
      <c r="HU49" s="4">
        <v>-0.2289673131195433</v>
      </c>
    </row>
    <row r="50" spans="4:229" x14ac:dyDescent="0.25">
      <c r="D50" s="10">
        <v>41</v>
      </c>
      <c r="E50" s="5">
        <f>'N70'!E57-'N70'!E56</f>
        <v>1.4285714285714346E-2</v>
      </c>
      <c r="F50" s="5">
        <f>'N70'!H56-'N70'!$E$16</f>
        <v>0.57857142857142851</v>
      </c>
      <c r="G50" s="5">
        <f>'N70'!H56-'N70'!$E$17</f>
        <v>0.56428571428571428</v>
      </c>
      <c r="H50" s="5">
        <f>'N70'!H56-'N70'!$E$18</f>
        <v>0.54999999999999993</v>
      </c>
      <c r="I50" s="5">
        <f>'N70'!H56-'N70'!$E$19</f>
        <v>0.5357142857142857</v>
      </c>
      <c r="J50" s="5">
        <f>'N70'!H56-'N70'!$E$20</f>
        <v>0.52142857142857135</v>
      </c>
      <c r="K50" s="5">
        <f>'N70'!H56-'N70'!$E$21</f>
        <v>0.50714285714285712</v>
      </c>
      <c r="L50" s="5">
        <f>'N70'!H56-'N70'!$E$22</f>
        <v>0.49285714285714277</v>
      </c>
      <c r="M50" s="5">
        <f>'N70'!H56-'N70'!$E$23</f>
        <v>0.47857142857142854</v>
      </c>
      <c r="N50" s="5">
        <f>'N70'!H56-'N70'!$E$24</f>
        <v>0.46428571428571425</v>
      </c>
      <c r="O50" s="5">
        <f>'N70'!H56-'N70'!$E$25</f>
        <v>0.44999999999999996</v>
      </c>
      <c r="P50" s="5">
        <f>'N70'!H56-'N70'!$E$26</f>
        <v>0.43571428571428567</v>
      </c>
      <c r="Q50" s="5">
        <f>'N70'!H56-'N70'!$E$27</f>
        <v>0.42142857142857137</v>
      </c>
      <c r="R50" s="5">
        <f>'N70'!H56-'N70'!$E$28</f>
        <v>0.40714285714285708</v>
      </c>
      <c r="S50" s="5">
        <f>'N70'!H56-'N70'!$E$29</f>
        <v>0.39285714285714279</v>
      </c>
      <c r="T50" s="5">
        <f>'N70'!H56-'N70'!$E$30</f>
        <v>0.37857142857142856</v>
      </c>
      <c r="U50" s="5">
        <f>'N70'!H56-'N70'!$E$31</f>
        <v>0.36428571428571421</v>
      </c>
      <c r="V50" s="5">
        <f>'N70'!H56-'N70'!$E$32</f>
        <v>0.35</v>
      </c>
      <c r="W50" s="5">
        <f>'N70'!H56-'N70'!$E$33</f>
        <v>0.33571428571428563</v>
      </c>
      <c r="X50" s="5">
        <f>'N70'!H56-'N70'!$E$34</f>
        <v>0.3214285714285714</v>
      </c>
      <c r="Y50" s="5">
        <f>'N70'!H56-'N70'!$E$35</f>
        <v>0.30714285714285711</v>
      </c>
      <c r="Z50" s="5">
        <f>'N70'!H56-'N70'!$E$36</f>
        <v>0.29285714285714282</v>
      </c>
      <c r="AA50" s="5">
        <f>'N70'!H56-'N70'!$E$37</f>
        <v>0.27857142857142853</v>
      </c>
      <c r="AB50" s="5">
        <f>'N70'!H56-'N70'!$E$38</f>
        <v>0.26428571428571423</v>
      </c>
      <c r="AC50" s="5">
        <f>'N70'!H56-'N70'!$E$39</f>
        <v>0.24999999999999994</v>
      </c>
      <c r="AD50" s="5">
        <f>'N70'!H56-'N70'!$E$40</f>
        <v>0.23571428571428565</v>
      </c>
      <c r="AE50" s="5">
        <f>'N70'!H56-'N70'!$E$41</f>
        <v>0.22142857142857136</v>
      </c>
      <c r="AF50" s="5">
        <f>'N70'!H56-'N70'!$E$42</f>
        <v>0.20714285714285707</v>
      </c>
      <c r="AG50" s="5">
        <f>'N70'!H56-'N70'!$E$43</f>
        <v>0.19285714285714284</v>
      </c>
      <c r="AH50" s="5">
        <f>'N70'!H56-'N70'!$E$44</f>
        <v>0.17857142857142855</v>
      </c>
      <c r="AI50" s="5">
        <f>'N70'!H56-'N70'!$E$45</f>
        <v>0.16428571428571426</v>
      </c>
      <c r="AJ50" s="5">
        <f>'N70'!H56-'N70'!$E$46</f>
        <v>0.14999999999999997</v>
      </c>
      <c r="AK50" s="5">
        <f>'N70'!H56-'N70'!$E$47</f>
        <v>0.13571428571428568</v>
      </c>
      <c r="AL50" s="5">
        <f>'N70'!H56-'N70'!$E$48</f>
        <v>0.12142857142857139</v>
      </c>
      <c r="AM50" s="5">
        <f>'N70'!H56-'N70'!$E$49</f>
        <v>0.1071428571428571</v>
      </c>
      <c r="AN50" s="5">
        <f>'N70'!H56-'N70'!$E$50</f>
        <v>9.2857142857142805E-2</v>
      </c>
      <c r="AO50" s="5">
        <f>'N70'!H56-'N70'!$E$51</f>
        <v>7.8571428571428514E-2</v>
      </c>
      <c r="AP50" s="5">
        <f>'N70'!H56-'N70'!$E$52</f>
        <v>6.4285714285714279E-2</v>
      </c>
      <c r="AQ50" s="5">
        <f>'N70'!H56-'N70'!$E$53</f>
        <v>4.9999999999999933E-2</v>
      </c>
      <c r="AR50" s="5">
        <f>'N70'!H56-'N70'!$E$54</f>
        <v>3.5714285714285698E-2</v>
      </c>
      <c r="AS50" s="5">
        <f>'N70'!H56-'N70'!$E$55</f>
        <v>2.1428571428571352E-2</v>
      </c>
      <c r="AT50" s="5">
        <f>'N70'!H56-'N70'!$E$56</f>
        <v>7.1428571428571175E-3</v>
      </c>
      <c r="AU50" s="5">
        <f>'N70'!H56-'N70'!$E$57</f>
        <v>-7.1428571428572285E-3</v>
      </c>
      <c r="AV50" s="5">
        <f>'N70'!H56-'N70'!$E$58</f>
        <v>-2.1428571428571463E-2</v>
      </c>
      <c r="AW50" s="5">
        <f>'N70'!H56-'N70'!$E$59</f>
        <v>-3.5714285714285698E-2</v>
      </c>
      <c r="AX50" s="5">
        <f>'N70'!H56-'N70'!$E$60</f>
        <v>-5.0000000000000044E-2</v>
      </c>
      <c r="AY50" s="5">
        <f>'N70'!H56-'N70'!$E$61</f>
        <v>-6.4285714285714279E-2</v>
      </c>
      <c r="AZ50" s="5">
        <f>'N70'!H56-'N70'!$E$62</f>
        <v>-7.8571428571428625E-2</v>
      </c>
      <c r="BA50" s="5">
        <f>'N70'!H56-'N70'!$E$63</f>
        <v>-9.285714285714286E-2</v>
      </c>
      <c r="BB50" s="5">
        <f>'N70'!H56-'N70'!$E$64</f>
        <v>-0.10714285714285721</v>
      </c>
      <c r="BC50" s="5">
        <f>'N70'!H56-'N70'!$E$65</f>
        <v>-0.12142857142857144</v>
      </c>
      <c r="BD50" s="5">
        <f>'N70'!H56-'N70'!$E$66</f>
        <v>-0.13571428571428579</v>
      </c>
      <c r="BE50" s="5">
        <f>'N70'!H56-'N70'!$E$67</f>
        <v>-0.15000000000000002</v>
      </c>
      <c r="BF50" s="5">
        <f>'N70'!H56-'N70'!$E$68</f>
        <v>-0.16428571428571437</v>
      </c>
      <c r="BG50" s="5">
        <f>'N70'!H56-'N70'!$E$69</f>
        <v>-0.1785714285714286</v>
      </c>
      <c r="BH50" s="5">
        <f>'N70'!H56-'N70'!$E$70</f>
        <v>-0.19285714285714284</v>
      </c>
      <c r="BI50" s="5">
        <f>'N70'!H56-'N70'!$E$71</f>
        <v>-0.20714285714285718</v>
      </c>
      <c r="BJ50" s="5">
        <f>'N70'!H56-'N70'!$E$72</f>
        <v>-0.22142857142857142</v>
      </c>
      <c r="BK50" s="5">
        <f>'N70'!H56-'N70'!$E$73</f>
        <v>-0.23571428571428577</v>
      </c>
      <c r="BL50" s="5">
        <f>'N70'!H56-'N70'!$E$74</f>
        <v>-0.25</v>
      </c>
      <c r="BM50" s="5">
        <f>'N70'!H56-'N70'!$E$75</f>
        <v>-0.26428571428571435</v>
      </c>
      <c r="BN50" s="5">
        <f>'N70'!H56-'N70'!$E$76</f>
        <v>-0.27857142857142858</v>
      </c>
      <c r="BO50" s="5">
        <f>'N70'!H56-'N70'!$E$77</f>
        <v>-0.29285714285714293</v>
      </c>
      <c r="BP50" s="5">
        <f>'N70'!H56-'N70'!$E$78</f>
        <v>-0.30714285714285716</v>
      </c>
      <c r="BQ50" s="5">
        <f>'N70'!H56-'N70'!$E$79</f>
        <v>-0.32142857142857151</v>
      </c>
      <c r="BR50" s="5">
        <f>'N70'!H56-'N70'!$E$80</f>
        <v>-0.33571428571428574</v>
      </c>
      <c r="BS50" s="5">
        <f>'N70'!H56-'N70'!$E$81</f>
        <v>-0.35</v>
      </c>
      <c r="BT50" s="5">
        <f>'N70'!H56-'N70'!$E$82</f>
        <v>-0.36428571428571432</v>
      </c>
      <c r="BU50" s="5">
        <f>'N70'!H56-'N70'!$E$83</f>
        <v>-0.37857142857142856</v>
      </c>
      <c r="BV50" s="5">
        <f>'N70'!H56-'N70'!$E$84</f>
        <v>-0.3928571428571429</v>
      </c>
      <c r="BW50" s="5">
        <f>'N70'!H56-'N70'!$E$85</f>
        <v>-0.40714285714285714</v>
      </c>
      <c r="BX50" s="5">
        <v>-1</v>
      </c>
      <c r="BZ50">
        <v>41</v>
      </c>
      <c r="CA50" s="5">
        <f>N70_DESARROLLO!CE135+N70_DESARROLLO!H135</f>
        <v>-1.2448543134993217E-2</v>
      </c>
      <c r="CB50" s="5">
        <f>N70_DESARROLLO!CF135+N70_DESARROLLO!I135</f>
        <v>-2.5319161212273178E-2</v>
      </c>
      <c r="CC50" s="5">
        <f>N70_DESARROLLO!CG135+N70_DESARROLLO!J135</f>
        <v>-2.5976947844882692E-2</v>
      </c>
      <c r="CD50" s="5">
        <f>N70_DESARROLLO!CH135+N70_DESARROLLO!K135</f>
        <v>-2.6669828593211653E-2</v>
      </c>
      <c r="CE50" s="5">
        <f>N70_DESARROLLO!CI135+N70_DESARROLLO!L135</f>
        <v>-2.740068929380679E-2</v>
      </c>
      <c r="CF50" s="5">
        <f>N70_DESARROLLO!CJ135+N70_DESARROLLO!M135</f>
        <v>-2.8172741151778147E-2</v>
      </c>
      <c r="CG50" s="5">
        <f>N70_DESARROLLO!CK135+N70_DESARROLLO!N135</f>
        <v>-2.8989567932960481E-2</v>
      </c>
      <c r="CH50" s="5">
        <f>N70_DESARROLLO!CL135+N70_DESARROLLO!O135</f>
        <v>-2.9855181616029847E-2</v>
      </c>
      <c r="CI50" s="5">
        <f>N70_DESARROLLO!CM135+N70_DESARROLLO!P135</f>
        <v>-3.0774088329711402E-2</v>
      </c>
      <c r="CJ50" s="5">
        <f>N70_DESARROLLO!CN135+N70_DESARROLLO!Q135</f>
        <v>-3.1751366862667441E-2</v>
      </c>
      <c r="CK50" s="5">
        <f>N70_DESARROLLO!CO135+N70_DESARROLLO!R135</f>
        <v>-3.2792762635871164E-2</v>
      </c>
      <c r="CL50" s="5">
        <f>N70_DESARROLLO!CP135+N70_DESARROLLO!S135</f>
        <v>-3.3904800811321412E-2</v>
      </c>
      <c r="CM50" s="5">
        <f>N70_DESARROLLO!CQ135+N70_DESARROLLO!T135</f>
        <v>-3.5094923244214593E-2</v>
      </c>
      <c r="CN50" s="5">
        <f>N70_DESARROLLO!CR135+N70_DESARROLLO!U135</f>
        <v>-3.6371655357443133E-2</v>
      </c>
      <c r="CO50" s="5">
        <f>N70_DESARROLLO!CS135+N70_DESARROLLO!V135</f>
        <v>-3.7744810855687927E-2</v>
      </c>
      <c r="CP50" s="5">
        <f>N70_DESARROLLO!CT135+N70_DESARROLLO!W135</f>
        <v>-3.922574468549056E-2</v>
      </c>
      <c r="CQ50" s="5">
        <f>N70_DESARROLLO!CU135+N70_DESARROLLO!X135</f>
        <v>-4.0827668052526023E-2</v>
      </c>
      <c r="CR50" s="5">
        <f>N70_DESARROLLO!CV135+N70_DESARROLLO!Y135</f>
        <v>-4.2566044021121519E-2</v>
      </c>
      <c r="CS50" s="5">
        <f>N70_DESARROLLO!CW135+N70_DESARROLLO!Z135</f>
        <v>-4.4459088822756065E-2</v>
      </c>
      <c r="CT50" s="5">
        <f>N70_DESARROLLO!CX135+N70_DESARROLLO!AA135</f>
        <v>-4.652841337789082E-2</v>
      </c>
      <c r="CU50" s="5">
        <f>N70_DESARROLLO!CY135+N70_DESARROLLO!AB135</f>
        <v>-4.8799853039073193E-2</v>
      </c>
      <c r="CV50" s="5">
        <f>N70_DESARROLLO!CZ135+N70_DESARROLLO!AC135</f>
        <v>-5.1304553326342761E-2</v>
      </c>
      <c r="CW50" s="5">
        <f>N70_DESARROLLO!DA135+N70_DESARROLLO!AD135</f>
        <v>-5.4080408838149241E-2</v>
      </c>
      <c r="CX50" s="5">
        <f>N70_DESARROLLO!DB135+N70_DESARROLLO!AE135</f>
        <v>-5.7173997129077003E-2</v>
      </c>
      <c r="CY50" s="5">
        <f>N70_DESARROLLO!DC135+N70_DESARROLLO!AF135</f>
        <v>-6.0643218403522159E-2</v>
      </c>
      <c r="CZ50" s="5">
        <f>N70_DESARROLLO!DD135+N70_DESARROLLO!AG135</f>
        <v>-6.4560961252483229E-2</v>
      </c>
      <c r="DA50" s="5">
        <f>N70_DESARROLLO!DE135+N70_DESARROLLO!AH135</f>
        <v>-6.9020292350872037E-2</v>
      </c>
      <c r="DB50" s="5">
        <f>N70_DESARROLLO!DF135+N70_DESARROLLO!AI135</f>
        <v>-7.4141965022333833E-2</v>
      </c>
      <c r="DC50" s="5">
        <f>N70_DESARROLLO!DG135+N70_DESARROLLO!AJ135</f>
        <v>-8.0085554140355564E-2</v>
      </c>
      <c r="DD50" s="5">
        <f>N70_DESARROLLO!DH135+N70_DESARROLLO!AK135</f>
        <v>-8.7066442319337245E-2</v>
      </c>
      <c r="DE50" s="5">
        <f>N70_DESARROLLO!DI135+N70_DESARROLLO!AL135</f>
        <v>-9.5382594982174607E-2</v>
      </c>
      <c r="DF50" s="5">
        <f>N70_DESARROLLO!DJ135+N70_DESARROLLO!AM135</f>
        <v>-0.10545841852057825</v>
      </c>
      <c r="DG50" s="5">
        <f>N70_DESARROLLO!DK135+N70_DESARROLLO!AN135</f>
        <v>-0.11791996375048674</v>
      </c>
      <c r="DH50" s="5">
        <f>N70_DESARROLLO!DL135+N70_DESARROLLO!AO135</f>
        <v>-0.13373123411929877</v>
      </c>
      <c r="DI50" s="5">
        <f>N70_DESARROLLO!DM135+N70_DESARROLLO!AP135</f>
        <v>-0.15445886474681347</v>
      </c>
      <c r="DJ50" s="5">
        <f>N70_DESARROLLO!DN135+N70_DESARROLLO!AQ135</f>
        <v>-0.18283342438757177</v>
      </c>
      <c r="DK50" s="5">
        <f>N70_DESARROLLO!DO135+N70_DESARROLLO!AR135</f>
        <v>-0.22408833054041921</v>
      </c>
      <c r="DL50" s="5">
        <f>N70_DESARROLLO!DP135+N70_DESARROLLO!AS135</f>
        <v>-0.28973434150574007</v>
      </c>
      <c r="DM50" s="5">
        <f>N70_DESARROLLO!DQ135+N70_DESARROLLO!AT135</f>
        <v>-0.41141440075354019</v>
      </c>
      <c r="DN50" s="5">
        <f>N70_DESARROLLO!DR135+N70_DESARROLLO!AU135</f>
        <v>-0.72775792963608976</v>
      </c>
      <c r="DO50" s="5">
        <f>N70_DESARROLLO!DS135+N70_DESARROLLO!AV135</f>
        <v>-1.6479184659605282</v>
      </c>
      <c r="DP50" s="5">
        <f>N70_DESARROLLO!DT135+N70_DESARROLLO!AW135</f>
        <v>1.6479184659605211</v>
      </c>
      <c r="DQ50" s="5">
        <f>N70_DESARROLLO!DU135+N70_DESARROLLO!AX135</f>
        <v>0.72775792963607355</v>
      </c>
      <c r="DR50" s="5">
        <f>N70_DESARROLLO!DV135+N70_DESARROLLO!AY135</f>
        <v>0.41141440075355495</v>
      </c>
      <c r="DS50" s="5">
        <f>N70_DESARROLLO!DW135+N70_DESARROLLO!AZ135</f>
        <v>0.2897343415057243</v>
      </c>
      <c r="DT50" s="5">
        <f>N70_DESARROLLO!DX135+N70_DESARROLLO!BA135</f>
        <v>0.22408833054043464</v>
      </c>
      <c r="DU50" s="5">
        <f>N70_DESARROLLO!DY135+N70_DESARROLLO!BB135</f>
        <v>0.18283342438756045</v>
      </c>
      <c r="DV50" s="5">
        <f>N70_DESARROLLO!DZ135+N70_DESARROLLO!BC135</f>
        <v>0.1544588647468208</v>
      </c>
      <c r="DW50" s="5">
        <f>N70_DESARROLLO!EA135+N70_DESARROLLO!BD135</f>
        <v>0.13373123411929266</v>
      </c>
      <c r="DX50" s="5">
        <f>N70_DESARROLLO!EB135+N70_DESARROLLO!BE135</f>
        <v>0.11791996375049285</v>
      </c>
      <c r="DY50" s="5">
        <f>N70_DESARROLLO!EC135+N70_DESARROLLO!BF135</f>
        <v>0.10545841852057103</v>
      </c>
      <c r="DZ50" s="5">
        <f>N70_DESARROLLO!ED135+N70_DESARROLLO!BG135</f>
        <v>9.5382594982181268E-2</v>
      </c>
      <c r="EA50" s="5">
        <f>N70_DESARROLLO!EE135+N70_DESARROLLO!BH135</f>
        <v>8.7066442319330473E-2</v>
      </c>
      <c r="EB50" s="5">
        <f>N70_DESARROLLO!EF135+N70_DESARROLLO!BI135</f>
        <v>8.008555414035412E-2</v>
      </c>
      <c r="EC50" s="5">
        <f>N70_DESARROLLO!EG135+N70_DESARROLLO!BJ135</f>
        <v>7.4141965022345824E-2</v>
      </c>
      <c r="ED50" s="5">
        <f>N70_DESARROLLO!EH135+N70_DESARROLLO!BK135</f>
        <v>6.9020292350860046E-2</v>
      </c>
      <c r="EE50" s="5">
        <f>N70_DESARROLLO!EI135+N70_DESARROLLO!BL135</f>
        <v>6.4560961252489446E-2</v>
      </c>
      <c r="EF50" s="5">
        <f>N70_DESARROLLO!EJ135+N70_DESARROLLO!BM135</f>
        <v>6.0643218403515942E-2</v>
      </c>
      <c r="EG50" s="5">
        <f>N70_DESARROLLO!EK135+N70_DESARROLLO!BN135</f>
        <v>5.7173997129085885E-2</v>
      </c>
      <c r="EH50" s="5">
        <f>N70_DESARROLLO!EL135+N70_DESARROLLO!BO135</f>
        <v>5.4080408838142358E-2</v>
      </c>
      <c r="EI50" s="5">
        <f>N70_DESARROLLO!EM135+N70_DESARROLLO!BP135</f>
        <v>5.1304553326349533E-2</v>
      </c>
      <c r="EJ50" s="5">
        <f>N70_DESARROLLO!EN135+N70_DESARROLLO!BQ135</f>
        <v>4.8799853039066199E-2</v>
      </c>
      <c r="EK50" s="5">
        <f>N70_DESARROLLO!EO135+N70_DESARROLLO!BR135</f>
        <v>4.652841337789404E-2</v>
      </c>
      <c r="EL50" s="5">
        <f>N70_DESARROLLO!EP135+N70_DESARROLLO!BS135</f>
        <v>4.4459088822756176E-2</v>
      </c>
      <c r="EM50" s="5">
        <f>N70_DESARROLLO!EQ135+N70_DESARROLLO!BT135</f>
        <v>4.2566044021113303E-2</v>
      </c>
      <c r="EN50" s="5">
        <f>N70_DESARROLLO!ER135+N70_DESARROLLO!BU135</f>
        <v>4.0827668052543675E-2</v>
      </c>
      <c r="EO50" s="5">
        <f>N70_DESARROLLO!ES135+N70_DESARROLLO!BV135</f>
        <v>3.9225744685471353E-2</v>
      </c>
      <c r="EP50" s="5">
        <f>N70_DESARROLLO!ET135+N70_DESARROLLO!BW135</f>
        <v>3.7744810855705468E-2</v>
      </c>
      <c r="EQ50" s="5">
        <f>N70_DESARROLLO!EU135+N70_DESARROLLO!BX135</f>
        <v>3.6371655357429256E-2</v>
      </c>
      <c r="ER50" s="5">
        <f>N70_DESARROLLO!EV135+N70_DESARROLLO!BY135</f>
        <v>61.919134801058313</v>
      </c>
      <c r="FC50">
        <v>41</v>
      </c>
      <c r="FD50" s="4">
        <v>1.7217517472035019E-4</v>
      </c>
      <c r="FE50" s="4">
        <v>3.4766736494302574E-4</v>
      </c>
      <c r="FF50" s="4">
        <v>4.6379867177608232E-4</v>
      </c>
      <c r="FG50" s="4">
        <v>5.6868166962472874E-4</v>
      </c>
      <c r="FH50" s="4">
        <v>6.6825215159746303E-4</v>
      </c>
      <c r="FI50" s="4">
        <v>7.6609856832303381E-4</v>
      </c>
      <c r="FJ50" s="4">
        <v>8.643198277181192E-4</v>
      </c>
      <c r="FK50" s="4">
        <v>9.6440262560617933E-4</v>
      </c>
      <c r="FL50" s="4">
        <v>1.0675349548389058E-3</v>
      </c>
      <c r="FM50" s="4">
        <v>1.174762896947634E-3</v>
      </c>
      <c r="FN50" s="4">
        <v>1.287079350296421E-3</v>
      </c>
      <c r="FO50" s="4">
        <v>1.4054819306515542E-3</v>
      </c>
      <c r="FP50" s="4">
        <v>1.5310165072305198E-3</v>
      </c>
      <c r="FQ50" s="4">
        <v>1.6648148077316391E-3</v>
      </c>
      <c r="FR50" s="4">
        <v>1.808131097916887E-3</v>
      </c>
      <c r="FS50" s="4">
        <v>1.962381502115495E-3</v>
      </c>
      <c r="FT50" s="4">
        <v>2.129189080163929E-3</v>
      </c>
      <c r="FU50" s="4">
        <v>2.3104379295057782E-3</v>
      </c>
      <c r="FV50" s="4">
        <v>2.5083402222892295E-3</v>
      </c>
      <c r="FW50" s="4">
        <v>2.7255212511170567E-3</v>
      </c>
      <c r="FX50" s="4">
        <v>2.9651293994656983E-3</v>
      </c>
      <c r="FY50" s="4">
        <v>3.2309807774766244E-3</v>
      </c>
      <c r="FZ50" s="4">
        <v>3.5277525918495345E-3</v>
      </c>
      <c r="GA50" s="4">
        <v>3.8612460337784406E-3</v>
      </c>
      <c r="GB50" s="4">
        <v>4.2387500879263896E-3</v>
      </c>
      <c r="GC50" s="4">
        <v>4.6695548536212937E-3</v>
      </c>
      <c r="GD50" s="4">
        <v>5.1656915501234017E-3</v>
      </c>
      <c r="GE50" s="4">
        <v>5.743025383368309E-3</v>
      </c>
      <c r="GF50" s="4">
        <v>6.4229144654356883E-3</v>
      </c>
      <c r="GG50" s="4">
        <v>7.2348087823582308E-3</v>
      </c>
      <c r="GH50" s="4">
        <v>8.2204744176631785E-3</v>
      </c>
      <c r="GI50" s="4">
        <v>9.4411639511208789E-3</v>
      </c>
      <c r="GJ50" s="4">
        <v>1.0990437589318567E-2</v>
      </c>
      <c r="GK50" s="4">
        <v>1.3018602041899707E-2</v>
      </c>
      <c r="GL50" s="4">
        <v>1.5783020712565547E-2</v>
      </c>
      <c r="GM50" s="4">
        <v>1.9765202557895399E-2</v>
      </c>
      <c r="GN50" s="4">
        <v>2.5943772967590605E-2</v>
      </c>
      <c r="GO50" s="4">
        <v>3.7257388414271883E-2</v>
      </c>
      <c r="GP50" s="4">
        <v>5.4540293158050486E-2</v>
      </c>
      <c r="GQ50" s="4">
        <v>0.24515080341149922</v>
      </c>
      <c r="GR50" s="4">
        <v>-0.25062890608812649</v>
      </c>
      <c r="GS50" s="4">
        <v>-6.0022686279404901E-2</v>
      </c>
      <c r="GT50" s="4">
        <v>-4.2748385120867316E-2</v>
      </c>
      <c r="GU50" s="4">
        <v>-3.1447731787599791E-2</v>
      </c>
      <c r="GV50" s="4">
        <v>-2.5286550051300819E-2</v>
      </c>
      <c r="GW50" s="4">
        <v>-2.1326273936328143E-2</v>
      </c>
      <c r="GX50" s="4">
        <v>-1.8588390552269293E-2</v>
      </c>
      <c r="GY50" s="4">
        <v>-1.659152444931046E-2</v>
      </c>
      <c r="GZ50" s="4">
        <v>-1.5078464815547346E-2</v>
      </c>
      <c r="HA50" s="4">
        <v>-1.3899073140112942E-2</v>
      </c>
      <c r="HB50" s="4">
        <v>-1.2959966986133083E-2</v>
      </c>
      <c r="HC50" s="4">
        <v>-1.2200070905519986E-2</v>
      </c>
      <c r="HD50" s="4">
        <v>-1.1577778289785227E-2</v>
      </c>
      <c r="HE50" s="4">
        <v>-1.1063752768634397E-2</v>
      </c>
      <c r="HF50" s="4">
        <v>-1.0636657201507371E-2</v>
      </c>
      <c r="HG50" s="4">
        <v>-1.0280476546349943E-2</v>
      </c>
      <c r="HH50" s="4">
        <v>-9.9827266767653893E-3</v>
      </c>
      <c r="HI50" s="4">
        <v>-9.7331335544419088E-3</v>
      </c>
      <c r="HJ50" s="4">
        <v>-9.5224906387157866E-3</v>
      </c>
      <c r="HK50" s="4">
        <v>-9.3414121715123567E-3</v>
      </c>
      <c r="HL50" s="4">
        <v>-9.1785802891354278E-3</v>
      </c>
      <c r="HM50" s="4">
        <v>-9.0177202471529647E-3</v>
      </c>
      <c r="HN50" s="4">
        <v>-8.8315650366673562E-3</v>
      </c>
      <c r="HO50" s="4">
        <v>-8.5684209580207272E-3</v>
      </c>
      <c r="HP50" s="4">
        <v>-8.1173751880068562E-3</v>
      </c>
      <c r="HQ50" s="4">
        <v>-7.2252364710769235E-3</v>
      </c>
      <c r="HR50" s="4">
        <v>-4.8972896221241933E-3</v>
      </c>
      <c r="HS50" s="4">
        <v>-1.9334461301670006E-3</v>
      </c>
      <c r="HT50" s="4">
        <v>8.2669416903195098E-2</v>
      </c>
      <c r="HU50" s="4">
        <v>-0.22835568198986766</v>
      </c>
    </row>
    <row r="51" spans="4:229" x14ac:dyDescent="0.25">
      <c r="D51" s="10">
        <v>42</v>
      </c>
      <c r="E51" s="5">
        <f>'N70'!E58-'N70'!E57</f>
        <v>1.4285714285714235E-2</v>
      </c>
      <c r="F51" s="5">
        <f>'N70'!H57-'N70'!$E$16</f>
        <v>0.59285714285714286</v>
      </c>
      <c r="G51" s="5">
        <f>'N70'!H57-'N70'!$E$17</f>
        <v>0.57857142857142863</v>
      </c>
      <c r="H51" s="5">
        <f>'N70'!H57-'N70'!$E$18</f>
        <v>0.56428571428571428</v>
      </c>
      <c r="I51" s="5">
        <f>'N70'!H57-'N70'!$E$19</f>
        <v>0.55000000000000004</v>
      </c>
      <c r="J51" s="5">
        <f>'N70'!H57-'N70'!$E$20</f>
        <v>0.5357142857142857</v>
      </c>
      <c r="K51" s="5">
        <f>'N70'!H57-'N70'!$E$21</f>
        <v>0.52142857142857146</v>
      </c>
      <c r="L51" s="5">
        <f>'N70'!H57-'N70'!$E$22</f>
        <v>0.50714285714285712</v>
      </c>
      <c r="M51" s="5">
        <f>'N70'!H57-'N70'!$E$23</f>
        <v>0.49285714285714288</v>
      </c>
      <c r="N51" s="5">
        <f>'N70'!H57-'N70'!$E$24</f>
        <v>0.47857142857142859</v>
      </c>
      <c r="O51" s="5">
        <f>'N70'!H57-'N70'!$E$25</f>
        <v>0.4642857142857143</v>
      </c>
      <c r="P51" s="5">
        <f>'N70'!H57-'N70'!$E$26</f>
        <v>0.45</v>
      </c>
      <c r="Q51" s="5">
        <f>'N70'!H57-'N70'!$E$27</f>
        <v>0.43571428571428572</v>
      </c>
      <c r="R51" s="5">
        <f>'N70'!H57-'N70'!$E$28</f>
        <v>0.42142857142857143</v>
      </c>
      <c r="S51" s="5">
        <f>'N70'!H57-'N70'!$E$29</f>
        <v>0.40714285714285714</v>
      </c>
      <c r="T51" s="5">
        <f>'N70'!H57-'N70'!$E$30</f>
        <v>0.3928571428571429</v>
      </c>
      <c r="U51" s="5">
        <f>'N70'!H57-'N70'!$E$31</f>
        <v>0.37857142857142856</v>
      </c>
      <c r="V51" s="5">
        <f>'N70'!H57-'N70'!$E$32</f>
        <v>0.36428571428571432</v>
      </c>
      <c r="W51" s="5">
        <f>'N70'!H57-'N70'!$E$33</f>
        <v>0.35</v>
      </c>
      <c r="X51" s="5">
        <f>'N70'!H57-'N70'!$E$34</f>
        <v>0.33571428571428574</v>
      </c>
      <c r="Y51" s="5">
        <f>'N70'!H57-'N70'!$E$35</f>
        <v>0.32142857142857145</v>
      </c>
      <c r="Z51" s="5">
        <f>'N70'!H57-'N70'!$E$36</f>
        <v>0.30714285714285716</v>
      </c>
      <c r="AA51" s="5">
        <f>'N70'!H57-'N70'!$E$37</f>
        <v>0.29285714285714287</v>
      </c>
      <c r="AB51" s="5">
        <f>'N70'!H57-'N70'!$E$38</f>
        <v>0.27857142857142858</v>
      </c>
      <c r="AC51" s="5">
        <f>'N70'!H57-'N70'!$E$39</f>
        <v>0.26428571428571429</v>
      </c>
      <c r="AD51" s="5">
        <f>'N70'!H57-'N70'!$E$40</f>
        <v>0.25</v>
      </c>
      <c r="AE51" s="5">
        <f>'N70'!H57-'N70'!$E$41</f>
        <v>0.23571428571428571</v>
      </c>
      <c r="AF51" s="5">
        <f>'N70'!H57-'N70'!$E$42</f>
        <v>0.22142857142857142</v>
      </c>
      <c r="AG51" s="5">
        <f>'N70'!H57-'N70'!$E$43</f>
        <v>0.20714285714285718</v>
      </c>
      <c r="AH51" s="5">
        <f>'N70'!H57-'N70'!$E$44</f>
        <v>0.19285714285714289</v>
      </c>
      <c r="AI51" s="5">
        <f>'N70'!H57-'N70'!$E$45</f>
        <v>0.1785714285714286</v>
      </c>
      <c r="AJ51" s="5">
        <f>'N70'!H57-'N70'!$E$46</f>
        <v>0.16428571428571431</v>
      </c>
      <c r="AK51" s="5">
        <f>'N70'!H57-'N70'!$E$47</f>
        <v>0.15000000000000002</v>
      </c>
      <c r="AL51" s="5">
        <f>'N70'!H57-'N70'!$E$48</f>
        <v>0.13571428571428573</v>
      </c>
      <c r="AM51" s="5">
        <f>'N70'!H57-'N70'!$E$49</f>
        <v>0.12142857142857144</v>
      </c>
      <c r="AN51" s="5">
        <f>'N70'!H57-'N70'!$E$50</f>
        <v>0.10714285714285715</v>
      </c>
      <c r="AO51" s="5">
        <f>'N70'!H57-'N70'!$E$51</f>
        <v>9.285714285714286E-2</v>
      </c>
      <c r="AP51" s="5">
        <f>'N70'!H57-'N70'!$E$52</f>
        <v>7.8571428571428625E-2</v>
      </c>
      <c r="AQ51" s="5">
        <f>'N70'!H57-'N70'!$E$53</f>
        <v>6.4285714285714279E-2</v>
      </c>
      <c r="AR51" s="5">
        <f>'N70'!H57-'N70'!$E$54</f>
        <v>5.0000000000000044E-2</v>
      </c>
      <c r="AS51" s="5">
        <f>'N70'!H57-'N70'!$E$55</f>
        <v>3.5714285714285698E-2</v>
      </c>
      <c r="AT51" s="5">
        <f>'N70'!H57-'N70'!$E$56</f>
        <v>2.1428571428571463E-2</v>
      </c>
      <c r="AU51" s="5">
        <f>'N70'!H57-'N70'!$E$57</f>
        <v>7.1428571428571175E-3</v>
      </c>
      <c r="AV51" s="5">
        <f>'N70'!H57-'N70'!$E$58</f>
        <v>-7.1428571428571175E-3</v>
      </c>
      <c r="AW51" s="5">
        <f>'N70'!H57-'N70'!$E$59</f>
        <v>-2.1428571428571352E-2</v>
      </c>
      <c r="AX51" s="5">
        <f>'N70'!H57-'N70'!$E$60</f>
        <v>-3.5714285714285698E-2</v>
      </c>
      <c r="AY51" s="5">
        <f>'N70'!H57-'N70'!$E$61</f>
        <v>-4.9999999999999933E-2</v>
      </c>
      <c r="AZ51" s="5">
        <f>'N70'!H57-'N70'!$E$62</f>
        <v>-6.4285714285714279E-2</v>
      </c>
      <c r="BA51" s="5">
        <f>'N70'!H57-'N70'!$E$63</f>
        <v>-7.8571428571428514E-2</v>
      </c>
      <c r="BB51" s="5">
        <f>'N70'!H57-'N70'!$E$64</f>
        <v>-9.285714285714286E-2</v>
      </c>
      <c r="BC51" s="5">
        <f>'N70'!H57-'N70'!$E$65</f>
        <v>-0.1071428571428571</v>
      </c>
      <c r="BD51" s="5">
        <f>'N70'!H57-'N70'!$E$66</f>
        <v>-0.12142857142857144</v>
      </c>
      <c r="BE51" s="5">
        <f>'N70'!H57-'N70'!$E$67</f>
        <v>-0.13571428571428568</v>
      </c>
      <c r="BF51" s="5">
        <f>'N70'!H57-'N70'!$E$68</f>
        <v>-0.15000000000000002</v>
      </c>
      <c r="BG51" s="5">
        <f>'N70'!H57-'N70'!$E$69</f>
        <v>-0.16428571428571426</v>
      </c>
      <c r="BH51" s="5">
        <f>'N70'!H57-'N70'!$E$70</f>
        <v>-0.17857142857142849</v>
      </c>
      <c r="BI51" s="5">
        <f>'N70'!H57-'N70'!$E$71</f>
        <v>-0.19285714285714284</v>
      </c>
      <c r="BJ51" s="5">
        <f>'N70'!H57-'N70'!$E$72</f>
        <v>-0.20714285714285707</v>
      </c>
      <c r="BK51" s="5">
        <f>'N70'!H57-'N70'!$E$73</f>
        <v>-0.22142857142857142</v>
      </c>
      <c r="BL51" s="5">
        <f>'N70'!H57-'N70'!$E$74</f>
        <v>-0.23571428571428565</v>
      </c>
      <c r="BM51" s="5">
        <f>'N70'!H57-'N70'!$E$75</f>
        <v>-0.25</v>
      </c>
      <c r="BN51" s="5">
        <f>'N70'!H57-'N70'!$E$76</f>
        <v>-0.26428571428571423</v>
      </c>
      <c r="BO51" s="5">
        <f>'N70'!H57-'N70'!$E$77</f>
        <v>-0.27857142857142858</v>
      </c>
      <c r="BP51" s="5">
        <f>'N70'!H57-'N70'!$E$78</f>
        <v>-0.29285714285714282</v>
      </c>
      <c r="BQ51" s="5">
        <f>'N70'!H57-'N70'!$E$79</f>
        <v>-0.30714285714285716</v>
      </c>
      <c r="BR51" s="5">
        <f>'N70'!H57-'N70'!$E$80</f>
        <v>-0.3214285714285714</v>
      </c>
      <c r="BS51" s="5">
        <f>'N70'!H57-'N70'!$E$81</f>
        <v>-0.33571428571428563</v>
      </c>
      <c r="BT51" s="5">
        <f>'N70'!H57-'N70'!$E$82</f>
        <v>-0.35</v>
      </c>
      <c r="BU51" s="5">
        <f>'N70'!H57-'N70'!$E$83</f>
        <v>-0.36428571428571421</v>
      </c>
      <c r="BV51" s="5">
        <f>'N70'!H57-'N70'!$E$84</f>
        <v>-0.37857142857142856</v>
      </c>
      <c r="BW51" s="5">
        <f>'N70'!H57-'N70'!$E$85</f>
        <v>-0.39285714285714279</v>
      </c>
      <c r="BX51" s="5">
        <v>-1</v>
      </c>
      <c r="BZ51">
        <v>42</v>
      </c>
      <c r="CA51" s="5">
        <f>N70_DESARROLLO!CE136+N70_DESARROLLO!H136</f>
        <v>-1.2146128714477955E-2</v>
      </c>
      <c r="CB51" s="5">
        <f>N70_DESARROLLO!CF136+N70_DESARROLLO!I136</f>
        <v>-2.4693868032494515E-2</v>
      </c>
      <c r="CC51" s="5">
        <f>N70_DESARROLLO!CG136+N70_DESARROLLO!J136</f>
        <v>-2.5319161212291275E-2</v>
      </c>
      <c r="CD51" s="5">
        <f>N70_DESARROLLO!CH136+N70_DESARROLLO!K136</f>
        <v>-2.5976947844864928E-2</v>
      </c>
      <c r="CE51" s="5">
        <f>N70_DESARROLLO!CI136+N70_DESARROLLO!L136</f>
        <v>-2.6669828593224754E-2</v>
      </c>
      <c r="CF51" s="5">
        <f>N70_DESARROLLO!CJ136+N70_DESARROLLO!M136</f>
        <v>-2.7400689293794245E-2</v>
      </c>
      <c r="CG51" s="5">
        <f>N70_DESARROLLO!CK136+N70_DESARROLLO!N136</f>
        <v>-2.8172741151794245E-2</v>
      </c>
      <c r="CH51" s="5">
        <f>N70_DESARROLLO!CL136+N70_DESARROLLO!O136</f>
        <v>-2.8989567932948379E-2</v>
      </c>
      <c r="CI51" s="5">
        <f>N70_DESARROLLO!CM136+N70_DESARROLLO!P136</f>
        <v>-2.9855181616033843E-2</v>
      </c>
      <c r="CJ51" s="5">
        <f>N70_DESARROLLO!CN136+N70_DESARROLLO!Q136</f>
        <v>-3.0774088329711291E-2</v>
      </c>
      <c r="CK51" s="5">
        <f>N70_DESARROLLO!CO136+N70_DESARROLLO!R136</f>
        <v>-3.1751366862667441E-2</v>
      </c>
      <c r="CL51" s="5">
        <f>N70_DESARROLLO!CP136+N70_DESARROLLO!S136</f>
        <v>-3.2792762635871275E-2</v>
      </c>
      <c r="CM51" s="5">
        <f>N70_DESARROLLO!CQ136+N70_DESARROLLO!T136</f>
        <v>-3.3904800811321523E-2</v>
      </c>
      <c r="CN51" s="5">
        <f>N70_DESARROLLO!CR136+N70_DESARROLLO!U136</f>
        <v>-3.5094923244217813E-2</v>
      </c>
      <c r="CO51" s="5">
        <f>N70_DESARROLLO!CS136+N70_DESARROLLO!V136</f>
        <v>-3.6371655357433585E-2</v>
      </c>
      <c r="CP51" s="5">
        <f>N70_DESARROLLO!CT136+N70_DESARROLLO!W136</f>
        <v>-3.7744810855703137E-2</v>
      </c>
      <c r="CQ51" s="5">
        <f>N70_DESARROLLO!CU136+N70_DESARROLLO!X136</f>
        <v>-3.9225744685472907E-2</v>
      </c>
      <c r="CR51" s="5">
        <f>N70_DESARROLLO!CV136+N70_DESARROLLO!Y136</f>
        <v>-4.0827668052543231E-2</v>
      </c>
      <c r="CS51" s="5">
        <f>N70_DESARROLLO!CW136+N70_DESARROLLO!Z136</f>
        <v>-4.2566044021107752E-2</v>
      </c>
      <c r="CT51" s="5">
        <f>N70_DESARROLLO!CX136+N70_DESARROLLO!AA136</f>
        <v>-4.4459088822761617E-2</v>
      </c>
      <c r="CU51" s="5">
        <f>N70_DESARROLLO!CY136+N70_DESARROLLO!AB136</f>
        <v>-4.6528413377890931E-2</v>
      </c>
      <c r="CV51" s="5">
        <f>N70_DESARROLLO!CZ136+N70_DESARROLLO!AC136</f>
        <v>-4.8799853039072971E-2</v>
      </c>
      <c r="CW51" s="5">
        <f>N70_DESARROLLO!DA136+N70_DESARROLLO!AD136</f>
        <v>-5.1304553326342761E-2</v>
      </c>
      <c r="CX51" s="5">
        <f>N70_DESARROLLO!DB136+N70_DESARROLLO!AE136</f>
        <v>-5.4080408838149241E-2</v>
      </c>
      <c r="CY51" s="5">
        <f>N70_DESARROLLO!DC136+N70_DESARROLLO!AF136</f>
        <v>-5.7173997129077003E-2</v>
      </c>
      <c r="CZ51" s="5">
        <f>N70_DESARROLLO!DD136+N70_DESARROLLO!AG136</f>
        <v>-6.0643218403522159E-2</v>
      </c>
      <c r="DA51" s="5">
        <f>N70_DESARROLLO!DE136+N70_DESARROLLO!AH136</f>
        <v>-6.4560961252488114E-2</v>
      </c>
      <c r="DB51" s="5">
        <f>N70_DESARROLLO!DF136+N70_DESARROLLO!AI136</f>
        <v>-6.9020292350863377E-2</v>
      </c>
      <c r="DC51" s="5">
        <f>N70_DESARROLLO!DG136+N70_DESARROLLO!AJ136</f>
        <v>-7.4141965022337497E-2</v>
      </c>
      <c r="DD51" s="5">
        <f>N70_DESARROLLO!DH136+N70_DESARROLLO!AK136</f>
        <v>-8.0085554140356896E-2</v>
      </c>
      <c r="DE51" s="5">
        <f>N70_DESARROLLO!DI136+N70_DESARROLLO!AL136</f>
        <v>-8.706644231933558E-2</v>
      </c>
      <c r="DF51" s="5">
        <f>N70_DESARROLLO!DJ136+N70_DESARROLLO!AM136</f>
        <v>-9.5382594982175606E-2</v>
      </c>
      <c r="DG51" s="5">
        <f>N70_DESARROLLO!DK136+N70_DESARROLLO!AN136</f>
        <v>-0.1054584185205778</v>
      </c>
      <c r="DH51" s="5">
        <f>N70_DESARROLLO!DL136+N70_DESARROLLO!AO136</f>
        <v>-0.11791996375048563</v>
      </c>
      <c r="DI51" s="5">
        <f>N70_DESARROLLO!DM136+N70_DESARROLLO!AP136</f>
        <v>-0.13373123411929888</v>
      </c>
      <c r="DJ51" s="5">
        <f>N70_DESARROLLO!DN136+N70_DESARROLLO!AQ136</f>
        <v>-0.15445886474681692</v>
      </c>
      <c r="DK51" s="5">
        <f>N70_DESARROLLO!DO136+N70_DESARROLLO!AR136</f>
        <v>-0.18283342438756101</v>
      </c>
      <c r="DL51" s="5">
        <f>N70_DESARROLLO!DP136+N70_DESARROLLO!AS136</f>
        <v>-0.22408833054043442</v>
      </c>
      <c r="DM51" s="5">
        <f>N70_DESARROLLO!DQ136+N70_DESARROLLO!AT136</f>
        <v>-0.28973434150572408</v>
      </c>
      <c r="DN51" s="5">
        <f>N70_DESARROLLO!DR136+N70_DESARROLLO!AU136</f>
        <v>-0.41141440075355473</v>
      </c>
      <c r="DO51" s="5">
        <f>N70_DESARROLLO!DS136+N70_DESARROLLO!AV136</f>
        <v>-0.72775792963607455</v>
      </c>
      <c r="DP51" s="5">
        <f>N70_DESARROLLO!DT136+N70_DESARROLLO!AW136</f>
        <v>-1.6479184659605444</v>
      </c>
      <c r="DQ51" s="5">
        <f>N70_DESARROLLO!DU136+N70_DESARROLLO!AX136</f>
        <v>1.6479184659605282</v>
      </c>
      <c r="DR51" s="5">
        <f>N70_DESARROLLO!DV136+N70_DESARROLLO!AY136</f>
        <v>0.72775792963608976</v>
      </c>
      <c r="DS51" s="5">
        <f>N70_DESARROLLO!DW136+N70_DESARROLLO!AZ136</f>
        <v>0.41141440075354063</v>
      </c>
      <c r="DT51" s="5">
        <f>N70_DESARROLLO!DX136+N70_DESARROLLO!BA136</f>
        <v>0.28973434150574007</v>
      </c>
      <c r="DU51" s="5">
        <f>N70_DESARROLLO!DY136+N70_DESARROLLO!BB136</f>
        <v>0.2240883305404191</v>
      </c>
      <c r="DV51" s="5">
        <f>N70_DESARROLLO!DZ136+N70_DESARROLLO!BC136</f>
        <v>0.18283342438757677</v>
      </c>
      <c r="DW51" s="5">
        <f>N70_DESARROLLO!EA136+N70_DESARROLLO!BD136</f>
        <v>0.15445886474680548</v>
      </c>
      <c r="DX51" s="5">
        <f>N70_DESARROLLO!EB136+N70_DESARROLLO!BE136</f>
        <v>0.1337312341193071</v>
      </c>
      <c r="DY51" s="5">
        <f>N70_DESARROLLO!EC136+N70_DESARROLLO!BF136</f>
        <v>0.11791996375047809</v>
      </c>
      <c r="DZ51" s="5">
        <f>N70_DESARROLLO!ED136+N70_DESARROLLO!BG136</f>
        <v>0.10545841852058624</v>
      </c>
      <c r="EA51" s="5">
        <f>N70_DESARROLLO!EE136+N70_DESARROLLO!BH136</f>
        <v>9.5382594982166613E-2</v>
      </c>
      <c r="EB51" s="5">
        <f>N70_DESARROLLO!EF136+N70_DESARROLLO!BI136</f>
        <v>8.7066442319336246E-2</v>
      </c>
      <c r="EC51" s="5">
        <f>N70_DESARROLLO!EG136+N70_DESARROLLO!BJ136</f>
        <v>8.0085554140362891E-2</v>
      </c>
      <c r="ED51" s="5">
        <f>N70_DESARROLLO!EH136+N70_DESARROLLO!BK136</f>
        <v>7.414196502232917E-2</v>
      </c>
      <c r="EE51" s="5">
        <f>N70_DESARROLLO!EI136+N70_DESARROLLO!BL136</f>
        <v>6.902029235087781E-2</v>
      </c>
      <c r="EF51" s="5">
        <f>N70_DESARROLLO!EJ136+N70_DESARROLLO!BM136</f>
        <v>6.4560961252473681E-2</v>
      </c>
      <c r="EG51" s="5">
        <f>N70_DESARROLLO!EK136+N70_DESARROLLO!BN136</f>
        <v>6.0643218403529819E-2</v>
      </c>
      <c r="EH51" s="5">
        <f>N70_DESARROLLO!EL136+N70_DESARROLLO!BO136</f>
        <v>5.717399712907123E-2</v>
      </c>
      <c r="EI51" s="5">
        <f>N70_DESARROLLO!EM136+N70_DESARROLLO!BP136</f>
        <v>5.4080408838158012E-2</v>
      </c>
      <c r="EJ51" s="5">
        <f>N70_DESARROLLO!EN136+N70_DESARROLLO!BQ136</f>
        <v>5.130455332633288E-2</v>
      </c>
      <c r="EK51" s="5">
        <f>N70_DESARROLLO!EO136+N70_DESARROLLO!BR136</f>
        <v>4.8799853039083518E-2</v>
      </c>
      <c r="EL51" s="5">
        <f>N70_DESARROLLO!EP136+N70_DESARROLLO!BS136</f>
        <v>4.6528413377880606E-2</v>
      </c>
      <c r="EM51" s="5">
        <f>N70_DESARROLLO!EQ136+N70_DESARROLLO!BT136</f>
        <v>4.4459088822760617E-2</v>
      </c>
      <c r="EN51" s="5">
        <f>N70_DESARROLLO!ER136+N70_DESARROLLO!BU136</f>
        <v>4.256604402112385E-2</v>
      </c>
      <c r="EO51" s="5">
        <f>N70_DESARROLLO!ES136+N70_DESARROLLO!BV136</f>
        <v>4.0827668052522692E-2</v>
      </c>
      <c r="EP51" s="5">
        <f>N70_DESARROLLO!ET136+N70_DESARROLLO!BW136</f>
        <v>3.9225744685487451E-2</v>
      </c>
      <c r="EQ51" s="5">
        <f>N70_DESARROLLO!EU136+N70_DESARROLLO!BX136</f>
        <v>3.774481085568826E-2</v>
      </c>
      <c r="ER51" s="5">
        <f>N70_DESARROLLO!EV136+N70_DESARROLLO!BY136</f>
        <v>64.420054205250182</v>
      </c>
      <c r="FC51">
        <v>42</v>
      </c>
      <c r="FD51" s="4">
        <v>1.6334605707077704E-4</v>
      </c>
      <c r="FE51" s="4">
        <v>3.2965868256782743E-4</v>
      </c>
      <c r="FF51" s="4">
        <v>4.394804363116878E-4</v>
      </c>
      <c r="FG51" s="4">
        <v>5.3848534318474799E-4</v>
      </c>
      <c r="FH51" s="4">
        <v>6.3229827635944585E-4</v>
      </c>
      <c r="FI51" s="4">
        <v>7.2431009153594021E-4</v>
      </c>
      <c r="FJ51" s="4">
        <v>8.1649275573716994E-4</v>
      </c>
      <c r="FK51" s="4">
        <v>9.1023210382544918E-4</v>
      </c>
      <c r="FL51" s="4">
        <v>1.0066248880666697E-3</v>
      </c>
      <c r="FM51" s="4">
        <v>1.1066267115525216E-3</v>
      </c>
      <c r="FN51" s="4">
        <v>1.2111350113729981E-3</v>
      </c>
      <c r="FO51" s="4">
        <v>1.3210423904096438E-3</v>
      </c>
      <c r="FP51" s="4">
        <v>1.4372758352103774E-3</v>
      </c>
      <c r="FQ51" s="4">
        <v>1.5608296908326557E-3</v>
      </c>
      <c r="FR51" s="4">
        <v>1.6927969540002372E-3</v>
      </c>
      <c r="FS51" s="4">
        <v>1.8344020041460476E-3</v>
      </c>
      <c r="FT51" s="4">
        <v>1.9870373572517782E-3</v>
      </c>
      <c r="FU51" s="4">
        <v>2.1523070187103761E-3</v>
      </c>
      <c r="FV51" s="4">
        <v>2.3320793935046324E-3</v>
      </c>
      <c r="FW51" s="4">
        <v>2.5285534781484924E-3</v>
      </c>
      <c r="FX51" s="4">
        <v>2.744343292936025E-3</v>
      </c>
      <c r="FY51" s="4">
        <v>2.9825873973171046E-3</v>
      </c>
      <c r="FZ51" s="4">
        <v>3.2470931811274615E-3</v>
      </c>
      <c r="GA51" s="4">
        <v>3.5425299681552487E-3</v>
      </c>
      <c r="GB51" s="4">
        <v>3.8746916938972595E-3</v>
      </c>
      <c r="GC51" s="4">
        <v>4.2508605450731042E-3</v>
      </c>
      <c r="GD51" s="4">
        <v>4.6803201410195406E-3</v>
      </c>
      <c r="GE51" s="4">
        <v>5.1750954208146767E-3</v>
      </c>
      <c r="GF51" s="4">
        <v>5.7510454075261307E-3</v>
      </c>
      <c r="GG51" s="4">
        <v>6.4295220364221761E-3</v>
      </c>
      <c r="GH51" s="4">
        <v>7.2399690392208347E-3</v>
      </c>
      <c r="GI51" s="4">
        <v>8.2241460891269869E-3</v>
      </c>
      <c r="GJ51" s="4">
        <v>9.4432991239719408E-3</v>
      </c>
      <c r="GK51" s="4">
        <v>1.0990981402362099E-2</v>
      </c>
      <c r="GL51" s="4">
        <v>1.3017492305375789E-2</v>
      </c>
      <c r="GM51" s="4">
        <v>1.5780187451941333E-2</v>
      </c>
      <c r="GN51" s="4">
        <v>1.9760567480394987E-2</v>
      </c>
      <c r="GO51" s="4">
        <v>2.5937248849721938E-2</v>
      </c>
      <c r="GP51" s="4">
        <v>3.7248878409234722E-2</v>
      </c>
      <c r="GQ51" s="4">
        <v>5.4529690023542868E-2</v>
      </c>
      <c r="GR51" s="4">
        <v>0.24513798866135886</v>
      </c>
      <c r="GS51" s="4">
        <v>-0.25064406309956505</v>
      </c>
      <c r="GT51" s="4">
        <v>-6.0040329322904637E-2</v>
      </c>
      <c r="GU51" s="4">
        <v>-4.2768672076444331E-2</v>
      </c>
      <c r="GV51" s="4">
        <v>-3.1470835594080863E-2</v>
      </c>
      <c r="GW51" s="4">
        <v>-2.5312659533461412E-2</v>
      </c>
      <c r="GX51" s="4">
        <v>-2.1355594367360543E-2</v>
      </c>
      <c r="GY51" s="4">
        <v>-1.862114372342934E-2</v>
      </c>
      <c r="GZ51" s="4">
        <v>-1.662794788154158E-2</v>
      </c>
      <c r="HA51" s="4">
        <v>-1.5118809528324919E-2</v>
      </c>
      <c r="HB51" s="4">
        <v>-1.3943599035472036E-2</v>
      </c>
      <c r="HC51" s="4">
        <v>-1.3008934317775772E-2</v>
      </c>
      <c r="HD51" s="4">
        <v>-1.2253725317249426E-2</v>
      </c>
      <c r="HE51" s="4">
        <v>-1.1636325225042973E-2</v>
      </c>
      <c r="HF51" s="4">
        <v>-1.1127314115310429E-2</v>
      </c>
      <c r="HG51" s="4">
        <v>-1.07051977767716E-2</v>
      </c>
      <c r="HH51" s="4">
        <v>-1.0353678330234147E-2</v>
      </c>
      <c r="HI51" s="4">
        <v>-1.0059770218591647E-2</v>
      </c>
      <c r="HJ51" s="4">
        <v>-9.8123093410513798E-3</v>
      </c>
      <c r="HK51" s="4">
        <v>-9.6004872412541135E-3</v>
      </c>
      <c r="HL51" s="4">
        <v>-9.4119617994715184E-3</v>
      </c>
      <c r="HM51" s="4">
        <v>-9.229755316828096E-3</v>
      </c>
      <c r="HN51" s="4">
        <v>-9.0261956435770917E-3</v>
      </c>
      <c r="HO51" s="4">
        <v>-8.7495292045286967E-3</v>
      </c>
      <c r="HP51" s="4">
        <v>-8.2893217281477648E-3</v>
      </c>
      <c r="HQ51" s="4">
        <v>-7.3939073310811572E-3</v>
      </c>
      <c r="HR51" s="4">
        <v>-5.074139529041421E-3</v>
      </c>
      <c r="HS51" s="4">
        <v>-2.1302585950635994E-3</v>
      </c>
      <c r="HT51" s="4">
        <v>8.2083520893419276E-2</v>
      </c>
      <c r="HU51" s="4">
        <v>-0.22779830865127429</v>
      </c>
    </row>
    <row r="52" spans="4:229" x14ac:dyDescent="0.25">
      <c r="D52" s="10">
        <v>43</v>
      </c>
      <c r="E52" s="5">
        <f>'N70'!E59-'N70'!E58</f>
        <v>1.4285714285714235E-2</v>
      </c>
      <c r="F52" s="5">
        <f>'N70'!H58-'N70'!$E$16</f>
        <v>0.6071428571428571</v>
      </c>
      <c r="G52" s="5">
        <f>'N70'!H58-'N70'!$E$17</f>
        <v>0.59285714285714286</v>
      </c>
      <c r="H52" s="5">
        <f>'N70'!H58-'N70'!$E$18</f>
        <v>0.57857142857142851</v>
      </c>
      <c r="I52" s="5">
        <f>'N70'!H58-'N70'!$E$19</f>
        <v>0.56428571428571428</v>
      </c>
      <c r="J52" s="5">
        <f>'N70'!H58-'N70'!$E$20</f>
        <v>0.54999999999999993</v>
      </c>
      <c r="K52" s="5">
        <f>'N70'!H58-'N70'!$E$21</f>
        <v>0.5357142857142857</v>
      </c>
      <c r="L52" s="5">
        <f>'N70'!H58-'N70'!$E$22</f>
        <v>0.52142857142857135</v>
      </c>
      <c r="M52" s="5">
        <f>'N70'!H58-'N70'!$E$23</f>
        <v>0.50714285714285712</v>
      </c>
      <c r="N52" s="5">
        <f>'N70'!H58-'N70'!$E$24</f>
        <v>0.49285714285714283</v>
      </c>
      <c r="O52" s="5">
        <f>'N70'!H58-'N70'!$E$25</f>
        <v>0.47857142857142854</v>
      </c>
      <c r="P52" s="5">
        <f>'N70'!H58-'N70'!$E$26</f>
        <v>0.46428571428571425</v>
      </c>
      <c r="Q52" s="5">
        <f>'N70'!H58-'N70'!$E$27</f>
        <v>0.44999999999999996</v>
      </c>
      <c r="R52" s="5">
        <f>'N70'!H58-'N70'!$E$28</f>
        <v>0.43571428571428567</v>
      </c>
      <c r="S52" s="5">
        <f>'N70'!H58-'N70'!$E$29</f>
        <v>0.42142857142857137</v>
      </c>
      <c r="T52" s="5">
        <f>'N70'!H58-'N70'!$E$30</f>
        <v>0.40714285714285714</v>
      </c>
      <c r="U52" s="5">
        <f>'N70'!H58-'N70'!$E$31</f>
        <v>0.39285714285714279</v>
      </c>
      <c r="V52" s="5">
        <f>'N70'!H58-'N70'!$E$32</f>
        <v>0.37857142857142856</v>
      </c>
      <c r="W52" s="5">
        <f>'N70'!H58-'N70'!$E$33</f>
        <v>0.36428571428571421</v>
      </c>
      <c r="X52" s="5">
        <f>'N70'!H58-'N70'!$E$34</f>
        <v>0.35</v>
      </c>
      <c r="Y52" s="5">
        <f>'N70'!H58-'N70'!$E$35</f>
        <v>0.33571428571428569</v>
      </c>
      <c r="Z52" s="5">
        <f>'N70'!H58-'N70'!$E$36</f>
        <v>0.3214285714285714</v>
      </c>
      <c r="AA52" s="5">
        <f>'N70'!H58-'N70'!$E$37</f>
        <v>0.30714285714285711</v>
      </c>
      <c r="AB52" s="5">
        <f>'N70'!H58-'N70'!$E$38</f>
        <v>0.29285714285714282</v>
      </c>
      <c r="AC52" s="5">
        <f>'N70'!H58-'N70'!$E$39</f>
        <v>0.27857142857142853</v>
      </c>
      <c r="AD52" s="5">
        <f>'N70'!H58-'N70'!$E$40</f>
        <v>0.26428571428571423</v>
      </c>
      <c r="AE52" s="5">
        <f>'N70'!H58-'N70'!$E$41</f>
        <v>0.24999999999999994</v>
      </c>
      <c r="AF52" s="5">
        <f>'N70'!H58-'N70'!$E$42</f>
        <v>0.23571428571428565</v>
      </c>
      <c r="AG52" s="5">
        <f>'N70'!H58-'N70'!$E$43</f>
        <v>0.22142857142857142</v>
      </c>
      <c r="AH52" s="5">
        <f>'N70'!H58-'N70'!$E$44</f>
        <v>0.20714285714285713</v>
      </c>
      <c r="AI52" s="5">
        <f>'N70'!H58-'N70'!$E$45</f>
        <v>0.19285714285714284</v>
      </c>
      <c r="AJ52" s="5">
        <f>'N70'!H58-'N70'!$E$46</f>
        <v>0.17857142857142855</v>
      </c>
      <c r="AK52" s="5">
        <f>'N70'!H58-'N70'!$E$47</f>
        <v>0.16428571428571426</v>
      </c>
      <c r="AL52" s="5">
        <f>'N70'!H58-'N70'!$E$48</f>
        <v>0.14999999999999997</v>
      </c>
      <c r="AM52" s="5">
        <f>'N70'!H58-'N70'!$E$49</f>
        <v>0.13571428571428568</v>
      </c>
      <c r="AN52" s="5">
        <f>'N70'!H58-'N70'!$E$50</f>
        <v>0.12142857142857139</v>
      </c>
      <c r="AO52" s="5">
        <f>'N70'!H58-'N70'!$E$51</f>
        <v>0.1071428571428571</v>
      </c>
      <c r="AP52" s="5">
        <f>'N70'!H58-'N70'!$E$52</f>
        <v>9.285714285714286E-2</v>
      </c>
      <c r="AQ52" s="5">
        <f>'N70'!H58-'N70'!$E$53</f>
        <v>7.8571428571428514E-2</v>
      </c>
      <c r="AR52" s="5">
        <f>'N70'!H58-'N70'!$E$54</f>
        <v>6.4285714285714279E-2</v>
      </c>
      <c r="AS52" s="5">
        <f>'N70'!H58-'N70'!$E$55</f>
        <v>4.9999999999999933E-2</v>
      </c>
      <c r="AT52" s="5">
        <f>'N70'!H58-'N70'!$E$56</f>
        <v>3.5714285714285698E-2</v>
      </c>
      <c r="AU52" s="5">
        <f>'N70'!H58-'N70'!$E$57</f>
        <v>2.1428571428571352E-2</v>
      </c>
      <c r="AV52" s="5">
        <f>'N70'!H58-'N70'!$E$58</f>
        <v>7.1428571428571175E-3</v>
      </c>
      <c r="AW52" s="5">
        <f>'N70'!H58-'N70'!$E$59</f>
        <v>-7.1428571428571175E-3</v>
      </c>
      <c r="AX52" s="5">
        <f>'N70'!H58-'N70'!$E$60</f>
        <v>-2.1428571428571463E-2</v>
      </c>
      <c r="AY52" s="5">
        <f>'N70'!H58-'N70'!$E$61</f>
        <v>-3.5714285714285698E-2</v>
      </c>
      <c r="AZ52" s="5">
        <f>'N70'!H58-'N70'!$E$62</f>
        <v>-5.0000000000000044E-2</v>
      </c>
      <c r="BA52" s="5">
        <f>'N70'!H58-'N70'!$E$63</f>
        <v>-6.4285714285714279E-2</v>
      </c>
      <c r="BB52" s="5">
        <f>'N70'!H58-'N70'!$E$64</f>
        <v>-7.8571428571428625E-2</v>
      </c>
      <c r="BC52" s="5">
        <f>'N70'!H58-'N70'!$E$65</f>
        <v>-9.285714285714286E-2</v>
      </c>
      <c r="BD52" s="5">
        <f>'N70'!H58-'N70'!$E$66</f>
        <v>-0.10714285714285721</v>
      </c>
      <c r="BE52" s="5">
        <f>'N70'!H58-'N70'!$E$67</f>
        <v>-0.12142857142857144</v>
      </c>
      <c r="BF52" s="5">
        <f>'N70'!H58-'N70'!$E$68</f>
        <v>-0.13571428571428579</v>
      </c>
      <c r="BG52" s="5">
        <f>'N70'!H58-'N70'!$E$69</f>
        <v>-0.15000000000000002</v>
      </c>
      <c r="BH52" s="5">
        <f>'N70'!H58-'N70'!$E$70</f>
        <v>-0.16428571428571426</v>
      </c>
      <c r="BI52" s="5">
        <f>'N70'!H58-'N70'!$E$71</f>
        <v>-0.1785714285714286</v>
      </c>
      <c r="BJ52" s="5">
        <f>'N70'!H58-'N70'!$E$72</f>
        <v>-0.19285714285714284</v>
      </c>
      <c r="BK52" s="5">
        <f>'N70'!H58-'N70'!$E$73</f>
        <v>-0.20714285714285718</v>
      </c>
      <c r="BL52" s="5">
        <f>'N70'!H58-'N70'!$E$74</f>
        <v>-0.22142857142857142</v>
      </c>
      <c r="BM52" s="5">
        <f>'N70'!H58-'N70'!$E$75</f>
        <v>-0.23571428571428577</v>
      </c>
      <c r="BN52" s="5">
        <f>'N70'!H58-'N70'!$E$76</f>
        <v>-0.25</v>
      </c>
      <c r="BO52" s="5">
        <f>'N70'!H58-'N70'!$E$77</f>
        <v>-0.26428571428571435</v>
      </c>
      <c r="BP52" s="5">
        <f>'N70'!H58-'N70'!$E$78</f>
        <v>-0.27857142857142858</v>
      </c>
      <c r="BQ52" s="5">
        <f>'N70'!H58-'N70'!$E$79</f>
        <v>-0.29285714285714293</v>
      </c>
      <c r="BR52" s="5">
        <f>'N70'!H58-'N70'!$E$80</f>
        <v>-0.30714285714285716</v>
      </c>
      <c r="BS52" s="5">
        <f>'N70'!H58-'N70'!$E$81</f>
        <v>-0.3214285714285714</v>
      </c>
      <c r="BT52" s="5">
        <f>'N70'!H58-'N70'!$E$82</f>
        <v>-0.33571428571428574</v>
      </c>
      <c r="BU52" s="5">
        <f>'N70'!H58-'N70'!$E$83</f>
        <v>-0.35</v>
      </c>
      <c r="BV52" s="5">
        <f>'N70'!H58-'N70'!$E$84</f>
        <v>-0.36428571428571432</v>
      </c>
      <c r="BW52" s="5">
        <f>'N70'!H58-'N70'!$E$85</f>
        <v>-0.37857142857142856</v>
      </c>
      <c r="BX52" s="5">
        <v>-1</v>
      </c>
      <c r="BZ52">
        <v>43</v>
      </c>
      <c r="CA52" s="5">
        <f>N70_DESARROLLO!CE137+N70_DESARROLLO!H137</f>
        <v>-1.185805944784557E-2</v>
      </c>
      <c r="CB52" s="5">
        <f>N70_DESARROLLO!CF137+N70_DESARROLLO!I137</f>
        <v>-2.4098718436559308E-2</v>
      </c>
      <c r="CC52" s="5">
        <f>N70_DESARROLLO!CG137+N70_DESARROLLO!J137</f>
        <v>-2.4693868032508171E-2</v>
      </c>
      <c r="CD52" s="5">
        <f>N70_DESARROLLO!CH137+N70_DESARROLLO!K137</f>
        <v>-2.5319161212273178E-2</v>
      </c>
      <c r="CE52" s="5">
        <f>N70_DESARROLLO!CI137+N70_DESARROLLO!L137</f>
        <v>-2.5976947844882692E-2</v>
      </c>
      <c r="CF52" s="5">
        <f>N70_DESARROLLO!CJ137+N70_DESARROLLO!M137</f>
        <v>-2.6669828593211653E-2</v>
      </c>
      <c r="CG52" s="5">
        <f>N70_DESARROLLO!CK137+N70_DESARROLLO!N137</f>
        <v>-2.740068929380679E-2</v>
      </c>
      <c r="CH52" s="5">
        <f>N70_DESARROLLO!CL137+N70_DESARROLLO!O137</f>
        <v>-2.8172741151781922E-2</v>
      </c>
      <c r="CI52" s="5">
        <f>N70_DESARROLLO!CM137+N70_DESARROLLO!P137</f>
        <v>-2.8989567932952598E-2</v>
      </c>
      <c r="CJ52" s="5">
        <f>N70_DESARROLLO!CN137+N70_DESARROLLO!Q137</f>
        <v>-2.9855181616034066E-2</v>
      </c>
      <c r="CK52" s="5">
        <f>N70_DESARROLLO!CO137+N70_DESARROLLO!R137</f>
        <v>-3.0774088329711402E-2</v>
      </c>
      <c r="CL52" s="5">
        <f>N70_DESARROLLO!CP137+N70_DESARROLLO!S137</f>
        <v>-3.1751366862667441E-2</v>
      </c>
      <c r="CM52" s="5">
        <f>N70_DESARROLLO!CQ137+N70_DESARROLLO!T137</f>
        <v>-3.2792762635871164E-2</v>
      </c>
      <c r="CN52" s="5">
        <f>N70_DESARROLLO!CR137+N70_DESARROLLO!U137</f>
        <v>-3.3904800811324631E-2</v>
      </c>
      <c r="CO52" s="5">
        <f>N70_DESARROLLO!CS137+N70_DESARROLLO!V137</f>
        <v>-3.5094923244208154E-2</v>
      </c>
      <c r="CP52" s="5">
        <f>N70_DESARROLLO!CT137+N70_DESARROLLO!W137</f>
        <v>-3.6371655357446464E-2</v>
      </c>
      <c r="CQ52" s="5">
        <f>N70_DESARROLLO!CU137+N70_DESARROLLO!X137</f>
        <v>-3.7744810855687927E-2</v>
      </c>
      <c r="CR52" s="5">
        <f>N70_DESARROLLO!CV137+N70_DESARROLLO!Y137</f>
        <v>-3.922574468549056E-2</v>
      </c>
      <c r="CS52" s="5">
        <f>N70_DESARROLLO!CW137+N70_DESARROLLO!Z137</f>
        <v>-4.0827668052528465E-2</v>
      </c>
      <c r="CT52" s="5">
        <f>N70_DESARROLLO!CX137+N70_DESARROLLO!AA137</f>
        <v>-4.2566044021113636E-2</v>
      </c>
      <c r="CU52" s="5">
        <f>N70_DESARROLLO!CY137+N70_DESARROLLO!AB137</f>
        <v>-4.4459088822761617E-2</v>
      </c>
      <c r="CV52" s="5">
        <f>N70_DESARROLLO!CZ137+N70_DESARROLLO!AC137</f>
        <v>-4.652841337789082E-2</v>
      </c>
      <c r="CW52" s="5">
        <f>N70_DESARROLLO!DA137+N70_DESARROLLO!AD137</f>
        <v>-4.8799853039073193E-2</v>
      </c>
      <c r="CX52" s="5">
        <f>N70_DESARROLLO!DB137+N70_DESARROLLO!AE137</f>
        <v>-5.1304553326342761E-2</v>
      </c>
      <c r="CY52" s="5">
        <f>N70_DESARROLLO!DC137+N70_DESARROLLO!AF137</f>
        <v>-5.4080408838149241E-2</v>
      </c>
      <c r="CZ52" s="5">
        <f>N70_DESARROLLO!DD137+N70_DESARROLLO!AG137</f>
        <v>-5.7173997129077003E-2</v>
      </c>
      <c r="DA52" s="5">
        <f>N70_DESARROLLO!DE137+N70_DESARROLLO!AH137</f>
        <v>-6.0643218403525601E-2</v>
      </c>
      <c r="DB52" s="5">
        <f>N70_DESARROLLO!DF137+N70_DESARROLLO!AI137</f>
        <v>-6.456096125247901E-2</v>
      </c>
      <c r="DC52" s="5">
        <f>N70_DESARROLLO!DG137+N70_DESARROLLO!AJ137</f>
        <v>-6.902029235086915E-2</v>
      </c>
      <c r="DD52" s="5">
        <f>N70_DESARROLLO!DH137+N70_DESARROLLO!AK137</f>
        <v>-7.4141965022337386E-2</v>
      </c>
      <c r="DE52" s="5">
        <f>N70_DESARROLLO!DI137+N70_DESARROLLO!AL137</f>
        <v>-8.0085554140355564E-2</v>
      </c>
      <c r="DF52" s="5">
        <f>N70_DESARROLLO!DJ137+N70_DESARROLLO!AM137</f>
        <v>-8.7066442319337245E-2</v>
      </c>
      <c r="DG52" s="5">
        <f>N70_DESARROLLO!DK137+N70_DESARROLLO!AN137</f>
        <v>-9.5382594982174607E-2</v>
      </c>
      <c r="DH52" s="5">
        <f>N70_DESARROLLO!DL137+N70_DESARROLLO!AO137</f>
        <v>-0.10545841852057825</v>
      </c>
      <c r="DI52" s="5">
        <f>N70_DESARROLLO!DM137+N70_DESARROLLO!AP137</f>
        <v>-0.11791996375048674</v>
      </c>
      <c r="DJ52" s="5">
        <f>N70_DESARROLLO!DN137+N70_DESARROLLO!AQ137</f>
        <v>-0.13373123411930166</v>
      </c>
      <c r="DK52" s="5">
        <f>N70_DESARROLLO!DO137+N70_DESARROLLO!AR137</f>
        <v>-0.15445886474680592</v>
      </c>
      <c r="DL52" s="5">
        <f>N70_DESARROLLO!DP137+N70_DESARROLLO!AS137</f>
        <v>-0.18283342438757666</v>
      </c>
      <c r="DM52" s="5">
        <f>N70_DESARROLLO!DQ137+N70_DESARROLLO!AT137</f>
        <v>-0.22408833054041921</v>
      </c>
      <c r="DN52" s="5">
        <f>N70_DESARROLLO!DR137+N70_DESARROLLO!AU137</f>
        <v>-0.28973434150574007</v>
      </c>
      <c r="DO52" s="5">
        <f>N70_DESARROLLO!DS137+N70_DESARROLLO!AV137</f>
        <v>-0.41141440075354019</v>
      </c>
      <c r="DP52" s="5">
        <f>N70_DESARROLLO!DT137+N70_DESARROLLO!AW137</f>
        <v>-0.72775792963608976</v>
      </c>
      <c r="DQ52" s="5">
        <f>N70_DESARROLLO!DU137+N70_DESARROLLO!AX137</f>
        <v>-1.6479184659605282</v>
      </c>
      <c r="DR52" s="5">
        <f>N70_DESARROLLO!DV137+N70_DESARROLLO!AY137</f>
        <v>1.6479184659605444</v>
      </c>
      <c r="DS52" s="5">
        <f>N70_DESARROLLO!DW137+N70_DESARROLLO!AZ137</f>
        <v>0.72775792963607433</v>
      </c>
      <c r="DT52" s="5">
        <f>N70_DESARROLLO!DX137+N70_DESARROLLO!BA137</f>
        <v>0.41141440075355495</v>
      </c>
      <c r="DU52" s="5">
        <f>N70_DESARROLLO!DY137+N70_DESARROLLO!BB137</f>
        <v>0.2897343415057243</v>
      </c>
      <c r="DV52" s="5">
        <f>N70_DESARROLLO!DZ137+N70_DESARROLLO!BC137</f>
        <v>0.22408833054043464</v>
      </c>
      <c r="DW52" s="5">
        <f>N70_DESARROLLO!EA137+N70_DESARROLLO!BD137</f>
        <v>0.18283342438756045</v>
      </c>
      <c r="DX52" s="5">
        <f>N70_DESARROLLO!EB137+N70_DESARROLLO!BE137</f>
        <v>0.1544588647468208</v>
      </c>
      <c r="DY52" s="5">
        <f>N70_DESARROLLO!EC137+N70_DESARROLLO!BF137</f>
        <v>0.13373123411929266</v>
      </c>
      <c r="DZ52" s="5">
        <f>N70_DESARROLLO!ED137+N70_DESARROLLO!BG137</f>
        <v>0.11791996375049285</v>
      </c>
      <c r="EA52" s="5">
        <f>N70_DESARROLLO!EE137+N70_DESARROLLO!BH137</f>
        <v>0.10545841852057103</v>
      </c>
      <c r="EB52" s="5">
        <f>N70_DESARROLLO!EF137+N70_DESARROLLO!BI137</f>
        <v>9.5382594982173496E-2</v>
      </c>
      <c r="EC52" s="5">
        <f>N70_DESARROLLO!EG137+N70_DESARROLLO!BJ137</f>
        <v>8.7066442319344683E-2</v>
      </c>
      <c r="ED52" s="5">
        <f>N70_DESARROLLO!EH137+N70_DESARROLLO!BK137</f>
        <v>8.0085554140347681E-2</v>
      </c>
      <c r="EE52" s="5">
        <f>N70_DESARROLLO!EI137+N70_DESARROLLO!BL137</f>
        <v>7.4141965022345824E-2</v>
      </c>
      <c r="EF52" s="5">
        <f>N70_DESARROLLO!EJ137+N70_DESARROLLO!BM137</f>
        <v>6.9020292350860046E-2</v>
      </c>
      <c r="EG52" s="5">
        <f>N70_DESARROLLO!EK137+N70_DESARROLLO!BN137</f>
        <v>6.4560961252489446E-2</v>
      </c>
      <c r="EH52" s="5">
        <f>N70_DESARROLLO!EL137+N70_DESARROLLO!BO137</f>
        <v>6.0643218403515942E-2</v>
      </c>
      <c r="EI52" s="5">
        <f>N70_DESARROLLO!EM137+N70_DESARROLLO!BP137</f>
        <v>5.7173997129085885E-2</v>
      </c>
      <c r="EJ52" s="5">
        <f>N70_DESARROLLO!EN137+N70_DESARROLLO!BQ137</f>
        <v>5.4080408838142358E-2</v>
      </c>
      <c r="EK52" s="5">
        <f>N70_DESARROLLO!EO137+N70_DESARROLLO!BR137</f>
        <v>5.1304553326349533E-2</v>
      </c>
      <c r="EL52" s="5">
        <f>N70_DESARROLLO!EP137+N70_DESARROLLO!BS137</f>
        <v>4.8799853039066199E-2</v>
      </c>
      <c r="EM52" s="5">
        <f>N70_DESARROLLO!EQ137+N70_DESARROLLO!BT137</f>
        <v>4.6528413377888933E-2</v>
      </c>
      <c r="EN52" s="5">
        <f>N70_DESARROLLO!ER137+N70_DESARROLLO!BU137</f>
        <v>4.4459088822771053E-2</v>
      </c>
      <c r="EO52" s="5">
        <f>N70_DESARROLLO!ES137+N70_DESARROLLO!BV137</f>
        <v>4.2566044021103977E-2</v>
      </c>
      <c r="EP52" s="5">
        <f>N70_DESARROLLO!ET137+N70_DESARROLLO!BW137</f>
        <v>4.0827668052543675E-2</v>
      </c>
      <c r="EQ52" s="5">
        <f>N70_DESARROLLO!EU137+N70_DESARROLLO!BX137</f>
        <v>3.9225744685471353E-2</v>
      </c>
      <c r="ER52" s="5">
        <f>N70_DESARROLLO!EV137+N70_DESARROLLO!BY137</f>
        <v>67.013646813166915</v>
      </c>
      <c r="FC52">
        <v>43</v>
      </c>
      <c r="FD52" s="4">
        <v>1.5503001741091051E-4</v>
      </c>
      <c r="FE52" s="4">
        <v>3.1271302071903716E-4</v>
      </c>
      <c r="FF52" s="4">
        <v>4.1662489643859126E-4</v>
      </c>
      <c r="FG52" s="4">
        <v>5.1014083566466959E-4</v>
      </c>
      <c r="FH52" s="4">
        <v>5.9859411839122199E-4</v>
      </c>
      <c r="FI52" s="4">
        <v>6.8519153439804289E-4</v>
      </c>
      <c r="FJ52" s="4">
        <v>7.7178825565356551E-4</v>
      </c>
      <c r="FK52" s="4">
        <v>8.5967863543781142E-4</v>
      </c>
      <c r="FL52" s="4">
        <v>9.4987786970438513E-4</v>
      </c>
      <c r="FM52" s="4">
        <v>1.0432617647350953E-3</v>
      </c>
      <c r="FN52" s="4">
        <v>1.1406445531207984E-3</v>
      </c>
      <c r="FO52" s="4">
        <v>1.2428282468226858E-3</v>
      </c>
      <c r="FP52" s="4">
        <v>1.3506382165266618E-3</v>
      </c>
      <c r="FQ52" s="4">
        <v>1.4649523729781677E-3</v>
      </c>
      <c r="FR52" s="4">
        <v>1.586728142726997E-3</v>
      </c>
      <c r="FS52" s="4">
        <v>1.7170300078326935E-3</v>
      </c>
      <c r="FT52" s="4">
        <v>1.8570597966017311E-3</v>
      </c>
      <c r="FU52" s="4">
        <v>2.0081917978341289E-3</v>
      </c>
      <c r="FV52" s="4">
        <v>2.172014979820672E-3</v>
      </c>
      <c r="FW52" s="4">
        <v>2.3503850961789662E-3</v>
      </c>
      <c r="FX52" s="4">
        <v>2.5454902935869005E-3</v>
      </c>
      <c r="FY52" s="4">
        <v>2.7599351103577319E-3</v>
      </c>
      <c r="FZ52" s="4">
        <v>2.9968496630765496E-3</v>
      </c>
      <c r="GA52" s="4">
        <v>3.2600336833494129E-3</v>
      </c>
      <c r="GB52" s="4">
        <v>3.5541494201335832E-3</v>
      </c>
      <c r="GC52" s="4">
        <v>3.8849841548171905E-3</v>
      </c>
      <c r="GD52" s="4">
        <v>4.2598137060753253E-3</v>
      </c>
      <c r="GE52" s="4">
        <v>4.6879154969981596E-3</v>
      </c>
      <c r="GF52" s="4">
        <v>5.1813083425794881E-3</v>
      </c>
      <c r="GG52" s="4">
        <v>5.7558451247528069E-3</v>
      </c>
      <c r="GH52" s="4">
        <v>6.4328715383884022E-3</v>
      </c>
      <c r="GI52" s="4">
        <v>7.241824897773602E-3</v>
      </c>
      <c r="GJ52" s="4">
        <v>8.2244582062245535E-3</v>
      </c>
      <c r="GK52" s="4">
        <v>9.4420104044447371E-3</v>
      </c>
      <c r="GL52" s="4">
        <v>1.0988027351236648E-2</v>
      </c>
      <c r="GM52" s="4">
        <v>1.3012800548113551E-2</v>
      </c>
      <c r="GN52" s="4">
        <v>1.5773677175321965E-2</v>
      </c>
      <c r="GO52" s="4">
        <v>1.9752148791586707E-2</v>
      </c>
      <c r="GP52" s="4">
        <v>2.592682205157824E-2</v>
      </c>
      <c r="GQ52" s="4">
        <v>3.7236333191311914E-2</v>
      </c>
      <c r="GR52" s="4">
        <v>5.4514904571019804E-2</v>
      </c>
      <c r="GS52" s="4">
        <v>0.24512082868916485</v>
      </c>
      <c r="GT52" s="4">
        <v>-0.25066374537208841</v>
      </c>
      <c r="GU52" s="4">
        <v>-6.006269622798463E-2</v>
      </c>
      <c r="GV52" s="4">
        <v>-4.2793901534723768E-2</v>
      </c>
      <c r="GW52" s="4">
        <v>-3.1499122048930066E-2</v>
      </c>
      <c r="GX52" s="4">
        <v>-2.5344214646461277E-2</v>
      </c>
      <c r="GY52" s="4">
        <v>-2.1390647254845258E-2</v>
      </c>
      <c r="GZ52" s="4">
        <v>-1.8659940379943854E-2</v>
      </c>
      <c r="HA52" s="4">
        <v>-1.6670749220860061E-2</v>
      </c>
      <c r="HB52" s="4">
        <v>-1.5165887121811635E-2</v>
      </c>
      <c r="HC52" s="4">
        <v>-1.3995227049113964E-2</v>
      </c>
      <c r="HD52" s="4">
        <v>-1.306537517828866E-2</v>
      </c>
      <c r="HE52" s="4">
        <v>-1.2315204978241217E-2</v>
      </c>
      <c r="HF52" s="4">
        <v>-1.1702991003617219E-2</v>
      </c>
      <c r="HG52" s="4">
        <v>-1.1199162871161898E-2</v>
      </c>
      <c r="HH52" s="4">
        <v>-1.0781952613854546E-2</v>
      </c>
      <c r="HI52" s="4">
        <v>-1.0434573700110049E-2</v>
      </c>
      <c r="HJ52" s="4">
        <v>-1.0143169006959035E-2</v>
      </c>
      <c r="HK52" s="4">
        <v>-9.8950001969461149E-3</v>
      </c>
      <c r="HL52" s="4">
        <v>-9.6763455430938731E-3</v>
      </c>
      <c r="HM52" s="4">
        <v>-9.4692734583376771E-3</v>
      </c>
      <c r="HN52" s="4">
        <v>-9.2455307352431095E-3</v>
      </c>
      <c r="HO52" s="4">
        <v>-8.9531858428266477E-3</v>
      </c>
      <c r="HP52" s="4">
        <v>-8.4822156408543795E-3</v>
      </c>
      <c r="HQ52" s="4">
        <v>-7.5824682174733529E-3</v>
      </c>
      <c r="HR52" s="4">
        <v>-5.2704265527808913E-3</v>
      </c>
      <c r="HS52" s="4">
        <v>-2.3470431524237078E-3</v>
      </c>
      <c r="HT52" s="4">
        <v>8.1478138716914464E-2</v>
      </c>
      <c r="HU52" s="4">
        <v>-0.22729106372852673</v>
      </c>
    </row>
    <row r="53" spans="4:229" x14ac:dyDescent="0.25">
      <c r="D53" s="10">
        <v>44</v>
      </c>
      <c r="E53" s="5">
        <f>'N70'!E60-'N70'!E59</f>
        <v>1.4285714285714346E-2</v>
      </c>
      <c r="F53" s="5">
        <f>'N70'!H59-'N70'!$E$16</f>
        <v>0.62142857142857144</v>
      </c>
      <c r="G53" s="5">
        <f>'N70'!H59-'N70'!$E$17</f>
        <v>0.60714285714285721</v>
      </c>
      <c r="H53" s="5">
        <f>'N70'!H59-'N70'!$E$18</f>
        <v>0.59285714285714286</v>
      </c>
      <c r="I53" s="5">
        <f>'N70'!H59-'N70'!$E$19</f>
        <v>0.57857142857142863</v>
      </c>
      <c r="J53" s="5">
        <f>'N70'!H59-'N70'!$E$20</f>
        <v>0.56428571428571428</v>
      </c>
      <c r="K53" s="5">
        <f>'N70'!H59-'N70'!$E$21</f>
        <v>0.55000000000000004</v>
      </c>
      <c r="L53" s="5">
        <f>'N70'!H59-'N70'!$E$22</f>
        <v>0.5357142857142857</v>
      </c>
      <c r="M53" s="5">
        <f>'N70'!H59-'N70'!$E$23</f>
        <v>0.52142857142857146</v>
      </c>
      <c r="N53" s="5">
        <f>'N70'!H59-'N70'!$E$24</f>
        <v>0.50714285714285712</v>
      </c>
      <c r="O53" s="5">
        <f>'N70'!H59-'N70'!$E$25</f>
        <v>0.49285714285714288</v>
      </c>
      <c r="P53" s="5">
        <f>'N70'!H59-'N70'!$E$26</f>
        <v>0.47857142857142859</v>
      </c>
      <c r="Q53" s="5">
        <f>'N70'!H59-'N70'!$E$27</f>
        <v>0.4642857142857143</v>
      </c>
      <c r="R53" s="5">
        <f>'N70'!H59-'N70'!$E$28</f>
        <v>0.45</v>
      </c>
      <c r="S53" s="5">
        <f>'N70'!H59-'N70'!$E$29</f>
        <v>0.43571428571428572</v>
      </c>
      <c r="T53" s="5">
        <f>'N70'!H59-'N70'!$E$30</f>
        <v>0.42142857142857149</v>
      </c>
      <c r="U53" s="5">
        <f>'N70'!H59-'N70'!$E$31</f>
        <v>0.40714285714285714</v>
      </c>
      <c r="V53" s="5">
        <f>'N70'!H59-'N70'!$E$32</f>
        <v>0.3928571428571429</v>
      </c>
      <c r="W53" s="5">
        <f>'N70'!H59-'N70'!$E$33</f>
        <v>0.37857142857142856</v>
      </c>
      <c r="X53" s="5">
        <f>'N70'!H59-'N70'!$E$34</f>
        <v>0.36428571428571432</v>
      </c>
      <c r="Y53" s="5">
        <f>'N70'!H59-'N70'!$E$35</f>
        <v>0.35000000000000003</v>
      </c>
      <c r="Z53" s="5">
        <f>'N70'!H59-'N70'!$E$36</f>
        <v>0.33571428571428574</v>
      </c>
      <c r="AA53" s="5">
        <f>'N70'!H59-'N70'!$E$37</f>
        <v>0.32142857142857145</v>
      </c>
      <c r="AB53" s="5">
        <f>'N70'!H59-'N70'!$E$38</f>
        <v>0.30714285714285716</v>
      </c>
      <c r="AC53" s="5">
        <f>'N70'!H59-'N70'!$E$39</f>
        <v>0.29285714285714287</v>
      </c>
      <c r="AD53" s="5">
        <f>'N70'!H59-'N70'!$E$40</f>
        <v>0.27857142857142858</v>
      </c>
      <c r="AE53" s="5">
        <f>'N70'!H59-'N70'!$E$41</f>
        <v>0.26428571428571429</v>
      </c>
      <c r="AF53" s="5">
        <f>'N70'!H59-'N70'!$E$42</f>
        <v>0.25</v>
      </c>
      <c r="AG53" s="5">
        <f>'N70'!H59-'N70'!$E$43</f>
        <v>0.23571428571428577</v>
      </c>
      <c r="AH53" s="5">
        <f>'N70'!H59-'N70'!$E$44</f>
        <v>0.22142857142857147</v>
      </c>
      <c r="AI53" s="5">
        <f>'N70'!H59-'N70'!$E$45</f>
        <v>0.20714285714285718</v>
      </c>
      <c r="AJ53" s="5">
        <f>'N70'!H59-'N70'!$E$46</f>
        <v>0.19285714285714289</v>
      </c>
      <c r="AK53" s="5">
        <f>'N70'!H59-'N70'!$E$47</f>
        <v>0.1785714285714286</v>
      </c>
      <c r="AL53" s="5">
        <f>'N70'!H59-'N70'!$E$48</f>
        <v>0.16428571428571431</v>
      </c>
      <c r="AM53" s="5">
        <f>'N70'!H59-'N70'!$E$49</f>
        <v>0.15000000000000002</v>
      </c>
      <c r="AN53" s="5">
        <f>'N70'!H59-'N70'!$E$50</f>
        <v>0.13571428571428573</v>
      </c>
      <c r="AO53" s="5">
        <f>'N70'!H59-'N70'!$E$51</f>
        <v>0.12142857142857144</v>
      </c>
      <c r="AP53" s="5">
        <f>'N70'!H59-'N70'!$E$52</f>
        <v>0.10714285714285721</v>
      </c>
      <c r="AQ53" s="5">
        <f>'N70'!H59-'N70'!$E$53</f>
        <v>9.285714285714286E-2</v>
      </c>
      <c r="AR53" s="5">
        <f>'N70'!H59-'N70'!$E$54</f>
        <v>7.8571428571428625E-2</v>
      </c>
      <c r="AS53" s="5">
        <f>'N70'!H59-'N70'!$E$55</f>
        <v>6.4285714285714279E-2</v>
      </c>
      <c r="AT53" s="5">
        <f>'N70'!H59-'N70'!$E$56</f>
        <v>5.0000000000000044E-2</v>
      </c>
      <c r="AU53" s="5">
        <f>'N70'!H59-'N70'!$E$57</f>
        <v>3.5714285714285698E-2</v>
      </c>
      <c r="AV53" s="5">
        <f>'N70'!H59-'N70'!$E$58</f>
        <v>2.1428571428571463E-2</v>
      </c>
      <c r="AW53" s="5">
        <f>'N70'!H59-'N70'!$E$59</f>
        <v>7.1428571428572285E-3</v>
      </c>
      <c r="AX53" s="5">
        <f>'N70'!H59-'N70'!$E$60</f>
        <v>-7.1428571428571175E-3</v>
      </c>
      <c r="AY53" s="5">
        <f>'N70'!H59-'N70'!$E$61</f>
        <v>-2.1428571428571352E-2</v>
      </c>
      <c r="AZ53" s="5">
        <f>'N70'!H59-'N70'!$E$62</f>
        <v>-3.5714285714285698E-2</v>
      </c>
      <c r="BA53" s="5">
        <f>'N70'!H59-'N70'!$E$63</f>
        <v>-4.9999999999999933E-2</v>
      </c>
      <c r="BB53" s="5">
        <f>'N70'!H59-'N70'!$E$64</f>
        <v>-6.4285714285714279E-2</v>
      </c>
      <c r="BC53" s="5">
        <f>'N70'!H59-'N70'!$E$65</f>
        <v>-7.8571428571428514E-2</v>
      </c>
      <c r="BD53" s="5">
        <f>'N70'!H59-'N70'!$E$66</f>
        <v>-9.285714285714286E-2</v>
      </c>
      <c r="BE53" s="5">
        <f>'N70'!H59-'N70'!$E$67</f>
        <v>-0.1071428571428571</v>
      </c>
      <c r="BF53" s="5">
        <f>'N70'!H59-'N70'!$E$68</f>
        <v>-0.12142857142857144</v>
      </c>
      <c r="BG53" s="5">
        <f>'N70'!H59-'N70'!$E$69</f>
        <v>-0.13571428571428568</v>
      </c>
      <c r="BH53" s="5">
        <f>'N70'!H59-'N70'!$E$70</f>
        <v>-0.14999999999999991</v>
      </c>
      <c r="BI53" s="5">
        <f>'N70'!H59-'N70'!$E$71</f>
        <v>-0.16428571428571426</v>
      </c>
      <c r="BJ53" s="5">
        <f>'N70'!H59-'N70'!$E$72</f>
        <v>-0.17857142857142849</v>
      </c>
      <c r="BK53" s="5">
        <f>'N70'!H59-'N70'!$E$73</f>
        <v>-0.19285714285714284</v>
      </c>
      <c r="BL53" s="5">
        <f>'N70'!H59-'N70'!$E$74</f>
        <v>-0.20714285714285707</v>
      </c>
      <c r="BM53" s="5">
        <f>'N70'!H59-'N70'!$E$75</f>
        <v>-0.22142857142857142</v>
      </c>
      <c r="BN53" s="5">
        <f>'N70'!H59-'N70'!$E$76</f>
        <v>-0.23571428571428565</v>
      </c>
      <c r="BO53" s="5">
        <f>'N70'!H59-'N70'!$E$77</f>
        <v>-0.25</v>
      </c>
      <c r="BP53" s="5">
        <f>'N70'!H59-'N70'!$E$78</f>
        <v>-0.26428571428571423</v>
      </c>
      <c r="BQ53" s="5">
        <f>'N70'!H59-'N70'!$E$79</f>
        <v>-0.27857142857142858</v>
      </c>
      <c r="BR53" s="5">
        <f>'N70'!H59-'N70'!$E$80</f>
        <v>-0.29285714285714282</v>
      </c>
      <c r="BS53" s="5">
        <f>'N70'!H59-'N70'!$E$81</f>
        <v>-0.30714285714285705</v>
      </c>
      <c r="BT53" s="5">
        <f>'N70'!H59-'N70'!$E$82</f>
        <v>-0.3214285714285714</v>
      </c>
      <c r="BU53" s="5">
        <f>'N70'!H59-'N70'!$E$83</f>
        <v>-0.33571428571428563</v>
      </c>
      <c r="BV53" s="5">
        <f>'N70'!H59-'N70'!$E$84</f>
        <v>-0.35</v>
      </c>
      <c r="BW53" s="5">
        <f>'N70'!H59-'N70'!$E$85</f>
        <v>-0.36428571428571421</v>
      </c>
      <c r="BX53" s="5">
        <v>-1</v>
      </c>
      <c r="BZ53">
        <v>44</v>
      </c>
      <c r="CA53" s="5">
        <f>N70_DESARROLLO!CE138+N70_DESARROLLO!H138</f>
        <v>-1.1583338250309216E-2</v>
      </c>
      <c r="CB53" s="5">
        <f>N70_DESARROLLO!CF138+N70_DESARROLLO!I138</f>
        <v>-2.3531583826931546E-2</v>
      </c>
      <c r="CC53" s="5">
        <f>N70_DESARROLLO!CG138+N70_DESARROLLO!J138</f>
        <v>-2.4098718436573519E-2</v>
      </c>
      <c r="CD53" s="5">
        <f>N70_DESARROLLO!CH138+N70_DESARROLLO!K138</f>
        <v>-2.4693868032494515E-2</v>
      </c>
      <c r="CE53" s="5">
        <f>N70_DESARROLLO!CI138+N70_DESARROLLO!L138</f>
        <v>-2.5319161212291275E-2</v>
      </c>
      <c r="CF53" s="5">
        <f>N70_DESARROLLO!CJ138+N70_DESARROLLO!M138</f>
        <v>-2.5976947844864928E-2</v>
      </c>
      <c r="CG53" s="5">
        <f>N70_DESARROLLO!CK138+N70_DESARROLLO!N138</f>
        <v>-2.6669828593224754E-2</v>
      </c>
      <c r="CH53" s="5">
        <f>N70_DESARROLLO!CL138+N70_DESARROLLO!O138</f>
        <v>-2.7400689293794245E-2</v>
      </c>
      <c r="CI53" s="5">
        <f>N70_DESARROLLO!CM138+N70_DESARROLLO!P138</f>
        <v>-2.8172741151794245E-2</v>
      </c>
      <c r="CJ53" s="5">
        <f>N70_DESARROLLO!CN138+N70_DESARROLLO!Q138</f>
        <v>-2.8989567932948379E-2</v>
      </c>
      <c r="CK53" s="5">
        <f>N70_DESARROLLO!CO138+N70_DESARROLLO!R138</f>
        <v>-2.9855181616033843E-2</v>
      </c>
      <c r="CL53" s="5">
        <f>N70_DESARROLLO!CP138+N70_DESARROLLO!S138</f>
        <v>-3.0774088329711291E-2</v>
      </c>
      <c r="CM53" s="5">
        <f>N70_DESARROLLO!CQ138+N70_DESARROLLO!T138</f>
        <v>-3.1751366862667441E-2</v>
      </c>
      <c r="CN53" s="5">
        <f>N70_DESARROLLO!CR138+N70_DESARROLLO!U138</f>
        <v>-3.2792762635874606E-2</v>
      </c>
      <c r="CO53" s="5">
        <f>N70_DESARROLLO!CS138+N70_DESARROLLO!V138</f>
        <v>-3.3904800811314639E-2</v>
      </c>
      <c r="CP53" s="5">
        <f>N70_DESARROLLO!CT138+N70_DESARROLLO!W138</f>
        <v>-3.5094923244221365E-2</v>
      </c>
      <c r="CQ53" s="5">
        <f>N70_DESARROLLO!CU138+N70_DESARROLLO!X138</f>
        <v>-3.6371655357433585E-2</v>
      </c>
      <c r="CR53" s="5">
        <f>N70_DESARROLLO!CV138+N70_DESARROLLO!Y138</f>
        <v>-3.7744810855703137E-2</v>
      </c>
      <c r="CS53" s="5">
        <f>N70_DESARROLLO!CW138+N70_DESARROLLO!Z138</f>
        <v>-3.922574468547857E-2</v>
      </c>
      <c r="CT53" s="5">
        <f>N70_DESARROLLO!CX138+N70_DESARROLLO!AA138</f>
        <v>-4.0827668052531463E-2</v>
      </c>
      <c r="CU53" s="5">
        <f>N70_DESARROLLO!CY138+N70_DESARROLLO!AB138</f>
        <v>-4.2566044021113525E-2</v>
      </c>
      <c r="CV53" s="5">
        <f>N70_DESARROLLO!CZ138+N70_DESARROLLO!AC138</f>
        <v>-4.4459088822761617E-2</v>
      </c>
      <c r="CW53" s="5">
        <f>N70_DESARROLLO!DA138+N70_DESARROLLO!AD138</f>
        <v>-4.6528413377890931E-2</v>
      </c>
      <c r="CX53" s="5">
        <f>N70_DESARROLLO!DB138+N70_DESARROLLO!AE138</f>
        <v>-4.8799853039072971E-2</v>
      </c>
      <c r="CY53" s="5">
        <f>N70_DESARROLLO!DC138+N70_DESARROLLO!AF138</f>
        <v>-5.1304553326342761E-2</v>
      </c>
      <c r="CZ53" s="5">
        <f>N70_DESARROLLO!DD138+N70_DESARROLLO!AG138</f>
        <v>-5.4080408838149241E-2</v>
      </c>
      <c r="DA53" s="5">
        <f>N70_DESARROLLO!DE138+N70_DESARROLLO!AH138</f>
        <v>-5.7173997129080778E-2</v>
      </c>
      <c r="DB53" s="5">
        <f>N70_DESARROLLO!DF138+N70_DESARROLLO!AI138</f>
        <v>-6.064321840351794E-2</v>
      </c>
      <c r="DC53" s="5">
        <f>N70_DESARROLLO!DG138+N70_DESARROLLO!AJ138</f>
        <v>-6.4560961252483118E-2</v>
      </c>
      <c r="DD53" s="5">
        <f>N70_DESARROLLO!DH138+N70_DESARROLLO!AK138</f>
        <v>-6.902029235086915E-2</v>
      </c>
      <c r="DE53" s="5">
        <f>N70_DESARROLLO!DI138+N70_DESARROLLO!AL138</f>
        <v>-7.4141965022337497E-2</v>
      </c>
      <c r="DF53" s="5">
        <f>N70_DESARROLLO!DJ138+N70_DESARROLLO!AM138</f>
        <v>-8.0085554140356896E-2</v>
      </c>
      <c r="DG53" s="5">
        <f>N70_DESARROLLO!DK138+N70_DESARROLLO!AN138</f>
        <v>-8.706644231933558E-2</v>
      </c>
      <c r="DH53" s="5">
        <f>N70_DESARROLLO!DL138+N70_DESARROLLO!AO138</f>
        <v>-9.5382594982175606E-2</v>
      </c>
      <c r="DI53" s="5">
        <f>N70_DESARROLLO!DM138+N70_DESARROLLO!AP138</f>
        <v>-0.1054584185205778</v>
      </c>
      <c r="DJ53" s="5">
        <f>N70_DESARROLLO!DN138+N70_DESARROLLO!AQ138</f>
        <v>-0.11791996375048874</v>
      </c>
      <c r="DK53" s="5">
        <f>N70_DESARROLLO!DO138+N70_DESARROLLO!AR138</f>
        <v>-0.13373123411929144</v>
      </c>
      <c r="DL53" s="5">
        <f>N70_DESARROLLO!DP138+N70_DESARROLLO!AS138</f>
        <v>-0.15445886474682136</v>
      </c>
      <c r="DM53" s="5">
        <f>N70_DESARROLLO!DQ138+N70_DESARROLLO!AT138</f>
        <v>-0.18283342438756101</v>
      </c>
      <c r="DN53" s="5">
        <f>N70_DESARROLLO!DR138+N70_DESARROLLO!AU138</f>
        <v>-0.22408833054043442</v>
      </c>
      <c r="DO53" s="5">
        <f>N70_DESARROLLO!DS138+N70_DESARROLLO!AV138</f>
        <v>-0.28973434150572408</v>
      </c>
      <c r="DP53" s="5">
        <f>N70_DESARROLLO!DT138+N70_DESARROLLO!AW138</f>
        <v>-0.41141440075355473</v>
      </c>
      <c r="DQ53" s="5">
        <f>N70_DESARROLLO!DU138+N70_DESARROLLO!AX138</f>
        <v>-0.72775792963607377</v>
      </c>
      <c r="DR53" s="5">
        <f>N70_DESARROLLO!DV138+N70_DESARROLLO!AY138</f>
        <v>-1.6479184659605211</v>
      </c>
      <c r="DS53" s="5">
        <f>N70_DESARROLLO!DW138+N70_DESARROLLO!AZ138</f>
        <v>1.6479184659605282</v>
      </c>
      <c r="DT53" s="5">
        <f>N70_DESARROLLO!DX138+N70_DESARROLLO!BA138</f>
        <v>0.72775792963608976</v>
      </c>
      <c r="DU53" s="5">
        <f>N70_DESARROLLO!DY138+N70_DESARROLLO!BB138</f>
        <v>0.41141440075354063</v>
      </c>
      <c r="DV53" s="5">
        <f>N70_DESARROLLO!DZ138+N70_DESARROLLO!BC138</f>
        <v>0.28973434150574007</v>
      </c>
      <c r="DW53" s="5">
        <f>N70_DESARROLLO!EA138+N70_DESARROLLO!BD138</f>
        <v>0.2240883305404191</v>
      </c>
      <c r="DX53" s="5">
        <f>N70_DESARROLLO!EB138+N70_DESARROLLO!BE138</f>
        <v>0.18283342438757677</v>
      </c>
      <c r="DY53" s="5">
        <f>N70_DESARROLLO!EC138+N70_DESARROLLO!BF138</f>
        <v>0.15445886474680548</v>
      </c>
      <c r="DZ53" s="5">
        <f>N70_DESARROLLO!ED138+N70_DESARROLLO!BG138</f>
        <v>0.1337312341193071</v>
      </c>
      <c r="EA53" s="5">
        <f>N70_DESARROLLO!EE138+N70_DESARROLLO!BH138</f>
        <v>0.11791996375047809</v>
      </c>
      <c r="EB53" s="5">
        <f>N70_DESARROLLO!EF138+N70_DESARROLLO!BI138</f>
        <v>0.10545841852057691</v>
      </c>
      <c r="EC53" s="5">
        <f>N70_DESARROLLO!EG138+N70_DESARROLLO!BJ138</f>
        <v>9.5382594982183821E-2</v>
      </c>
      <c r="ED53" s="5">
        <f>N70_DESARROLLO!EH138+N70_DESARROLLO!BK138</f>
        <v>8.7066442319328474E-2</v>
      </c>
      <c r="EE53" s="5">
        <f>N70_DESARROLLO!EI138+N70_DESARROLLO!BL138</f>
        <v>8.0085554140362891E-2</v>
      </c>
      <c r="EF53" s="5">
        <f>N70_DESARROLLO!EJ138+N70_DESARROLLO!BM138</f>
        <v>7.414196502232917E-2</v>
      </c>
      <c r="EG53" s="5">
        <f>N70_DESARROLLO!EK138+N70_DESARROLLO!BN138</f>
        <v>6.902029235087781E-2</v>
      </c>
      <c r="EH53" s="5">
        <f>N70_DESARROLLO!EL138+N70_DESARROLLO!BO138</f>
        <v>6.4560961252473681E-2</v>
      </c>
      <c r="EI53" s="5">
        <f>N70_DESARROLLO!EM138+N70_DESARROLLO!BP138</f>
        <v>6.0643218403529819E-2</v>
      </c>
      <c r="EJ53" s="5">
        <f>N70_DESARROLLO!EN138+N70_DESARROLLO!BQ138</f>
        <v>5.717399712907123E-2</v>
      </c>
      <c r="EK53" s="5">
        <f>N70_DESARROLLO!EO138+N70_DESARROLLO!BR138</f>
        <v>5.4080408838158012E-2</v>
      </c>
      <c r="EL53" s="5">
        <f>N70_DESARROLLO!EP138+N70_DESARROLLO!BS138</f>
        <v>5.130455332633288E-2</v>
      </c>
      <c r="EM53" s="5">
        <f>N70_DESARROLLO!EQ138+N70_DESARROLLO!BT138</f>
        <v>4.879985303907397E-2</v>
      </c>
      <c r="EN53" s="5">
        <f>N70_DESARROLLO!ER138+N70_DESARROLLO!BU138</f>
        <v>4.6528413377898814E-2</v>
      </c>
      <c r="EO53" s="5">
        <f>N70_DESARROLLO!ES138+N70_DESARROLLO!BV138</f>
        <v>4.4459088822751736E-2</v>
      </c>
      <c r="EP53" s="5">
        <f>N70_DESARROLLO!ET138+N70_DESARROLLO!BW138</f>
        <v>4.256604402112385E-2</v>
      </c>
      <c r="EQ53" s="5">
        <f>N70_DESARROLLO!EU138+N70_DESARROLLO!BX138</f>
        <v>4.0827668052522692E-2</v>
      </c>
      <c r="ER53" s="5">
        <f>N70_DESARROLLO!EV138+N70_DESARROLLO!BY138</f>
        <v>69.707045988053807</v>
      </c>
      <c r="FC53">
        <v>44</v>
      </c>
      <c r="FD53" s="4">
        <v>1.4718246357412517E-4</v>
      </c>
      <c r="FE53" s="4">
        <v>2.9673689401601392E-4</v>
      </c>
      <c r="FF53" s="4">
        <v>3.9510155241668891E-4</v>
      </c>
      <c r="FG53" s="4">
        <v>4.8348041091326267E-4</v>
      </c>
      <c r="FH53" s="4">
        <v>5.6693261928192405E-4</v>
      </c>
      <c r="FI53" s="4">
        <v>6.4849299177936574E-4</v>
      </c>
      <c r="FJ53" s="4">
        <v>7.2990882191400206E-4</v>
      </c>
      <c r="FK53" s="4">
        <v>8.1239109898995727E-4</v>
      </c>
      <c r="FL53" s="4">
        <v>8.9688173547086084E-4</v>
      </c>
      <c r="FM53" s="4">
        <v>9.8418576738088371E-4</v>
      </c>
      <c r="FN53" s="4">
        <v>1.0750444849879743E-3</v>
      </c>
      <c r="FO53" s="4">
        <v>1.170181284056649E-3</v>
      </c>
      <c r="FP53" s="4">
        <v>1.2703341435617791E-3</v>
      </c>
      <c r="FQ53" s="4">
        <v>1.3762816631470907E-3</v>
      </c>
      <c r="FR53" s="4">
        <v>1.4888665402169705E-3</v>
      </c>
      <c r="FS53" s="4">
        <v>1.6090189761226903E-3</v>
      </c>
      <c r="FT53" s="4">
        <v>1.7377818946508325E-3</v>
      </c>
      <c r="FU53" s="4">
        <v>1.8763396727825028E-3</v>
      </c>
      <c r="FV53" s="4">
        <v>2.0260521757635903E-3</v>
      </c>
      <c r="FW53" s="4">
        <v>2.188496210190724E-3</v>
      </c>
      <c r="FX53" s="4">
        <v>2.365517073215619E-3</v>
      </c>
      <c r="FY53" s="4">
        <v>2.5592937466930778E-3</v>
      </c>
      <c r="FZ53" s="4">
        <v>2.7724225818802546E-3</v>
      </c>
      <c r="GA53" s="4">
        <v>3.0080262426957867E-3</v>
      </c>
      <c r="GB53" s="4">
        <v>3.2698975495936227E-3</v>
      </c>
      <c r="GC53" s="4">
        <v>3.562692225532205E-3</v>
      </c>
      <c r="GD53" s="4">
        <v>3.8921912811551557E-3</v>
      </c>
      <c r="GE53" s="4">
        <v>4.2656644089284707E-3</v>
      </c>
      <c r="GF53" s="4">
        <v>4.6923829532116027E-3</v>
      </c>
      <c r="GG53" s="4">
        <v>5.1843596103236236E-3</v>
      </c>
      <c r="GH53" s="4">
        <v>5.7574410224659894E-3</v>
      </c>
      <c r="GI53" s="4">
        <v>6.4329664464603982E-3</v>
      </c>
      <c r="GJ53" s="4">
        <v>7.2403664847513656E-3</v>
      </c>
      <c r="GK53" s="4">
        <v>8.221387079637368E-3</v>
      </c>
      <c r="GL53" s="4">
        <v>9.4372596850389907E-3</v>
      </c>
      <c r="GM53" s="4">
        <v>1.0981522168374188E-2</v>
      </c>
      <c r="GN53" s="4">
        <v>1.3004457453394565E-2</v>
      </c>
      <c r="GO53" s="4">
        <v>1.5763403471209969E-2</v>
      </c>
      <c r="GP53" s="4">
        <v>1.9739841772164323E-2</v>
      </c>
      <c r="GQ53" s="4">
        <v>2.5912368153820878E-2</v>
      </c>
      <c r="GR53" s="4">
        <v>3.7219607057700159E-2</v>
      </c>
      <c r="GS53" s="4">
        <v>5.4495768029081085E-2</v>
      </c>
      <c r="GT53" s="4">
        <v>0.24509912966109584</v>
      </c>
      <c r="GU53" s="4">
        <v>-0.25068817400371118</v>
      </c>
      <c r="GV53" s="4">
        <v>-6.0090037752279946E-2</v>
      </c>
      <c r="GW53" s="4">
        <v>-4.2824356463798112E-2</v>
      </c>
      <c r="GX53" s="4">
        <v>-3.1532908958560014E-2</v>
      </c>
      <c r="GY53" s="4">
        <v>-2.5381570594782549E-2</v>
      </c>
      <c r="GZ53" s="4">
        <v>-2.1431827436895687E-2</v>
      </c>
      <c r="HA53" s="4">
        <v>-1.8705216465386542E-2</v>
      </c>
      <c r="HB53" s="4">
        <v>-1.6720405478263124E-2</v>
      </c>
      <c r="HC53" s="4">
        <v>-1.5220212864739503E-2</v>
      </c>
      <c r="HD53" s="4">
        <v>-1.4054502984161485E-2</v>
      </c>
      <c r="HE53" s="4">
        <v>-1.3129849600451235E-2</v>
      </c>
      <c r="HF53" s="4">
        <v>-1.2385052897949536E-2</v>
      </c>
      <c r="HG53" s="4">
        <v>-1.1778244156518286E-2</v>
      </c>
      <c r="HH53" s="4">
        <v>-1.1279589080355715E-2</v>
      </c>
      <c r="HI53" s="4">
        <v>-1.0866844867913457E-2</v>
      </c>
      <c r="HJ53" s="4">
        <v>-1.0522373369198932E-2</v>
      </c>
      <c r="HK53" s="4">
        <v>-1.0230772981912351E-2</v>
      </c>
      <c r="HL53" s="4">
        <v>-9.9764382585233197E-3</v>
      </c>
      <c r="HM53" s="4">
        <v>-9.7401330739528245E-3</v>
      </c>
      <c r="HN53" s="4">
        <v>-9.4927797544768714E-3</v>
      </c>
      <c r="HO53" s="4">
        <v>-9.1821056167074241E-3</v>
      </c>
      <c r="HP53" s="4">
        <v>-8.6984036057955114E-3</v>
      </c>
      <c r="HQ53" s="4">
        <v>-7.7930142212711238E-3</v>
      </c>
      <c r="HR53" s="4">
        <v>-5.4881392227369916E-3</v>
      </c>
      <c r="HS53" s="4">
        <v>-2.585820260933301E-3</v>
      </c>
      <c r="HT53" s="4">
        <v>8.0848261016711151E-2</v>
      </c>
      <c r="HU53" s="4">
        <v>-0.22683001562943184</v>
      </c>
    </row>
    <row r="54" spans="4:229" x14ac:dyDescent="0.25">
      <c r="D54" s="10">
        <v>45</v>
      </c>
      <c r="E54" s="5">
        <f>'N70'!E61-'N70'!E60</f>
        <v>1.4285714285714235E-2</v>
      </c>
      <c r="F54" s="5">
        <f>'N70'!H60-'N70'!$E$16</f>
        <v>0.63571428571428568</v>
      </c>
      <c r="G54" s="5">
        <f>'N70'!H60-'N70'!$E$17</f>
        <v>0.62142857142857144</v>
      </c>
      <c r="H54" s="5">
        <f>'N70'!H60-'N70'!$E$18</f>
        <v>0.6071428571428571</v>
      </c>
      <c r="I54" s="5">
        <f>'N70'!H60-'N70'!$E$19</f>
        <v>0.59285714285714286</v>
      </c>
      <c r="J54" s="5">
        <f>'N70'!H60-'N70'!$E$20</f>
        <v>0.57857142857142851</v>
      </c>
      <c r="K54" s="5">
        <f>'N70'!H60-'N70'!$E$21</f>
        <v>0.56428571428571428</v>
      </c>
      <c r="L54" s="5">
        <f>'N70'!H60-'N70'!$E$22</f>
        <v>0.54999999999999993</v>
      </c>
      <c r="M54" s="5">
        <f>'N70'!H60-'N70'!$E$23</f>
        <v>0.5357142857142857</v>
      </c>
      <c r="N54" s="5">
        <f>'N70'!H60-'N70'!$E$24</f>
        <v>0.52142857142857135</v>
      </c>
      <c r="O54" s="5">
        <f>'N70'!H60-'N70'!$E$25</f>
        <v>0.50714285714285712</v>
      </c>
      <c r="P54" s="5">
        <f>'N70'!H60-'N70'!$E$26</f>
        <v>0.49285714285714283</v>
      </c>
      <c r="Q54" s="5">
        <f>'N70'!H60-'N70'!$E$27</f>
        <v>0.47857142857142854</v>
      </c>
      <c r="R54" s="5">
        <f>'N70'!H60-'N70'!$E$28</f>
        <v>0.46428571428571425</v>
      </c>
      <c r="S54" s="5">
        <f>'N70'!H60-'N70'!$E$29</f>
        <v>0.44999999999999996</v>
      </c>
      <c r="T54" s="5">
        <f>'N70'!H60-'N70'!$E$30</f>
        <v>0.43571428571428572</v>
      </c>
      <c r="U54" s="5">
        <f>'N70'!H60-'N70'!$E$31</f>
        <v>0.42142857142857137</v>
      </c>
      <c r="V54" s="5">
        <f>'N70'!H60-'N70'!$E$32</f>
        <v>0.40714285714285714</v>
      </c>
      <c r="W54" s="5">
        <f>'N70'!H60-'N70'!$E$33</f>
        <v>0.39285714285714279</v>
      </c>
      <c r="X54" s="5">
        <f>'N70'!H60-'N70'!$E$34</f>
        <v>0.37857142857142856</v>
      </c>
      <c r="Y54" s="5">
        <f>'N70'!H60-'N70'!$E$35</f>
        <v>0.36428571428571427</v>
      </c>
      <c r="Z54" s="5">
        <f>'N70'!H60-'N70'!$E$36</f>
        <v>0.35</v>
      </c>
      <c r="AA54" s="5">
        <f>'N70'!H60-'N70'!$E$37</f>
        <v>0.33571428571428569</v>
      </c>
      <c r="AB54" s="5">
        <f>'N70'!H60-'N70'!$E$38</f>
        <v>0.3214285714285714</v>
      </c>
      <c r="AC54" s="5">
        <f>'N70'!H60-'N70'!$E$39</f>
        <v>0.30714285714285711</v>
      </c>
      <c r="AD54" s="5">
        <f>'N70'!H60-'N70'!$E$40</f>
        <v>0.29285714285714282</v>
      </c>
      <c r="AE54" s="5">
        <f>'N70'!H60-'N70'!$E$41</f>
        <v>0.27857142857142853</v>
      </c>
      <c r="AF54" s="5">
        <f>'N70'!H60-'N70'!$E$42</f>
        <v>0.26428571428571423</v>
      </c>
      <c r="AG54" s="5">
        <f>'N70'!H60-'N70'!$E$43</f>
        <v>0.25</v>
      </c>
      <c r="AH54" s="5">
        <f>'N70'!H60-'N70'!$E$44</f>
        <v>0.23571428571428571</v>
      </c>
      <c r="AI54" s="5">
        <f>'N70'!H60-'N70'!$E$45</f>
        <v>0.22142857142857142</v>
      </c>
      <c r="AJ54" s="5">
        <f>'N70'!H60-'N70'!$E$46</f>
        <v>0.20714285714285713</v>
      </c>
      <c r="AK54" s="5">
        <f>'N70'!H60-'N70'!$E$47</f>
        <v>0.19285714285714284</v>
      </c>
      <c r="AL54" s="5">
        <f>'N70'!H60-'N70'!$E$48</f>
        <v>0.17857142857142855</v>
      </c>
      <c r="AM54" s="5">
        <f>'N70'!H60-'N70'!$E$49</f>
        <v>0.16428571428571426</v>
      </c>
      <c r="AN54" s="5">
        <f>'N70'!H60-'N70'!$E$50</f>
        <v>0.14999999999999997</v>
      </c>
      <c r="AO54" s="5">
        <f>'N70'!H60-'N70'!$E$51</f>
        <v>0.13571428571428568</v>
      </c>
      <c r="AP54" s="5">
        <f>'N70'!H60-'N70'!$E$52</f>
        <v>0.12142857142857144</v>
      </c>
      <c r="AQ54" s="5">
        <f>'N70'!H60-'N70'!$E$53</f>
        <v>0.1071428571428571</v>
      </c>
      <c r="AR54" s="5">
        <f>'N70'!H60-'N70'!$E$54</f>
        <v>9.285714285714286E-2</v>
      </c>
      <c r="AS54" s="5">
        <f>'N70'!H60-'N70'!$E$55</f>
        <v>7.8571428571428514E-2</v>
      </c>
      <c r="AT54" s="5">
        <f>'N70'!H60-'N70'!$E$56</f>
        <v>6.4285714285714279E-2</v>
      </c>
      <c r="AU54" s="5">
        <f>'N70'!H60-'N70'!$E$57</f>
        <v>4.9999999999999933E-2</v>
      </c>
      <c r="AV54" s="5">
        <f>'N70'!H60-'N70'!$E$58</f>
        <v>3.5714285714285698E-2</v>
      </c>
      <c r="AW54" s="5">
        <f>'N70'!H60-'N70'!$E$59</f>
        <v>2.1428571428571463E-2</v>
      </c>
      <c r="AX54" s="5">
        <f>'N70'!H60-'N70'!$E$60</f>
        <v>7.1428571428571175E-3</v>
      </c>
      <c r="AY54" s="5">
        <f>'N70'!H60-'N70'!$E$61</f>
        <v>-7.1428571428571175E-3</v>
      </c>
      <c r="AZ54" s="5">
        <f>'N70'!H60-'N70'!$E$62</f>
        <v>-2.1428571428571463E-2</v>
      </c>
      <c r="BA54" s="5">
        <f>'N70'!H60-'N70'!$E$63</f>
        <v>-3.5714285714285698E-2</v>
      </c>
      <c r="BB54" s="5">
        <f>'N70'!H60-'N70'!$E$64</f>
        <v>-5.0000000000000044E-2</v>
      </c>
      <c r="BC54" s="5">
        <f>'N70'!H60-'N70'!$E$65</f>
        <v>-6.4285714285714279E-2</v>
      </c>
      <c r="BD54" s="5">
        <f>'N70'!H60-'N70'!$E$66</f>
        <v>-7.8571428571428625E-2</v>
      </c>
      <c r="BE54" s="5">
        <f>'N70'!H60-'N70'!$E$67</f>
        <v>-9.285714285714286E-2</v>
      </c>
      <c r="BF54" s="5">
        <f>'N70'!H60-'N70'!$E$68</f>
        <v>-0.10714285714285721</v>
      </c>
      <c r="BG54" s="5">
        <f>'N70'!H60-'N70'!$E$69</f>
        <v>-0.12142857142857144</v>
      </c>
      <c r="BH54" s="5">
        <f>'N70'!H60-'N70'!$E$70</f>
        <v>-0.13571428571428568</v>
      </c>
      <c r="BI54" s="5">
        <f>'N70'!H60-'N70'!$E$71</f>
        <v>-0.15000000000000002</v>
      </c>
      <c r="BJ54" s="5">
        <f>'N70'!H60-'N70'!$E$72</f>
        <v>-0.16428571428571426</v>
      </c>
      <c r="BK54" s="5">
        <f>'N70'!H60-'N70'!$E$73</f>
        <v>-0.1785714285714286</v>
      </c>
      <c r="BL54" s="5">
        <f>'N70'!H60-'N70'!$E$74</f>
        <v>-0.19285714285714284</v>
      </c>
      <c r="BM54" s="5">
        <f>'N70'!H60-'N70'!$E$75</f>
        <v>-0.20714285714285718</v>
      </c>
      <c r="BN54" s="5">
        <f>'N70'!H60-'N70'!$E$76</f>
        <v>-0.22142857142857142</v>
      </c>
      <c r="BO54" s="5">
        <f>'N70'!H60-'N70'!$E$77</f>
        <v>-0.23571428571428577</v>
      </c>
      <c r="BP54" s="5">
        <f>'N70'!H60-'N70'!$E$78</f>
        <v>-0.25</v>
      </c>
      <c r="BQ54" s="5">
        <f>'N70'!H60-'N70'!$E$79</f>
        <v>-0.26428571428571435</v>
      </c>
      <c r="BR54" s="5">
        <f>'N70'!H60-'N70'!$E$80</f>
        <v>-0.27857142857142858</v>
      </c>
      <c r="BS54" s="5">
        <f>'N70'!H60-'N70'!$E$81</f>
        <v>-0.29285714285714282</v>
      </c>
      <c r="BT54" s="5">
        <f>'N70'!H60-'N70'!$E$82</f>
        <v>-0.30714285714285716</v>
      </c>
      <c r="BU54" s="5">
        <f>'N70'!H60-'N70'!$E$83</f>
        <v>-0.3214285714285714</v>
      </c>
      <c r="BV54" s="5">
        <f>'N70'!H60-'N70'!$E$84</f>
        <v>-0.33571428571428574</v>
      </c>
      <c r="BW54" s="5">
        <f>'N70'!H60-'N70'!$E$85</f>
        <v>-0.35</v>
      </c>
      <c r="BX54" s="5">
        <v>-1</v>
      </c>
      <c r="BZ54">
        <v>45</v>
      </c>
      <c r="CA54" s="5">
        <f>N70_DESARROLLO!CE139+N70_DESARROLLO!H139</f>
        <v>-1.1321058352732338E-2</v>
      </c>
      <c r="CB54" s="5">
        <f>N70_DESARROLLO!CF139+N70_DESARROLLO!I139</f>
        <v>-2.2990531429693095E-2</v>
      </c>
      <c r="CC54" s="5">
        <f>N70_DESARROLLO!CG139+N70_DESARROLLO!J139</f>
        <v>-2.3531583826945979E-2</v>
      </c>
      <c r="CD54" s="5">
        <f>N70_DESARROLLO!CH139+N70_DESARROLLO!K139</f>
        <v>-2.4098718436559308E-2</v>
      </c>
      <c r="CE54" s="5">
        <f>N70_DESARROLLO!CI139+N70_DESARROLLO!L139</f>
        <v>-2.4693868032508171E-2</v>
      </c>
      <c r="CF54" s="5">
        <f>N70_DESARROLLO!CJ139+N70_DESARROLLO!M139</f>
        <v>-2.5319161212273178E-2</v>
      </c>
      <c r="CG54" s="5">
        <f>N70_DESARROLLO!CK139+N70_DESARROLLO!N139</f>
        <v>-2.5976947844882692E-2</v>
      </c>
      <c r="CH54" s="5">
        <f>N70_DESARROLLO!CL139+N70_DESARROLLO!O139</f>
        <v>-2.6669828593211653E-2</v>
      </c>
      <c r="CI54" s="5">
        <f>N70_DESARROLLO!CM139+N70_DESARROLLO!P139</f>
        <v>-2.740068929380679E-2</v>
      </c>
      <c r="CJ54" s="5">
        <f>N70_DESARROLLO!CN139+N70_DESARROLLO!Q139</f>
        <v>-2.8172741151781922E-2</v>
      </c>
      <c r="CK54" s="5">
        <f>N70_DESARROLLO!CO139+N70_DESARROLLO!R139</f>
        <v>-2.8989567932952598E-2</v>
      </c>
      <c r="CL54" s="5">
        <f>N70_DESARROLLO!CP139+N70_DESARROLLO!S139</f>
        <v>-2.9855181616034066E-2</v>
      </c>
      <c r="CM54" s="5">
        <f>N70_DESARROLLO!CQ139+N70_DESARROLLO!T139</f>
        <v>-3.0774088329711402E-2</v>
      </c>
      <c r="CN54" s="5">
        <f>N70_DESARROLLO!CR139+N70_DESARROLLO!U139</f>
        <v>-3.1751366862670549E-2</v>
      </c>
      <c r="CO54" s="5">
        <f>N70_DESARROLLO!CS139+N70_DESARROLLO!V139</f>
        <v>-3.2792762635864614E-2</v>
      </c>
      <c r="CP54" s="5">
        <f>N70_DESARROLLO!CT139+N70_DESARROLLO!W139</f>
        <v>-3.3904800811328184E-2</v>
      </c>
      <c r="CQ54" s="5">
        <f>N70_DESARROLLO!CU139+N70_DESARROLLO!X139</f>
        <v>-3.5094923244208154E-2</v>
      </c>
      <c r="CR54" s="5">
        <f>N70_DESARROLLO!CV139+N70_DESARROLLO!Y139</f>
        <v>-3.6371655357446464E-2</v>
      </c>
      <c r="CS54" s="5">
        <f>N70_DESARROLLO!CW139+N70_DESARROLLO!Z139</f>
        <v>-3.7744810855693589E-2</v>
      </c>
      <c r="CT54" s="5">
        <f>N70_DESARROLLO!CX139+N70_DESARROLLO!AA139</f>
        <v>-3.9225744685481789E-2</v>
      </c>
      <c r="CU54" s="5">
        <f>N70_DESARROLLO!CY139+N70_DESARROLLO!AB139</f>
        <v>-4.0827668052531574E-2</v>
      </c>
      <c r="CV54" s="5">
        <f>N70_DESARROLLO!CZ139+N70_DESARROLLO!AC139</f>
        <v>-4.2566044021113636E-2</v>
      </c>
      <c r="CW54" s="5">
        <f>N70_DESARROLLO!DA139+N70_DESARROLLO!AD139</f>
        <v>-4.4459088822761617E-2</v>
      </c>
      <c r="CX54" s="5">
        <f>N70_DESARROLLO!DB139+N70_DESARROLLO!AE139</f>
        <v>-4.652841337789082E-2</v>
      </c>
      <c r="CY54" s="5">
        <f>N70_DESARROLLO!DC139+N70_DESARROLLO!AF139</f>
        <v>-4.8799853039073193E-2</v>
      </c>
      <c r="CZ54" s="5">
        <f>N70_DESARROLLO!DD139+N70_DESARROLLO!AG139</f>
        <v>-5.1304553326342761E-2</v>
      </c>
      <c r="DA54" s="5">
        <f>N70_DESARROLLO!DE139+N70_DESARROLLO!AH139</f>
        <v>-5.4080408838153127E-2</v>
      </c>
      <c r="DB54" s="5">
        <f>N70_DESARROLLO!DF139+N70_DESARROLLO!AI139</f>
        <v>-5.7173997129072562E-2</v>
      </c>
      <c r="DC54" s="5">
        <f>N70_DESARROLLO!DG139+N70_DESARROLLO!AJ139</f>
        <v>-6.0643218403522159E-2</v>
      </c>
      <c r="DD54" s="5">
        <f>N70_DESARROLLO!DH139+N70_DESARROLLO!AK139</f>
        <v>-6.4560961252483229E-2</v>
      </c>
      <c r="DE54" s="5">
        <f>N70_DESARROLLO!DI139+N70_DESARROLLO!AL139</f>
        <v>-6.902029235086915E-2</v>
      </c>
      <c r="DF54" s="5">
        <f>N70_DESARROLLO!DJ139+N70_DESARROLLO!AM139</f>
        <v>-7.4141965022337386E-2</v>
      </c>
      <c r="DG54" s="5">
        <f>N70_DESARROLLO!DK139+N70_DESARROLLO!AN139</f>
        <v>-8.0085554140355564E-2</v>
      </c>
      <c r="DH54" s="5">
        <f>N70_DESARROLLO!DL139+N70_DESARROLLO!AO139</f>
        <v>-8.7066442319337245E-2</v>
      </c>
      <c r="DI54" s="5">
        <f>N70_DESARROLLO!DM139+N70_DESARROLLO!AP139</f>
        <v>-9.5382594982174607E-2</v>
      </c>
      <c r="DJ54" s="5">
        <f>N70_DESARROLLO!DN139+N70_DESARROLLO!AQ139</f>
        <v>-0.1054584185205818</v>
      </c>
      <c r="DK54" s="5">
        <f>N70_DESARROLLO!DO139+N70_DESARROLLO!AR139</f>
        <v>-0.11791996375047831</v>
      </c>
      <c r="DL54" s="5">
        <f>N70_DESARROLLO!DP139+N70_DESARROLLO!AS139</f>
        <v>-0.13373123411930654</v>
      </c>
      <c r="DM54" s="5">
        <f>N70_DESARROLLO!DQ139+N70_DESARROLLO!AT139</f>
        <v>-0.15445886474680592</v>
      </c>
      <c r="DN54" s="5">
        <f>N70_DESARROLLO!DR139+N70_DESARROLLO!AU139</f>
        <v>-0.18283342438757666</v>
      </c>
      <c r="DO54" s="5">
        <f>N70_DESARROLLO!DS139+N70_DESARROLLO!AV139</f>
        <v>-0.22408833054041921</v>
      </c>
      <c r="DP54" s="5">
        <f>N70_DESARROLLO!DT139+N70_DESARROLLO!AW139</f>
        <v>-0.28973434150574007</v>
      </c>
      <c r="DQ54" s="5">
        <f>N70_DESARROLLO!DU139+N70_DESARROLLO!AX139</f>
        <v>-0.41141440075354385</v>
      </c>
      <c r="DR54" s="5">
        <f>N70_DESARROLLO!DV139+N70_DESARROLLO!AY139</f>
        <v>-0.72775792963607455</v>
      </c>
      <c r="DS54" s="5">
        <f>N70_DESARROLLO!DW139+N70_DESARROLLO!AZ139</f>
        <v>-1.6479184659605444</v>
      </c>
      <c r="DT54" s="5">
        <f>N70_DESARROLLO!DX139+N70_DESARROLLO!BA139</f>
        <v>1.6479184659605444</v>
      </c>
      <c r="DU54" s="5">
        <f>N70_DESARROLLO!DY139+N70_DESARROLLO!BB139</f>
        <v>0.72775792963607433</v>
      </c>
      <c r="DV54" s="5">
        <f>N70_DESARROLLO!DZ139+N70_DESARROLLO!BC139</f>
        <v>0.41141440075355495</v>
      </c>
      <c r="DW54" s="5">
        <f>N70_DESARROLLO!EA139+N70_DESARROLLO!BD139</f>
        <v>0.2897343415057243</v>
      </c>
      <c r="DX54" s="5">
        <f>N70_DESARROLLO!EB139+N70_DESARROLLO!BE139</f>
        <v>0.22408833054043464</v>
      </c>
      <c r="DY54" s="5">
        <f>N70_DESARROLLO!EC139+N70_DESARROLLO!BF139</f>
        <v>0.18283342438756045</v>
      </c>
      <c r="DZ54" s="5">
        <f>N70_DESARROLLO!ED139+N70_DESARROLLO!BG139</f>
        <v>0.1544588647468208</v>
      </c>
      <c r="EA54" s="5">
        <f>N70_DESARROLLO!EE139+N70_DESARROLLO!BH139</f>
        <v>0.13373123411929266</v>
      </c>
      <c r="EB54" s="5">
        <f>N70_DESARROLLO!EF139+N70_DESARROLLO!BI139</f>
        <v>0.11791996375048441</v>
      </c>
      <c r="EC54" s="5">
        <f>N70_DESARROLLO!EG139+N70_DESARROLLO!BJ139</f>
        <v>0.10545841852058624</v>
      </c>
      <c r="ED54" s="5">
        <f>N70_DESARROLLO!EH139+N70_DESARROLLO!BK139</f>
        <v>9.5382594982166613E-2</v>
      </c>
      <c r="EE54" s="5">
        <f>N70_DESARROLLO!EI139+N70_DESARROLLO!BL139</f>
        <v>8.7066442319344683E-2</v>
      </c>
      <c r="EF54" s="5">
        <f>N70_DESARROLLO!EJ139+N70_DESARROLLO!BM139</f>
        <v>8.0085554140347681E-2</v>
      </c>
      <c r="EG54" s="5">
        <f>N70_DESARROLLO!EK139+N70_DESARROLLO!BN139</f>
        <v>7.4141965022345824E-2</v>
      </c>
      <c r="EH54" s="5">
        <f>N70_DESARROLLO!EL139+N70_DESARROLLO!BO139</f>
        <v>6.9020292350860046E-2</v>
      </c>
      <c r="EI54" s="5">
        <f>N70_DESARROLLO!EM139+N70_DESARROLLO!BP139</f>
        <v>6.4560961252489446E-2</v>
      </c>
      <c r="EJ54" s="5">
        <f>N70_DESARROLLO!EN139+N70_DESARROLLO!BQ139</f>
        <v>6.0643218403515942E-2</v>
      </c>
      <c r="EK54" s="5">
        <f>N70_DESARROLLO!EO139+N70_DESARROLLO!BR139</f>
        <v>5.7173997129085885E-2</v>
      </c>
      <c r="EL54" s="5">
        <f>N70_DESARROLLO!EP139+N70_DESARROLLO!BS139</f>
        <v>5.4080408838142358E-2</v>
      </c>
      <c r="EM54" s="5">
        <f>N70_DESARROLLO!EQ139+N70_DESARROLLO!BT139</f>
        <v>5.130455332634043E-2</v>
      </c>
      <c r="EN54" s="5">
        <f>N70_DESARROLLO!ER139+N70_DESARROLLO!BU139</f>
        <v>4.8799853039083518E-2</v>
      </c>
      <c r="EO54" s="5">
        <f>N70_DESARROLLO!ES139+N70_DESARROLLO!BV139</f>
        <v>4.6528413377880606E-2</v>
      </c>
      <c r="EP54" s="5">
        <f>N70_DESARROLLO!ET139+N70_DESARROLLO!BW139</f>
        <v>4.4459088822771053E-2</v>
      </c>
      <c r="EQ54" s="5">
        <f>N70_DESARROLLO!EU139+N70_DESARROLLO!BX139</f>
        <v>4.2566044021103977E-2</v>
      </c>
      <c r="ER54" s="5">
        <f>N70_DESARROLLO!EV139+N70_DESARROLLO!BY139</f>
        <v>72.508241799658933</v>
      </c>
      <c r="FC54">
        <v>45</v>
      </c>
      <c r="FD54" s="4">
        <v>1.3976322235444778E-4</v>
      </c>
      <c r="FE54" s="4">
        <v>2.8164623028072324E-4</v>
      </c>
      <c r="FF54" s="4">
        <v>3.747932993503892E-4</v>
      </c>
      <c r="FG54" s="4">
        <v>4.5835389526482066E-4</v>
      </c>
      <c r="FH54" s="4">
        <v>5.3712885311887177E-4</v>
      </c>
      <c r="FI54" s="4">
        <v>6.1399185098408998E-4</v>
      </c>
      <c r="FJ54" s="4">
        <v>6.9059017332717221E-4</v>
      </c>
      <c r="FK54" s="4">
        <v>7.6805850537286905E-4</v>
      </c>
      <c r="FL54" s="4">
        <v>8.4727258043809704E-4</v>
      </c>
      <c r="FM54" s="4">
        <v>9.289743346504553E-4</v>
      </c>
      <c r="FN54" s="4">
        <v>1.0138407581244432E-3</v>
      </c>
      <c r="FO54" s="4">
        <v>1.1025266340062387E-3</v>
      </c>
      <c r="FP54" s="4">
        <v>1.1956943427980367E-3</v>
      </c>
      <c r="FQ54" s="4">
        <v>1.2940372653356125E-3</v>
      </c>
      <c r="FR54" s="4">
        <v>1.3983003944524808E-3</v>
      </c>
      <c r="FS54" s="4">
        <v>1.509300416150273E-3</v>
      </c>
      <c r="FT54" s="4">
        <v>1.6279469070012299E-3</v>
      </c>
      <c r="FU54" s="4">
        <v>1.7552660678073111E-3</v>
      </c>
      <c r="FV54" s="4">
        <v>1.8924284267816281E-3</v>
      </c>
      <c r="FW54" s="4">
        <v>2.0407821449660779E-3</v>
      </c>
      <c r="FX54" s="4">
        <v>2.2018939386644078E-3</v>
      </c>
      <c r="FY54" s="4">
        <v>2.3776002339884225E-3</v>
      </c>
      <c r="FZ54" s="4">
        <v>2.5700720610998783E-3</v>
      </c>
      <c r="GA54" s="4">
        <v>2.7818985059523695E-3</v>
      </c>
      <c r="GB54" s="4">
        <v>3.0161954684944162E-3</v>
      </c>
      <c r="GC54" s="4">
        <v>3.2767493560603351E-3</v>
      </c>
      <c r="GD54" s="4">
        <v>3.5682097038356045E-3</v>
      </c>
      <c r="GE54" s="4">
        <v>3.8963514525558467E-3</v>
      </c>
      <c r="GF54" s="4">
        <v>4.268438247894169E-3</v>
      </c>
      <c r="GG54" s="4">
        <v>4.6937353246421327E-3</v>
      </c>
      <c r="GH54" s="4">
        <v>5.1842491265343491E-3</v>
      </c>
      <c r="GI54" s="4">
        <v>5.7558198231831802E-3</v>
      </c>
      <c r="GJ54" s="4">
        <v>6.4297799030479542E-3</v>
      </c>
      <c r="GK54" s="4">
        <v>7.2355528282054393E-3</v>
      </c>
      <c r="GL54" s="4">
        <v>8.2148769505644564E-3</v>
      </c>
      <c r="GM54" s="4">
        <v>9.4289756027374737E-3</v>
      </c>
      <c r="GN54" s="4">
        <v>1.0971377915373004E-2</v>
      </c>
      <c r="GO54" s="4">
        <v>1.2992357371405021E-2</v>
      </c>
      <c r="GP54" s="4">
        <v>1.574924166463244E-2</v>
      </c>
      <c r="GQ54" s="4">
        <v>1.9723501216341362E-2</v>
      </c>
      <c r="GR54" s="4">
        <v>2.5893719707376264E-2</v>
      </c>
      <c r="GS54" s="4">
        <v>3.7198508382687026E-2</v>
      </c>
      <c r="GT54" s="4">
        <v>5.4472062429722412E-2</v>
      </c>
      <c r="GU54" s="4">
        <v>0.24507264486405544</v>
      </c>
      <c r="GV54" s="4">
        <v>-0.25071762708537304</v>
      </c>
      <c r="GW54" s="4">
        <v>-6.0122666198183343E-2</v>
      </c>
      <c r="GX54" s="4">
        <v>-4.2860386345533921E-2</v>
      </c>
      <c r="GY54" s="4">
        <v>-3.1572585957327683E-2</v>
      </c>
      <c r="GZ54" s="4">
        <v>-2.5425159908239802E-2</v>
      </c>
      <c r="HA54" s="4">
        <v>-2.1479612440653714E-2</v>
      </c>
      <c r="HB54" s="4">
        <v>-1.8757495258097619E-2</v>
      </c>
      <c r="HC54" s="4">
        <v>-1.6777483882269732E-2</v>
      </c>
      <c r="HD54" s="4">
        <v>-1.5282391516149832E-2</v>
      </c>
      <c r="HE54" s="4">
        <v>-1.4122054538000105E-2</v>
      </c>
      <c r="HF54" s="4">
        <v>-1.3202979257865618E-2</v>
      </c>
      <c r="HG54" s="4">
        <v>-1.2463830398880204E-2</v>
      </c>
      <c r="HH54" s="4">
        <v>-1.1862486017916443E-2</v>
      </c>
      <c r="HI54" s="4">
        <v>-1.1368651960911736E-2</v>
      </c>
      <c r="HJ54" s="4">
        <v>-1.0959255377934707E-2</v>
      </c>
      <c r="HK54" s="4">
        <v>-1.0615145731637011E-2</v>
      </c>
      <c r="HL54" s="4">
        <v>-1.0318103937454482E-2</v>
      </c>
      <c r="HM54" s="4">
        <v>-1.0047090567171426E-2</v>
      </c>
      <c r="HN54" s="4">
        <v>-9.7718614705091487E-3</v>
      </c>
      <c r="HO54" s="4">
        <v>-9.43957418669337E-3</v>
      </c>
      <c r="HP54" s="4">
        <v>-8.940701824398524E-3</v>
      </c>
      <c r="HQ54" s="4">
        <v>-8.0280373786771383E-3</v>
      </c>
      <c r="HR54" s="4">
        <v>-5.729616246331979E-3</v>
      </c>
      <c r="HS54" s="4">
        <v>-2.8489382971207807E-3</v>
      </c>
      <c r="HT54" s="4">
        <v>8.018839492067574E-2</v>
      </c>
      <c r="HU54" s="4">
        <v>-0.22641137796836996</v>
      </c>
    </row>
    <row r="55" spans="4:229" x14ac:dyDescent="0.25">
      <c r="D55" s="10">
        <v>46</v>
      </c>
      <c r="E55" s="5">
        <f>'N70'!E62-'N70'!E61</f>
        <v>1.4285714285714346E-2</v>
      </c>
      <c r="F55" s="5">
        <f>'N70'!H61-'N70'!$E$16</f>
        <v>0.64999999999999991</v>
      </c>
      <c r="G55" s="5">
        <f>'N70'!H61-'N70'!$E$17</f>
        <v>0.63571428571428568</v>
      </c>
      <c r="H55" s="5">
        <f>'N70'!H61-'N70'!$E$18</f>
        <v>0.62142857142857133</v>
      </c>
      <c r="I55" s="5">
        <f>'N70'!H61-'N70'!$E$19</f>
        <v>0.6071428571428571</v>
      </c>
      <c r="J55" s="5">
        <f>'N70'!H61-'N70'!$E$20</f>
        <v>0.59285714285714275</v>
      </c>
      <c r="K55" s="5">
        <f>'N70'!H61-'N70'!$E$21</f>
        <v>0.57857142857142851</v>
      </c>
      <c r="L55" s="5">
        <f>'N70'!H61-'N70'!$E$22</f>
        <v>0.56428571428571417</v>
      </c>
      <c r="M55" s="5">
        <f>'N70'!H61-'N70'!$E$23</f>
        <v>0.54999999999999993</v>
      </c>
      <c r="N55" s="5">
        <f>'N70'!H61-'N70'!$E$24</f>
        <v>0.53571428571428559</v>
      </c>
      <c r="O55" s="5">
        <f>'N70'!H61-'N70'!$E$25</f>
        <v>0.52142857142857135</v>
      </c>
      <c r="P55" s="5">
        <f>'N70'!H61-'N70'!$E$26</f>
        <v>0.50714285714285712</v>
      </c>
      <c r="Q55" s="5">
        <f>'N70'!H61-'N70'!$E$27</f>
        <v>0.49285714285714277</v>
      </c>
      <c r="R55" s="5">
        <f>'N70'!H61-'N70'!$E$28</f>
        <v>0.47857142857142848</v>
      </c>
      <c r="S55" s="5">
        <f>'N70'!H61-'N70'!$E$29</f>
        <v>0.46428571428571419</v>
      </c>
      <c r="T55" s="5">
        <f>'N70'!H61-'N70'!$E$30</f>
        <v>0.44999999999999996</v>
      </c>
      <c r="U55" s="5">
        <f>'N70'!H61-'N70'!$E$31</f>
        <v>0.43571428571428561</v>
      </c>
      <c r="V55" s="5">
        <f>'N70'!H61-'N70'!$E$32</f>
        <v>0.42142857142857137</v>
      </c>
      <c r="W55" s="5">
        <f>'N70'!H61-'N70'!$E$33</f>
        <v>0.40714285714285703</v>
      </c>
      <c r="X55" s="5">
        <f>'N70'!H61-'N70'!$E$34</f>
        <v>0.39285714285714279</v>
      </c>
      <c r="Y55" s="5">
        <f>'N70'!H61-'N70'!$E$35</f>
        <v>0.3785714285714285</v>
      </c>
      <c r="Z55" s="5">
        <f>'N70'!H61-'N70'!$E$36</f>
        <v>0.36428571428571421</v>
      </c>
      <c r="AA55" s="5">
        <f>'N70'!H61-'N70'!$E$37</f>
        <v>0.34999999999999992</v>
      </c>
      <c r="AB55" s="5">
        <f>'N70'!H61-'N70'!$E$38</f>
        <v>0.33571428571428563</v>
      </c>
      <c r="AC55" s="5">
        <f>'N70'!H61-'N70'!$E$39</f>
        <v>0.32142857142857134</v>
      </c>
      <c r="AD55" s="5">
        <f>'N70'!H61-'N70'!$E$40</f>
        <v>0.30714285714285705</v>
      </c>
      <c r="AE55" s="5">
        <f>'N70'!H61-'N70'!$E$41</f>
        <v>0.29285714285714276</v>
      </c>
      <c r="AF55" s="5">
        <f>'N70'!H61-'N70'!$E$42</f>
        <v>0.27857142857142847</v>
      </c>
      <c r="AG55" s="5">
        <f>'N70'!H61-'N70'!$E$43</f>
        <v>0.26428571428571423</v>
      </c>
      <c r="AH55" s="5">
        <f>'N70'!H61-'N70'!$E$44</f>
        <v>0.24999999999999994</v>
      </c>
      <c r="AI55" s="5">
        <f>'N70'!H61-'N70'!$E$45</f>
        <v>0.23571428571428565</v>
      </c>
      <c r="AJ55" s="5">
        <f>'N70'!H61-'N70'!$E$46</f>
        <v>0.22142857142857136</v>
      </c>
      <c r="AK55" s="5">
        <f>'N70'!H61-'N70'!$E$47</f>
        <v>0.20714285714285707</v>
      </c>
      <c r="AL55" s="5">
        <f>'N70'!H61-'N70'!$E$48</f>
        <v>0.19285714285714278</v>
      </c>
      <c r="AM55" s="5">
        <f>'N70'!H61-'N70'!$E$49</f>
        <v>0.17857142857142849</v>
      </c>
      <c r="AN55" s="5">
        <f>'N70'!H61-'N70'!$E$50</f>
        <v>0.1642857142857142</v>
      </c>
      <c r="AO55" s="5">
        <f>'N70'!H61-'N70'!$E$51</f>
        <v>0.14999999999999991</v>
      </c>
      <c r="AP55" s="5">
        <f>'N70'!H61-'N70'!$E$52</f>
        <v>0.13571428571428568</v>
      </c>
      <c r="AQ55" s="5">
        <f>'N70'!H61-'N70'!$E$53</f>
        <v>0.12142857142857133</v>
      </c>
      <c r="AR55" s="5">
        <f>'N70'!H61-'N70'!$E$54</f>
        <v>0.1071428571428571</v>
      </c>
      <c r="AS55" s="5">
        <f>'N70'!H61-'N70'!$E$55</f>
        <v>9.2857142857142749E-2</v>
      </c>
      <c r="AT55" s="5">
        <f>'N70'!H61-'N70'!$E$56</f>
        <v>7.8571428571428514E-2</v>
      </c>
      <c r="AU55" s="5">
        <f>'N70'!H61-'N70'!$E$57</f>
        <v>6.4285714285714168E-2</v>
      </c>
      <c r="AV55" s="5">
        <f>'N70'!H61-'N70'!$E$58</f>
        <v>4.9999999999999933E-2</v>
      </c>
      <c r="AW55" s="5">
        <f>'N70'!H61-'N70'!$E$59</f>
        <v>3.5714285714285698E-2</v>
      </c>
      <c r="AX55" s="5">
        <f>'N70'!H61-'N70'!$E$60</f>
        <v>2.1428571428571352E-2</v>
      </c>
      <c r="AY55" s="5">
        <f>'N70'!H61-'N70'!$E$61</f>
        <v>7.1428571428571175E-3</v>
      </c>
      <c r="AZ55" s="5">
        <f>'N70'!H61-'N70'!$E$62</f>
        <v>-7.1428571428572285E-3</v>
      </c>
      <c r="BA55" s="5">
        <f>'N70'!H61-'N70'!$E$63</f>
        <v>-2.1428571428571463E-2</v>
      </c>
      <c r="BB55" s="5">
        <f>'N70'!H61-'N70'!$E$64</f>
        <v>-3.5714285714285809E-2</v>
      </c>
      <c r="BC55" s="5">
        <f>'N70'!H61-'N70'!$E$65</f>
        <v>-5.0000000000000044E-2</v>
      </c>
      <c r="BD55" s="5">
        <f>'N70'!H61-'N70'!$E$66</f>
        <v>-6.428571428571439E-2</v>
      </c>
      <c r="BE55" s="5">
        <f>'N70'!H61-'N70'!$E$67</f>
        <v>-7.8571428571428625E-2</v>
      </c>
      <c r="BF55" s="5">
        <f>'N70'!H61-'N70'!$E$68</f>
        <v>-9.2857142857142971E-2</v>
      </c>
      <c r="BG55" s="5">
        <f>'N70'!H61-'N70'!$E$69</f>
        <v>-0.10714285714285721</v>
      </c>
      <c r="BH55" s="5">
        <f>'N70'!H61-'N70'!$E$70</f>
        <v>-0.12142857142857144</v>
      </c>
      <c r="BI55" s="5">
        <f>'N70'!H61-'N70'!$E$71</f>
        <v>-0.13571428571428579</v>
      </c>
      <c r="BJ55" s="5">
        <f>'N70'!H61-'N70'!$E$72</f>
        <v>-0.15000000000000002</v>
      </c>
      <c r="BK55" s="5">
        <f>'N70'!H61-'N70'!$E$73</f>
        <v>-0.16428571428571437</v>
      </c>
      <c r="BL55" s="5">
        <f>'N70'!H61-'N70'!$E$74</f>
        <v>-0.1785714285714286</v>
      </c>
      <c r="BM55" s="5">
        <f>'N70'!H61-'N70'!$E$75</f>
        <v>-0.19285714285714295</v>
      </c>
      <c r="BN55" s="5">
        <f>'N70'!H61-'N70'!$E$76</f>
        <v>-0.20714285714285718</v>
      </c>
      <c r="BO55" s="5">
        <f>'N70'!H61-'N70'!$E$77</f>
        <v>-0.22142857142857153</v>
      </c>
      <c r="BP55" s="5">
        <f>'N70'!H61-'N70'!$E$78</f>
        <v>-0.23571428571428577</v>
      </c>
      <c r="BQ55" s="5">
        <f>'N70'!H61-'N70'!$E$79</f>
        <v>-0.25000000000000011</v>
      </c>
      <c r="BR55" s="5">
        <f>'N70'!H61-'N70'!$E$80</f>
        <v>-0.26428571428571435</v>
      </c>
      <c r="BS55" s="5">
        <f>'N70'!H61-'N70'!$E$81</f>
        <v>-0.27857142857142858</v>
      </c>
      <c r="BT55" s="5">
        <f>'N70'!H61-'N70'!$E$82</f>
        <v>-0.29285714285714293</v>
      </c>
      <c r="BU55" s="5">
        <f>'N70'!H61-'N70'!$E$83</f>
        <v>-0.30714285714285716</v>
      </c>
      <c r="BV55" s="5">
        <f>'N70'!H61-'N70'!$E$84</f>
        <v>-0.32142857142857151</v>
      </c>
      <c r="BW55" s="5">
        <f>'N70'!H61-'N70'!$E$85</f>
        <v>-0.33571428571428574</v>
      </c>
      <c r="BX55" s="5">
        <v>-1</v>
      </c>
      <c r="BZ55">
        <v>46</v>
      </c>
      <c r="CA55" s="5">
        <f>N70_DESARROLLO!CE140+N70_DESARROLLO!H140</f>
        <v>-1.1070393301807369E-2</v>
      </c>
      <c r="CB55" s="5">
        <f>N70_DESARROLLO!CF140+N70_DESARROLLO!I140</f>
        <v>-2.2473802280093103E-2</v>
      </c>
      <c r="CC55" s="5">
        <f>N70_DESARROLLO!CG140+N70_DESARROLLO!J140</f>
        <v>-2.2990531429702865E-2</v>
      </c>
      <c r="CD55" s="5">
        <f>N70_DESARROLLO!CH140+N70_DESARROLLO!K140</f>
        <v>-2.3531583826931435E-2</v>
      </c>
      <c r="CE55" s="5">
        <f>N70_DESARROLLO!CI140+N70_DESARROLLO!L140</f>
        <v>-2.4098718436573519E-2</v>
      </c>
      <c r="CF55" s="5">
        <f>N70_DESARROLLO!CJ140+N70_DESARROLLO!M140</f>
        <v>-2.4693868032494404E-2</v>
      </c>
      <c r="CG55" s="5">
        <f>N70_DESARROLLO!CK140+N70_DESARROLLO!N140</f>
        <v>-2.5319161212291275E-2</v>
      </c>
      <c r="CH55" s="5">
        <f>N70_DESARROLLO!CL140+N70_DESARROLLO!O140</f>
        <v>-2.5976947844864928E-2</v>
      </c>
      <c r="CI55" s="5">
        <f>N70_DESARROLLO!CM140+N70_DESARROLLO!P140</f>
        <v>-2.6669828593224643E-2</v>
      </c>
      <c r="CJ55" s="5">
        <f>N70_DESARROLLO!CN140+N70_DESARROLLO!Q140</f>
        <v>-2.7400689293802127E-2</v>
      </c>
      <c r="CK55" s="5">
        <f>N70_DESARROLLO!CO140+N70_DESARROLLO!R140</f>
        <v>-2.8172741151778147E-2</v>
      </c>
      <c r="CL55" s="5">
        <f>N70_DESARROLLO!CP140+N70_DESARROLLO!S140</f>
        <v>-2.8989567932956817E-2</v>
      </c>
      <c r="CM55" s="5">
        <f>N70_DESARROLLO!CQ140+N70_DESARROLLO!T140</f>
        <v>-2.9855181616034066E-2</v>
      </c>
      <c r="CN55" s="5">
        <f>N70_DESARROLLO!CR140+N70_DESARROLLO!U140</f>
        <v>-3.0774088329714844E-2</v>
      </c>
      <c r="CO55" s="5">
        <f>N70_DESARROLLO!CS140+N70_DESARROLLO!V140</f>
        <v>-3.1751366862660002E-2</v>
      </c>
      <c r="CP55" s="5">
        <f>N70_DESARROLLO!CT140+N70_DESARROLLO!W140</f>
        <v>-3.2792762635878492E-2</v>
      </c>
      <c r="CQ55" s="5">
        <f>N70_DESARROLLO!CU140+N70_DESARROLLO!X140</f>
        <v>-3.3904800811314417E-2</v>
      </c>
      <c r="CR55" s="5">
        <f>N70_DESARROLLO!CV140+N70_DESARROLLO!Y140</f>
        <v>-3.5094923244221365E-2</v>
      </c>
      <c r="CS55" s="5">
        <f>N70_DESARROLLO!CW140+N70_DESARROLLO!Z140</f>
        <v>-3.6371655357436694E-2</v>
      </c>
      <c r="CT55" s="5">
        <f>N70_DESARROLLO!CX140+N70_DESARROLLO!AA140</f>
        <v>-3.7744810855697031E-2</v>
      </c>
      <c r="CU55" s="5">
        <f>N70_DESARROLLO!CY140+N70_DESARROLLO!AB140</f>
        <v>-3.9225744685481456E-2</v>
      </c>
      <c r="CV55" s="5">
        <f>N70_DESARROLLO!CZ140+N70_DESARROLLO!AC140</f>
        <v>-4.0827668052531463E-2</v>
      </c>
      <c r="CW55" s="5">
        <f>N70_DESARROLLO!DA140+N70_DESARROLLO!AD140</f>
        <v>-4.2566044021113747E-2</v>
      </c>
      <c r="CX55" s="5">
        <f>N70_DESARROLLO!DB140+N70_DESARROLLO!AE140</f>
        <v>-4.4459088822761506E-2</v>
      </c>
      <c r="CY55" s="5">
        <f>N70_DESARROLLO!DC140+N70_DESARROLLO!AF140</f>
        <v>-4.6528413377888156E-2</v>
      </c>
      <c r="CZ55" s="5">
        <f>N70_DESARROLLO!DD140+N70_DESARROLLO!AG140</f>
        <v>-4.8799853039075525E-2</v>
      </c>
      <c r="DA55" s="5">
        <f>N70_DESARROLLO!DE140+N70_DESARROLLO!AH140</f>
        <v>-5.1304553326346869E-2</v>
      </c>
      <c r="DB55" s="5">
        <f>N70_DESARROLLO!DF140+N70_DESARROLLO!AI140</f>
        <v>-5.4080408838144356E-2</v>
      </c>
      <c r="DC55" s="5">
        <f>N70_DESARROLLO!DG140+N70_DESARROLLO!AJ140</f>
        <v>-5.7173997129077003E-2</v>
      </c>
      <c r="DD55" s="5">
        <f>N70_DESARROLLO!DH140+N70_DESARROLLO!AK140</f>
        <v>-6.0643218403522159E-2</v>
      </c>
      <c r="DE55" s="5">
        <f>N70_DESARROLLO!DI140+N70_DESARROLLO!AL140</f>
        <v>-6.4560961252483229E-2</v>
      </c>
      <c r="DF55" s="5">
        <f>N70_DESARROLLO!DJ140+N70_DESARROLLO!AM140</f>
        <v>-6.902029235086915E-2</v>
      </c>
      <c r="DG55" s="5">
        <f>N70_DESARROLLO!DK140+N70_DESARROLLO!AN140</f>
        <v>-7.4141965022336054E-2</v>
      </c>
      <c r="DH55" s="5">
        <f>N70_DESARROLLO!DL140+N70_DESARROLLO!AO140</f>
        <v>-8.0085554140356896E-2</v>
      </c>
      <c r="DI55" s="5">
        <f>N70_DESARROLLO!DM140+N70_DESARROLLO!AP140</f>
        <v>-8.7066442319337356E-2</v>
      </c>
      <c r="DJ55" s="5">
        <f>N70_DESARROLLO!DN140+N70_DESARROLLO!AQ140</f>
        <v>-9.5382594982177715E-2</v>
      </c>
      <c r="DK55" s="5">
        <f>N70_DESARROLLO!DO140+N70_DESARROLLO!AR140</f>
        <v>-0.10545841852057092</v>
      </c>
      <c r="DL55" s="5">
        <f>N70_DESARROLLO!DP140+N70_DESARROLLO!AS140</f>
        <v>-0.11791996375049318</v>
      </c>
      <c r="DM55" s="5">
        <f>N70_DESARROLLO!DQ140+N70_DESARROLLO!AT140</f>
        <v>-0.13373123411929144</v>
      </c>
      <c r="DN55" s="5">
        <f>N70_DESARROLLO!DR140+N70_DESARROLLO!AU140</f>
        <v>-0.15445886474682102</v>
      </c>
      <c r="DO55" s="5">
        <f>N70_DESARROLLO!DS140+N70_DESARROLLO!AV140</f>
        <v>-0.18283342438756112</v>
      </c>
      <c r="DP55" s="5">
        <f>N70_DESARROLLO!DT140+N70_DESARROLLO!AW140</f>
        <v>-0.22408833054043509</v>
      </c>
      <c r="DQ55" s="5">
        <f>N70_DESARROLLO!DU140+N70_DESARROLLO!AX140</f>
        <v>-0.2897343415057303</v>
      </c>
      <c r="DR55" s="5">
        <f>N70_DESARROLLO!DV140+N70_DESARROLLO!AY140</f>
        <v>-0.41141440075354019</v>
      </c>
      <c r="DS55" s="5">
        <f>N70_DESARROLLO!DW140+N70_DESARROLLO!AZ140</f>
        <v>-0.72775792963608976</v>
      </c>
      <c r="DT55" s="5">
        <f>N70_DESARROLLO!DX140+N70_DESARROLLO!BA140</f>
        <v>-1.6479184659605282</v>
      </c>
      <c r="DU55" s="5">
        <f>N70_DESARROLLO!DY140+N70_DESARROLLO!BB140</f>
        <v>1.6479184659605211</v>
      </c>
      <c r="DV55" s="5">
        <f>N70_DESARROLLO!DZ140+N70_DESARROLLO!BC140</f>
        <v>0.72775792963608488</v>
      </c>
      <c r="DW55" s="5">
        <f>N70_DESARROLLO!EA140+N70_DESARROLLO!BD140</f>
        <v>0.4114144007535393</v>
      </c>
      <c r="DX55" s="5">
        <f>N70_DESARROLLO!EB140+N70_DESARROLLO!BE140</f>
        <v>0.2897343415057394</v>
      </c>
      <c r="DY55" s="5">
        <f>N70_DESARROLLO!EC140+N70_DESARROLLO!BF140</f>
        <v>0.22408833054041866</v>
      </c>
      <c r="DZ55" s="5">
        <f>N70_DESARROLLO!ED140+N70_DESARROLLO!BG140</f>
        <v>0.18283342438757699</v>
      </c>
      <c r="EA55" s="5">
        <f>N70_DESARROLLO!EE140+N70_DESARROLLO!BH140</f>
        <v>0.15445886474680481</v>
      </c>
      <c r="EB55" s="5">
        <f>N70_DESARROLLO!EF140+N70_DESARROLLO!BI140</f>
        <v>0.1337312341192991</v>
      </c>
      <c r="EC55" s="5">
        <f>N70_DESARROLLO!EG140+N70_DESARROLLO!BJ140</f>
        <v>0.11791996375049285</v>
      </c>
      <c r="ED55" s="5">
        <f>N70_DESARROLLO!EH140+N70_DESARROLLO!BK140</f>
        <v>0.10545841852057103</v>
      </c>
      <c r="EE55" s="5">
        <f>N70_DESARROLLO!EI140+N70_DESARROLLO!BL140</f>
        <v>9.5382594982181268E-2</v>
      </c>
      <c r="EF55" s="5">
        <f>N70_DESARROLLO!EJ140+N70_DESARROLLO!BM140</f>
        <v>8.7066442319330473E-2</v>
      </c>
      <c r="EG55" s="5">
        <f>N70_DESARROLLO!EK140+N70_DESARROLLO!BN140</f>
        <v>8.0085554140363002E-2</v>
      </c>
      <c r="EH55" s="5">
        <f>N70_DESARROLLO!EL140+N70_DESARROLLO!BO140</f>
        <v>7.414196502232917E-2</v>
      </c>
      <c r="EI55" s="5">
        <f>N70_DESARROLLO!EM140+N70_DESARROLLO!BP140</f>
        <v>6.902029235087781E-2</v>
      </c>
      <c r="EJ55" s="5">
        <f>N70_DESARROLLO!EN140+N70_DESARROLLO!BQ140</f>
        <v>6.4560961252473459E-2</v>
      </c>
      <c r="EK55" s="5">
        <f>N70_DESARROLLO!EO140+N70_DESARROLLO!BR140</f>
        <v>6.0643218403529819E-2</v>
      </c>
      <c r="EL55" s="5">
        <f>N70_DESARROLLO!EP140+N70_DESARROLLO!BS140</f>
        <v>5.717399712907123E-2</v>
      </c>
      <c r="EM55" s="5">
        <f>N70_DESARROLLO!EQ140+N70_DESARROLLO!BT140</f>
        <v>5.4080408838149463E-2</v>
      </c>
      <c r="EN55" s="5">
        <f>N70_DESARROLLO!ER140+N70_DESARROLLO!BU140</f>
        <v>5.1304553326349533E-2</v>
      </c>
      <c r="EO55" s="5">
        <f>N70_DESARROLLO!ES140+N70_DESARROLLO!BV140</f>
        <v>4.8799853039066199E-2</v>
      </c>
      <c r="EP55" s="5">
        <f>N70_DESARROLLO!ET140+N70_DESARROLLO!BW140</f>
        <v>4.652841337789404E-2</v>
      </c>
      <c r="EQ55" s="5">
        <f>N70_DESARROLLO!EU140+N70_DESARROLLO!BX140</f>
        <v>4.4459088822756176E-2</v>
      </c>
      <c r="ER55" s="5">
        <f>N70_DESARROLLO!EV140+N70_DESARROLLO!BY140</f>
        <v>75.426223952827556</v>
      </c>
      <c r="FC55">
        <v>46</v>
      </c>
      <c r="FD55" s="4">
        <v>1.3273596617320699E-4</v>
      </c>
      <c r="FE55" s="4">
        <v>2.6736513702798188E-4</v>
      </c>
      <c r="FF55" s="4">
        <v>3.5559464991457163E-4</v>
      </c>
      <c r="FG55" s="4">
        <v>4.3462631570562009E-4</v>
      </c>
      <c r="FH55" s="4">
        <v>5.090170064088336E-4</v>
      </c>
      <c r="FI55" s="4">
        <v>5.8148900873452951E-4</v>
      </c>
      <c r="FJ55" s="4">
        <v>6.5359656968288484E-4</v>
      </c>
      <c r="FK55" s="4">
        <v>7.264042378374206E-4</v>
      </c>
      <c r="FL55" s="4">
        <v>8.0072769812767643E-4</v>
      </c>
      <c r="FM55" s="4">
        <v>8.7725233845431505E-4</v>
      </c>
      <c r="FN55" s="4">
        <v>9.565981663432904E-4</v>
      </c>
      <c r="FO55" s="4">
        <v>1.0393597570075293E-3</v>
      </c>
      <c r="FP55" s="4">
        <v>1.1261337292421305E-3</v>
      </c>
      <c r="FQ55" s="4">
        <v>1.2175399169966985E-3</v>
      </c>
      <c r="FR55" s="4">
        <v>1.3142396099544876E-3</v>
      </c>
      <c r="FS55" s="4">
        <v>1.4169529335103992E-3</v>
      </c>
      <c r="FT55" s="4">
        <v>1.5264768274821006E-3</v>
      </c>
      <c r="FU55" s="4">
        <v>1.6437048297313194E-3</v>
      </c>
      <c r="FV55" s="4">
        <v>1.7696498310100256E-3</v>
      </c>
      <c r="FW55" s="4">
        <v>1.9054710827433742E-3</v>
      </c>
      <c r="FX55" s="4">
        <v>2.0525069963121022E-3</v>
      </c>
      <c r="FY55" s="4">
        <v>2.2123156886742386E-3</v>
      </c>
      <c r="FZ55" s="4">
        <v>2.3867258501547206E-3</v>
      </c>
      <c r="GA55" s="4">
        <v>2.5779014155129813E-3</v>
      </c>
      <c r="GB55" s="4">
        <v>2.7884248379426188E-3</v>
      </c>
      <c r="GC55" s="4">
        <v>3.0214057022602894E-3</v>
      </c>
      <c r="GD55" s="4">
        <v>3.2806242968394018E-3</v>
      </c>
      <c r="GE55" s="4">
        <v>3.5707241295375859E-3</v>
      </c>
      <c r="GF55" s="4">
        <v>3.8974741126830172E-3</v>
      </c>
      <c r="GG55" s="4">
        <v>4.2681317778603322E-3</v>
      </c>
      <c r="GH55" s="4">
        <v>4.6919560804809645E-3</v>
      </c>
      <c r="GI55" s="4">
        <v>5.180946942653906E-3</v>
      </c>
      <c r="GJ55" s="4">
        <v>5.7509376938121382E-3</v>
      </c>
      <c r="GK55" s="4">
        <v>6.4232535863366687E-3</v>
      </c>
      <c r="GL55" s="4">
        <v>7.2273103705915286E-3</v>
      </c>
      <c r="GM55" s="4">
        <v>8.2048381278521446E-3</v>
      </c>
      <c r="GN55" s="4">
        <v>9.4170512734960323E-3</v>
      </c>
      <c r="GO55" s="4">
        <v>1.0957469281712972E-2</v>
      </c>
      <c r="GP55" s="4">
        <v>1.2976355142217484E-2</v>
      </c>
      <c r="GQ55" s="4">
        <v>1.5731025117178159E-2</v>
      </c>
      <c r="GR55" s="4">
        <v>1.9702937153918021E-2</v>
      </c>
      <c r="GS55" s="4">
        <v>2.5870661314751416E-2</v>
      </c>
      <c r="GT55" s="4">
        <v>3.7172793987494138E-2</v>
      </c>
      <c r="GU55" s="4">
        <v>5.4443514189412623E-2</v>
      </c>
      <c r="GV55" s="4">
        <v>0.24504106741621615</v>
      </c>
      <c r="GW55" s="4">
        <v>-0.25075244794180079</v>
      </c>
      <c r="GX55" s="4">
        <v>-6.0160964675636759E-2</v>
      </c>
      <c r="GY55" s="4">
        <v>-4.2902417502987088E-2</v>
      </c>
      <c r="GZ55" s="4">
        <v>-3.1618625882926431E-2</v>
      </c>
      <c r="HA55" s="4">
        <v>-2.5475504734541115E-2</v>
      </c>
      <c r="HB55" s="4">
        <v>-2.1534575349190989E-2</v>
      </c>
      <c r="HC55" s="4">
        <v>-1.881740008508033E-2</v>
      </c>
      <c r="HD55" s="4">
        <v>-1.6842653017506683E-2</v>
      </c>
      <c r="HE55" s="4">
        <v>-1.5353124207672906E-2</v>
      </c>
      <c r="HF55" s="4">
        <v>-1.4198588941852138E-2</v>
      </c>
      <c r="HG55" s="4">
        <v>-1.3285426583812595E-2</v>
      </c>
      <c r="HH55" s="4">
        <v>-1.2552060266095091E-2</v>
      </c>
      <c r="HI55" s="4">
        <v>-1.1955924457343971E-2</v>
      </c>
      <c r="HJ55" s="4">
        <v>-1.1465918342920199E-2</v>
      </c>
      <c r="HK55" s="4">
        <v>-1.1057491402906947E-2</v>
      </c>
      <c r="HL55" s="4">
        <v>-1.0708729162763933E-2</v>
      </c>
      <c r="HM55" s="4">
        <v>-1.039606505236227E-2</v>
      </c>
      <c r="HN55" s="4">
        <v>-1.0087599571833382E-2</v>
      </c>
      <c r="HO55" s="4">
        <v>-9.7295955660235602E-3</v>
      </c>
      <c r="HP55" s="4">
        <v>-9.2125096787983411E-3</v>
      </c>
      <c r="HQ55" s="4">
        <v>-8.2905168960152008E-3</v>
      </c>
      <c r="HR55" s="4">
        <v>-5.9976217575025614E-3</v>
      </c>
      <c r="HS55" s="4">
        <v>-3.1391406445738625E-3</v>
      </c>
      <c r="HT55" s="4">
        <v>7.9492442645159103E-2</v>
      </c>
      <c r="HU55" s="4">
        <v>-0.22603145576988581</v>
      </c>
    </row>
    <row r="56" spans="4:229" x14ac:dyDescent="0.25">
      <c r="D56" s="10">
        <v>47</v>
      </c>
      <c r="E56" s="5">
        <f>'N70'!E63-'N70'!E62</f>
        <v>1.4285714285714235E-2</v>
      </c>
      <c r="F56" s="5">
        <f>'N70'!H62-'N70'!$E$16</f>
        <v>0.66428571428571426</v>
      </c>
      <c r="G56" s="5">
        <f>'N70'!H62-'N70'!$E$17</f>
        <v>0.65</v>
      </c>
      <c r="H56" s="5">
        <f>'N70'!H62-'N70'!$E$18</f>
        <v>0.63571428571428568</v>
      </c>
      <c r="I56" s="5">
        <f>'N70'!H62-'N70'!$E$19</f>
        <v>0.62142857142857144</v>
      </c>
      <c r="J56" s="5">
        <f>'N70'!H62-'N70'!$E$20</f>
        <v>0.6071428571428571</v>
      </c>
      <c r="K56" s="5">
        <f>'N70'!H62-'N70'!$E$21</f>
        <v>0.59285714285714286</v>
      </c>
      <c r="L56" s="5">
        <f>'N70'!H62-'N70'!$E$22</f>
        <v>0.57857142857142851</v>
      </c>
      <c r="M56" s="5">
        <f>'N70'!H62-'N70'!$E$23</f>
        <v>0.56428571428571428</v>
      </c>
      <c r="N56" s="5">
        <f>'N70'!H62-'N70'!$E$24</f>
        <v>0.54999999999999993</v>
      </c>
      <c r="O56" s="5">
        <f>'N70'!H62-'N70'!$E$25</f>
        <v>0.5357142857142857</v>
      </c>
      <c r="P56" s="5">
        <f>'N70'!H62-'N70'!$E$26</f>
        <v>0.52142857142857135</v>
      </c>
      <c r="Q56" s="5">
        <f>'N70'!H62-'N70'!$E$27</f>
        <v>0.50714285714285712</v>
      </c>
      <c r="R56" s="5">
        <f>'N70'!H62-'N70'!$E$28</f>
        <v>0.49285714285714283</v>
      </c>
      <c r="S56" s="5">
        <f>'N70'!H62-'N70'!$E$29</f>
        <v>0.47857142857142854</v>
      </c>
      <c r="T56" s="5">
        <f>'N70'!H62-'N70'!$E$30</f>
        <v>0.4642857142857143</v>
      </c>
      <c r="U56" s="5">
        <f>'N70'!H62-'N70'!$E$31</f>
        <v>0.44999999999999996</v>
      </c>
      <c r="V56" s="5">
        <f>'N70'!H62-'N70'!$E$32</f>
        <v>0.43571428571428572</v>
      </c>
      <c r="W56" s="5">
        <f>'N70'!H62-'N70'!$E$33</f>
        <v>0.42142857142857137</v>
      </c>
      <c r="X56" s="5">
        <f>'N70'!H62-'N70'!$E$34</f>
        <v>0.40714285714285714</v>
      </c>
      <c r="Y56" s="5">
        <f>'N70'!H62-'N70'!$E$35</f>
        <v>0.39285714285714285</v>
      </c>
      <c r="Z56" s="5">
        <f>'N70'!H62-'N70'!$E$36</f>
        <v>0.37857142857142856</v>
      </c>
      <c r="AA56" s="5">
        <f>'N70'!H62-'N70'!$E$37</f>
        <v>0.36428571428571427</v>
      </c>
      <c r="AB56" s="5">
        <f>'N70'!H62-'N70'!$E$38</f>
        <v>0.35</v>
      </c>
      <c r="AC56" s="5">
        <f>'N70'!H62-'N70'!$E$39</f>
        <v>0.33571428571428569</v>
      </c>
      <c r="AD56" s="5">
        <f>'N70'!H62-'N70'!$E$40</f>
        <v>0.3214285714285714</v>
      </c>
      <c r="AE56" s="5">
        <f>'N70'!H62-'N70'!$E$41</f>
        <v>0.30714285714285711</v>
      </c>
      <c r="AF56" s="5">
        <f>'N70'!H62-'N70'!$E$42</f>
        <v>0.29285714285714282</v>
      </c>
      <c r="AG56" s="5">
        <f>'N70'!H62-'N70'!$E$43</f>
        <v>0.27857142857142858</v>
      </c>
      <c r="AH56" s="5">
        <f>'N70'!H62-'N70'!$E$44</f>
        <v>0.26428571428571429</v>
      </c>
      <c r="AI56" s="5">
        <f>'N70'!H62-'N70'!$E$45</f>
        <v>0.25</v>
      </c>
      <c r="AJ56" s="5">
        <f>'N70'!H62-'N70'!$E$46</f>
        <v>0.23571428571428571</v>
      </c>
      <c r="AK56" s="5">
        <f>'N70'!H62-'N70'!$E$47</f>
        <v>0.22142857142857142</v>
      </c>
      <c r="AL56" s="5">
        <f>'N70'!H62-'N70'!$E$48</f>
        <v>0.20714285714285713</v>
      </c>
      <c r="AM56" s="5">
        <f>'N70'!H62-'N70'!$E$49</f>
        <v>0.19285714285714284</v>
      </c>
      <c r="AN56" s="5">
        <f>'N70'!H62-'N70'!$E$50</f>
        <v>0.17857142857142855</v>
      </c>
      <c r="AO56" s="5">
        <f>'N70'!H62-'N70'!$E$51</f>
        <v>0.16428571428571426</v>
      </c>
      <c r="AP56" s="5">
        <f>'N70'!H62-'N70'!$E$52</f>
        <v>0.15000000000000002</v>
      </c>
      <c r="AQ56" s="5">
        <f>'N70'!H62-'N70'!$E$53</f>
        <v>0.13571428571428568</v>
      </c>
      <c r="AR56" s="5">
        <f>'N70'!H62-'N70'!$E$54</f>
        <v>0.12142857142857144</v>
      </c>
      <c r="AS56" s="5">
        <f>'N70'!H62-'N70'!$E$55</f>
        <v>0.1071428571428571</v>
      </c>
      <c r="AT56" s="5">
        <f>'N70'!H62-'N70'!$E$56</f>
        <v>9.285714285714286E-2</v>
      </c>
      <c r="AU56" s="5">
        <f>'N70'!H62-'N70'!$E$57</f>
        <v>7.8571428571428514E-2</v>
      </c>
      <c r="AV56" s="5">
        <f>'N70'!H62-'N70'!$E$58</f>
        <v>6.4285714285714279E-2</v>
      </c>
      <c r="AW56" s="5">
        <f>'N70'!H62-'N70'!$E$59</f>
        <v>5.0000000000000044E-2</v>
      </c>
      <c r="AX56" s="5">
        <f>'N70'!H62-'N70'!$E$60</f>
        <v>3.5714285714285698E-2</v>
      </c>
      <c r="AY56" s="5">
        <f>'N70'!H62-'N70'!$E$61</f>
        <v>2.1428571428571463E-2</v>
      </c>
      <c r="AZ56" s="5">
        <f>'N70'!H62-'N70'!$E$62</f>
        <v>7.1428571428571175E-3</v>
      </c>
      <c r="BA56" s="5">
        <f>'N70'!H62-'N70'!$E$63</f>
        <v>-7.1428571428571175E-3</v>
      </c>
      <c r="BB56" s="5">
        <f>'N70'!H62-'N70'!$E$64</f>
        <v>-2.1428571428571463E-2</v>
      </c>
      <c r="BC56" s="5">
        <f>'N70'!H62-'N70'!$E$65</f>
        <v>-3.5714285714285698E-2</v>
      </c>
      <c r="BD56" s="5">
        <f>'N70'!H62-'N70'!$E$66</f>
        <v>-5.0000000000000044E-2</v>
      </c>
      <c r="BE56" s="5">
        <f>'N70'!H62-'N70'!$E$67</f>
        <v>-6.4285714285714279E-2</v>
      </c>
      <c r="BF56" s="5">
        <f>'N70'!H62-'N70'!$E$68</f>
        <v>-7.8571428571428625E-2</v>
      </c>
      <c r="BG56" s="5">
        <f>'N70'!H62-'N70'!$E$69</f>
        <v>-9.285714285714286E-2</v>
      </c>
      <c r="BH56" s="5">
        <f>'N70'!H62-'N70'!$E$70</f>
        <v>-0.1071428571428571</v>
      </c>
      <c r="BI56" s="5">
        <f>'N70'!H62-'N70'!$E$71</f>
        <v>-0.12142857142857144</v>
      </c>
      <c r="BJ56" s="5">
        <f>'N70'!H62-'N70'!$E$72</f>
        <v>-0.13571428571428568</v>
      </c>
      <c r="BK56" s="5">
        <f>'N70'!H62-'N70'!$E$73</f>
        <v>-0.15000000000000002</v>
      </c>
      <c r="BL56" s="5">
        <f>'N70'!H62-'N70'!$E$74</f>
        <v>-0.16428571428571426</v>
      </c>
      <c r="BM56" s="5">
        <f>'N70'!H62-'N70'!$E$75</f>
        <v>-0.1785714285714286</v>
      </c>
      <c r="BN56" s="5">
        <f>'N70'!H62-'N70'!$E$76</f>
        <v>-0.19285714285714284</v>
      </c>
      <c r="BO56" s="5">
        <f>'N70'!H62-'N70'!$E$77</f>
        <v>-0.20714285714285718</v>
      </c>
      <c r="BP56" s="5">
        <f>'N70'!H62-'N70'!$E$78</f>
        <v>-0.22142857142857142</v>
      </c>
      <c r="BQ56" s="5">
        <f>'N70'!H62-'N70'!$E$79</f>
        <v>-0.23571428571428577</v>
      </c>
      <c r="BR56" s="5">
        <f>'N70'!H62-'N70'!$E$80</f>
        <v>-0.25</v>
      </c>
      <c r="BS56" s="5">
        <f>'N70'!H62-'N70'!$E$81</f>
        <v>-0.26428571428571423</v>
      </c>
      <c r="BT56" s="5">
        <f>'N70'!H62-'N70'!$E$82</f>
        <v>-0.27857142857142858</v>
      </c>
      <c r="BU56" s="5">
        <f>'N70'!H62-'N70'!$E$83</f>
        <v>-0.29285714285714282</v>
      </c>
      <c r="BV56" s="5">
        <f>'N70'!H62-'N70'!$E$84</f>
        <v>-0.30714285714285716</v>
      </c>
      <c r="BW56" s="5">
        <f>'N70'!H62-'N70'!$E$85</f>
        <v>-0.3214285714285714</v>
      </c>
      <c r="BX56" s="5">
        <v>-1</v>
      </c>
      <c r="BZ56">
        <v>47</v>
      </c>
      <c r="CA56" s="5">
        <f>N70_DESARROLLO!CE141+N70_DESARROLLO!H141</f>
        <v>-1.0830588260149487E-2</v>
      </c>
      <c r="CB56" s="5">
        <f>N70_DESARROLLO!CF141+N70_DESARROLLO!I141</f>
        <v>-2.1979792112853391E-2</v>
      </c>
      <c r="CC56" s="5">
        <f>N70_DESARROLLO!CG141+N70_DESARROLLO!J141</f>
        <v>-2.2473802280108091E-2</v>
      </c>
      <c r="CD56" s="5">
        <f>N70_DESARROLLO!CH141+N70_DESARROLLO!K141</f>
        <v>-2.2990531429693095E-2</v>
      </c>
      <c r="CE56" s="5">
        <f>N70_DESARROLLO!CI141+N70_DESARROLLO!L141</f>
        <v>-2.3531583826945979E-2</v>
      </c>
      <c r="CF56" s="5">
        <f>N70_DESARROLLO!CJ141+N70_DESARROLLO!M141</f>
        <v>-2.4098718436559308E-2</v>
      </c>
      <c r="CG56" s="5">
        <f>N70_DESARROLLO!CK141+N70_DESARROLLO!N141</f>
        <v>-2.4693868032508171E-2</v>
      </c>
      <c r="CH56" s="5">
        <f>N70_DESARROLLO!CL141+N70_DESARROLLO!O141</f>
        <v>-2.5319161212273178E-2</v>
      </c>
      <c r="CI56" s="5">
        <f>N70_DESARROLLO!CM141+N70_DESARROLLO!P141</f>
        <v>-2.5976947844882692E-2</v>
      </c>
      <c r="CJ56" s="5">
        <f>N70_DESARROLLO!CN141+N70_DESARROLLO!Q141</f>
        <v>-2.6669828593211653E-2</v>
      </c>
      <c r="CK56" s="5">
        <f>N70_DESARROLLO!CO141+N70_DESARROLLO!R141</f>
        <v>-2.740068929380679E-2</v>
      </c>
      <c r="CL56" s="5">
        <f>N70_DESARROLLO!CP141+N70_DESARROLLO!S141</f>
        <v>-2.8172741151781922E-2</v>
      </c>
      <c r="CM56" s="5">
        <f>N70_DESARROLLO!CQ141+N70_DESARROLLO!T141</f>
        <v>-2.8989567932952598E-2</v>
      </c>
      <c r="CN56" s="5">
        <f>N70_DESARROLLO!CR141+N70_DESARROLLO!U141</f>
        <v>-2.9855181616037618E-2</v>
      </c>
      <c r="CO56" s="5">
        <f>N70_DESARROLLO!CS141+N70_DESARROLLO!V141</f>
        <v>-3.0774088329704075E-2</v>
      </c>
      <c r="CP56" s="5">
        <f>N70_DESARROLLO!CT141+N70_DESARROLLO!W141</f>
        <v>-3.1751366862674324E-2</v>
      </c>
      <c r="CQ56" s="5">
        <f>N70_DESARROLLO!CU141+N70_DESARROLLO!X141</f>
        <v>-3.2792762635864614E-2</v>
      </c>
      <c r="CR56" s="5">
        <f>N70_DESARROLLO!CV141+N70_DESARROLLO!Y141</f>
        <v>-3.3904800811328184E-2</v>
      </c>
      <c r="CS56" s="5">
        <f>N70_DESARROLLO!CW141+N70_DESARROLLO!Z141</f>
        <v>-3.5094923244211151E-2</v>
      </c>
      <c r="CT56" s="5">
        <f>N70_DESARROLLO!CX141+N70_DESARROLLO!AA141</f>
        <v>-3.6371655357440025E-2</v>
      </c>
      <c r="CU56" s="5">
        <f>N70_DESARROLLO!CY141+N70_DESARROLLO!AB141</f>
        <v>-3.774481085569692E-2</v>
      </c>
      <c r="CV56" s="5">
        <f>N70_DESARROLLO!CZ141+N70_DESARROLLO!AC141</f>
        <v>-3.9225744685481789E-2</v>
      </c>
      <c r="CW56" s="5">
        <f>N70_DESARROLLO!DA141+N70_DESARROLLO!AD141</f>
        <v>-4.0827668052531574E-2</v>
      </c>
      <c r="CX56" s="5">
        <f>N70_DESARROLLO!DB141+N70_DESARROLLO!AE141</f>
        <v>-4.2566044021113636E-2</v>
      </c>
      <c r="CY56" s="5">
        <f>N70_DESARROLLO!DC141+N70_DESARROLLO!AF141</f>
        <v>-4.4459088822761617E-2</v>
      </c>
      <c r="CZ56" s="5">
        <f>N70_DESARROLLO!DD141+N70_DESARROLLO!AG141</f>
        <v>-4.652841337789082E-2</v>
      </c>
      <c r="DA56" s="5">
        <f>N70_DESARROLLO!DE141+N70_DESARROLLO!AH141</f>
        <v>-4.8799853039077523E-2</v>
      </c>
      <c r="DB56" s="5">
        <f>N70_DESARROLLO!DF141+N70_DESARROLLO!AI141</f>
        <v>-5.1304553326337654E-2</v>
      </c>
      <c r="DC56" s="5">
        <f>N70_DESARROLLO!DG141+N70_DESARROLLO!AJ141</f>
        <v>-5.4080408838149241E-2</v>
      </c>
      <c r="DD56" s="5">
        <f>N70_DESARROLLO!DH141+N70_DESARROLLO!AK141</f>
        <v>-5.7173997129077003E-2</v>
      </c>
      <c r="DE56" s="5">
        <f>N70_DESARROLLO!DI141+N70_DESARROLLO!AL141</f>
        <v>-6.0643218403522159E-2</v>
      </c>
      <c r="DF56" s="5">
        <f>N70_DESARROLLO!DJ141+N70_DESARROLLO!AM141</f>
        <v>-6.4560961252483229E-2</v>
      </c>
      <c r="DG56" s="5">
        <f>N70_DESARROLLO!DK141+N70_DESARROLLO!AN141</f>
        <v>-6.902029235086915E-2</v>
      </c>
      <c r="DH56" s="5">
        <f>N70_DESARROLLO!DL141+N70_DESARROLLO!AO141</f>
        <v>-7.4141965022337386E-2</v>
      </c>
      <c r="DI56" s="5">
        <f>N70_DESARROLLO!DM141+N70_DESARROLLO!AP141</f>
        <v>-8.0085554140355564E-2</v>
      </c>
      <c r="DJ56" s="5">
        <f>N70_DESARROLLO!DN141+N70_DESARROLLO!AQ141</f>
        <v>-8.7066442319340687E-2</v>
      </c>
      <c r="DK56" s="5">
        <f>N70_DESARROLLO!DO141+N70_DESARROLLO!AR141</f>
        <v>-9.5382594982166724E-2</v>
      </c>
      <c r="DL56" s="5">
        <f>N70_DESARROLLO!DP141+N70_DESARROLLO!AS141</f>
        <v>-0.10545841852058602</v>
      </c>
      <c r="DM56" s="5">
        <f>N70_DESARROLLO!DQ141+N70_DESARROLLO!AT141</f>
        <v>-0.11791996375047831</v>
      </c>
      <c r="DN56" s="5">
        <f>N70_DESARROLLO!DR141+N70_DESARROLLO!AU141</f>
        <v>-0.13373123411930654</v>
      </c>
      <c r="DO56" s="5">
        <f>N70_DESARROLLO!DS141+N70_DESARROLLO!AV141</f>
        <v>-0.15445886474680592</v>
      </c>
      <c r="DP56" s="5">
        <f>N70_DESARROLLO!DT141+N70_DESARROLLO!AW141</f>
        <v>-0.18283342438757666</v>
      </c>
      <c r="DQ56" s="5">
        <f>N70_DESARROLLO!DU141+N70_DESARROLLO!AX141</f>
        <v>-0.22408833054042532</v>
      </c>
      <c r="DR56" s="5">
        <f>N70_DESARROLLO!DV141+N70_DESARROLLO!AY141</f>
        <v>-0.28973434150572408</v>
      </c>
      <c r="DS56" s="5">
        <f>N70_DESARROLLO!DW141+N70_DESARROLLO!AZ141</f>
        <v>-0.41141440075355473</v>
      </c>
      <c r="DT56" s="5">
        <f>N70_DESARROLLO!DX141+N70_DESARROLLO!BA141</f>
        <v>-0.72775792963607455</v>
      </c>
      <c r="DU56" s="5">
        <f>N70_DESARROLLO!DY141+N70_DESARROLLO!BB141</f>
        <v>-1.6479184659605444</v>
      </c>
      <c r="DV56" s="5">
        <f>N70_DESARROLLO!DZ141+N70_DESARROLLO!BC141</f>
        <v>1.6479184659605444</v>
      </c>
      <c r="DW56" s="5">
        <f>N70_DESARROLLO!EA141+N70_DESARROLLO!BD141</f>
        <v>0.72775792963607433</v>
      </c>
      <c r="DX56" s="5">
        <f>N70_DESARROLLO!EB141+N70_DESARROLLO!BE141</f>
        <v>0.41141440075355495</v>
      </c>
      <c r="DY56" s="5">
        <f>N70_DESARROLLO!EC141+N70_DESARROLLO!BF141</f>
        <v>0.2897343415057243</v>
      </c>
      <c r="DZ56" s="5">
        <f>N70_DESARROLLO!ED141+N70_DESARROLLO!BG141</f>
        <v>0.22408833054043464</v>
      </c>
      <c r="EA56" s="5">
        <f>N70_DESARROLLO!EE141+N70_DESARROLLO!BH141</f>
        <v>0.18283342438756045</v>
      </c>
      <c r="EB56" s="5">
        <f>N70_DESARROLLO!EF141+N70_DESARROLLO!BI141</f>
        <v>0.15445886474681236</v>
      </c>
      <c r="EC56" s="5">
        <f>N70_DESARROLLO!EG141+N70_DESARROLLO!BJ141</f>
        <v>0.1337312341193071</v>
      </c>
      <c r="ED56" s="5">
        <f>N70_DESARROLLO!EH141+N70_DESARROLLO!BK141</f>
        <v>0.11791996375047809</v>
      </c>
      <c r="EE56" s="5">
        <f>N70_DESARROLLO!EI141+N70_DESARROLLO!BL141</f>
        <v>0.10545841852058624</v>
      </c>
      <c r="EF56" s="5">
        <f>N70_DESARROLLO!EJ141+N70_DESARROLLO!BM141</f>
        <v>9.5382594982166613E-2</v>
      </c>
      <c r="EG56" s="5">
        <f>N70_DESARROLLO!EK141+N70_DESARROLLO!BN141</f>
        <v>8.7066442319344683E-2</v>
      </c>
      <c r="EH56" s="5">
        <f>N70_DESARROLLO!EL141+N70_DESARROLLO!BO141</f>
        <v>8.0085554140347681E-2</v>
      </c>
      <c r="EI56" s="5">
        <f>N70_DESARROLLO!EM141+N70_DESARROLLO!BP141</f>
        <v>7.4141965022345824E-2</v>
      </c>
      <c r="EJ56" s="5">
        <f>N70_DESARROLLO!EN141+N70_DESARROLLO!BQ141</f>
        <v>6.9020292350860046E-2</v>
      </c>
      <c r="EK56" s="5">
        <f>N70_DESARROLLO!EO141+N70_DESARROLLO!BR141</f>
        <v>6.4560961252489446E-2</v>
      </c>
      <c r="EL56" s="5">
        <f>N70_DESARROLLO!EP141+N70_DESARROLLO!BS141</f>
        <v>6.0643218403515942E-2</v>
      </c>
      <c r="EM56" s="5">
        <f>N70_DESARROLLO!EQ141+N70_DESARROLLO!BT141</f>
        <v>5.7173997129077669E-2</v>
      </c>
      <c r="EN56" s="5">
        <f>N70_DESARROLLO!ER141+N70_DESARROLLO!BU141</f>
        <v>5.4080408838158012E-2</v>
      </c>
      <c r="EO56" s="5">
        <f>N70_DESARROLLO!ES141+N70_DESARROLLO!BV141</f>
        <v>5.130455332633288E-2</v>
      </c>
      <c r="EP56" s="5">
        <f>N70_DESARROLLO!ET141+N70_DESARROLLO!BW141</f>
        <v>4.8799853039083518E-2</v>
      </c>
      <c r="EQ56" s="5">
        <f>N70_DESARROLLO!EU141+N70_DESARROLLO!BX141</f>
        <v>4.6528413377880606E-2</v>
      </c>
      <c r="ER56" s="5">
        <f>N70_DESARROLLO!EV141+N70_DESARROLLO!BY141</f>
        <v>78.471155825501768</v>
      </c>
      <c r="FC56">
        <v>47</v>
      </c>
      <c r="FD56" s="4">
        <v>1.2606771597438107E-4</v>
      </c>
      <c r="FE56" s="4">
        <v>2.5382483501818111E-4</v>
      </c>
      <c r="FF56" s="4">
        <v>3.374102031858424E-4</v>
      </c>
      <c r="FG56" s="4">
        <v>4.1217587256678578E-4</v>
      </c>
      <c r="FH56" s="4">
        <v>4.8244779585542214E-4</v>
      </c>
      <c r="FI56" s="4">
        <v>5.508056498974319E-4</v>
      </c>
      <c r="FJ56" s="4">
        <v>6.187168411040427E-4</v>
      </c>
      <c r="FK56" s="4">
        <v>6.8718119102612312E-4</v>
      </c>
      <c r="FL56" s="4">
        <v>7.5695965059556394E-4</v>
      </c>
      <c r="FM56" s="4">
        <v>8.2868668257039932E-4</v>
      </c>
      <c r="FN56" s="4">
        <v>9.0293153931762912E-4</v>
      </c>
      <c r="FO56" s="4">
        <v>9.8023568721327813E-4</v>
      </c>
      <c r="FP56" s="4">
        <v>1.0611382344561245E-3</v>
      </c>
      <c r="FQ56" s="4">
        <v>1.1461951930339265E-3</v>
      </c>
      <c r="FR56" s="4">
        <v>1.2359957374950578E-3</v>
      </c>
      <c r="FS56" s="4">
        <v>1.3311773694366109E-3</v>
      </c>
      <c r="FT56" s="4">
        <v>1.4324412957382752E-3</v>
      </c>
      <c r="FU56" s="4">
        <v>1.5405690607686578E-3</v>
      </c>
      <c r="FV56" s="4">
        <v>1.6564413973562881E-3</v>
      </c>
      <c r="FW56" s="4">
        <v>1.7810603186371378E-3</v>
      </c>
      <c r="FX56" s="4">
        <v>1.9155756428804495E-3</v>
      </c>
      <c r="FY56" s="4">
        <v>2.0613174328027685E-3</v>
      </c>
      <c r="FZ56" s="4">
        <v>2.2198362668230873E-3</v>
      </c>
      <c r="GA56" s="4">
        <v>2.3929538928678827E-3</v>
      </c>
      <c r="GB56" s="4">
        <v>2.5828277285385557E-3</v>
      </c>
      <c r="GC56" s="4">
        <v>2.79203399516932E-3</v>
      </c>
      <c r="GD56" s="4">
        <v>3.023676213288595E-3</v>
      </c>
      <c r="GE56" s="4">
        <v>3.2815286726606344E-3</v>
      </c>
      <c r="GF56" s="4">
        <v>3.5702288572798295E-3</v>
      </c>
      <c r="GG56" s="4">
        <v>3.8955395467981189E-3</v>
      </c>
      <c r="GH56" s="4">
        <v>4.2647119520888973E-3</v>
      </c>
      <c r="GI56" s="4">
        <v>4.6869984426523561E-3</v>
      </c>
      <c r="GJ56" s="4">
        <v>5.1743920123807135E-3</v>
      </c>
      <c r="GK56" s="4">
        <v>5.7427186414450489E-3</v>
      </c>
      <c r="GL56" s="4">
        <v>6.4132957301532819E-3</v>
      </c>
      <c r="GM56" s="4">
        <v>7.2155305879599667E-3</v>
      </c>
      <c r="GN56" s="4">
        <v>8.191144175159296E-3</v>
      </c>
      <c r="GO56" s="4">
        <v>9.4013410089449322E-3</v>
      </c>
      <c r="GP56" s="4">
        <v>1.0939629784917386E-2</v>
      </c>
      <c r="GQ56" s="4">
        <v>1.2956261725065771E-2</v>
      </c>
      <c r="GR56" s="4">
        <v>1.5708540221933905E-2</v>
      </c>
      <c r="GS56" s="4">
        <v>1.9677909138024682E-2</v>
      </c>
      <c r="GT56" s="4">
        <v>2.584292312770933E-2</v>
      </c>
      <c r="GU56" s="4">
        <v>3.714216175575008E-2</v>
      </c>
      <c r="GV56" s="4">
        <v>5.4409785742316918E-2</v>
      </c>
      <c r="GW56" s="4">
        <v>0.24500402081429812</v>
      </c>
      <c r="GX56" s="4">
        <v>-0.25079305576945521</v>
      </c>
      <c r="GY56" s="4">
        <v>-6.020539900468181E-2</v>
      </c>
      <c r="GZ56" s="4">
        <v>-4.29509662983222E-2</v>
      </c>
      <c r="HA56" s="4">
        <v>-3.1671599200996117E-2</v>
      </c>
      <c r="HB56" s="4">
        <v>-2.5533232230400469E-2</v>
      </c>
      <c r="HC56" s="4">
        <v>-2.1597400543493666E-2</v>
      </c>
      <c r="HD56" s="4">
        <v>-1.8885669146351865E-2</v>
      </c>
      <c r="HE56" s="4">
        <v>-1.6916694266409602E-2</v>
      </c>
      <c r="HF56" s="4">
        <v>-1.5433211826320252E-2</v>
      </c>
      <c r="HG56" s="4">
        <v>-1.4284879463295536E-2</v>
      </c>
      <c r="HH56" s="4">
        <v>-1.3377847636523152E-2</v>
      </c>
      <c r="HI56" s="4">
        <v>-1.2650113609328639E-2</v>
      </c>
      <c r="HJ56" s="4">
        <v>-1.2058330618872928E-2</v>
      </c>
      <c r="HK56" s="4">
        <v>-1.1569957855578595E-2</v>
      </c>
      <c r="HL56" s="4">
        <v>-1.1157738837840429E-2</v>
      </c>
      <c r="HM56" s="4">
        <v>-1.0794505008230404E-2</v>
      </c>
      <c r="HN56" s="4">
        <v>-1.0445988991181458E-2</v>
      </c>
      <c r="HO56" s="4">
        <v>-1.005708976794246E-2</v>
      </c>
      <c r="HP56" s="4">
        <v>-9.5179599108463041E-3</v>
      </c>
      <c r="HQ56" s="4">
        <v>-8.5840367276754353E-3</v>
      </c>
      <c r="HR56" s="4">
        <v>-6.295441989419755E-3</v>
      </c>
      <c r="HS56" s="4">
        <v>-3.4596506722059596E-3</v>
      </c>
      <c r="HT56" s="4">
        <v>7.8753553819306765E-2</v>
      </c>
      <c r="HU56" s="4">
        <v>-0.22568658838555886</v>
      </c>
    </row>
    <row r="57" spans="4:229" x14ac:dyDescent="0.25">
      <c r="D57" s="10">
        <v>48</v>
      </c>
      <c r="E57" s="5">
        <f>'N70'!E64-'N70'!E63</f>
        <v>1.4285714285714346E-2</v>
      </c>
      <c r="F57" s="5">
        <f>'N70'!H63-'N70'!$E$16</f>
        <v>0.6785714285714286</v>
      </c>
      <c r="G57" s="5">
        <f>'N70'!H63-'N70'!$E$17</f>
        <v>0.66428571428571437</v>
      </c>
      <c r="H57" s="5">
        <f>'N70'!H63-'N70'!$E$18</f>
        <v>0.65</v>
      </c>
      <c r="I57" s="5">
        <f>'N70'!H63-'N70'!$E$19</f>
        <v>0.63571428571428579</v>
      </c>
      <c r="J57" s="5">
        <f>'N70'!H63-'N70'!$E$20</f>
        <v>0.62142857142857144</v>
      </c>
      <c r="K57" s="5">
        <f>'N70'!H63-'N70'!$E$21</f>
        <v>0.60714285714285721</v>
      </c>
      <c r="L57" s="5">
        <f>'N70'!H63-'N70'!$E$22</f>
        <v>0.59285714285714286</v>
      </c>
      <c r="M57" s="5">
        <f>'N70'!H63-'N70'!$E$23</f>
        <v>0.57857142857142863</v>
      </c>
      <c r="N57" s="5">
        <f>'N70'!H63-'N70'!$E$24</f>
        <v>0.56428571428571428</v>
      </c>
      <c r="O57" s="5">
        <f>'N70'!H63-'N70'!$E$25</f>
        <v>0.55000000000000004</v>
      </c>
      <c r="P57" s="5">
        <f>'N70'!H63-'N70'!$E$26</f>
        <v>0.53571428571428581</v>
      </c>
      <c r="Q57" s="5">
        <f>'N70'!H63-'N70'!$E$27</f>
        <v>0.52142857142857146</v>
      </c>
      <c r="R57" s="5">
        <f>'N70'!H63-'N70'!$E$28</f>
        <v>0.50714285714285712</v>
      </c>
      <c r="S57" s="5">
        <f>'N70'!H63-'N70'!$E$29</f>
        <v>0.49285714285714288</v>
      </c>
      <c r="T57" s="5">
        <f>'N70'!H63-'N70'!$E$30</f>
        <v>0.47857142857142865</v>
      </c>
      <c r="U57" s="5">
        <f>'N70'!H63-'N70'!$E$31</f>
        <v>0.4642857142857143</v>
      </c>
      <c r="V57" s="5">
        <f>'N70'!H63-'N70'!$E$32</f>
        <v>0.45000000000000007</v>
      </c>
      <c r="W57" s="5">
        <f>'N70'!H63-'N70'!$E$33</f>
        <v>0.43571428571428572</v>
      </c>
      <c r="X57" s="5">
        <f>'N70'!H63-'N70'!$E$34</f>
        <v>0.42142857142857149</v>
      </c>
      <c r="Y57" s="5">
        <f>'N70'!H63-'N70'!$E$35</f>
        <v>0.4071428571428572</v>
      </c>
      <c r="Z57" s="5">
        <f>'N70'!H63-'N70'!$E$36</f>
        <v>0.3928571428571429</v>
      </c>
      <c r="AA57" s="5">
        <f>'N70'!H63-'N70'!$E$37</f>
        <v>0.37857142857142861</v>
      </c>
      <c r="AB57" s="5">
        <f>'N70'!H63-'N70'!$E$38</f>
        <v>0.36428571428571432</v>
      </c>
      <c r="AC57" s="5">
        <f>'N70'!H63-'N70'!$E$39</f>
        <v>0.35000000000000003</v>
      </c>
      <c r="AD57" s="5">
        <f>'N70'!H63-'N70'!$E$40</f>
        <v>0.33571428571428574</v>
      </c>
      <c r="AE57" s="5">
        <f>'N70'!H63-'N70'!$E$41</f>
        <v>0.32142857142857145</v>
      </c>
      <c r="AF57" s="5">
        <f>'N70'!H63-'N70'!$E$42</f>
        <v>0.30714285714285716</v>
      </c>
      <c r="AG57" s="5">
        <f>'N70'!H63-'N70'!$E$43</f>
        <v>0.29285714285714293</v>
      </c>
      <c r="AH57" s="5">
        <f>'N70'!H63-'N70'!$E$44</f>
        <v>0.27857142857142864</v>
      </c>
      <c r="AI57" s="5">
        <f>'N70'!H63-'N70'!$E$45</f>
        <v>0.26428571428571435</v>
      </c>
      <c r="AJ57" s="5">
        <f>'N70'!H63-'N70'!$E$46</f>
        <v>0.25000000000000006</v>
      </c>
      <c r="AK57" s="5">
        <f>'N70'!H63-'N70'!$E$47</f>
        <v>0.23571428571428577</v>
      </c>
      <c r="AL57" s="5">
        <f>'N70'!H63-'N70'!$E$48</f>
        <v>0.22142857142857147</v>
      </c>
      <c r="AM57" s="5">
        <f>'N70'!H63-'N70'!$E$49</f>
        <v>0.20714285714285718</v>
      </c>
      <c r="AN57" s="5">
        <f>'N70'!H63-'N70'!$E$50</f>
        <v>0.19285714285714289</v>
      </c>
      <c r="AO57" s="5">
        <f>'N70'!H63-'N70'!$E$51</f>
        <v>0.1785714285714286</v>
      </c>
      <c r="AP57" s="5">
        <f>'N70'!H63-'N70'!$E$52</f>
        <v>0.16428571428571437</v>
      </c>
      <c r="AQ57" s="5">
        <f>'N70'!H63-'N70'!$E$53</f>
        <v>0.15000000000000002</v>
      </c>
      <c r="AR57" s="5">
        <f>'N70'!H63-'N70'!$E$54</f>
        <v>0.13571428571428579</v>
      </c>
      <c r="AS57" s="5">
        <f>'N70'!H63-'N70'!$E$55</f>
        <v>0.12142857142857144</v>
      </c>
      <c r="AT57" s="5">
        <f>'N70'!H63-'N70'!$E$56</f>
        <v>0.10714285714285721</v>
      </c>
      <c r="AU57" s="5">
        <f>'N70'!H63-'N70'!$E$57</f>
        <v>9.285714285714286E-2</v>
      </c>
      <c r="AV57" s="5">
        <f>'N70'!H63-'N70'!$E$58</f>
        <v>7.8571428571428625E-2</v>
      </c>
      <c r="AW57" s="5">
        <f>'N70'!H63-'N70'!$E$59</f>
        <v>6.428571428571439E-2</v>
      </c>
      <c r="AX57" s="5">
        <f>'N70'!H63-'N70'!$E$60</f>
        <v>5.0000000000000044E-2</v>
      </c>
      <c r="AY57" s="5">
        <f>'N70'!H63-'N70'!$E$61</f>
        <v>3.5714285714285809E-2</v>
      </c>
      <c r="AZ57" s="5">
        <f>'N70'!H63-'N70'!$E$62</f>
        <v>2.1428571428571463E-2</v>
      </c>
      <c r="BA57" s="5">
        <f>'N70'!H63-'N70'!$E$63</f>
        <v>7.1428571428572285E-3</v>
      </c>
      <c r="BB57" s="5">
        <f>'N70'!H63-'N70'!$E$64</f>
        <v>-7.1428571428571175E-3</v>
      </c>
      <c r="BC57" s="5">
        <f>'N70'!H63-'N70'!$E$65</f>
        <v>-2.1428571428571352E-2</v>
      </c>
      <c r="BD57" s="5">
        <f>'N70'!H63-'N70'!$E$66</f>
        <v>-3.5714285714285698E-2</v>
      </c>
      <c r="BE57" s="5">
        <f>'N70'!H63-'N70'!$E$67</f>
        <v>-4.9999999999999933E-2</v>
      </c>
      <c r="BF57" s="5">
        <f>'N70'!H63-'N70'!$E$68</f>
        <v>-6.4285714285714279E-2</v>
      </c>
      <c r="BG57" s="5">
        <f>'N70'!H63-'N70'!$E$69</f>
        <v>-7.8571428571428514E-2</v>
      </c>
      <c r="BH57" s="5">
        <f>'N70'!H63-'N70'!$E$70</f>
        <v>-9.2857142857142749E-2</v>
      </c>
      <c r="BI57" s="5">
        <f>'N70'!H63-'N70'!$E$71</f>
        <v>-0.1071428571428571</v>
      </c>
      <c r="BJ57" s="5">
        <f>'N70'!H63-'N70'!$E$72</f>
        <v>-0.12142857142857133</v>
      </c>
      <c r="BK57" s="5">
        <f>'N70'!H63-'N70'!$E$73</f>
        <v>-0.13571428571428568</v>
      </c>
      <c r="BL57" s="5">
        <f>'N70'!H63-'N70'!$E$74</f>
        <v>-0.14999999999999991</v>
      </c>
      <c r="BM57" s="5">
        <f>'N70'!H63-'N70'!$E$75</f>
        <v>-0.16428571428571426</v>
      </c>
      <c r="BN57" s="5">
        <f>'N70'!H63-'N70'!$E$76</f>
        <v>-0.17857142857142849</v>
      </c>
      <c r="BO57" s="5">
        <f>'N70'!H63-'N70'!$E$77</f>
        <v>-0.19285714285714284</v>
      </c>
      <c r="BP57" s="5">
        <f>'N70'!H63-'N70'!$E$78</f>
        <v>-0.20714285714285707</v>
      </c>
      <c r="BQ57" s="5">
        <f>'N70'!H63-'N70'!$E$79</f>
        <v>-0.22142857142857142</v>
      </c>
      <c r="BR57" s="5">
        <f>'N70'!H63-'N70'!$E$80</f>
        <v>-0.23571428571428565</v>
      </c>
      <c r="BS57" s="5">
        <f>'N70'!H63-'N70'!$E$81</f>
        <v>-0.24999999999999989</v>
      </c>
      <c r="BT57" s="5">
        <f>'N70'!H63-'N70'!$E$82</f>
        <v>-0.26428571428571423</v>
      </c>
      <c r="BU57" s="5">
        <f>'N70'!H63-'N70'!$E$83</f>
        <v>-0.27857142857142847</v>
      </c>
      <c r="BV57" s="5">
        <f>'N70'!H63-'N70'!$E$84</f>
        <v>-0.29285714285714282</v>
      </c>
      <c r="BW57" s="5">
        <f>'N70'!H63-'N70'!$E$85</f>
        <v>-0.30714285714285705</v>
      </c>
      <c r="BX57" s="5">
        <v>-1</v>
      </c>
      <c r="BZ57">
        <v>48</v>
      </c>
      <c r="CA57" s="5">
        <f>N70_DESARROLLO!CE142+N70_DESARROLLO!H142</f>
        <v>-1.0600952413273301E-2</v>
      </c>
      <c r="CB57" s="5">
        <f>N70_DESARROLLO!CF142+N70_DESARROLLO!I142</f>
        <v>-2.1507034719698725E-2</v>
      </c>
      <c r="CC57" s="5">
        <f>N70_DESARROLLO!CG142+N70_DESARROLLO!J142</f>
        <v>-2.1979792112873819E-2</v>
      </c>
      <c r="CD57" s="5">
        <f>N70_DESARROLLO!CH142+N70_DESARROLLO!K142</f>
        <v>-2.2473802280092992E-2</v>
      </c>
      <c r="CE57" s="5">
        <f>N70_DESARROLLO!CI142+N70_DESARROLLO!L142</f>
        <v>-2.2990531429702976E-2</v>
      </c>
      <c r="CF57" s="5">
        <f>N70_DESARROLLO!CJ142+N70_DESARROLLO!M142</f>
        <v>-2.3531583826931546E-2</v>
      </c>
      <c r="CG57" s="5">
        <f>N70_DESARROLLO!CK142+N70_DESARROLLO!N142</f>
        <v>-2.4098718436573519E-2</v>
      </c>
      <c r="CH57" s="5">
        <f>N70_DESARROLLO!CL142+N70_DESARROLLO!O142</f>
        <v>-2.4693868032494515E-2</v>
      </c>
      <c r="CI57" s="5">
        <f>N70_DESARROLLO!CM142+N70_DESARROLLO!P142</f>
        <v>-2.5319161212291275E-2</v>
      </c>
      <c r="CJ57" s="5">
        <f>N70_DESARROLLO!CN142+N70_DESARROLLO!Q142</f>
        <v>-2.5976947844873366E-2</v>
      </c>
      <c r="CK57" s="5">
        <f>N70_DESARROLLO!CO142+N70_DESARROLLO!R142</f>
        <v>-2.6669828593211653E-2</v>
      </c>
      <c r="CL57" s="5">
        <f>N70_DESARROLLO!CP142+N70_DESARROLLO!S142</f>
        <v>-2.7400689293798908E-2</v>
      </c>
      <c r="CM57" s="5">
        <f>N70_DESARROLLO!CQ142+N70_DESARROLLO!T142</f>
        <v>-2.8172741151794245E-2</v>
      </c>
      <c r="CN57" s="5">
        <f>N70_DESARROLLO!CR142+N70_DESARROLLO!U142</f>
        <v>-2.8989567932952043E-2</v>
      </c>
      <c r="CO57" s="5">
        <f>N70_DESARROLLO!CS142+N70_DESARROLLO!V142</f>
        <v>-2.9855181616026183E-2</v>
      </c>
      <c r="CP57" s="5">
        <f>N70_DESARROLLO!CT142+N70_DESARROLLO!W142</f>
        <v>-3.0774088329718841E-2</v>
      </c>
      <c r="CQ57" s="5">
        <f>N70_DESARROLLO!CU142+N70_DESARROLLO!X142</f>
        <v>-3.1751366862660113E-2</v>
      </c>
      <c r="CR57" s="5">
        <f>N70_DESARROLLO!CV142+N70_DESARROLLO!Y142</f>
        <v>-3.2792762635878381E-2</v>
      </c>
      <c r="CS57" s="5">
        <f>N70_DESARROLLO!CW142+N70_DESARROLLO!Z142</f>
        <v>-3.3904800811317859E-2</v>
      </c>
      <c r="CT57" s="5">
        <f>N70_DESARROLLO!CX142+N70_DESARROLLO!AA142</f>
        <v>-3.5094923244214482E-2</v>
      </c>
      <c r="CU57" s="5">
        <f>N70_DESARROLLO!CY142+N70_DESARROLLO!AB142</f>
        <v>-3.6371655357440136E-2</v>
      </c>
      <c r="CV57" s="5">
        <f>N70_DESARROLLO!CZ142+N70_DESARROLLO!AC142</f>
        <v>-3.7744810855697031E-2</v>
      </c>
      <c r="CW57" s="5">
        <f>N70_DESARROLLO!DA142+N70_DESARROLLO!AD142</f>
        <v>-3.9225744685481678E-2</v>
      </c>
      <c r="CX57" s="5">
        <f>N70_DESARROLLO!DB142+N70_DESARROLLO!AE142</f>
        <v>-4.0827668052531463E-2</v>
      </c>
      <c r="CY57" s="5">
        <f>N70_DESARROLLO!DC142+N70_DESARROLLO!AF142</f>
        <v>-4.2566044021113525E-2</v>
      </c>
      <c r="CZ57" s="5">
        <f>N70_DESARROLLO!DD142+N70_DESARROLLO!AG142</f>
        <v>-4.4459088822761617E-2</v>
      </c>
      <c r="DA57" s="5">
        <f>N70_DESARROLLO!DE142+N70_DESARROLLO!AH142</f>
        <v>-4.6528413377893041E-2</v>
      </c>
      <c r="DB57" s="5">
        <f>N70_DESARROLLO!DF142+N70_DESARROLLO!AI142</f>
        <v>-4.8799853039070418E-2</v>
      </c>
      <c r="DC57" s="5">
        <f>N70_DESARROLLO!DG142+N70_DESARROLLO!AJ142</f>
        <v>-5.1304553326342539E-2</v>
      </c>
      <c r="DD57" s="5">
        <f>N70_DESARROLLO!DH142+N70_DESARROLLO!AK142</f>
        <v>-5.4080408838149574E-2</v>
      </c>
      <c r="DE57" s="5">
        <f>N70_DESARROLLO!DI142+N70_DESARROLLO!AL142</f>
        <v>-5.7173997129077114E-2</v>
      </c>
      <c r="DF57" s="5">
        <f>N70_DESARROLLO!DJ142+N70_DESARROLLO!AM142</f>
        <v>-6.0643218403522159E-2</v>
      </c>
      <c r="DG57" s="5">
        <f>N70_DESARROLLO!DK142+N70_DESARROLLO!AN142</f>
        <v>-6.4560961252483118E-2</v>
      </c>
      <c r="DH57" s="5">
        <f>N70_DESARROLLO!DL142+N70_DESARROLLO!AO142</f>
        <v>-6.902029235086915E-2</v>
      </c>
      <c r="DI57" s="5">
        <f>N70_DESARROLLO!DM142+N70_DESARROLLO!AP142</f>
        <v>-7.4141965022337497E-2</v>
      </c>
      <c r="DJ57" s="5">
        <f>N70_DESARROLLO!DN142+N70_DESARROLLO!AQ142</f>
        <v>-8.0085554140359339E-2</v>
      </c>
      <c r="DK57" s="5">
        <f>N70_DESARROLLO!DO142+N70_DESARROLLO!AR142</f>
        <v>-8.7066442319330251E-2</v>
      </c>
      <c r="DL57" s="5">
        <f>N70_DESARROLLO!DP142+N70_DESARROLLO!AS142</f>
        <v>-9.5382594982181823E-2</v>
      </c>
      <c r="DM57" s="5">
        <f>N70_DESARROLLO!DQ142+N70_DESARROLLO!AT142</f>
        <v>-0.10545841852056981</v>
      </c>
      <c r="DN57" s="5">
        <f>N70_DESARROLLO!DR142+N70_DESARROLLO!AU142</f>
        <v>-0.11791996375049385</v>
      </c>
      <c r="DO57" s="5">
        <f>N70_DESARROLLO!DS142+N70_DESARROLLO!AV142</f>
        <v>-0.13373123411929144</v>
      </c>
      <c r="DP57" s="5">
        <f>N70_DESARROLLO!DT142+N70_DESARROLLO!AW142</f>
        <v>-0.15445886474682136</v>
      </c>
      <c r="DQ57" s="5">
        <f>N70_DESARROLLO!DU142+N70_DESARROLLO!AX142</f>
        <v>-0.18283342438756678</v>
      </c>
      <c r="DR57" s="5">
        <f>N70_DESARROLLO!DV142+N70_DESARROLLO!AY142</f>
        <v>-0.22408833054041954</v>
      </c>
      <c r="DS57" s="5">
        <f>N70_DESARROLLO!DW142+N70_DESARROLLO!AZ142</f>
        <v>-0.28973434150573907</v>
      </c>
      <c r="DT57" s="5">
        <f>N70_DESARROLLO!DX142+N70_DESARROLLO!BA142</f>
        <v>-0.41141440075353952</v>
      </c>
      <c r="DU57" s="5">
        <f>N70_DESARROLLO!DY142+N70_DESARROLLO!BB142</f>
        <v>-0.72775792963608488</v>
      </c>
      <c r="DV57" s="5">
        <f>N70_DESARROLLO!DZ142+N70_DESARROLLO!BC142</f>
        <v>-1.6479184659605211</v>
      </c>
      <c r="DW57" s="5">
        <f>N70_DESARROLLO!EA142+N70_DESARROLLO!BD142</f>
        <v>1.6479184659605282</v>
      </c>
      <c r="DX57" s="5">
        <f>N70_DESARROLLO!EB142+N70_DESARROLLO!BE142</f>
        <v>0.72775792963608976</v>
      </c>
      <c r="DY57" s="5">
        <f>N70_DESARROLLO!EC142+N70_DESARROLLO!BF142</f>
        <v>0.41141440075354063</v>
      </c>
      <c r="DZ57" s="5">
        <f>N70_DESARROLLO!ED142+N70_DESARROLLO!BG142</f>
        <v>0.28973434150574007</v>
      </c>
      <c r="EA57" s="5">
        <f>N70_DESARROLLO!EE142+N70_DESARROLLO!BH142</f>
        <v>0.2240883305404191</v>
      </c>
      <c r="EB57" s="5">
        <f>N70_DESARROLLO!EF142+N70_DESARROLLO!BI142</f>
        <v>0.18283342438756678</v>
      </c>
      <c r="EC57" s="5">
        <f>N70_DESARROLLO!EG142+N70_DESARROLLO!BJ142</f>
        <v>0.15445886474682136</v>
      </c>
      <c r="ED57" s="5">
        <f>N70_DESARROLLO!EH142+N70_DESARROLLO!BK142</f>
        <v>0.13373123411929144</v>
      </c>
      <c r="EE57" s="5">
        <f>N70_DESARROLLO!EI142+N70_DESARROLLO!BL142</f>
        <v>0.11791996375049496</v>
      </c>
      <c r="EF57" s="5">
        <f>N70_DESARROLLO!EJ142+N70_DESARROLLO!BM142</f>
        <v>0.10545841852056947</v>
      </c>
      <c r="EG57" s="5">
        <f>N70_DESARROLLO!EK142+N70_DESARROLLO!BN142</f>
        <v>9.5382594982183821E-2</v>
      </c>
      <c r="EH57" s="5">
        <f>N70_DESARROLLO!EL142+N70_DESARROLLO!BO142</f>
        <v>8.7066442319328474E-2</v>
      </c>
      <c r="EI57" s="5">
        <f>N70_DESARROLLO!EM142+N70_DESARROLLO!BP142</f>
        <v>8.0085554140362891E-2</v>
      </c>
      <c r="EJ57" s="5">
        <f>N70_DESARROLLO!EN142+N70_DESARROLLO!BQ142</f>
        <v>7.414196502232917E-2</v>
      </c>
      <c r="EK57" s="5">
        <f>N70_DESARROLLO!EO142+N70_DESARROLLO!BR142</f>
        <v>6.902029235087781E-2</v>
      </c>
      <c r="EL57" s="5">
        <f>N70_DESARROLLO!EP142+N70_DESARROLLO!BS142</f>
        <v>6.4560961252473681E-2</v>
      </c>
      <c r="EM57" s="5">
        <f>N70_DESARROLLO!EQ142+N70_DESARROLLO!BT142</f>
        <v>6.0643218403522048E-2</v>
      </c>
      <c r="EN57" s="5">
        <f>N70_DESARROLLO!ER142+N70_DESARROLLO!BU142</f>
        <v>5.7173997129085885E-2</v>
      </c>
      <c r="EO57" s="5">
        <f>N70_DESARROLLO!ES142+N70_DESARROLLO!BV142</f>
        <v>5.4080408838142358E-2</v>
      </c>
      <c r="EP57" s="5">
        <f>N70_DESARROLLO!ET142+N70_DESARROLLO!BW142</f>
        <v>5.1304553326349422E-2</v>
      </c>
      <c r="EQ57" s="5">
        <f>N70_DESARROLLO!EU142+N70_DESARROLLO!BX142</f>
        <v>4.8799853039066088E-2</v>
      </c>
      <c r="ER57" s="5">
        <f>N70_DESARROLLO!EV142+N70_DESARROLLO!BY142</f>
        <v>81.654588112913999</v>
      </c>
      <c r="FC57">
        <v>48</v>
      </c>
      <c r="FD57" s="4">
        <v>1.1972840677634849E-4</v>
      </c>
      <c r="FE57" s="4">
        <v>2.4096272906999847E-4</v>
      </c>
      <c r="FF57" s="4">
        <v>3.2015331539942196E-4</v>
      </c>
      <c r="FG57" s="4">
        <v>3.9089218628313068E-4</v>
      </c>
      <c r="FH57" s="4">
        <v>4.5728624410539448E-4</v>
      </c>
      <c r="FI57" s="4">
        <v>5.2178048436751854E-4</v>
      </c>
      <c r="FJ57" s="4">
        <v>5.8576099704327103E-4</v>
      </c>
      <c r="FK57" s="4">
        <v>6.5016763869879318E-4</v>
      </c>
      <c r="FL57" s="4">
        <v>7.1571125187319272E-4</v>
      </c>
      <c r="FM57" s="4">
        <v>7.8298022171786332E-4</v>
      </c>
      <c r="FN57" s="4">
        <v>8.5249837009577644E-4</v>
      </c>
      <c r="FO57" s="4">
        <v>9.247600807589263E-4</v>
      </c>
      <c r="FP57" s="4">
        <v>1.0002539087624347E-3</v>
      </c>
      <c r="FQ57" s="4">
        <v>1.079480191934724E-3</v>
      </c>
      <c r="FR57" s="4">
        <v>1.1629656369670225E-3</v>
      </c>
      <c r="FS57" s="4">
        <v>1.2512766497294874E-3</v>
      </c>
      <c r="FT57" s="4">
        <v>1.3450325935772034E-3</v>
      </c>
      <c r="FU57" s="4">
        <v>1.4449198848849945E-3</v>
      </c>
      <c r="FV57" s="4">
        <v>1.5517077363657972E-3</v>
      </c>
      <c r="FW57" s="4">
        <v>1.6662663757355009E-3</v>
      </c>
      <c r="FX57" s="4">
        <v>1.7895886765396907E-3</v>
      </c>
      <c r="FY57" s="4">
        <v>1.9228163389266189E-3</v>
      </c>
      <c r="FZ57" s="4">
        <v>2.067272066276579E-3</v>
      </c>
      <c r="GA57" s="4">
        <v>2.2244996311070082E-3</v>
      </c>
      <c r="GB57" s="4">
        <v>2.3963143643711939E-3</v>
      </c>
      <c r="GC57" s="4">
        <v>2.5848675203922374E-3</v>
      </c>
      <c r="GD57" s="4">
        <v>2.7927292965993886E-3</v>
      </c>
      <c r="GE57" s="4">
        <v>3.0229972294641308E-3</v>
      </c>
      <c r="GF57" s="4">
        <v>3.2794395751307151E-3</v>
      </c>
      <c r="GG57" s="4">
        <v>3.5666876516442865E-3</v>
      </c>
      <c r="GH57" s="4">
        <v>3.8904978612961912E-3</v>
      </c>
      <c r="GI57" s="4">
        <v>4.2581147485564437E-3</v>
      </c>
      <c r="GJ57" s="4">
        <v>4.6787836493027554E-3</v>
      </c>
      <c r="GK57" s="4">
        <v>5.1644900761533604E-3</v>
      </c>
      <c r="GL57" s="4">
        <v>5.7310519962206702E-3</v>
      </c>
      <c r="GM57" s="4">
        <v>6.3997781758169869E-3</v>
      </c>
      <c r="GN57" s="4">
        <v>7.2000665742332397E-3</v>
      </c>
      <c r="GO57" s="4">
        <v>8.1736279832594801E-3</v>
      </c>
      <c r="GP57" s="4">
        <v>9.3816558237493804E-3</v>
      </c>
      <c r="GQ57" s="4">
        <v>1.0917646650557822E-2</v>
      </c>
      <c r="GR57" s="4">
        <v>1.2931838377995377E-2</v>
      </c>
      <c r="GS57" s="4">
        <v>1.5681519798506151E-2</v>
      </c>
      <c r="GT57" s="4">
        <v>1.9648118758852265E-2</v>
      </c>
      <c r="GU57" s="4">
        <v>2.5810172370746075E-2</v>
      </c>
      <c r="GV57" s="4">
        <v>3.7106241045936031E-2</v>
      </c>
      <c r="GW57" s="4">
        <v>5.4370464712167152E-2</v>
      </c>
      <c r="GX57" s="4">
        <v>0.24496104673305374</v>
      </c>
      <c r="GY57" s="4">
        <v>-0.25083995933025821</v>
      </c>
      <c r="GZ57" s="4">
        <v>-6.0256532986687192E-2</v>
      </c>
      <c r="HA57" s="4">
        <v>-4.3006655982900696E-2</v>
      </c>
      <c r="HB57" s="4">
        <v>-3.1732192266879095E-2</v>
      </c>
      <c r="HC57" s="4">
        <v>-2.5599093744850369E-2</v>
      </c>
      <c r="HD57" s="4">
        <v>-2.1668902711331033E-2</v>
      </c>
      <c r="HE57" s="4">
        <v>-1.8963172126150517E-2</v>
      </c>
      <c r="HF57" s="4">
        <v>-1.7000511693072894E-2</v>
      </c>
      <c r="HG57" s="4">
        <v>-1.5523549858838082E-2</v>
      </c>
      <c r="HH57" s="4">
        <v>-1.4381729223760043E-2</v>
      </c>
      <c r="HI57" s="4">
        <v>-1.3480793725048637E-2</v>
      </c>
      <c r="HJ57" s="4">
        <v>-1.2757987122688028E-2</v>
      </c>
      <c r="HK57" s="4">
        <v>-1.2168563674271259E-2</v>
      </c>
      <c r="HL57" s="4">
        <v>-1.1677339604381632E-2</v>
      </c>
      <c r="HM57" s="4">
        <v>-1.1251905610744167E-2</v>
      </c>
      <c r="HN57" s="4">
        <v>-1.0854564535049599E-2</v>
      </c>
      <c r="HO57" s="4">
        <v>-1.0428161651546289E-2</v>
      </c>
      <c r="HP57" s="4">
        <v>-9.8621196431281938E-3</v>
      </c>
      <c r="HQ57" s="4">
        <v>-8.9129405822308515E-3</v>
      </c>
      <c r="HR57" s="4">
        <v>-6.62701078771619E-3</v>
      </c>
      <c r="HS57" s="4">
        <v>-3.8142804309332181E-3</v>
      </c>
      <c r="HT57" s="4">
        <v>7.7963943072465458E-2</v>
      </c>
      <c r="HU57" s="4">
        <v>-0.22537308662449715</v>
      </c>
    </row>
    <row r="58" spans="4:229" x14ac:dyDescent="0.25">
      <c r="D58" s="10">
        <v>49</v>
      </c>
      <c r="E58" s="5">
        <f>'N70'!E65-'N70'!E64</f>
        <v>1.4285714285714235E-2</v>
      </c>
      <c r="F58" s="5">
        <f>'N70'!H64-'N70'!$E$16</f>
        <v>0.69285714285714284</v>
      </c>
      <c r="G58" s="5">
        <f>'N70'!H64-'N70'!$E$17</f>
        <v>0.6785714285714286</v>
      </c>
      <c r="H58" s="5">
        <f>'N70'!H64-'N70'!$E$18</f>
        <v>0.66428571428571426</v>
      </c>
      <c r="I58" s="5">
        <f>'N70'!H64-'N70'!$E$19</f>
        <v>0.65</v>
      </c>
      <c r="J58" s="5">
        <f>'N70'!H64-'N70'!$E$20</f>
        <v>0.63571428571428568</v>
      </c>
      <c r="K58" s="5">
        <f>'N70'!H64-'N70'!$E$21</f>
        <v>0.62142857142857144</v>
      </c>
      <c r="L58" s="5">
        <f>'N70'!H64-'N70'!$E$22</f>
        <v>0.6071428571428571</v>
      </c>
      <c r="M58" s="5">
        <f>'N70'!H64-'N70'!$E$23</f>
        <v>0.59285714285714286</v>
      </c>
      <c r="N58" s="5">
        <f>'N70'!H64-'N70'!$E$24</f>
        <v>0.57857142857142851</v>
      </c>
      <c r="O58" s="5">
        <f>'N70'!H64-'N70'!$E$25</f>
        <v>0.56428571428571428</v>
      </c>
      <c r="P58" s="5">
        <f>'N70'!H64-'N70'!$E$26</f>
        <v>0.55000000000000004</v>
      </c>
      <c r="Q58" s="5">
        <f>'N70'!H64-'N70'!$E$27</f>
        <v>0.5357142857142857</v>
      </c>
      <c r="R58" s="5">
        <f>'N70'!H64-'N70'!$E$28</f>
        <v>0.52142857142857135</v>
      </c>
      <c r="S58" s="5">
        <f>'N70'!H64-'N70'!$E$29</f>
        <v>0.50714285714285712</v>
      </c>
      <c r="T58" s="5">
        <f>'N70'!H64-'N70'!$E$30</f>
        <v>0.49285714285714288</v>
      </c>
      <c r="U58" s="5">
        <f>'N70'!H64-'N70'!$E$31</f>
        <v>0.47857142857142854</v>
      </c>
      <c r="V58" s="5">
        <f>'N70'!H64-'N70'!$E$32</f>
        <v>0.4642857142857143</v>
      </c>
      <c r="W58" s="5">
        <f>'N70'!H64-'N70'!$E$33</f>
        <v>0.44999999999999996</v>
      </c>
      <c r="X58" s="5">
        <f>'N70'!H64-'N70'!$E$34</f>
        <v>0.43571428571428572</v>
      </c>
      <c r="Y58" s="5">
        <f>'N70'!H64-'N70'!$E$35</f>
        <v>0.42142857142857143</v>
      </c>
      <c r="Z58" s="5">
        <f>'N70'!H64-'N70'!$E$36</f>
        <v>0.40714285714285714</v>
      </c>
      <c r="AA58" s="5">
        <f>'N70'!H64-'N70'!$E$37</f>
        <v>0.39285714285714285</v>
      </c>
      <c r="AB58" s="5">
        <f>'N70'!H64-'N70'!$E$38</f>
        <v>0.37857142857142856</v>
      </c>
      <c r="AC58" s="5">
        <f>'N70'!H64-'N70'!$E$39</f>
        <v>0.36428571428571427</v>
      </c>
      <c r="AD58" s="5">
        <f>'N70'!H64-'N70'!$E$40</f>
        <v>0.35</v>
      </c>
      <c r="AE58" s="5">
        <f>'N70'!H64-'N70'!$E$41</f>
        <v>0.33571428571428569</v>
      </c>
      <c r="AF58" s="5">
        <f>'N70'!H64-'N70'!$E$42</f>
        <v>0.3214285714285714</v>
      </c>
      <c r="AG58" s="5">
        <f>'N70'!H64-'N70'!$E$43</f>
        <v>0.30714285714285716</v>
      </c>
      <c r="AH58" s="5">
        <f>'N70'!H64-'N70'!$E$44</f>
        <v>0.29285714285714287</v>
      </c>
      <c r="AI58" s="5">
        <f>'N70'!H64-'N70'!$E$45</f>
        <v>0.27857142857142858</v>
      </c>
      <c r="AJ58" s="5">
        <f>'N70'!H64-'N70'!$E$46</f>
        <v>0.26428571428571429</v>
      </c>
      <c r="AK58" s="5">
        <f>'N70'!H64-'N70'!$E$47</f>
        <v>0.25</v>
      </c>
      <c r="AL58" s="5">
        <f>'N70'!H64-'N70'!$E$48</f>
        <v>0.23571428571428571</v>
      </c>
      <c r="AM58" s="5">
        <f>'N70'!H64-'N70'!$E$49</f>
        <v>0.22142857142857142</v>
      </c>
      <c r="AN58" s="5">
        <f>'N70'!H64-'N70'!$E$50</f>
        <v>0.20714285714285713</v>
      </c>
      <c r="AO58" s="5">
        <f>'N70'!H64-'N70'!$E$51</f>
        <v>0.19285714285714284</v>
      </c>
      <c r="AP58" s="5">
        <f>'N70'!H64-'N70'!$E$52</f>
        <v>0.1785714285714286</v>
      </c>
      <c r="AQ58" s="5">
        <f>'N70'!H64-'N70'!$E$53</f>
        <v>0.16428571428571426</v>
      </c>
      <c r="AR58" s="5">
        <f>'N70'!H64-'N70'!$E$54</f>
        <v>0.15000000000000002</v>
      </c>
      <c r="AS58" s="5">
        <f>'N70'!H64-'N70'!$E$55</f>
        <v>0.13571428571428568</v>
      </c>
      <c r="AT58" s="5">
        <f>'N70'!H64-'N70'!$E$56</f>
        <v>0.12142857142857144</v>
      </c>
      <c r="AU58" s="5">
        <f>'N70'!H64-'N70'!$E$57</f>
        <v>0.1071428571428571</v>
      </c>
      <c r="AV58" s="5">
        <f>'N70'!H64-'N70'!$E$58</f>
        <v>9.285714285714286E-2</v>
      </c>
      <c r="AW58" s="5">
        <f>'N70'!H64-'N70'!$E$59</f>
        <v>7.8571428571428625E-2</v>
      </c>
      <c r="AX58" s="5">
        <f>'N70'!H64-'N70'!$E$60</f>
        <v>6.4285714285714279E-2</v>
      </c>
      <c r="AY58" s="5">
        <f>'N70'!H64-'N70'!$E$61</f>
        <v>5.0000000000000044E-2</v>
      </c>
      <c r="AZ58" s="5">
        <f>'N70'!H64-'N70'!$E$62</f>
        <v>3.5714285714285698E-2</v>
      </c>
      <c r="BA58" s="5">
        <f>'N70'!H64-'N70'!$E$63</f>
        <v>2.1428571428571463E-2</v>
      </c>
      <c r="BB58" s="5">
        <f>'N70'!H64-'N70'!$E$64</f>
        <v>7.1428571428571175E-3</v>
      </c>
      <c r="BC58" s="5">
        <f>'N70'!H64-'N70'!$E$65</f>
        <v>-7.1428571428571175E-3</v>
      </c>
      <c r="BD58" s="5">
        <f>'N70'!H64-'N70'!$E$66</f>
        <v>-2.1428571428571463E-2</v>
      </c>
      <c r="BE58" s="5">
        <f>'N70'!H64-'N70'!$E$67</f>
        <v>-3.5714285714285698E-2</v>
      </c>
      <c r="BF58" s="5">
        <f>'N70'!H64-'N70'!$E$68</f>
        <v>-5.0000000000000044E-2</v>
      </c>
      <c r="BG58" s="5">
        <f>'N70'!H64-'N70'!$E$69</f>
        <v>-6.4285714285714279E-2</v>
      </c>
      <c r="BH58" s="5">
        <f>'N70'!H64-'N70'!$E$70</f>
        <v>-7.8571428571428514E-2</v>
      </c>
      <c r="BI58" s="5">
        <f>'N70'!H64-'N70'!$E$71</f>
        <v>-9.285714285714286E-2</v>
      </c>
      <c r="BJ58" s="5">
        <f>'N70'!H64-'N70'!$E$72</f>
        <v>-0.1071428571428571</v>
      </c>
      <c r="BK58" s="5">
        <f>'N70'!H64-'N70'!$E$73</f>
        <v>-0.12142857142857144</v>
      </c>
      <c r="BL58" s="5">
        <f>'N70'!H64-'N70'!$E$74</f>
        <v>-0.13571428571428568</v>
      </c>
      <c r="BM58" s="5">
        <f>'N70'!H64-'N70'!$E$75</f>
        <v>-0.15000000000000002</v>
      </c>
      <c r="BN58" s="5">
        <f>'N70'!H64-'N70'!$E$76</f>
        <v>-0.16428571428571426</v>
      </c>
      <c r="BO58" s="5">
        <f>'N70'!H64-'N70'!$E$77</f>
        <v>-0.1785714285714286</v>
      </c>
      <c r="BP58" s="5">
        <f>'N70'!H64-'N70'!$E$78</f>
        <v>-0.19285714285714284</v>
      </c>
      <c r="BQ58" s="5">
        <f>'N70'!H64-'N70'!$E$79</f>
        <v>-0.20714285714285718</v>
      </c>
      <c r="BR58" s="5">
        <f>'N70'!H64-'N70'!$E$80</f>
        <v>-0.22142857142857142</v>
      </c>
      <c r="BS58" s="5">
        <f>'N70'!H64-'N70'!$E$81</f>
        <v>-0.23571428571428565</v>
      </c>
      <c r="BT58" s="5">
        <f>'N70'!H64-'N70'!$E$82</f>
        <v>-0.25</v>
      </c>
      <c r="BU58" s="5">
        <f>'N70'!H64-'N70'!$E$83</f>
        <v>-0.26428571428571423</v>
      </c>
      <c r="BV58" s="5">
        <f>'N70'!H64-'N70'!$E$84</f>
        <v>-0.27857142857142858</v>
      </c>
      <c r="BW58" s="5">
        <f>'N70'!H64-'N70'!$E$85</f>
        <v>-0.29285714285714282</v>
      </c>
      <c r="BX58" s="5">
        <v>-1</v>
      </c>
      <c r="BZ58">
        <v>49</v>
      </c>
      <c r="CA58" s="5">
        <f>N70_DESARROLLO!CE143+N70_DESARROLLO!H143</f>
        <v>-1.0380852322626088E-2</v>
      </c>
      <c r="CB58" s="5">
        <f>N70_DESARROLLO!CF143+N70_DESARROLLO!I143</f>
        <v>-2.1054187410165626E-2</v>
      </c>
      <c r="CC58" s="5">
        <f>N70_DESARROLLO!CG143+N70_DESARROLLO!J143</f>
        <v>-2.1507034719714269E-2</v>
      </c>
      <c r="CD58" s="5">
        <f>N70_DESARROLLO!CH143+N70_DESARROLLO!K143</f>
        <v>-2.1979792112853391E-2</v>
      </c>
      <c r="CE58" s="5">
        <f>N70_DESARROLLO!CI143+N70_DESARROLLO!L143</f>
        <v>-2.2473802280108091E-2</v>
      </c>
      <c r="CF58" s="5">
        <f>N70_DESARROLLO!CJ143+N70_DESARROLLO!M143</f>
        <v>-2.2990531429693095E-2</v>
      </c>
      <c r="CG58" s="5">
        <f>N70_DESARROLLO!CK143+N70_DESARROLLO!N143</f>
        <v>-2.3531583826945979E-2</v>
      </c>
      <c r="CH58" s="5">
        <f>N70_DESARROLLO!CL143+N70_DESARROLLO!O143</f>
        <v>-2.4098718436559308E-2</v>
      </c>
      <c r="CI58" s="5">
        <f>N70_DESARROLLO!CM143+N70_DESARROLLO!P143</f>
        <v>-2.4693868032508171E-2</v>
      </c>
      <c r="CJ58" s="5">
        <f>N70_DESARROLLO!CN143+N70_DESARROLLO!Q143</f>
        <v>-2.5319161212281727E-2</v>
      </c>
      <c r="CK58" s="5">
        <f>N70_DESARROLLO!CO143+N70_DESARROLLO!R143</f>
        <v>-2.5976947844864928E-2</v>
      </c>
      <c r="CL58" s="5">
        <f>N70_DESARROLLO!CP143+N70_DESARROLLO!S143</f>
        <v>-2.6669828593220757E-2</v>
      </c>
      <c r="CM58" s="5">
        <f>N70_DESARROLLO!CQ143+N70_DESARROLLO!T143</f>
        <v>-2.740068929380679E-2</v>
      </c>
      <c r="CN58" s="5">
        <f>N70_DESARROLLO!CR143+N70_DESARROLLO!U143</f>
        <v>-2.8172741151785807E-2</v>
      </c>
      <c r="CO58" s="5">
        <f>N70_DESARROLLO!CS143+N70_DESARROLLO!V143</f>
        <v>-2.8989567932944604E-2</v>
      </c>
      <c r="CP58" s="5">
        <f>N70_DESARROLLO!CT143+N70_DESARROLLO!W143</f>
        <v>-2.9855181616041393E-2</v>
      </c>
      <c r="CQ58" s="5">
        <f>N70_DESARROLLO!CU143+N70_DESARROLLO!X143</f>
        <v>-3.0774088329704075E-2</v>
      </c>
      <c r="CR58" s="5">
        <f>N70_DESARROLLO!CV143+N70_DESARROLLO!Y143</f>
        <v>-3.1751366862674324E-2</v>
      </c>
      <c r="CS58" s="5">
        <f>N70_DESARROLLO!CW143+N70_DESARROLLO!Z143</f>
        <v>-3.2792762635867723E-2</v>
      </c>
      <c r="CT58" s="5">
        <f>N70_DESARROLLO!CX143+N70_DESARROLLO!AA143</f>
        <v>-3.3904800811321523E-2</v>
      </c>
      <c r="CU58" s="5">
        <f>N70_DESARROLLO!CY143+N70_DESARROLLO!AB143</f>
        <v>-3.5094923244214704E-2</v>
      </c>
      <c r="CV58" s="5">
        <f>N70_DESARROLLO!CZ143+N70_DESARROLLO!AC143</f>
        <v>-3.6371655357440025E-2</v>
      </c>
      <c r="CW58" s="5">
        <f>N70_DESARROLLO!DA143+N70_DESARROLLO!AD143</f>
        <v>-3.774481085569692E-2</v>
      </c>
      <c r="CX58" s="5">
        <f>N70_DESARROLLO!DB143+N70_DESARROLLO!AE143</f>
        <v>-3.9225744685481789E-2</v>
      </c>
      <c r="CY58" s="5">
        <f>N70_DESARROLLO!DC143+N70_DESARROLLO!AF143</f>
        <v>-4.0827668052531574E-2</v>
      </c>
      <c r="CZ58" s="5">
        <f>N70_DESARROLLO!DD143+N70_DESARROLLO!AG143</f>
        <v>-4.2566044021113636E-2</v>
      </c>
      <c r="DA58" s="5">
        <f>N70_DESARROLLO!DE143+N70_DESARROLLO!AH143</f>
        <v>-4.4459088822766279E-2</v>
      </c>
      <c r="DB58" s="5">
        <f>N70_DESARROLLO!DF143+N70_DESARROLLO!AI143</f>
        <v>-4.6528413377885602E-2</v>
      </c>
      <c r="DC58" s="5">
        <f>N70_DESARROLLO!DG143+N70_DESARROLLO!AJ143</f>
        <v>-4.8799853039072971E-2</v>
      </c>
      <c r="DD58" s="5">
        <f>N70_DESARROLLO!DH143+N70_DESARROLLO!AK143</f>
        <v>-5.1304553326342761E-2</v>
      </c>
      <c r="DE58" s="5">
        <f>N70_DESARROLLO!DI143+N70_DESARROLLO!AL143</f>
        <v>-5.4080408838149241E-2</v>
      </c>
      <c r="DF58" s="5">
        <f>N70_DESARROLLO!DJ143+N70_DESARROLLO!AM143</f>
        <v>-5.7173997129077003E-2</v>
      </c>
      <c r="DG58" s="5">
        <f>N70_DESARROLLO!DK143+N70_DESARROLLO!AN143</f>
        <v>-6.0643218403522159E-2</v>
      </c>
      <c r="DH58" s="5">
        <f>N70_DESARROLLO!DL143+N70_DESARROLLO!AO143</f>
        <v>-6.4560961252483229E-2</v>
      </c>
      <c r="DI58" s="5">
        <f>N70_DESARROLLO!DM143+N70_DESARROLLO!AP143</f>
        <v>-6.902029235086915E-2</v>
      </c>
      <c r="DJ58" s="5">
        <f>N70_DESARROLLO!DN143+N70_DESARROLLO!AQ143</f>
        <v>-7.4141965022340162E-2</v>
      </c>
      <c r="DK58" s="5">
        <f>N70_DESARROLLO!DO143+N70_DESARROLLO!AR143</f>
        <v>-8.0085554140349235E-2</v>
      </c>
      <c r="DL58" s="5">
        <f>N70_DESARROLLO!DP143+N70_DESARROLLO!AS143</f>
        <v>-8.7066442319344017E-2</v>
      </c>
      <c r="DM58" s="5">
        <f>N70_DESARROLLO!DQ143+N70_DESARROLLO!AT143</f>
        <v>-9.5382594982166724E-2</v>
      </c>
      <c r="DN58" s="5">
        <f>N70_DESARROLLO!DR143+N70_DESARROLLO!AU143</f>
        <v>-0.10545841852058602</v>
      </c>
      <c r="DO58" s="5">
        <f>N70_DESARROLLO!DS143+N70_DESARROLLO!AV143</f>
        <v>-0.11791996375047831</v>
      </c>
      <c r="DP58" s="5">
        <f>N70_DESARROLLO!DT143+N70_DESARROLLO!AW143</f>
        <v>-0.13373123411930654</v>
      </c>
      <c r="DQ58" s="5">
        <f>N70_DESARROLLO!DU143+N70_DESARROLLO!AX143</f>
        <v>-0.15445886474681247</v>
      </c>
      <c r="DR58" s="5">
        <f>N70_DESARROLLO!DV143+N70_DESARROLLO!AY143</f>
        <v>-0.18283342438756101</v>
      </c>
      <c r="DS58" s="5">
        <f>N70_DESARROLLO!DW143+N70_DESARROLLO!AZ143</f>
        <v>-0.22408833054043442</v>
      </c>
      <c r="DT58" s="5">
        <f>N70_DESARROLLO!DX143+N70_DESARROLLO!BA143</f>
        <v>-0.28973434150572408</v>
      </c>
      <c r="DU58" s="5">
        <f>N70_DESARROLLO!DY143+N70_DESARROLLO!BB143</f>
        <v>-0.41141440075355473</v>
      </c>
      <c r="DV58" s="5">
        <f>N70_DESARROLLO!DZ143+N70_DESARROLLO!BC143</f>
        <v>-0.72775792963607455</v>
      </c>
      <c r="DW58" s="5">
        <f>N70_DESARROLLO!EA143+N70_DESARROLLO!BD143</f>
        <v>-1.6479184659605444</v>
      </c>
      <c r="DX58" s="5">
        <f>N70_DESARROLLO!EB143+N70_DESARROLLO!BE143</f>
        <v>1.6479184659605444</v>
      </c>
      <c r="DY58" s="5">
        <f>N70_DESARROLLO!EC143+N70_DESARROLLO!BF143</f>
        <v>0.72775792963607433</v>
      </c>
      <c r="DZ58" s="5">
        <f>N70_DESARROLLO!ED143+N70_DESARROLLO!BG143</f>
        <v>0.41141440075355495</v>
      </c>
      <c r="EA58" s="5">
        <f>N70_DESARROLLO!EE143+N70_DESARROLLO!BH143</f>
        <v>0.2897343415057243</v>
      </c>
      <c r="EB58" s="5">
        <f>N70_DESARROLLO!EF143+N70_DESARROLLO!BI143</f>
        <v>0.2240883305404251</v>
      </c>
      <c r="EC58" s="5">
        <f>N70_DESARROLLO!EG143+N70_DESARROLLO!BJ143</f>
        <v>0.18283342438757677</v>
      </c>
      <c r="ED58" s="5">
        <f>N70_DESARROLLO!EH143+N70_DESARROLLO!BK143</f>
        <v>0.15445886474680548</v>
      </c>
      <c r="EE58" s="5">
        <f>N70_DESARROLLO!EI143+N70_DESARROLLO!BL143</f>
        <v>0.1337312341193071</v>
      </c>
      <c r="EF58" s="5">
        <f>N70_DESARROLLO!EJ143+N70_DESARROLLO!BM143</f>
        <v>0.11791996375047809</v>
      </c>
      <c r="EG58" s="5">
        <f>N70_DESARROLLO!EK143+N70_DESARROLLO!BN143</f>
        <v>0.10545841852058624</v>
      </c>
      <c r="EH58" s="5">
        <f>N70_DESARROLLO!EL143+N70_DESARROLLO!BO143</f>
        <v>9.5382594982166613E-2</v>
      </c>
      <c r="EI58" s="5">
        <f>N70_DESARROLLO!EM143+N70_DESARROLLO!BP143</f>
        <v>8.7066442319344683E-2</v>
      </c>
      <c r="EJ58" s="5">
        <f>N70_DESARROLLO!EN143+N70_DESARROLLO!BQ143</f>
        <v>8.0085554140347681E-2</v>
      </c>
      <c r="EK58" s="5">
        <f>N70_DESARROLLO!EO143+N70_DESARROLLO!BR143</f>
        <v>7.4141965022345824E-2</v>
      </c>
      <c r="EL58" s="5">
        <f>N70_DESARROLLO!EP143+N70_DESARROLLO!BS143</f>
        <v>6.9020292350860046E-2</v>
      </c>
      <c r="EM58" s="5">
        <f>N70_DESARROLLO!EQ143+N70_DESARROLLO!BT143</f>
        <v>6.4560961252482119E-2</v>
      </c>
      <c r="EN58" s="5">
        <f>N70_DESARROLLO!ER143+N70_DESARROLLO!BU143</f>
        <v>6.0643218403529819E-2</v>
      </c>
      <c r="EO58" s="5">
        <f>N70_DESARROLLO!ES143+N70_DESARROLLO!BV143</f>
        <v>5.717399712907123E-2</v>
      </c>
      <c r="EP58" s="5">
        <f>N70_DESARROLLO!ET143+N70_DESARROLLO!BW143</f>
        <v>5.4080408838158012E-2</v>
      </c>
      <c r="EQ58" s="5">
        <f>N70_DESARROLLO!EU143+N70_DESARROLLO!BX143</f>
        <v>5.130455332633288E-2</v>
      </c>
      <c r="ER58" s="5">
        <f>N70_DESARROLLO!EV143+N70_DESARROLLO!BY143</f>
        <v>84.989723411938343</v>
      </c>
      <c r="FC58">
        <v>49</v>
      </c>
      <c r="FD58" s="4">
        <v>1.1369050437972519E-4</v>
      </c>
      <c r="FE58" s="4">
        <v>2.2872159090391589E-4</v>
      </c>
      <c r="FF58" s="4">
        <v>3.0374493554408041E-4</v>
      </c>
      <c r="FG58" s="4">
        <v>3.7067476773310738E-4</v>
      </c>
      <c r="FH58" s="4">
        <v>4.3340974726497694E-4</v>
      </c>
      <c r="FI58" s="4">
        <v>4.9426735682109302E-4</v>
      </c>
      <c r="FJ58" s="4">
        <v>5.5455730616000795E-4</v>
      </c>
      <c r="FK58" s="4">
        <v>6.1516369203936674E-4</v>
      </c>
      <c r="FL58" s="4">
        <v>6.7675128951483643E-4</v>
      </c>
      <c r="FM58" s="4">
        <v>7.398666019785724E-4</v>
      </c>
      <c r="FN58" s="4">
        <v>8.0499259338695961E-4</v>
      </c>
      <c r="FO58" s="4">
        <v>8.7258170391001284E-4</v>
      </c>
      <c r="FP58" s="4">
        <v>9.4307783081064018E-4</v>
      </c>
      <c r="FQ58" s="4">
        <v>1.0169324996296743E-3</v>
      </c>
      <c r="FR58" s="4">
        <v>1.0946180249577083E-3</v>
      </c>
      <c r="FS58" s="4">
        <v>1.176639308441223E-3</v>
      </c>
      <c r="FT58" s="4">
        <v>1.2635453537153908E-3</v>
      </c>
      <c r="FU58" s="4">
        <v>1.3559413026190837E-3</v>
      </c>
      <c r="FV58" s="4">
        <v>1.4545016833896341E-3</v>
      </c>
      <c r="FW58" s="4">
        <v>1.5599855507917074E-3</v>
      </c>
      <c r="FX58" s="4">
        <v>1.6732542645452111E-3</v>
      </c>
      <c r="FY58" s="4">
        <v>1.7952927911538338E-3</v>
      </c>
      <c r="FZ58" s="4">
        <v>1.9272356330129004E-3</v>
      </c>
      <c r="GA58" s="4">
        <v>2.0703988078020464E-3</v>
      </c>
      <c r="GB58" s="4">
        <v>2.2263197558548605E-3</v>
      </c>
      <c r="GC58" s="4">
        <v>2.3968076985773127E-3</v>
      </c>
      <c r="GD58" s="4">
        <v>2.5840078921564175E-3</v>
      </c>
      <c r="GE58" s="4">
        <v>2.7904845498637086E-3</v>
      </c>
      <c r="GF58" s="4">
        <v>3.0193291498413323E-3</v>
      </c>
      <c r="GG58" s="4">
        <v>3.2743037335021485E-3</v>
      </c>
      <c r="GH58" s="4">
        <v>3.5600331685610707E-3</v>
      </c>
      <c r="GI58" s="4">
        <v>3.8822670930115017E-3</v>
      </c>
      <c r="GJ58" s="4">
        <v>4.24824289351893E-3</v>
      </c>
      <c r="GK58" s="4">
        <v>4.6671982722013665E-3</v>
      </c>
      <c r="GL58" s="4">
        <v>5.1511105450937605E-3</v>
      </c>
      <c r="GM58" s="4">
        <v>5.7157888272049342E-3</v>
      </c>
      <c r="GN58" s="4">
        <v>6.3825322774977719E-3</v>
      </c>
      <c r="GO58" s="4">
        <v>7.1807283848727629E-3</v>
      </c>
      <c r="GP58" s="4">
        <v>8.1520764912027758E-3</v>
      </c>
      <c r="GQ58" s="4">
        <v>9.3577574626420214E-3</v>
      </c>
      <c r="GR58" s="4">
        <v>1.0891254061249106E-2</v>
      </c>
      <c r="GS58" s="4">
        <v>1.29027890314949E-2</v>
      </c>
      <c r="GT58" s="4">
        <v>1.5649634478866418E-2</v>
      </c>
      <c r="GU58" s="4">
        <v>1.9613199913526561E-2</v>
      </c>
      <c r="GV58" s="4">
        <v>2.577200235054472E-2</v>
      </c>
      <c r="GW58" s="4">
        <v>3.7064580281414683E-2</v>
      </c>
      <c r="GX58" s="4">
        <v>5.4325049914014246E-2</v>
      </c>
      <c r="GY58" s="4">
        <v>0.2449115892707574</v>
      </c>
      <c r="GZ58" s="4">
        <v>-0.2508937746074657</v>
      </c>
      <c r="HA58" s="4">
        <v>-6.0315048042336859E-2</v>
      </c>
      <c r="HB58" s="4">
        <v>-4.3070238255443621E-2</v>
      </c>
      <c r="HC58" s="4">
        <v>-3.1801230455685912E-2</v>
      </c>
      <c r="HD58" s="4">
        <v>-2.5673988619773418E-2</v>
      </c>
      <c r="HE58" s="4">
        <v>-2.1750049367232304E-2</v>
      </c>
      <c r="HF58" s="4">
        <v>-1.9050927492017238E-2</v>
      </c>
      <c r="HG58" s="4">
        <v>-1.7095136380172807E-2</v>
      </c>
      <c r="HH58" s="4">
        <v>-1.5625104639981922E-2</v>
      </c>
      <c r="HI58" s="4">
        <v>-1.448988953374286E-2</v>
      </c>
      <c r="HJ58" s="4">
        <v>-1.359451182203845E-2</v>
      </c>
      <c r="HK58" s="4">
        <v>-1.2874861085089074E-2</v>
      </c>
      <c r="HL58" s="4">
        <v>-1.2283617314519437E-2</v>
      </c>
      <c r="HM58" s="4">
        <v>-1.1780554137443718E-2</v>
      </c>
      <c r="HN58" s="4">
        <v>-1.1322920670725736E-2</v>
      </c>
      <c r="HO58" s="4">
        <v>-1.0850472688800423E-2</v>
      </c>
      <c r="HP58" s="4">
        <v>-1.0251263430773575E-2</v>
      </c>
      <c r="HQ58" s="4">
        <v>-9.2825389673243108E-3</v>
      </c>
      <c r="HR58" s="4">
        <v>-6.997074512595001E-3</v>
      </c>
      <c r="HS58" s="4">
        <v>-4.2075712065035298E-3</v>
      </c>
      <c r="HT58" s="4">
        <v>7.7114661430900538E-2</v>
      </c>
      <c r="HU58" s="4">
        <v>-0.22508716093424297</v>
      </c>
    </row>
    <row r="59" spans="4:229" x14ac:dyDescent="0.25">
      <c r="D59" s="10">
        <v>50</v>
      </c>
      <c r="E59" s="5">
        <f>'N70'!E66-'N70'!E65</f>
        <v>1.4285714285714346E-2</v>
      </c>
      <c r="F59" s="5">
        <f>'N70'!H65-'N70'!$E$16</f>
        <v>0.70714285714285707</v>
      </c>
      <c r="G59" s="5">
        <f>'N70'!H65-'N70'!$E$17</f>
        <v>0.69285714285714284</v>
      </c>
      <c r="H59" s="5">
        <f>'N70'!H65-'N70'!$E$18</f>
        <v>0.67857142857142849</v>
      </c>
      <c r="I59" s="5">
        <f>'N70'!H65-'N70'!$E$19</f>
        <v>0.66428571428571426</v>
      </c>
      <c r="J59" s="5">
        <f>'N70'!H65-'N70'!$E$20</f>
        <v>0.64999999999999991</v>
      </c>
      <c r="K59" s="5">
        <f>'N70'!H65-'N70'!$E$21</f>
        <v>0.63571428571428568</v>
      </c>
      <c r="L59" s="5">
        <f>'N70'!H65-'N70'!$E$22</f>
        <v>0.62142857142857133</v>
      </c>
      <c r="M59" s="5">
        <f>'N70'!H65-'N70'!$E$23</f>
        <v>0.6071428571428571</v>
      </c>
      <c r="N59" s="5">
        <f>'N70'!H65-'N70'!$E$24</f>
        <v>0.59285714285714275</v>
      </c>
      <c r="O59" s="5">
        <f>'N70'!H65-'N70'!$E$25</f>
        <v>0.57857142857142851</v>
      </c>
      <c r="P59" s="5">
        <f>'N70'!H65-'N70'!$E$26</f>
        <v>0.56428571428571428</v>
      </c>
      <c r="Q59" s="5">
        <f>'N70'!H65-'N70'!$E$27</f>
        <v>0.54999999999999993</v>
      </c>
      <c r="R59" s="5">
        <f>'N70'!H65-'N70'!$E$28</f>
        <v>0.53571428571428559</v>
      </c>
      <c r="S59" s="5">
        <f>'N70'!H65-'N70'!$E$29</f>
        <v>0.52142857142857135</v>
      </c>
      <c r="T59" s="5">
        <f>'N70'!H65-'N70'!$E$30</f>
        <v>0.50714285714285712</v>
      </c>
      <c r="U59" s="5">
        <f>'N70'!H65-'N70'!$E$31</f>
        <v>0.49285714285714277</v>
      </c>
      <c r="V59" s="5">
        <f>'N70'!H65-'N70'!$E$32</f>
        <v>0.47857142857142854</v>
      </c>
      <c r="W59" s="5">
        <f>'N70'!H65-'N70'!$E$33</f>
        <v>0.46428571428571419</v>
      </c>
      <c r="X59" s="5">
        <f>'N70'!H65-'N70'!$E$34</f>
        <v>0.44999999999999996</v>
      </c>
      <c r="Y59" s="5">
        <f>'N70'!H65-'N70'!$E$35</f>
        <v>0.43571428571428567</v>
      </c>
      <c r="Z59" s="5">
        <f>'N70'!H65-'N70'!$E$36</f>
        <v>0.42142857142857137</v>
      </c>
      <c r="AA59" s="5">
        <f>'N70'!H65-'N70'!$E$37</f>
        <v>0.40714285714285708</v>
      </c>
      <c r="AB59" s="5">
        <f>'N70'!H65-'N70'!$E$38</f>
        <v>0.39285714285714279</v>
      </c>
      <c r="AC59" s="5">
        <f>'N70'!H65-'N70'!$E$39</f>
        <v>0.3785714285714285</v>
      </c>
      <c r="AD59" s="5">
        <f>'N70'!H65-'N70'!$E$40</f>
        <v>0.36428571428571421</v>
      </c>
      <c r="AE59" s="5">
        <f>'N70'!H65-'N70'!$E$41</f>
        <v>0.34999999999999992</v>
      </c>
      <c r="AF59" s="5">
        <f>'N70'!H65-'N70'!$E$42</f>
        <v>0.33571428571428563</v>
      </c>
      <c r="AG59" s="5">
        <f>'N70'!H65-'N70'!$E$43</f>
        <v>0.3214285714285714</v>
      </c>
      <c r="AH59" s="5">
        <f>'N70'!H65-'N70'!$E$44</f>
        <v>0.30714285714285711</v>
      </c>
      <c r="AI59" s="5">
        <f>'N70'!H65-'N70'!$E$45</f>
        <v>0.29285714285714282</v>
      </c>
      <c r="AJ59" s="5">
        <f>'N70'!H65-'N70'!$E$46</f>
        <v>0.27857142857142853</v>
      </c>
      <c r="AK59" s="5">
        <f>'N70'!H65-'N70'!$E$47</f>
        <v>0.26428571428571423</v>
      </c>
      <c r="AL59" s="5">
        <f>'N70'!H65-'N70'!$E$48</f>
        <v>0.24999999999999994</v>
      </c>
      <c r="AM59" s="5">
        <f>'N70'!H65-'N70'!$E$49</f>
        <v>0.23571428571428565</v>
      </c>
      <c r="AN59" s="5">
        <f>'N70'!H65-'N70'!$E$50</f>
        <v>0.22142857142857136</v>
      </c>
      <c r="AO59" s="5">
        <f>'N70'!H65-'N70'!$E$51</f>
        <v>0.20714285714285707</v>
      </c>
      <c r="AP59" s="5">
        <f>'N70'!H65-'N70'!$E$52</f>
        <v>0.19285714285714284</v>
      </c>
      <c r="AQ59" s="5">
        <f>'N70'!H65-'N70'!$E$53</f>
        <v>0.17857142857142849</v>
      </c>
      <c r="AR59" s="5">
        <f>'N70'!H65-'N70'!$E$54</f>
        <v>0.16428571428571426</v>
      </c>
      <c r="AS59" s="5">
        <f>'N70'!H65-'N70'!$E$55</f>
        <v>0.14999999999999991</v>
      </c>
      <c r="AT59" s="5">
        <f>'N70'!H65-'N70'!$E$56</f>
        <v>0.13571428571428568</v>
      </c>
      <c r="AU59" s="5">
        <f>'N70'!H65-'N70'!$E$57</f>
        <v>0.12142857142857133</v>
      </c>
      <c r="AV59" s="5">
        <f>'N70'!H65-'N70'!$E$58</f>
        <v>0.1071428571428571</v>
      </c>
      <c r="AW59" s="5">
        <f>'N70'!H65-'N70'!$E$59</f>
        <v>9.285714285714286E-2</v>
      </c>
      <c r="AX59" s="5">
        <f>'N70'!H65-'N70'!$E$60</f>
        <v>7.8571428571428514E-2</v>
      </c>
      <c r="AY59" s="5">
        <f>'N70'!H65-'N70'!$E$61</f>
        <v>6.4285714285714279E-2</v>
      </c>
      <c r="AZ59" s="5">
        <f>'N70'!H65-'N70'!$E$62</f>
        <v>4.9999999999999933E-2</v>
      </c>
      <c r="BA59" s="5">
        <f>'N70'!H65-'N70'!$E$63</f>
        <v>3.5714285714285698E-2</v>
      </c>
      <c r="BB59" s="5">
        <f>'N70'!H65-'N70'!$E$64</f>
        <v>2.1428571428571352E-2</v>
      </c>
      <c r="BC59" s="5">
        <f>'N70'!H65-'N70'!$E$65</f>
        <v>7.1428571428571175E-3</v>
      </c>
      <c r="BD59" s="5">
        <f>'N70'!H65-'N70'!$E$66</f>
        <v>-7.1428571428572285E-3</v>
      </c>
      <c r="BE59" s="5">
        <f>'N70'!H65-'N70'!$E$67</f>
        <v>-2.1428571428571463E-2</v>
      </c>
      <c r="BF59" s="5">
        <f>'N70'!H65-'N70'!$E$68</f>
        <v>-3.5714285714285809E-2</v>
      </c>
      <c r="BG59" s="5">
        <f>'N70'!H65-'N70'!$E$69</f>
        <v>-5.0000000000000044E-2</v>
      </c>
      <c r="BH59" s="5">
        <f>'N70'!H65-'N70'!$E$70</f>
        <v>-6.4285714285714279E-2</v>
      </c>
      <c r="BI59" s="5">
        <f>'N70'!H65-'N70'!$E$71</f>
        <v>-7.8571428571428625E-2</v>
      </c>
      <c r="BJ59" s="5">
        <f>'N70'!H65-'N70'!$E$72</f>
        <v>-9.285714285714286E-2</v>
      </c>
      <c r="BK59" s="5">
        <f>'N70'!H65-'N70'!$E$73</f>
        <v>-0.10714285714285721</v>
      </c>
      <c r="BL59" s="5">
        <f>'N70'!H65-'N70'!$E$74</f>
        <v>-0.12142857142857144</v>
      </c>
      <c r="BM59" s="5">
        <f>'N70'!H65-'N70'!$E$75</f>
        <v>-0.13571428571428579</v>
      </c>
      <c r="BN59" s="5">
        <f>'N70'!H65-'N70'!$E$76</f>
        <v>-0.15000000000000002</v>
      </c>
      <c r="BO59" s="5">
        <f>'N70'!H65-'N70'!$E$77</f>
        <v>-0.16428571428571437</v>
      </c>
      <c r="BP59" s="5">
        <f>'N70'!H65-'N70'!$E$78</f>
        <v>-0.1785714285714286</v>
      </c>
      <c r="BQ59" s="5">
        <f>'N70'!H65-'N70'!$E$79</f>
        <v>-0.19285714285714295</v>
      </c>
      <c r="BR59" s="5">
        <f>'N70'!H65-'N70'!$E$80</f>
        <v>-0.20714285714285718</v>
      </c>
      <c r="BS59" s="5">
        <f>'N70'!H65-'N70'!$E$81</f>
        <v>-0.22142857142857142</v>
      </c>
      <c r="BT59" s="5">
        <f>'N70'!H65-'N70'!$E$82</f>
        <v>-0.23571428571428577</v>
      </c>
      <c r="BU59" s="5">
        <f>'N70'!H65-'N70'!$E$83</f>
        <v>-0.25</v>
      </c>
      <c r="BV59" s="5">
        <f>'N70'!H65-'N70'!$E$84</f>
        <v>-0.26428571428571435</v>
      </c>
      <c r="BW59" s="5">
        <f>'N70'!H65-'N70'!$E$85</f>
        <v>-0.27857142857142858</v>
      </c>
      <c r="BX59" s="5">
        <v>-1</v>
      </c>
      <c r="BZ59">
        <v>50</v>
      </c>
      <c r="CA59" s="5">
        <f>N70_DESARROLLO!CE144+N70_DESARROLLO!H144</f>
        <v>-1.0169706089854125E-2</v>
      </c>
      <c r="CB59" s="5">
        <f>N70_DESARROLLO!CF144+N70_DESARROLLO!I144</f>
        <v>-2.062001827215143E-2</v>
      </c>
      <c r="CC59" s="5">
        <f>N70_DESARROLLO!CG144+N70_DESARROLLO!J144</f>
        <v>-2.1054187410176284E-2</v>
      </c>
      <c r="CD59" s="5">
        <f>N70_DESARROLLO!CH144+N70_DESARROLLO!K144</f>
        <v>-2.1507034719698614E-2</v>
      </c>
      <c r="CE59" s="5">
        <f>N70_DESARROLLO!CI144+N70_DESARROLLO!L144</f>
        <v>-2.1979792112873819E-2</v>
      </c>
      <c r="CF59" s="5">
        <f>N70_DESARROLLO!CJ144+N70_DESARROLLO!M144</f>
        <v>-2.2473802280093103E-2</v>
      </c>
      <c r="CG59" s="5">
        <f>N70_DESARROLLO!CK144+N70_DESARROLLO!N144</f>
        <v>-2.2990531429702865E-2</v>
      </c>
      <c r="CH59" s="5">
        <f>N70_DESARROLLO!CL144+N70_DESARROLLO!O144</f>
        <v>-2.3531583826931435E-2</v>
      </c>
      <c r="CI59" s="5">
        <f>N70_DESARROLLO!CM144+N70_DESARROLLO!P144</f>
        <v>-2.4098718436573519E-2</v>
      </c>
      <c r="CJ59" s="5">
        <f>N70_DESARROLLO!CN144+N70_DESARROLLO!Q144</f>
        <v>-2.4693868032503286E-2</v>
      </c>
      <c r="CK59" s="5">
        <f>N70_DESARROLLO!CO144+N70_DESARROLLO!R144</f>
        <v>-2.5319161212273178E-2</v>
      </c>
      <c r="CL59" s="5">
        <f>N70_DESARROLLO!CP144+N70_DESARROLLO!S144</f>
        <v>-2.5976947844874254E-2</v>
      </c>
      <c r="CM59" s="5">
        <f>N70_DESARROLLO!CQ144+N70_DESARROLLO!T144</f>
        <v>-2.6669828593224643E-2</v>
      </c>
      <c r="CN59" s="5">
        <f>N70_DESARROLLO!CR144+N70_DESARROLLO!U144</f>
        <v>-2.7400689293802127E-2</v>
      </c>
      <c r="CO59" s="5">
        <f>N70_DESARROLLO!CS144+N70_DESARROLLO!V144</f>
        <v>-2.8172741151778147E-2</v>
      </c>
      <c r="CP59" s="5">
        <f>N70_DESARROLLO!CT144+N70_DESARROLLO!W144</f>
        <v>-2.8989567932960481E-2</v>
      </c>
      <c r="CQ59" s="5">
        <f>N70_DESARROLLO!CU144+N70_DESARROLLO!X144</f>
        <v>-2.9855181616026294E-2</v>
      </c>
      <c r="CR59" s="5">
        <f>N70_DESARROLLO!CV144+N70_DESARROLLO!Y144</f>
        <v>-3.0774088329718841E-2</v>
      </c>
      <c r="CS59" s="5">
        <f>N70_DESARROLLO!CW144+N70_DESARROLLO!Z144</f>
        <v>-3.1751366862663444E-2</v>
      </c>
      <c r="CT59" s="5">
        <f>N70_DESARROLLO!CX144+N70_DESARROLLO!AA144</f>
        <v>-3.2792762635871164E-2</v>
      </c>
      <c r="CU59" s="5">
        <f>N70_DESARROLLO!CY144+N70_DESARROLLO!AB144</f>
        <v>-3.3904800811321412E-2</v>
      </c>
      <c r="CV59" s="5">
        <f>N70_DESARROLLO!CZ144+N70_DESARROLLO!AC144</f>
        <v>-3.5094923244214593E-2</v>
      </c>
      <c r="CW59" s="5">
        <f>N70_DESARROLLO!DA144+N70_DESARROLLO!AD144</f>
        <v>-3.6371655357440247E-2</v>
      </c>
      <c r="CX59" s="5">
        <f>N70_DESARROLLO!DB144+N70_DESARROLLO!AE144</f>
        <v>-3.7744810855697031E-2</v>
      </c>
      <c r="CY59" s="5">
        <f>N70_DESARROLLO!DC144+N70_DESARROLLO!AF144</f>
        <v>-3.9225744685481456E-2</v>
      </c>
      <c r="CZ59" s="5">
        <f>N70_DESARROLLO!DD144+N70_DESARROLLO!AG144</f>
        <v>-4.0827668052531463E-2</v>
      </c>
      <c r="DA59" s="5">
        <f>N70_DESARROLLO!DE144+N70_DESARROLLO!AH144</f>
        <v>-4.2566044021118632E-2</v>
      </c>
      <c r="DB59" s="5">
        <f>N70_DESARROLLO!DF144+N70_DESARROLLO!AI144</f>
        <v>-4.4459088822756065E-2</v>
      </c>
      <c r="DC59" s="5">
        <f>N70_DESARROLLO!DG144+N70_DESARROLLO!AJ144</f>
        <v>-4.652841337789082E-2</v>
      </c>
      <c r="DD59" s="5">
        <f>N70_DESARROLLO!DH144+N70_DESARROLLO!AK144</f>
        <v>-4.8799853039073193E-2</v>
      </c>
      <c r="DE59" s="5">
        <f>N70_DESARROLLO!DI144+N70_DESARROLLO!AL144</f>
        <v>-5.1304553326342761E-2</v>
      </c>
      <c r="DF59" s="5">
        <f>N70_DESARROLLO!DJ144+N70_DESARROLLO!AM144</f>
        <v>-5.4080408838149241E-2</v>
      </c>
      <c r="DG59" s="5">
        <f>N70_DESARROLLO!DK144+N70_DESARROLLO!AN144</f>
        <v>-5.7173997129077003E-2</v>
      </c>
      <c r="DH59" s="5">
        <f>N70_DESARROLLO!DL144+N70_DESARROLLO!AO144</f>
        <v>-6.0643218403522159E-2</v>
      </c>
      <c r="DI59" s="5">
        <f>N70_DESARROLLO!DM144+N70_DESARROLLO!AP144</f>
        <v>-6.4560961252483229E-2</v>
      </c>
      <c r="DJ59" s="5">
        <f>N70_DESARROLLO!DN144+N70_DESARROLLO!AQ144</f>
        <v>-6.9020292350872037E-2</v>
      </c>
      <c r="DK59" s="5">
        <f>N70_DESARROLLO!DO144+N70_DESARROLLO!AR144</f>
        <v>-7.4141965022329614E-2</v>
      </c>
      <c r="DL59" s="5">
        <f>N70_DESARROLLO!DP144+N70_DESARROLLO!AS144</f>
        <v>-8.0085554140364557E-2</v>
      </c>
      <c r="DM59" s="5">
        <f>N70_DESARROLLO!DQ144+N70_DESARROLLO!AT144</f>
        <v>-8.7066442319328918E-2</v>
      </c>
      <c r="DN59" s="5">
        <f>N70_DESARROLLO!DR144+N70_DESARROLLO!AU144</f>
        <v>-9.5382594982182156E-2</v>
      </c>
      <c r="DO59" s="5">
        <f>N70_DESARROLLO!DS144+N70_DESARROLLO!AV144</f>
        <v>-0.10545841852057092</v>
      </c>
      <c r="DP59" s="5">
        <f>N70_DESARROLLO!DT144+N70_DESARROLLO!AW144</f>
        <v>-0.11791996375049318</v>
      </c>
      <c r="DQ59" s="5">
        <f>N70_DESARROLLO!DU144+N70_DESARROLLO!AX144</f>
        <v>-0.13373123411929788</v>
      </c>
      <c r="DR59" s="5">
        <f>N70_DESARROLLO!DV144+N70_DESARROLLO!AY144</f>
        <v>-0.15445886474680592</v>
      </c>
      <c r="DS59" s="5">
        <f>N70_DESARROLLO!DW144+N70_DESARROLLO!AZ144</f>
        <v>-0.18283342438757666</v>
      </c>
      <c r="DT59" s="5">
        <f>N70_DESARROLLO!DX144+N70_DESARROLLO!BA144</f>
        <v>-0.22408833054041921</v>
      </c>
      <c r="DU59" s="5">
        <f>N70_DESARROLLO!DY144+N70_DESARROLLO!BB144</f>
        <v>-0.28973434150574007</v>
      </c>
      <c r="DV59" s="5">
        <f>N70_DESARROLLO!DZ144+N70_DESARROLLO!BC144</f>
        <v>-0.41141440075354019</v>
      </c>
      <c r="DW59" s="5">
        <f>N70_DESARROLLO!EA144+N70_DESARROLLO!BD144</f>
        <v>-0.72775792963608976</v>
      </c>
      <c r="DX59" s="5">
        <f>N70_DESARROLLO!EB144+N70_DESARROLLO!BE144</f>
        <v>-1.6479184659605282</v>
      </c>
      <c r="DY59" s="5">
        <f>N70_DESARROLLO!EC144+N70_DESARROLLO!BF144</f>
        <v>1.6479184659605211</v>
      </c>
      <c r="DZ59" s="5">
        <f>N70_DESARROLLO!ED144+N70_DESARROLLO!BG144</f>
        <v>0.72775792963608488</v>
      </c>
      <c r="EA59" s="5">
        <f>N70_DESARROLLO!EE144+N70_DESARROLLO!BH144</f>
        <v>0.4114144007535393</v>
      </c>
      <c r="EB59" s="5">
        <f>N70_DESARROLLO!EF144+N70_DESARROLLO!BI144</f>
        <v>0.28973434150572963</v>
      </c>
      <c r="EC59" s="5">
        <f>N70_DESARROLLO!EG144+N70_DESARROLLO!BJ144</f>
        <v>0.22408833054043464</v>
      </c>
      <c r="ED59" s="5">
        <f>N70_DESARROLLO!EH144+N70_DESARROLLO!BK144</f>
        <v>0.18283342438756045</v>
      </c>
      <c r="EE59" s="5">
        <f>N70_DESARROLLO!EI144+N70_DESARROLLO!BL144</f>
        <v>0.1544588647468208</v>
      </c>
      <c r="EF59" s="5">
        <f>N70_DESARROLLO!EJ144+N70_DESARROLLO!BM144</f>
        <v>0.13373123411929266</v>
      </c>
      <c r="EG59" s="5">
        <f>N70_DESARROLLO!EK144+N70_DESARROLLO!BN144</f>
        <v>0.11791996375049285</v>
      </c>
      <c r="EH59" s="5">
        <f>N70_DESARROLLO!EL144+N70_DESARROLLO!BO144</f>
        <v>0.10545841852057103</v>
      </c>
      <c r="EI59" s="5">
        <f>N70_DESARROLLO!EM144+N70_DESARROLLO!BP144</f>
        <v>9.5382594982181268E-2</v>
      </c>
      <c r="EJ59" s="5">
        <f>N70_DESARROLLO!EN144+N70_DESARROLLO!BQ144</f>
        <v>8.7066442319330473E-2</v>
      </c>
      <c r="EK59" s="5">
        <f>N70_DESARROLLO!EO144+N70_DESARROLLO!BR144</f>
        <v>8.0085554140363002E-2</v>
      </c>
      <c r="EL59" s="5">
        <f>N70_DESARROLLO!EP144+N70_DESARROLLO!BS144</f>
        <v>7.414196502232917E-2</v>
      </c>
      <c r="EM59" s="5">
        <f>N70_DESARROLLO!EQ144+N70_DESARROLLO!BT144</f>
        <v>6.9020292350867818E-2</v>
      </c>
      <c r="EN59" s="5">
        <f>N70_DESARROLLO!ER144+N70_DESARROLLO!BU144</f>
        <v>6.4560961252489446E-2</v>
      </c>
      <c r="EO59" s="5">
        <f>N70_DESARROLLO!ES144+N70_DESARROLLO!BV144</f>
        <v>6.0643218403515942E-2</v>
      </c>
      <c r="EP59" s="5">
        <f>N70_DESARROLLO!ET144+N70_DESARROLLO!BW144</f>
        <v>5.7173997129085885E-2</v>
      </c>
      <c r="EQ59" s="5">
        <f>N70_DESARROLLO!EU144+N70_DESARROLLO!BX144</f>
        <v>5.4080408838142358E-2</v>
      </c>
      <c r="ER59" s="5">
        <f>N70_DESARROLLO!EV144+N70_DESARROLLO!BY144</f>
        <v>88.491747053930681</v>
      </c>
      <c r="FC59">
        <v>50</v>
      </c>
      <c r="FD59" s="4">
        <v>1.0792866314920691E-4</v>
      </c>
      <c r="FE59" s="4">
        <v>2.1704883222232942E-4</v>
      </c>
      <c r="FF59" s="4">
        <v>2.8811257390761054E-4</v>
      </c>
      <c r="FG59" s="4">
        <v>3.5143166916677682E-4</v>
      </c>
      <c r="FH59" s="4">
        <v>4.1070637822434246E-4</v>
      </c>
      <c r="FI59" s="4">
        <v>4.6813315790313959E-4</v>
      </c>
      <c r="FJ59" s="4">
        <v>5.249497566812536E-4</v>
      </c>
      <c r="FK59" s="4">
        <v>5.8198823471766119E-4</v>
      </c>
      <c r="FL59" s="4">
        <v>6.3987084104849784E-4</v>
      </c>
      <c r="FM59" s="4">
        <v>6.9910584231701832E-4</v>
      </c>
      <c r="FN59" s="4">
        <v>7.6013928685313159E-4</v>
      </c>
      <c r="FO59" s="4">
        <v>8.2338607239759005E-4</v>
      </c>
      <c r="FP59" s="4">
        <v>8.8925045642224664E-4</v>
      </c>
      <c r="FQ59" s="4">
        <v>9.5814095886146604E-4</v>
      </c>
      <c r="FR59" s="4">
        <v>1.0304822970770143E-3</v>
      </c>
      <c r="FS59" s="4">
        <v>1.1067258921884423E-3</v>
      </c>
      <c r="FT59" s="4">
        <v>1.187359938100167E-3</v>
      </c>
      <c r="FU59" s="4">
        <v>1.2729197520127803E-3</v>
      </c>
      <c r="FV59" s="4">
        <v>1.363999002797776E-3</v>
      </c>
      <c r="FW59" s="4">
        <v>1.4612623836584833E-3</v>
      </c>
      <c r="FX59" s="4">
        <v>1.5654603317385009E-3</v>
      </c>
      <c r="FY59" s="4">
        <v>1.677446491801494E-3</v>
      </c>
      <c r="FZ59" s="4">
        <v>1.7981987767940056E-3</v>
      </c>
      <c r="GA59" s="4">
        <v>1.9288451073372103E-3</v>
      </c>
      <c r="GB59" s="4">
        <v>2.0706952381507873E-3</v>
      </c>
      <c r="GC59" s="4">
        <v>2.225280538552173E-3</v>
      </c>
      <c r="GD59" s="4">
        <v>2.3944042424436473E-3</v>
      </c>
      <c r="GE59" s="4">
        <v>2.5802056064049483E-3</v>
      </c>
      <c r="GF59" s="4">
        <v>2.7852427448414674E-3</v>
      </c>
      <c r="GG59" s="4">
        <v>3.0126008558108252E-3</v>
      </c>
      <c r="GH59" s="4">
        <v>3.2660354398464939E-3</v>
      </c>
      <c r="GI59" s="4">
        <v>3.5501644835891034E-3</v>
      </c>
      <c r="GJ59" s="4">
        <v>3.8707303225488732E-3</v>
      </c>
      <c r="GK59" s="4">
        <v>4.2349625346805352E-3</v>
      </c>
      <c r="GL59" s="4">
        <v>4.6520904171581797E-3</v>
      </c>
      <c r="GM59" s="4">
        <v>5.1340821881308155E-3</v>
      </c>
      <c r="GN59" s="4">
        <v>5.6967370670106213E-3</v>
      </c>
      <c r="GO59" s="4">
        <v>6.3613434053884253E-3</v>
      </c>
      <c r="GP59" s="4">
        <v>7.1572768487538135E-3</v>
      </c>
      <c r="GQ59" s="4">
        <v>8.1262237246522602E-3</v>
      </c>
      <c r="GR59" s="4">
        <v>9.3293505687348632E-3</v>
      </c>
      <c r="GS59" s="4">
        <v>1.086012434256085E-2</v>
      </c>
      <c r="GT59" s="4">
        <v>1.2868750361419708E-2</v>
      </c>
      <c r="GU59" s="4">
        <v>1.5612481516965258E-2</v>
      </c>
      <c r="GV59" s="4">
        <v>1.9572706180734829E-2</v>
      </c>
      <c r="GW59" s="4">
        <v>2.5727918202770626E-2</v>
      </c>
      <c r="GX59" s="4">
        <v>3.7016630858035526E-2</v>
      </c>
      <c r="GY59" s="4">
        <v>5.4272933200625199E-2</v>
      </c>
      <c r="GZ59" s="4">
        <v>0.24485497451978816</v>
      </c>
      <c r="HA59" s="4">
        <v>-0.25095524768224964</v>
      </c>
      <c r="HB59" s="4">
        <v>-6.0381768593380084E-2</v>
      </c>
      <c r="HC59" s="4">
        <v>-4.3142620961982556E-2</v>
      </c>
      <c r="HD59" s="4">
        <v>-3.1879707499810485E-2</v>
      </c>
      <c r="HE59" s="4">
        <v>-2.5758993522245352E-2</v>
      </c>
      <c r="HF59" s="4">
        <v>-2.1841986679341452E-2</v>
      </c>
      <c r="HG59" s="4">
        <v>-1.9150117718641047E-2</v>
      </c>
      <c r="HH59" s="4">
        <v>-1.7201716891822091E-2</v>
      </c>
      <c r="HI59" s="4">
        <v>-1.5738850734237992E-2</v>
      </c>
      <c r="HJ59" s="4">
        <v>-1.4609886607668742E-2</v>
      </c>
      <c r="HK59" s="4">
        <v>-1.371854019680834E-2</v>
      </c>
      <c r="HL59" s="4">
        <v>-1.2998202018841219E-2</v>
      </c>
      <c r="HM59" s="4">
        <v>-1.2396629937635848E-2</v>
      </c>
      <c r="HN59" s="4">
        <v>-1.1863460022199219E-2</v>
      </c>
      <c r="HO59" s="4">
        <v>-1.1333764710113615E-2</v>
      </c>
      <c r="HP59" s="4">
        <v>-1.0693250341255985E-2</v>
      </c>
      <c r="HQ59" s="4">
        <v>-9.6993898557028186E-3</v>
      </c>
      <c r="HR59" s="4">
        <v>-7.4114115857002718E-3</v>
      </c>
      <c r="HS59" s="4">
        <v>-4.6449774620259468E-3</v>
      </c>
      <c r="HT59" s="4">
        <v>7.6195305760218587E-2</v>
      </c>
      <c r="HU59" s="4">
        <v>-0.22482483647653778</v>
      </c>
    </row>
    <row r="60" spans="4:229" x14ac:dyDescent="0.25">
      <c r="D60" s="10">
        <v>51</v>
      </c>
      <c r="E60" s="5">
        <f>'N70'!E67-'N70'!E66</f>
        <v>1.4285714285714235E-2</v>
      </c>
      <c r="F60" s="5">
        <f>'N70'!H66-'N70'!$E$16</f>
        <v>0.72142857142857142</v>
      </c>
      <c r="G60" s="5">
        <f>'N70'!H66-'N70'!$E$17</f>
        <v>0.70714285714285718</v>
      </c>
      <c r="H60" s="5">
        <f>'N70'!H66-'N70'!$E$18</f>
        <v>0.69285714285714284</v>
      </c>
      <c r="I60" s="5">
        <f>'N70'!H66-'N70'!$E$19</f>
        <v>0.6785714285714286</v>
      </c>
      <c r="J60" s="5">
        <f>'N70'!H66-'N70'!$E$20</f>
        <v>0.66428571428571426</v>
      </c>
      <c r="K60" s="5">
        <f>'N70'!H66-'N70'!$E$21</f>
        <v>0.65</v>
      </c>
      <c r="L60" s="5">
        <f>'N70'!H66-'N70'!$E$22</f>
        <v>0.63571428571428568</v>
      </c>
      <c r="M60" s="5">
        <f>'N70'!H66-'N70'!$E$23</f>
        <v>0.62142857142857144</v>
      </c>
      <c r="N60" s="5">
        <f>'N70'!H66-'N70'!$E$24</f>
        <v>0.6071428571428571</v>
      </c>
      <c r="O60" s="5">
        <f>'N70'!H66-'N70'!$E$25</f>
        <v>0.59285714285714286</v>
      </c>
      <c r="P60" s="5">
        <f>'N70'!H66-'N70'!$E$26</f>
        <v>0.57857142857142851</v>
      </c>
      <c r="Q60" s="5">
        <f>'N70'!H66-'N70'!$E$27</f>
        <v>0.56428571428571428</v>
      </c>
      <c r="R60" s="5">
        <f>'N70'!H66-'N70'!$E$28</f>
        <v>0.55000000000000004</v>
      </c>
      <c r="S60" s="5">
        <f>'N70'!H66-'N70'!$E$29</f>
        <v>0.5357142857142857</v>
      </c>
      <c r="T60" s="5">
        <f>'N70'!H66-'N70'!$E$30</f>
        <v>0.52142857142857146</v>
      </c>
      <c r="U60" s="5">
        <f>'N70'!H66-'N70'!$E$31</f>
        <v>0.50714285714285712</v>
      </c>
      <c r="V60" s="5">
        <f>'N70'!H66-'N70'!$E$32</f>
        <v>0.49285714285714288</v>
      </c>
      <c r="W60" s="5">
        <f>'N70'!H66-'N70'!$E$33</f>
        <v>0.47857142857142854</v>
      </c>
      <c r="X60" s="5">
        <f>'N70'!H66-'N70'!$E$34</f>
        <v>0.4642857142857143</v>
      </c>
      <c r="Y60" s="5">
        <f>'N70'!H66-'N70'!$E$35</f>
        <v>0.45</v>
      </c>
      <c r="Z60" s="5">
        <f>'N70'!H66-'N70'!$E$36</f>
        <v>0.43571428571428572</v>
      </c>
      <c r="AA60" s="5">
        <f>'N70'!H66-'N70'!$E$37</f>
        <v>0.42142857142857143</v>
      </c>
      <c r="AB60" s="5">
        <f>'N70'!H66-'N70'!$E$38</f>
        <v>0.40714285714285714</v>
      </c>
      <c r="AC60" s="5">
        <f>'N70'!H66-'N70'!$E$39</f>
        <v>0.39285714285714285</v>
      </c>
      <c r="AD60" s="5">
        <f>'N70'!H66-'N70'!$E$40</f>
        <v>0.37857142857142856</v>
      </c>
      <c r="AE60" s="5">
        <f>'N70'!H66-'N70'!$E$41</f>
        <v>0.36428571428571427</v>
      </c>
      <c r="AF60" s="5">
        <f>'N70'!H66-'N70'!$E$42</f>
        <v>0.35</v>
      </c>
      <c r="AG60" s="5">
        <f>'N70'!H66-'N70'!$E$43</f>
        <v>0.33571428571428574</v>
      </c>
      <c r="AH60" s="5">
        <f>'N70'!H66-'N70'!$E$44</f>
        <v>0.32142857142857145</v>
      </c>
      <c r="AI60" s="5">
        <f>'N70'!H66-'N70'!$E$45</f>
        <v>0.30714285714285716</v>
      </c>
      <c r="AJ60" s="5">
        <f>'N70'!H66-'N70'!$E$46</f>
        <v>0.29285714285714287</v>
      </c>
      <c r="AK60" s="5">
        <f>'N70'!H66-'N70'!$E$47</f>
        <v>0.27857142857142858</v>
      </c>
      <c r="AL60" s="5">
        <f>'N70'!H66-'N70'!$E$48</f>
        <v>0.26428571428571429</v>
      </c>
      <c r="AM60" s="5">
        <f>'N70'!H66-'N70'!$E$49</f>
        <v>0.25</v>
      </c>
      <c r="AN60" s="5">
        <f>'N70'!H66-'N70'!$E$50</f>
        <v>0.23571428571428571</v>
      </c>
      <c r="AO60" s="5">
        <f>'N70'!H66-'N70'!$E$51</f>
        <v>0.22142857142857142</v>
      </c>
      <c r="AP60" s="5">
        <f>'N70'!H66-'N70'!$E$52</f>
        <v>0.20714285714285718</v>
      </c>
      <c r="AQ60" s="5">
        <f>'N70'!H66-'N70'!$E$53</f>
        <v>0.19285714285714284</v>
      </c>
      <c r="AR60" s="5">
        <f>'N70'!H66-'N70'!$E$54</f>
        <v>0.1785714285714286</v>
      </c>
      <c r="AS60" s="5">
        <f>'N70'!H66-'N70'!$E$55</f>
        <v>0.16428571428571426</v>
      </c>
      <c r="AT60" s="5">
        <f>'N70'!H66-'N70'!$E$56</f>
        <v>0.15000000000000002</v>
      </c>
      <c r="AU60" s="5">
        <f>'N70'!H66-'N70'!$E$57</f>
        <v>0.13571428571428568</v>
      </c>
      <c r="AV60" s="5">
        <f>'N70'!H66-'N70'!$E$58</f>
        <v>0.12142857142857144</v>
      </c>
      <c r="AW60" s="5">
        <f>'N70'!H66-'N70'!$E$59</f>
        <v>0.10714285714285721</v>
      </c>
      <c r="AX60" s="5">
        <f>'N70'!H66-'N70'!$E$60</f>
        <v>9.285714285714286E-2</v>
      </c>
      <c r="AY60" s="5">
        <f>'N70'!H66-'N70'!$E$61</f>
        <v>7.8571428571428625E-2</v>
      </c>
      <c r="AZ60" s="5">
        <f>'N70'!H66-'N70'!$E$62</f>
        <v>6.4285714285714279E-2</v>
      </c>
      <c r="BA60" s="5">
        <f>'N70'!H66-'N70'!$E$63</f>
        <v>5.0000000000000044E-2</v>
      </c>
      <c r="BB60" s="5">
        <f>'N70'!H66-'N70'!$E$64</f>
        <v>3.5714285714285698E-2</v>
      </c>
      <c r="BC60" s="5">
        <f>'N70'!H66-'N70'!$E$65</f>
        <v>2.1428571428571463E-2</v>
      </c>
      <c r="BD60" s="5">
        <f>'N70'!H66-'N70'!$E$66</f>
        <v>7.1428571428571175E-3</v>
      </c>
      <c r="BE60" s="5">
        <f>'N70'!H66-'N70'!$E$67</f>
        <v>-7.1428571428571175E-3</v>
      </c>
      <c r="BF60" s="5">
        <f>'N70'!H66-'N70'!$E$68</f>
        <v>-2.1428571428571463E-2</v>
      </c>
      <c r="BG60" s="5">
        <f>'N70'!H66-'N70'!$E$69</f>
        <v>-3.5714285714285698E-2</v>
      </c>
      <c r="BH60" s="5">
        <f>'N70'!H66-'N70'!$E$70</f>
        <v>-4.9999999999999933E-2</v>
      </c>
      <c r="BI60" s="5">
        <f>'N70'!H66-'N70'!$E$71</f>
        <v>-6.4285714285714279E-2</v>
      </c>
      <c r="BJ60" s="5">
        <f>'N70'!H66-'N70'!$E$72</f>
        <v>-7.8571428571428514E-2</v>
      </c>
      <c r="BK60" s="5">
        <f>'N70'!H66-'N70'!$E$73</f>
        <v>-9.285714285714286E-2</v>
      </c>
      <c r="BL60" s="5">
        <f>'N70'!H66-'N70'!$E$74</f>
        <v>-0.1071428571428571</v>
      </c>
      <c r="BM60" s="5">
        <f>'N70'!H66-'N70'!$E$75</f>
        <v>-0.12142857142857144</v>
      </c>
      <c r="BN60" s="5">
        <f>'N70'!H66-'N70'!$E$76</f>
        <v>-0.13571428571428568</v>
      </c>
      <c r="BO60" s="5">
        <f>'N70'!H66-'N70'!$E$77</f>
        <v>-0.15000000000000002</v>
      </c>
      <c r="BP60" s="5">
        <f>'N70'!H66-'N70'!$E$78</f>
        <v>-0.16428571428571426</v>
      </c>
      <c r="BQ60" s="5">
        <f>'N70'!H66-'N70'!$E$79</f>
        <v>-0.1785714285714286</v>
      </c>
      <c r="BR60" s="5">
        <f>'N70'!H66-'N70'!$E$80</f>
        <v>-0.19285714285714284</v>
      </c>
      <c r="BS60" s="5">
        <f>'N70'!H66-'N70'!$E$81</f>
        <v>-0.20714285714285707</v>
      </c>
      <c r="BT60" s="5">
        <f>'N70'!H66-'N70'!$E$82</f>
        <v>-0.22142857142857142</v>
      </c>
      <c r="BU60" s="5">
        <f>'N70'!H66-'N70'!$E$83</f>
        <v>-0.23571428571428565</v>
      </c>
      <c r="BV60" s="5">
        <f>'N70'!H66-'N70'!$E$84</f>
        <v>-0.25</v>
      </c>
      <c r="BW60" s="5">
        <f>'N70'!H66-'N70'!$E$85</f>
        <v>-0.26428571428571423</v>
      </c>
      <c r="BX60" s="5">
        <v>-1</v>
      </c>
      <c r="BZ60">
        <v>51</v>
      </c>
      <c r="CA60" s="5">
        <f>N70_DESARROLLO!CE145+N70_DESARROLLO!H145</f>
        <v>-9.9669782192027823E-3</v>
      </c>
      <c r="CB60" s="5">
        <f>N70_DESARROLLO!CF145+N70_DESARROLLO!I145</f>
        <v>-2.0203394977323041E-2</v>
      </c>
      <c r="CC60" s="5">
        <f>N70_DESARROLLO!CG145+N70_DESARROLLO!J145</f>
        <v>-2.0620018272167862E-2</v>
      </c>
      <c r="CD60" s="5">
        <f>N70_DESARROLLO!CH145+N70_DESARROLLO!K145</f>
        <v>-2.1054187410165626E-2</v>
      </c>
      <c r="CE60" s="5">
        <f>N70_DESARROLLO!CI145+N70_DESARROLLO!L145</f>
        <v>-2.1507034719714269E-2</v>
      </c>
      <c r="CF60" s="5">
        <f>N70_DESARROLLO!CJ145+N70_DESARROLLO!M145</f>
        <v>-2.1979792112853391E-2</v>
      </c>
      <c r="CG60" s="5">
        <f>N70_DESARROLLO!CK145+N70_DESARROLLO!N145</f>
        <v>-2.2473802280108091E-2</v>
      </c>
      <c r="CH60" s="5">
        <f>N70_DESARROLLO!CL145+N70_DESARROLLO!O145</f>
        <v>-2.2990531429693095E-2</v>
      </c>
      <c r="CI60" s="5">
        <f>N70_DESARROLLO!CM145+N70_DESARROLLO!P145</f>
        <v>-2.3531583826945979E-2</v>
      </c>
      <c r="CJ60" s="5">
        <f>N70_DESARROLLO!CN145+N70_DESARROLLO!Q145</f>
        <v>-2.4098718436559308E-2</v>
      </c>
      <c r="CK60" s="5">
        <f>N70_DESARROLLO!CO145+N70_DESARROLLO!R145</f>
        <v>-2.4693868032508171E-2</v>
      </c>
      <c r="CL60" s="5">
        <f>N70_DESARROLLO!CP145+N70_DESARROLLO!S145</f>
        <v>-2.5319161212281727E-2</v>
      </c>
      <c r="CM60" s="5">
        <f>N70_DESARROLLO!CQ145+N70_DESARROLLO!T145</f>
        <v>-2.5976947844864928E-2</v>
      </c>
      <c r="CN60" s="5">
        <f>N70_DESARROLLO!CR145+N70_DESARROLLO!U145</f>
        <v>-2.6669828593224754E-2</v>
      </c>
      <c r="CO60" s="5">
        <f>N70_DESARROLLO!CS145+N70_DESARROLLO!V145</f>
        <v>-2.7400689293794245E-2</v>
      </c>
      <c r="CP60" s="5">
        <f>N70_DESARROLLO!CT145+N70_DESARROLLO!W145</f>
        <v>-2.8172741151794245E-2</v>
      </c>
      <c r="CQ60" s="5">
        <f>N70_DESARROLLO!CU145+N70_DESARROLLO!X145</f>
        <v>-2.8989567932944604E-2</v>
      </c>
      <c r="CR60" s="5">
        <f>N70_DESARROLLO!CV145+N70_DESARROLLO!Y145</f>
        <v>-2.9855181616041393E-2</v>
      </c>
      <c r="CS60" s="5">
        <f>N70_DESARROLLO!CW145+N70_DESARROLLO!Z145</f>
        <v>-3.0774088329707516E-2</v>
      </c>
      <c r="CT60" s="5">
        <f>N70_DESARROLLO!CX145+N70_DESARROLLO!AA145</f>
        <v>-3.1751366862667441E-2</v>
      </c>
      <c r="CU60" s="5">
        <f>N70_DESARROLLO!CY145+N70_DESARROLLO!AB145</f>
        <v>-3.2792762635871275E-2</v>
      </c>
      <c r="CV60" s="5">
        <f>N70_DESARROLLO!CZ145+N70_DESARROLLO!AC145</f>
        <v>-3.3904800811321523E-2</v>
      </c>
      <c r="CW60" s="5">
        <f>N70_DESARROLLO!DA145+N70_DESARROLLO!AD145</f>
        <v>-3.5094923244214704E-2</v>
      </c>
      <c r="CX60" s="5">
        <f>N70_DESARROLLO!DB145+N70_DESARROLLO!AE145</f>
        <v>-3.6371655357440025E-2</v>
      </c>
      <c r="CY60" s="5">
        <f>N70_DESARROLLO!DC145+N70_DESARROLLO!AF145</f>
        <v>-3.774481085569692E-2</v>
      </c>
      <c r="CZ60" s="5">
        <f>N70_DESARROLLO!DD145+N70_DESARROLLO!AG145</f>
        <v>-3.9225744685481789E-2</v>
      </c>
      <c r="DA60" s="5">
        <f>N70_DESARROLLO!DE145+N70_DESARROLLO!AH145</f>
        <v>-4.0827668052537014E-2</v>
      </c>
      <c r="DB60" s="5">
        <f>N70_DESARROLLO!DF145+N70_DESARROLLO!AI145</f>
        <v>-4.2566044021107752E-2</v>
      </c>
      <c r="DC60" s="5">
        <f>N70_DESARROLLO!DG145+N70_DESARROLLO!AJ145</f>
        <v>-4.4459088822761617E-2</v>
      </c>
      <c r="DD60" s="5">
        <f>N70_DESARROLLO!DH145+N70_DESARROLLO!AK145</f>
        <v>-4.6528413377890931E-2</v>
      </c>
      <c r="DE60" s="5">
        <f>N70_DESARROLLO!DI145+N70_DESARROLLO!AL145</f>
        <v>-4.8799853039072971E-2</v>
      </c>
      <c r="DF60" s="5">
        <f>N70_DESARROLLO!DJ145+N70_DESARROLLO!AM145</f>
        <v>-5.1304553326342761E-2</v>
      </c>
      <c r="DG60" s="5">
        <f>N70_DESARROLLO!DK145+N70_DESARROLLO!AN145</f>
        <v>-5.4080408838149241E-2</v>
      </c>
      <c r="DH60" s="5">
        <f>N70_DESARROLLO!DL145+N70_DESARROLLO!AO145</f>
        <v>-5.7173997129077003E-2</v>
      </c>
      <c r="DI60" s="5">
        <f>N70_DESARROLLO!DM145+N70_DESARROLLO!AP145</f>
        <v>-6.0643218403522159E-2</v>
      </c>
      <c r="DJ60" s="5">
        <f>N70_DESARROLLO!DN145+N70_DESARROLLO!AQ145</f>
        <v>-6.4560961252488114E-2</v>
      </c>
      <c r="DK60" s="5">
        <f>N70_DESARROLLO!DO145+N70_DESARROLLO!AR145</f>
        <v>-6.9020292350860157E-2</v>
      </c>
      <c r="DL60" s="5">
        <f>N70_DESARROLLO!DP145+N70_DESARROLLO!AS145</f>
        <v>-7.4141965022344158E-2</v>
      </c>
      <c r="DM60" s="5">
        <f>N70_DESARROLLO!DQ145+N70_DESARROLLO!AT145</f>
        <v>-8.0085554140349235E-2</v>
      </c>
      <c r="DN60" s="5">
        <f>N70_DESARROLLO!DR145+N70_DESARROLLO!AU145</f>
        <v>-8.7066442319344017E-2</v>
      </c>
      <c r="DO60" s="5">
        <f>N70_DESARROLLO!DS145+N70_DESARROLLO!AV145</f>
        <v>-9.5382594982166724E-2</v>
      </c>
      <c r="DP60" s="5">
        <f>N70_DESARROLLO!DT145+N70_DESARROLLO!AW145</f>
        <v>-0.10545841852058602</v>
      </c>
      <c r="DQ60" s="5">
        <f>N70_DESARROLLO!DU145+N70_DESARROLLO!AX145</f>
        <v>-0.11791996375048475</v>
      </c>
      <c r="DR60" s="5">
        <f>N70_DESARROLLO!DV145+N70_DESARROLLO!AY145</f>
        <v>-0.13373123411929144</v>
      </c>
      <c r="DS60" s="5">
        <f>N70_DESARROLLO!DW145+N70_DESARROLLO!AZ145</f>
        <v>-0.15445886474682136</v>
      </c>
      <c r="DT60" s="5">
        <f>N70_DESARROLLO!DX145+N70_DESARROLLO!BA145</f>
        <v>-0.18283342438756101</v>
      </c>
      <c r="DU60" s="5">
        <f>N70_DESARROLLO!DY145+N70_DESARROLLO!BB145</f>
        <v>-0.22408833054043442</v>
      </c>
      <c r="DV60" s="5">
        <f>N70_DESARROLLO!DZ145+N70_DESARROLLO!BC145</f>
        <v>-0.28973434150572408</v>
      </c>
      <c r="DW60" s="5">
        <f>N70_DESARROLLO!EA145+N70_DESARROLLO!BD145</f>
        <v>-0.41141440075355473</v>
      </c>
      <c r="DX60" s="5">
        <f>N70_DESARROLLO!EB145+N70_DESARROLLO!BE145</f>
        <v>-0.72775792963607455</v>
      </c>
      <c r="DY60" s="5">
        <f>N70_DESARROLLO!EC145+N70_DESARROLLO!BF145</f>
        <v>-1.6479184659605444</v>
      </c>
      <c r="DZ60" s="5">
        <f>N70_DESARROLLO!ED145+N70_DESARROLLO!BG145</f>
        <v>1.6479184659605444</v>
      </c>
      <c r="EA60" s="5">
        <f>N70_DESARROLLO!EE145+N70_DESARROLLO!BH145</f>
        <v>0.72775792963607433</v>
      </c>
      <c r="EB60" s="5">
        <f>N70_DESARROLLO!EF145+N70_DESARROLLO!BI145</f>
        <v>0.41141440075354452</v>
      </c>
      <c r="EC60" s="5">
        <f>N70_DESARROLLO!EG145+N70_DESARROLLO!BJ145</f>
        <v>0.28973434150574007</v>
      </c>
      <c r="ED60" s="5">
        <f>N70_DESARROLLO!EH145+N70_DESARROLLO!BK145</f>
        <v>0.2240883305404191</v>
      </c>
      <c r="EE60" s="5">
        <f>N70_DESARROLLO!EI145+N70_DESARROLLO!BL145</f>
        <v>0.18283342438757677</v>
      </c>
      <c r="EF60" s="5">
        <f>N70_DESARROLLO!EJ145+N70_DESARROLLO!BM145</f>
        <v>0.15445886474680548</v>
      </c>
      <c r="EG60" s="5">
        <f>N70_DESARROLLO!EK145+N70_DESARROLLO!BN145</f>
        <v>0.1337312341193071</v>
      </c>
      <c r="EH60" s="5">
        <f>N70_DESARROLLO!EL145+N70_DESARROLLO!BO145</f>
        <v>0.11791996375047809</v>
      </c>
      <c r="EI60" s="5">
        <f>N70_DESARROLLO!EM145+N70_DESARROLLO!BP145</f>
        <v>0.10545841852058624</v>
      </c>
      <c r="EJ60" s="5">
        <f>N70_DESARROLLO!EN145+N70_DESARROLLO!BQ145</f>
        <v>9.5382594982166613E-2</v>
      </c>
      <c r="EK60" s="5">
        <f>N70_DESARROLLO!EO145+N70_DESARROLLO!BR145</f>
        <v>8.7066442319344683E-2</v>
      </c>
      <c r="EL60" s="5">
        <f>N70_DESARROLLO!EP145+N70_DESARROLLO!BS145</f>
        <v>8.0085554140347681E-2</v>
      </c>
      <c r="EM60" s="5">
        <f>N70_DESARROLLO!EQ145+N70_DESARROLLO!BT145</f>
        <v>7.4141965022336276E-2</v>
      </c>
      <c r="EN60" s="5">
        <f>N70_DESARROLLO!ER145+N70_DESARROLLO!BU145</f>
        <v>6.902029235087781E-2</v>
      </c>
      <c r="EO60" s="5">
        <f>N70_DESARROLLO!ES145+N70_DESARROLLO!BV145</f>
        <v>6.4560961252473681E-2</v>
      </c>
      <c r="EP60" s="5">
        <f>N70_DESARROLLO!ET145+N70_DESARROLLO!BW145</f>
        <v>6.0643218403529819E-2</v>
      </c>
      <c r="EQ60" s="5">
        <f>N70_DESARROLLO!EU145+N70_DESARROLLO!BX145</f>
        <v>5.717399712907123E-2</v>
      </c>
      <c r="ER60" s="5">
        <f>N70_DESARROLLO!EV145+N70_DESARROLLO!BY145</f>
        <v>92.178245145911333</v>
      </c>
      <c r="FC60">
        <v>51</v>
      </c>
      <c r="FD60" s="4">
        <v>1.0241941587721255E-4</v>
      </c>
      <c r="FE60" s="4">
        <v>2.0589584850444386E-4</v>
      </c>
      <c r="FF60" s="4">
        <v>2.7318937542615199E-4</v>
      </c>
      <c r="FG60" s="4">
        <v>3.3307827806271657E-4</v>
      </c>
      <c r="FH60" s="4">
        <v>3.890733773143302E-4</v>
      </c>
      <c r="FI60" s="4">
        <v>4.432559755079853E-4</v>
      </c>
      <c r="FJ60" s="4">
        <v>4.9679582043643219E-4</v>
      </c>
      <c r="FK60" s="4">
        <v>5.5047623888736187E-4</v>
      </c>
      <c r="FL60" s="4">
        <v>6.0488006603309004E-4</v>
      </c>
      <c r="FM60" s="4">
        <v>6.6048050831622816E-4</v>
      </c>
      <c r="FN60" s="4">
        <v>7.1769010939656971E-4</v>
      </c>
      <c r="FO60" s="4">
        <v>7.768900083441842E-4</v>
      </c>
      <c r="FP60" s="4">
        <v>8.3844911179547631E-4</v>
      </c>
      <c r="FQ60" s="4">
        <v>9.0273786968229843E-4</v>
      </c>
      <c r="FR60" s="4">
        <v>9.7013914633047027E-4</v>
      </c>
      <c r="FS60" s="4">
        <v>1.0410576284199085E-3</v>
      </c>
      <c r="FT60" s="4">
        <v>1.1159286847131557E-3</v>
      </c>
      <c r="FU60" s="4">
        <v>1.1952273256015781E-3</v>
      </c>
      <c r="FV60" s="4">
        <v>1.279477783385457E-3</v>
      </c>
      <c r="FW60" s="4">
        <v>1.3692641914165326E-3</v>
      </c>
      <c r="FX60" s="4">
        <v>1.4652428549598515E-3</v>
      </c>
      <c r="FY60" s="4">
        <v>1.568156669552693E-3</v>
      </c>
      <c r="FZ60" s="4">
        <v>1.6788523532335626E-3</v>
      </c>
      <c r="GA60" s="4">
        <v>1.7983013246408463E-3</v>
      </c>
      <c r="GB60" s="4">
        <v>1.9276252947132211E-3</v>
      </c>
      <c r="GC60" s="4">
        <v>2.0681279699177281E-3</v>
      </c>
      <c r="GD60" s="4">
        <v>2.2213347268124359E-3</v>
      </c>
      <c r="GE60" s="4">
        <v>2.3890427679543118E-3</v>
      </c>
      <c r="GF60" s="4">
        <v>2.5733851935538861E-3</v>
      </c>
      <c r="GG60" s="4">
        <v>2.7769137546692271E-3</v>
      </c>
      <c r="GH60" s="4">
        <v>3.0027069987762661E-3</v>
      </c>
      <c r="GI60" s="4">
        <v>3.2545134078576145E-3</v>
      </c>
      <c r="GJ60" s="4">
        <v>3.5369434987970278E-3</v>
      </c>
      <c r="GK60" s="4">
        <v>3.8557315985648889E-3</v>
      </c>
      <c r="GL60" s="4">
        <v>4.2180986442036548E-3</v>
      </c>
      <c r="GM60" s="4">
        <v>4.6332645583611332E-3</v>
      </c>
      <c r="GN60" s="4">
        <v>5.1131873406206575E-3</v>
      </c>
      <c r="GO60" s="4">
        <v>5.6736550267234096E-3</v>
      </c>
      <c r="GP60" s="4">
        <v>6.3359436865684255E-3</v>
      </c>
      <c r="GQ60" s="4">
        <v>7.1294154403639962E-3</v>
      </c>
      <c r="GR60" s="4">
        <v>8.0957416882835743E-3</v>
      </c>
      <c r="GS60" s="4">
        <v>9.2960724662214389E-3</v>
      </c>
      <c r="GT60" s="4">
        <v>1.0823856484307936E-2</v>
      </c>
      <c r="GU60" s="4">
        <v>1.2829278872832328E-2</v>
      </c>
      <c r="GV60" s="4">
        <v>1.5569570231855779E-2</v>
      </c>
      <c r="GW60" s="4">
        <v>1.9526094391084797E-2</v>
      </c>
      <c r="GX60" s="4">
        <v>2.5677318329143849E-2</v>
      </c>
      <c r="GY60" s="4">
        <v>3.6961726163540473E-2</v>
      </c>
      <c r="GZ60" s="4">
        <v>5.4213375769551465E-2</v>
      </c>
      <c r="HA60" s="4">
        <v>0.24479038388579347</v>
      </c>
      <c r="HB60" s="4">
        <v>-0.25102528459811613</v>
      </c>
      <c r="HC60" s="4">
        <v>-6.0457695108376994E-2</v>
      </c>
      <c r="HD60" s="4">
        <v>-4.3224903894615418E-2</v>
      </c>
      <c r="HE60" s="4">
        <v>-3.1968822749486578E-2</v>
      </c>
      <c r="HF60" s="4">
        <v>-2.5855398167166133E-2</v>
      </c>
      <c r="HG60" s="4">
        <v>-2.194606728723553E-2</v>
      </c>
      <c r="HH60" s="4">
        <v>-1.9262096139423378E-2</v>
      </c>
      <c r="HI60" s="4">
        <v>-1.7321478537540652E-2</v>
      </c>
      <c r="HJ60" s="4">
        <v>-1.5865627756271348E-2</v>
      </c>
      <c r="HK60" s="4">
        <v>-1.4741660102704737E-2</v>
      </c>
      <c r="HL60" s="4">
        <v>-1.3850874846611443E-2</v>
      </c>
      <c r="HM60" s="4">
        <v>-1.3121872607683174E-2</v>
      </c>
      <c r="HN60" s="4">
        <v>-1.2492497289866357E-2</v>
      </c>
      <c r="HO60" s="4">
        <v>-1.18906134626529E-2</v>
      </c>
      <c r="HP60" s="4">
        <v>-1.1198054499667513E-2</v>
      </c>
      <c r="HQ60" s="4">
        <v>-1.0171685514667029E-2</v>
      </c>
      <c r="HR60" s="4">
        <v>-7.8771291576592833E-3</v>
      </c>
      <c r="HS60" s="4">
        <v>-5.1331107916813175E-3</v>
      </c>
      <c r="HT60" s="4">
        <v>7.5193644200417173E-2</v>
      </c>
      <c r="HU60" s="4">
        <v>-0.22458184946493348</v>
      </c>
    </row>
    <row r="61" spans="4:229" x14ac:dyDescent="0.25">
      <c r="D61" s="10">
        <v>52</v>
      </c>
      <c r="E61" s="5">
        <f>'N70'!E68-'N70'!E67</f>
        <v>1.4285714285714346E-2</v>
      </c>
      <c r="F61" s="5">
        <f>'N70'!H67-'N70'!$E$16</f>
        <v>0.73571428571428577</v>
      </c>
      <c r="G61" s="5">
        <f>'N70'!H67-'N70'!$E$17</f>
        <v>0.72142857142857153</v>
      </c>
      <c r="H61" s="5">
        <f>'N70'!H67-'N70'!$E$18</f>
        <v>0.70714285714285718</v>
      </c>
      <c r="I61" s="5">
        <f>'N70'!H67-'N70'!$E$19</f>
        <v>0.69285714285714295</v>
      </c>
      <c r="J61" s="5">
        <f>'N70'!H67-'N70'!$E$20</f>
        <v>0.6785714285714286</v>
      </c>
      <c r="K61" s="5">
        <f>'N70'!H67-'N70'!$E$21</f>
        <v>0.66428571428571437</v>
      </c>
      <c r="L61" s="5">
        <f>'N70'!H67-'N70'!$E$22</f>
        <v>0.65</v>
      </c>
      <c r="M61" s="5">
        <f>'N70'!H67-'N70'!$E$23</f>
        <v>0.63571428571428579</v>
      </c>
      <c r="N61" s="5">
        <f>'N70'!H67-'N70'!$E$24</f>
        <v>0.62142857142857144</v>
      </c>
      <c r="O61" s="5">
        <f>'N70'!H67-'N70'!$E$25</f>
        <v>0.60714285714285721</v>
      </c>
      <c r="P61" s="5">
        <f>'N70'!H67-'N70'!$E$26</f>
        <v>0.59285714285714297</v>
      </c>
      <c r="Q61" s="5">
        <f>'N70'!H67-'N70'!$E$27</f>
        <v>0.57857142857142863</v>
      </c>
      <c r="R61" s="5">
        <f>'N70'!H67-'N70'!$E$28</f>
        <v>0.56428571428571428</v>
      </c>
      <c r="S61" s="5">
        <f>'N70'!H67-'N70'!$E$29</f>
        <v>0.55000000000000004</v>
      </c>
      <c r="T61" s="5">
        <f>'N70'!H67-'N70'!$E$30</f>
        <v>0.53571428571428581</v>
      </c>
      <c r="U61" s="5">
        <f>'N70'!H67-'N70'!$E$31</f>
        <v>0.52142857142857146</v>
      </c>
      <c r="V61" s="5">
        <f>'N70'!H67-'N70'!$E$32</f>
        <v>0.50714285714285723</v>
      </c>
      <c r="W61" s="5">
        <f>'N70'!H67-'N70'!$E$33</f>
        <v>0.49285714285714288</v>
      </c>
      <c r="X61" s="5">
        <f>'N70'!H67-'N70'!$E$34</f>
        <v>0.47857142857142865</v>
      </c>
      <c r="Y61" s="5">
        <f>'N70'!H67-'N70'!$E$35</f>
        <v>0.46428571428571436</v>
      </c>
      <c r="Z61" s="5">
        <f>'N70'!H67-'N70'!$E$36</f>
        <v>0.45000000000000007</v>
      </c>
      <c r="AA61" s="5">
        <f>'N70'!H67-'N70'!$E$37</f>
        <v>0.43571428571428578</v>
      </c>
      <c r="AB61" s="5">
        <f>'N70'!H67-'N70'!$E$38</f>
        <v>0.42142857142857149</v>
      </c>
      <c r="AC61" s="5">
        <f>'N70'!H67-'N70'!$E$39</f>
        <v>0.4071428571428572</v>
      </c>
      <c r="AD61" s="5">
        <f>'N70'!H67-'N70'!$E$40</f>
        <v>0.3928571428571429</v>
      </c>
      <c r="AE61" s="5">
        <f>'N70'!H67-'N70'!$E$41</f>
        <v>0.37857142857142861</v>
      </c>
      <c r="AF61" s="5">
        <f>'N70'!H67-'N70'!$E$42</f>
        <v>0.36428571428571432</v>
      </c>
      <c r="AG61" s="5">
        <f>'N70'!H67-'N70'!$E$43</f>
        <v>0.35000000000000009</v>
      </c>
      <c r="AH61" s="5">
        <f>'N70'!H67-'N70'!$E$44</f>
        <v>0.3357142857142858</v>
      </c>
      <c r="AI61" s="5">
        <f>'N70'!H67-'N70'!$E$45</f>
        <v>0.32142857142857151</v>
      </c>
      <c r="AJ61" s="5">
        <f>'N70'!H67-'N70'!$E$46</f>
        <v>0.30714285714285722</v>
      </c>
      <c r="AK61" s="5">
        <f>'N70'!H67-'N70'!$E$47</f>
        <v>0.29285714285714293</v>
      </c>
      <c r="AL61" s="5">
        <f>'N70'!H67-'N70'!$E$48</f>
        <v>0.27857142857142864</v>
      </c>
      <c r="AM61" s="5">
        <f>'N70'!H67-'N70'!$E$49</f>
        <v>0.26428571428571435</v>
      </c>
      <c r="AN61" s="5">
        <f>'N70'!H67-'N70'!$E$50</f>
        <v>0.25000000000000006</v>
      </c>
      <c r="AO61" s="5">
        <f>'N70'!H67-'N70'!$E$51</f>
        <v>0.23571428571428577</v>
      </c>
      <c r="AP61" s="5">
        <f>'N70'!H67-'N70'!$E$52</f>
        <v>0.22142857142857153</v>
      </c>
      <c r="AQ61" s="5">
        <f>'N70'!H67-'N70'!$E$53</f>
        <v>0.20714285714285718</v>
      </c>
      <c r="AR61" s="5">
        <f>'N70'!H67-'N70'!$E$54</f>
        <v>0.19285714285714295</v>
      </c>
      <c r="AS61" s="5">
        <f>'N70'!H67-'N70'!$E$55</f>
        <v>0.1785714285714286</v>
      </c>
      <c r="AT61" s="5">
        <f>'N70'!H67-'N70'!$E$56</f>
        <v>0.16428571428571437</v>
      </c>
      <c r="AU61" s="5">
        <f>'N70'!H67-'N70'!$E$57</f>
        <v>0.15000000000000002</v>
      </c>
      <c r="AV61" s="5">
        <f>'N70'!H67-'N70'!$E$58</f>
        <v>0.13571428571428579</v>
      </c>
      <c r="AW61" s="5">
        <f>'N70'!H67-'N70'!$E$59</f>
        <v>0.12142857142857155</v>
      </c>
      <c r="AX61" s="5">
        <f>'N70'!H67-'N70'!$E$60</f>
        <v>0.10714285714285721</v>
      </c>
      <c r="AY61" s="5">
        <f>'N70'!H67-'N70'!$E$61</f>
        <v>9.2857142857142971E-2</v>
      </c>
      <c r="AZ61" s="5">
        <f>'N70'!H67-'N70'!$E$62</f>
        <v>7.8571428571428625E-2</v>
      </c>
      <c r="BA61" s="5">
        <f>'N70'!H67-'N70'!$E$63</f>
        <v>6.428571428571439E-2</v>
      </c>
      <c r="BB61" s="5">
        <f>'N70'!H67-'N70'!$E$64</f>
        <v>5.0000000000000044E-2</v>
      </c>
      <c r="BC61" s="5">
        <f>'N70'!H67-'N70'!$E$65</f>
        <v>3.5714285714285809E-2</v>
      </c>
      <c r="BD61" s="5">
        <f>'N70'!H67-'N70'!$E$66</f>
        <v>2.1428571428571463E-2</v>
      </c>
      <c r="BE61" s="5">
        <f>'N70'!H67-'N70'!$E$67</f>
        <v>7.1428571428572285E-3</v>
      </c>
      <c r="BF61" s="5">
        <f>'N70'!H67-'N70'!$E$68</f>
        <v>-7.1428571428571175E-3</v>
      </c>
      <c r="BG61" s="5">
        <f>'N70'!H67-'N70'!$E$69</f>
        <v>-2.1428571428571352E-2</v>
      </c>
      <c r="BH61" s="5">
        <f>'N70'!H67-'N70'!$E$70</f>
        <v>-3.5714285714285587E-2</v>
      </c>
      <c r="BI61" s="5">
        <f>'N70'!H67-'N70'!$E$71</f>
        <v>-4.9999999999999933E-2</v>
      </c>
      <c r="BJ61" s="5">
        <f>'N70'!H67-'N70'!$E$72</f>
        <v>-6.4285714285714168E-2</v>
      </c>
      <c r="BK61" s="5">
        <f>'N70'!H67-'N70'!$E$73</f>
        <v>-7.8571428571428514E-2</v>
      </c>
      <c r="BL61" s="5">
        <f>'N70'!H67-'N70'!$E$74</f>
        <v>-9.2857142857142749E-2</v>
      </c>
      <c r="BM61" s="5">
        <f>'N70'!H67-'N70'!$E$75</f>
        <v>-0.1071428571428571</v>
      </c>
      <c r="BN61" s="5">
        <f>'N70'!H67-'N70'!$E$76</f>
        <v>-0.12142857142857133</v>
      </c>
      <c r="BO61" s="5">
        <f>'N70'!H67-'N70'!$E$77</f>
        <v>-0.13571428571428568</v>
      </c>
      <c r="BP61" s="5">
        <f>'N70'!H67-'N70'!$E$78</f>
        <v>-0.14999999999999991</v>
      </c>
      <c r="BQ61" s="5">
        <f>'N70'!H67-'N70'!$E$79</f>
        <v>-0.16428571428571426</v>
      </c>
      <c r="BR61" s="5">
        <f>'N70'!H67-'N70'!$E$80</f>
        <v>-0.17857142857142849</v>
      </c>
      <c r="BS61" s="5">
        <f>'N70'!H67-'N70'!$E$81</f>
        <v>-0.19285714285714273</v>
      </c>
      <c r="BT61" s="5">
        <f>'N70'!H67-'N70'!$E$82</f>
        <v>-0.20714285714285707</v>
      </c>
      <c r="BU61" s="5">
        <f>'N70'!H67-'N70'!$E$83</f>
        <v>-0.22142857142857131</v>
      </c>
      <c r="BV61" s="5">
        <f>'N70'!H67-'N70'!$E$84</f>
        <v>-0.23571428571428565</v>
      </c>
      <c r="BW61" s="5">
        <f>'N70'!H67-'N70'!$E$85</f>
        <v>-0.24999999999999989</v>
      </c>
      <c r="BX61" s="5">
        <v>-1</v>
      </c>
      <c r="BZ61">
        <v>52</v>
      </c>
      <c r="CA61" s="5">
        <f>N70_DESARROLLO!CE146+N70_DESARROLLO!H146</f>
        <v>-9.7721750824453224E-3</v>
      </c>
      <c r="CB61" s="5">
        <f>N70_DESARROLLO!CF146+N70_DESARROLLO!I146</f>
        <v>-1.9803274917291835E-2</v>
      </c>
      <c r="CC61" s="5">
        <f>N70_DESARROLLO!CG146+N70_DESARROLLO!J146</f>
        <v>-2.0203394977345357E-2</v>
      </c>
      <c r="CD61" s="5">
        <f>N70_DESARROLLO!CH146+N70_DESARROLLO!K146</f>
        <v>-2.0620018272151208E-2</v>
      </c>
      <c r="CE61" s="5">
        <f>N70_DESARROLLO!CI146+N70_DESARROLLO!L146</f>
        <v>-2.1054187410176395E-2</v>
      </c>
      <c r="CF61" s="5">
        <f>N70_DESARROLLO!CJ146+N70_DESARROLLO!M146</f>
        <v>-2.1507034719698725E-2</v>
      </c>
      <c r="CG61" s="5">
        <f>N70_DESARROLLO!CK146+N70_DESARROLLO!N146</f>
        <v>-2.1979792112873819E-2</v>
      </c>
      <c r="CH61" s="5">
        <f>N70_DESARROLLO!CL146+N70_DESARROLLO!O146</f>
        <v>-2.2473802280092992E-2</v>
      </c>
      <c r="CI61" s="5">
        <f>N70_DESARROLLO!CM146+N70_DESARROLLO!P146</f>
        <v>-2.2990531429702976E-2</v>
      </c>
      <c r="CJ61" s="5">
        <f>N70_DESARROLLO!CN146+N70_DESARROLLO!Q146</f>
        <v>-2.353158382694065E-2</v>
      </c>
      <c r="CK61" s="5">
        <f>N70_DESARROLLO!CO146+N70_DESARROLLO!R146</f>
        <v>-2.4098718436559197E-2</v>
      </c>
      <c r="CL61" s="5">
        <f>N70_DESARROLLO!CP146+N70_DESARROLLO!S146</f>
        <v>-2.46938680324994E-2</v>
      </c>
      <c r="CM61" s="5">
        <f>N70_DESARROLLO!CQ146+N70_DESARROLLO!T146</f>
        <v>-2.5319161212291275E-2</v>
      </c>
      <c r="CN61" s="5">
        <f>N70_DESARROLLO!CR146+N70_DESARROLLO!U146</f>
        <v>-2.5976947844873366E-2</v>
      </c>
      <c r="CO61" s="5">
        <f>N70_DESARROLLO!CS146+N70_DESARROLLO!V146</f>
        <v>-2.6669828593211653E-2</v>
      </c>
      <c r="CP61" s="5">
        <f>N70_DESARROLLO!CT146+N70_DESARROLLO!W146</f>
        <v>-2.740068929380679E-2</v>
      </c>
      <c r="CQ61" s="5">
        <f>N70_DESARROLLO!CU146+N70_DESARROLLO!X146</f>
        <v>-2.8172741151777925E-2</v>
      </c>
      <c r="CR61" s="5">
        <f>N70_DESARROLLO!CV146+N70_DESARROLLO!Y146</f>
        <v>-2.8989567932960481E-2</v>
      </c>
      <c r="CS61" s="5">
        <f>N70_DESARROLLO!CW146+N70_DESARROLLO!Z146</f>
        <v>-2.9855181616029847E-2</v>
      </c>
      <c r="CT61" s="5">
        <f>N70_DESARROLLO!CX146+N70_DESARROLLO!AA146</f>
        <v>-3.0774088329711402E-2</v>
      </c>
      <c r="CU61" s="5">
        <f>N70_DESARROLLO!CY146+N70_DESARROLLO!AB146</f>
        <v>-3.175136686266733E-2</v>
      </c>
      <c r="CV61" s="5">
        <f>N70_DESARROLLO!CZ146+N70_DESARROLLO!AC146</f>
        <v>-3.2792762635871164E-2</v>
      </c>
      <c r="CW61" s="5">
        <f>N70_DESARROLLO!DA146+N70_DESARROLLO!AD146</f>
        <v>-3.3904800811321412E-2</v>
      </c>
      <c r="CX61" s="5">
        <f>N70_DESARROLLO!DB146+N70_DESARROLLO!AE146</f>
        <v>-3.5094923244214482E-2</v>
      </c>
      <c r="CY61" s="5">
        <f>N70_DESARROLLO!DC146+N70_DESARROLLO!AF146</f>
        <v>-3.6371655357440136E-2</v>
      </c>
      <c r="CZ61" s="5">
        <f>N70_DESARROLLO!DD146+N70_DESARROLLO!AG146</f>
        <v>-3.7744810855697031E-2</v>
      </c>
      <c r="DA61" s="5">
        <f>N70_DESARROLLO!DE146+N70_DESARROLLO!AH146</f>
        <v>-3.9225744685484232E-2</v>
      </c>
      <c r="DB61" s="5">
        <f>N70_DESARROLLO!DF146+N70_DESARROLLO!AI146</f>
        <v>-4.0827668052528576E-2</v>
      </c>
      <c r="DC61" s="5">
        <f>N70_DESARROLLO!DG146+N70_DESARROLLO!AJ146</f>
        <v>-4.2566044021116078E-2</v>
      </c>
      <c r="DD61" s="5">
        <f>N70_DESARROLLO!DH146+N70_DESARROLLO!AK146</f>
        <v>-4.4459088822761395E-2</v>
      </c>
      <c r="DE61" s="5">
        <f>N70_DESARROLLO!DI146+N70_DESARROLLO!AL146</f>
        <v>-4.6528413377888267E-2</v>
      </c>
      <c r="DF61" s="5">
        <f>N70_DESARROLLO!DJ146+N70_DESARROLLO!AM146</f>
        <v>-4.879985303907286E-2</v>
      </c>
      <c r="DG61" s="5">
        <f>N70_DESARROLLO!DK146+N70_DESARROLLO!AN146</f>
        <v>-5.1304553326342539E-2</v>
      </c>
      <c r="DH61" s="5">
        <f>N70_DESARROLLO!DL146+N70_DESARROLLO!AO146</f>
        <v>-5.4080408838149574E-2</v>
      </c>
      <c r="DI61" s="5">
        <f>N70_DESARROLLO!DM146+N70_DESARROLLO!AP146</f>
        <v>-5.7173997129077114E-2</v>
      </c>
      <c r="DJ61" s="5">
        <f>N70_DESARROLLO!DN146+N70_DESARROLLO!AQ146</f>
        <v>-6.0643218403527488E-2</v>
      </c>
      <c r="DK61" s="5">
        <f>N70_DESARROLLO!DO146+N70_DESARROLLO!AR146</f>
        <v>-6.4560961252473681E-2</v>
      </c>
      <c r="DL61" s="5">
        <f>N70_DESARROLLO!DP146+N70_DESARROLLO!AS146</f>
        <v>-6.9020292350877255E-2</v>
      </c>
      <c r="DM61" s="5">
        <f>N70_DESARROLLO!DQ146+N70_DESARROLLO!AT146</f>
        <v>-7.4141965022327838E-2</v>
      </c>
      <c r="DN61" s="5">
        <f>N70_DESARROLLO!DR146+N70_DESARROLLO!AU146</f>
        <v>-8.0085554140364446E-2</v>
      </c>
      <c r="DO61" s="5">
        <f>N70_DESARROLLO!DS146+N70_DESARROLLO!AV146</f>
        <v>-8.7066442319330251E-2</v>
      </c>
      <c r="DP61" s="5">
        <f>N70_DESARROLLO!DT146+N70_DESARROLLO!AW146</f>
        <v>-9.5382594982181823E-2</v>
      </c>
      <c r="DQ61" s="5">
        <f>N70_DESARROLLO!DU146+N70_DESARROLLO!AX146</f>
        <v>-0.10545841852057747</v>
      </c>
      <c r="DR61" s="5">
        <f>N70_DESARROLLO!DV146+N70_DESARROLLO!AY146</f>
        <v>-0.11791996375047764</v>
      </c>
      <c r="DS61" s="5">
        <f>N70_DESARROLLO!DW146+N70_DESARROLLO!AZ146</f>
        <v>-0.1337312341193071</v>
      </c>
      <c r="DT61" s="5">
        <f>N70_DESARROLLO!DX146+N70_DESARROLLO!BA146</f>
        <v>-0.15445886474680526</v>
      </c>
      <c r="DU61" s="5">
        <f>N70_DESARROLLO!DY146+N70_DESARROLLO!BB146</f>
        <v>-0.18283342438757588</v>
      </c>
      <c r="DV61" s="5">
        <f>N70_DESARROLLO!DZ146+N70_DESARROLLO!BC146</f>
        <v>-0.22408833054041954</v>
      </c>
      <c r="DW61" s="5">
        <f>N70_DESARROLLO!EA146+N70_DESARROLLO!BD146</f>
        <v>-0.28973434150573907</v>
      </c>
      <c r="DX61" s="5">
        <f>N70_DESARROLLO!EB146+N70_DESARROLLO!BE146</f>
        <v>-0.41141440075353952</v>
      </c>
      <c r="DY61" s="5">
        <f>N70_DESARROLLO!EC146+N70_DESARROLLO!BF146</f>
        <v>-0.72775792963608488</v>
      </c>
      <c r="DZ61" s="5">
        <f>N70_DESARROLLO!ED146+N70_DESARROLLO!BG146</f>
        <v>-1.6479184659605211</v>
      </c>
      <c r="EA61" s="5">
        <f>N70_DESARROLLO!EE146+N70_DESARROLLO!BH146</f>
        <v>1.6479184659605282</v>
      </c>
      <c r="EB61" s="5">
        <f>N70_DESARROLLO!EF146+N70_DESARROLLO!BI146</f>
        <v>0.72775792963607799</v>
      </c>
      <c r="EC61" s="5">
        <f>N70_DESARROLLO!EG146+N70_DESARROLLO!BJ146</f>
        <v>0.41141440075355595</v>
      </c>
      <c r="ED61" s="5">
        <f>N70_DESARROLLO!EH146+N70_DESARROLLO!BK146</f>
        <v>0.28973434150572508</v>
      </c>
      <c r="EE61" s="5">
        <f>N70_DESARROLLO!EI146+N70_DESARROLLO!BL146</f>
        <v>0.22408833054043509</v>
      </c>
      <c r="EF61" s="5">
        <f>N70_DESARROLLO!EJ146+N70_DESARROLLO!BM146</f>
        <v>0.18283342438756023</v>
      </c>
      <c r="EG61" s="5">
        <f>N70_DESARROLLO!EK146+N70_DESARROLLO!BN146</f>
        <v>0.15445886474682136</v>
      </c>
      <c r="EH61" s="5">
        <f>N70_DESARROLLO!EL146+N70_DESARROLLO!BO146</f>
        <v>0.13373123411929144</v>
      </c>
      <c r="EI61" s="5">
        <f>N70_DESARROLLO!EM146+N70_DESARROLLO!BP146</f>
        <v>0.11791996375049496</v>
      </c>
      <c r="EJ61" s="5">
        <f>N70_DESARROLLO!EN146+N70_DESARROLLO!BQ146</f>
        <v>0.10545841852056947</v>
      </c>
      <c r="EK61" s="5">
        <f>N70_DESARROLLO!EO146+N70_DESARROLLO!BR146</f>
        <v>9.5382594982183821E-2</v>
      </c>
      <c r="EL61" s="5">
        <f>N70_DESARROLLO!EP146+N70_DESARROLLO!BS146</f>
        <v>8.7066442319328474E-2</v>
      </c>
      <c r="EM61" s="5">
        <f>N70_DESARROLLO!EQ146+N70_DESARROLLO!BT146</f>
        <v>8.0085554140356674E-2</v>
      </c>
      <c r="EN61" s="5">
        <f>N70_DESARROLLO!ER146+N70_DESARROLLO!BU146</f>
        <v>7.414196502234327E-2</v>
      </c>
      <c r="EO61" s="5">
        <f>N70_DESARROLLO!ES146+N70_DESARROLLO!BV146</f>
        <v>6.9020292350860046E-2</v>
      </c>
      <c r="EP61" s="5">
        <f>N70_DESARROLLO!ET146+N70_DESARROLLO!BW146</f>
        <v>6.4560961252492888E-2</v>
      </c>
      <c r="EQ61" s="5">
        <f>N70_DESARROLLO!EU146+N70_DESARROLLO!BX146</f>
        <v>6.0643218403512833E-2</v>
      </c>
      <c r="ER61" s="5">
        <f>N70_DESARROLLO!EV146+N70_DESARROLLO!BY146</f>
        <v>96.069738949408759</v>
      </c>
      <c r="FC61">
        <v>52</v>
      </c>
      <c r="FD61" s="4">
        <v>9.7140887159827407E-5</v>
      </c>
      <c r="FE61" s="4">
        <v>1.9521741536803033E-4</v>
      </c>
      <c r="FF61" s="4">
        <v>2.5891327182950714E-4</v>
      </c>
      <c r="FG61" s="4">
        <v>3.1553621965819213E-4</v>
      </c>
      <c r="FH61" s="4">
        <v>3.6841578663399739E-4</v>
      </c>
      <c r="FI61" s="4">
        <v>4.1952343163501076E-4</v>
      </c>
      <c r="FJ61" s="4">
        <v>4.6996445307614048E-4</v>
      </c>
      <c r="FK61" s="4">
        <v>5.2047637901151658E-4</v>
      </c>
      <c r="FL61" s="4">
        <v>5.7160537139282794E-4</v>
      </c>
      <c r="FM61" s="4">
        <v>6.2379235215941911E-4</v>
      </c>
      <c r="FN61" s="4">
        <v>6.7741932063454361E-4</v>
      </c>
      <c r="FO61" s="4">
        <v>7.3283692143733274E-4</v>
      </c>
      <c r="FP61" s="4">
        <v>7.9038238997435225E-4</v>
      </c>
      <c r="FQ61" s="4">
        <v>8.5039231835057762E-4</v>
      </c>
      <c r="FR61" s="4">
        <v>9.1321259498976194E-4</v>
      </c>
      <c r="FS61" s="4">
        <v>9.7920687042283997E-4</v>
      </c>
      <c r="FT61" s="4">
        <v>1.0487643973103838E-3</v>
      </c>
      <c r="FU61" s="4">
        <v>1.1223078331121712E-3</v>
      </c>
      <c r="FV61" s="4">
        <v>1.2003014652605384E-3</v>
      </c>
      <c r="FW61" s="4">
        <v>1.2832602672504002E-3</v>
      </c>
      <c r="FX61" s="4">
        <v>1.3717601937770234E-3</v>
      </c>
      <c r="FY61" s="4">
        <v>1.4664501631393349E-3</v>
      </c>
      <c r="FZ61" s="4">
        <v>1.5680662534103462E-3</v>
      </c>
      <c r="GA61" s="4">
        <v>1.6774487589043951E-3</v>
      </c>
      <c r="GB61" s="4">
        <v>1.7955629252840079E-3</v>
      </c>
      <c r="GC61" s="4">
        <v>1.923524421409047E-3</v>
      </c>
      <c r="GD61" s="4">
        <v>2.0626309388198827E-3</v>
      </c>
      <c r="GE61" s="4">
        <v>2.2144017734723729E-3</v>
      </c>
      <c r="GF61" s="4">
        <v>2.3806278956371978E-3</v>
      </c>
      <c r="GG61" s="4">
        <v>2.563435939313657E-3</v>
      </c>
      <c r="GH61" s="4">
        <v>2.7653708741770381E-3</v>
      </c>
      <c r="GI61" s="4">
        <v>2.9895040687377152E-3</v>
      </c>
      <c r="GJ61" s="4">
        <v>3.2395763427894562E-3</v>
      </c>
      <c r="GK61" s="4">
        <v>3.5201899770367301E-3</v>
      </c>
      <c r="GL61" s="4">
        <v>3.837070390605934E-3</v>
      </c>
      <c r="GM61" s="4">
        <v>4.1974288346700635E-3</v>
      </c>
      <c r="GN61" s="4">
        <v>4.6104746512107553E-3</v>
      </c>
      <c r="GO61" s="4">
        <v>5.0881542354512151E-3</v>
      </c>
      <c r="GP61" s="4">
        <v>5.6462428525159989E-3</v>
      </c>
      <c r="GQ61" s="4">
        <v>6.3060024779672333E-3</v>
      </c>
      <c r="GR61" s="4">
        <v>7.0967796407327101E-3</v>
      </c>
      <c r="GS61" s="4">
        <v>8.0602284641734957E-3</v>
      </c>
      <c r="GT61" s="4">
        <v>9.2574798196923234E-3</v>
      </c>
      <c r="GU61" s="4">
        <v>1.0781961154585159E-2</v>
      </c>
      <c r="GV61" s="4">
        <v>1.2783834028488421E-2</v>
      </c>
      <c r="GW61" s="4">
        <v>1.5520302972749011E-2</v>
      </c>
      <c r="GX61" s="4">
        <v>1.947270311083946E-2</v>
      </c>
      <c r="GY61" s="4">
        <v>2.561947004285035E-2</v>
      </c>
      <c r="GZ61" s="4">
        <v>3.6899053996912158E-2</v>
      </c>
      <c r="HA61" s="4">
        <v>5.4145476959963426E-2</v>
      </c>
      <c r="HB61" s="4">
        <v>0.24471681890706162</v>
      </c>
      <c r="HC61" s="4">
        <v>-0.25110499072995934</v>
      </c>
      <c r="HD61" s="4">
        <v>-6.0544047522480347E-2</v>
      </c>
      <c r="HE61" s="4">
        <v>-4.3318425374706308E-2</v>
      </c>
      <c r="HF61" s="4">
        <v>-3.2070028493412853E-2</v>
      </c>
      <c r="HG61" s="4">
        <v>-2.5964747843692536E-2</v>
      </c>
      <c r="HH61" s="4">
        <v>-2.2063876223033834E-2</v>
      </c>
      <c r="HI61" s="4">
        <v>-1.9388371572755442E-2</v>
      </c>
      <c r="HJ61" s="4">
        <v>-1.7455614943368385E-2</v>
      </c>
      <c r="HK61" s="4">
        <v>-1.6005828223769832E-2</v>
      </c>
      <c r="HL61" s="4">
        <v>-1.4883802520629496E-2</v>
      </c>
      <c r="HM61" s="4">
        <v>-1.3986192997333053E-2</v>
      </c>
      <c r="HN61" s="4">
        <v>-1.3231932543150306E-2</v>
      </c>
      <c r="HO61" s="4">
        <v>-1.2537539094134119E-2</v>
      </c>
      <c r="HP61" s="4">
        <v>-1.1778527468506661E-2</v>
      </c>
      <c r="HQ61" s="4">
        <v>-1.070979570358337E-2</v>
      </c>
      <c r="HR61" s="4">
        <v>-8.4030706960440456E-3</v>
      </c>
      <c r="HS61" s="4">
        <v>-5.6800682844534694E-3</v>
      </c>
      <c r="HT61" s="4">
        <v>7.4095126209410014E-2</v>
      </c>
      <c r="HU61" s="4">
        <v>-0.22435351692126798</v>
      </c>
    </row>
    <row r="62" spans="4:229" x14ac:dyDescent="0.25">
      <c r="D62" s="10">
        <v>53</v>
      </c>
      <c r="E62" s="5">
        <f>'N70'!E69-'N70'!E68</f>
        <v>1.4285714285714235E-2</v>
      </c>
      <c r="F62" s="5">
        <f>'N70'!H68-'N70'!$E$16</f>
        <v>0.75</v>
      </c>
      <c r="G62" s="5">
        <f>'N70'!H68-'N70'!$E$17</f>
        <v>0.73571428571428577</v>
      </c>
      <c r="H62" s="5">
        <f>'N70'!H68-'N70'!$E$18</f>
        <v>0.72142857142857142</v>
      </c>
      <c r="I62" s="5">
        <f>'N70'!H68-'N70'!$E$19</f>
        <v>0.70714285714285718</v>
      </c>
      <c r="J62" s="5">
        <f>'N70'!H68-'N70'!$E$20</f>
        <v>0.69285714285714284</v>
      </c>
      <c r="K62" s="5">
        <f>'N70'!H68-'N70'!$E$21</f>
        <v>0.6785714285714286</v>
      </c>
      <c r="L62" s="5">
        <f>'N70'!H68-'N70'!$E$22</f>
        <v>0.66428571428571426</v>
      </c>
      <c r="M62" s="5">
        <f>'N70'!H68-'N70'!$E$23</f>
        <v>0.65</v>
      </c>
      <c r="N62" s="5">
        <f>'N70'!H68-'N70'!$E$24</f>
        <v>0.63571428571428568</v>
      </c>
      <c r="O62" s="5">
        <f>'N70'!H68-'N70'!$E$25</f>
        <v>0.62142857142857144</v>
      </c>
      <c r="P62" s="5">
        <f>'N70'!H68-'N70'!$E$26</f>
        <v>0.60714285714285721</v>
      </c>
      <c r="Q62" s="5">
        <f>'N70'!H68-'N70'!$E$27</f>
        <v>0.59285714285714286</v>
      </c>
      <c r="R62" s="5">
        <f>'N70'!H68-'N70'!$E$28</f>
        <v>0.57857142857142851</v>
      </c>
      <c r="S62" s="5">
        <f>'N70'!H68-'N70'!$E$29</f>
        <v>0.56428571428571428</v>
      </c>
      <c r="T62" s="5">
        <f>'N70'!H68-'N70'!$E$30</f>
        <v>0.55000000000000004</v>
      </c>
      <c r="U62" s="5">
        <f>'N70'!H68-'N70'!$E$31</f>
        <v>0.5357142857142857</v>
      </c>
      <c r="V62" s="5">
        <f>'N70'!H68-'N70'!$E$32</f>
        <v>0.52142857142857146</v>
      </c>
      <c r="W62" s="5">
        <f>'N70'!H68-'N70'!$E$33</f>
        <v>0.50714285714285712</v>
      </c>
      <c r="X62" s="5">
        <f>'N70'!H68-'N70'!$E$34</f>
        <v>0.49285714285714288</v>
      </c>
      <c r="Y62" s="5">
        <f>'N70'!H68-'N70'!$E$35</f>
        <v>0.47857142857142859</v>
      </c>
      <c r="Z62" s="5">
        <f>'N70'!H68-'N70'!$E$36</f>
        <v>0.4642857142857143</v>
      </c>
      <c r="AA62" s="5">
        <f>'N70'!H68-'N70'!$E$37</f>
        <v>0.45</v>
      </c>
      <c r="AB62" s="5">
        <f>'N70'!H68-'N70'!$E$38</f>
        <v>0.43571428571428572</v>
      </c>
      <c r="AC62" s="5">
        <f>'N70'!H68-'N70'!$E$39</f>
        <v>0.42142857142857143</v>
      </c>
      <c r="AD62" s="5">
        <f>'N70'!H68-'N70'!$E$40</f>
        <v>0.40714285714285714</v>
      </c>
      <c r="AE62" s="5">
        <f>'N70'!H68-'N70'!$E$41</f>
        <v>0.39285714285714285</v>
      </c>
      <c r="AF62" s="5">
        <f>'N70'!H68-'N70'!$E$42</f>
        <v>0.37857142857142856</v>
      </c>
      <c r="AG62" s="5">
        <f>'N70'!H68-'N70'!$E$43</f>
        <v>0.36428571428571432</v>
      </c>
      <c r="AH62" s="5">
        <f>'N70'!H68-'N70'!$E$44</f>
        <v>0.35000000000000003</v>
      </c>
      <c r="AI62" s="5">
        <f>'N70'!H68-'N70'!$E$45</f>
        <v>0.33571428571428574</v>
      </c>
      <c r="AJ62" s="5">
        <f>'N70'!H68-'N70'!$E$46</f>
        <v>0.32142857142857145</v>
      </c>
      <c r="AK62" s="5">
        <f>'N70'!H68-'N70'!$E$47</f>
        <v>0.30714285714285716</v>
      </c>
      <c r="AL62" s="5">
        <f>'N70'!H68-'N70'!$E$48</f>
        <v>0.29285714285714287</v>
      </c>
      <c r="AM62" s="5">
        <f>'N70'!H68-'N70'!$E$49</f>
        <v>0.27857142857142858</v>
      </c>
      <c r="AN62" s="5">
        <f>'N70'!H68-'N70'!$E$50</f>
        <v>0.26428571428571429</v>
      </c>
      <c r="AO62" s="5">
        <f>'N70'!H68-'N70'!$E$51</f>
        <v>0.25</v>
      </c>
      <c r="AP62" s="5">
        <f>'N70'!H68-'N70'!$E$52</f>
        <v>0.23571428571428577</v>
      </c>
      <c r="AQ62" s="5">
        <f>'N70'!H68-'N70'!$E$53</f>
        <v>0.22142857142857142</v>
      </c>
      <c r="AR62" s="5">
        <f>'N70'!H68-'N70'!$E$54</f>
        <v>0.20714285714285718</v>
      </c>
      <c r="AS62" s="5">
        <f>'N70'!H68-'N70'!$E$55</f>
        <v>0.19285714285714284</v>
      </c>
      <c r="AT62" s="5">
        <f>'N70'!H68-'N70'!$E$56</f>
        <v>0.1785714285714286</v>
      </c>
      <c r="AU62" s="5">
        <f>'N70'!H68-'N70'!$E$57</f>
        <v>0.16428571428571426</v>
      </c>
      <c r="AV62" s="5">
        <f>'N70'!H68-'N70'!$E$58</f>
        <v>0.15000000000000002</v>
      </c>
      <c r="AW62" s="5">
        <f>'N70'!H68-'N70'!$E$59</f>
        <v>0.13571428571428579</v>
      </c>
      <c r="AX62" s="5">
        <f>'N70'!H68-'N70'!$E$60</f>
        <v>0.12142857142857144</v>
      </c>
      <c r="AY62" s="5">
        <f>'N70'!H68-'N70'!$E$61</f>
        <v>0.10714285714285721</v>
      </c>
      <c r="AZ62" s="5">
        <f>'N70'!H68-'N70'!$E$62</f>
        <v>9.285714285714286E-2</v>
      </c>
      <c r="BA62" s="5">
        <f>'N70'!H68-'N70'!$E$63</f>
        <v>7.8571428571428625E-2</v>
      </c>
      <c r="BB62" s="5">
        <f>'N70'!H68-'N70'!$E$64</f>
        <v>6.4285714285714279E-2</v>
      </c>
      <c r="BC62" s="5">
        <f>'N70'!H68-'N70'!$E$65</f>
        <v>5.0000000000000044E-2</v>
      </c>
      <c r="BD62" s="5">
        <f>'N70'!H68-'N70'!$E$66</f>
        <v>3.5714285714285698E-2</v>
      </c>
      <c r="BE62" s="5">
        <f>'N70'!H68-'N70'!$E$67</f>
        <v>2.1428571428571463E-2</v>
      </c>
      <c r="BF62" s="5">
        <f>'N70'!H68-'N70'!$E$68</f>
        <v>7.1428571428571175E-3</v>
      </c>
      <c r="BG62" s="5">
        <f>'N70'!H68-'N70'!$E$69</f>
        <v>-7.1428571428571175E-3</v>
      </c>
      <c r="BH62" s="5">
        <f>'N70'!H68-'N70'!$E$70</f>
        <v>-2.1428571428571352E-2</v>
      </c>
      <c r="BI62" s="5">
        <f>'N70'!H68-'N70'!$E$71</f>
        <v>-3.5714285714285698E-2</v>
      </c>
      <c r="BJ62" s="5">
        <f>'N70'!H68-'N70'!$E$72</f>
        <v>-4.9999999999999933E-2</v>
      </c>
      <c r="BK62" s="5">
        <f>'N70'!H68-'N70'!$E$73</f>
        <v>-6.4285714285714279E-2</v>
      </c>
      <c r="BL62" s="5">
        <f>'N70'!H68-'N70'!$E$74</f>
        <v>-7.8571428571428514E-2</v>
      </c>
      <c r="BM62" s="5">
        <f>'N70'!H68-'N70'!$E$75</f>
        <v>-9.285714285714286E-2</v>
      </c>
      <c r="BN62" s="5">
        <f>'N70'!H68-'N70'!$E$76</f>
        <v>-0.1071428571428571</v>
      </c>
      <c r="BO62" s="5">
        <f>'N70'!H68-'N70'!$E$77</f>
        <v>-0.12142857142857144</v>
      </c>
      <c r="BP62" s="5">
        <f>'N70'!H68-'N70'!$E$78</f>
        <v>-0.13571428571428568</v>
      </c>
      <c r="BQ62" s="5">
        <f>'N70'!H68-'N70'!$E$79</f>
        <v>-0.15000000000000002</v>
      </c>
      <c r="BR62" s="5">
        <f>'N70'!H68-'N70'!$E$80</f>
        <v>-0.16428571428571426</v>
      </c>
      <c r="BS62" s="5">
        <f>'N70'!H68-'N70'!$E$81</f>
        <v>-0.17857142857142849</v>
      </c>
      <c r="BT62" s="5">
        <f>'N70'!H68-'N70'!$E$82</f>
        <v>-0.19285714285714284</v>
      </c>
      <c r="BU62" s="5">
        <f>'N70'!H68-'N70'!$E$83</f>
        <v>-0.20714285714285707</v>
      </c>
      <c r="BV62" s="5">
        <f>'N70'!H68-'N70'!$E$84</f>
        <v>-0.22142857142857142</v>
      </c>
      <c r="BW62" s="5">
        <f>'N70'!H68-'N70'!$E$85</f>
        <v>-0.23571428571428565</v>
      </c>
      <c r="BX62" s="5">
        <v>-1</v>
      </c>
      <c r="BZ62">
        <v>53</v>
      </c>
      <c r="CA62" s="5">
        <f>N70_DESARROLLO!CE147+N70_DESARROLLO!H147</f>
        <v>-9.5848409054887229E-3</v>
      </c>
      <c r="CB62" s="5">
        <f>N70_DESARROLLO!CF147+N70_DESARROLLO!I147</f>
        <v>-1.9418696489460152E-2</v>
      </c>
      <c r="CC62" s="5">
        <f>N70_DESARROLLO!CG147+N70_DESARROLLO!J147</f>
        <v>-1.9803274917314595E-2</v>
      </c>
      <c r="CD62" s="5">
        <f>N70_DESARROLLO!CH147+N70_DESARROLLO!K147</f>
        <v>-2.0203394977323041E-2</v>
      </c>
      <c r="CE62" s="5">
        <f>N70_DESARROLLO!CI147+N70_DESARROLLO!L147</f>
        <v>-2.0620018272167862E-2</v>
      </c>
      <c r="CF62" s="5">
        <f>N70_DESARROLLO!CJ147+N70_DESARROLLO!M147</f>
        <v>-2.1054187410165626E-2</v>
      </c>
      <c r="CG62" s="5">
        <f>N70_DESARROLLO!CK147+N70_DESARROLLO!N147</f>
        <v>-2.1507034719714269E-2</v>
      </c>
      <c r="CH62" s="5">
        <f>N70_DESARROLLO!CL147+N70_DESARROLLO!O147</f>
        <v>-2.1979792112853391E-2</v>
      </c>
      <c r="CI62" s="5">
        <f>N70_DESARROLLO!CM147+N70_DESARROLLO!P147</f>
        <v>-2.2473802280108091E-2</v>
      </c>
      <c r="CJ62" s="5">
        <f>N70_DESARROLLO!CN147+N70_DESARROLLO!Q147</f>
        <v>-2.2990531429697869E-2</v>
      </c>
      <c r="CK62" s="5">
        <f>N70_DESARROLLO!CO147+N70_DESARROLLO!R147</f>
        <v>-2.3531583826931546E-2</v>
      </c>
      <c r="CL62" s="5">
        <f>N70_DESARROLLO!CP147+N70_DESARROLLO!S147</f>
        <v>-2.4098718436569078E-2</v>
      </c>
      <c r="CM62" s="5">
        <f>N70_DESARROLLO!CQ147+N70_DESARROLLO!T147</f>
        <v>-2.4693868032508171E-2</v>
      </c>
      <c r="CN62" s="5">
        <f>N70_DESARROLLO!CR147+N70_DESARROLLO!U147</f>
        <v>-2.5319161212281727E-2</v>
      </c>
      <c r="CO62" s="5">
        <f>N70_DESARROLLO!CS147+N70_DESARROLLO!V147</f>
        <v>-2.5976947844864928E-2</v>
      </c>
      <c r="CP62" s="5">
        <f>N70_DESARROLLO!CT147+N70_DESARROLLO!W147</f>
        <v>-2.6669828593224754E-2</v>
      </c>
      <c r="CQ62" s="5">
        <f>N70_DESARROLLO!CU147+N70_DESARROLLO!X147</f>
        <v>-2.7400689293794245E-2</v>
      </c>
      <c r="CR62" s="5">
        <f>N70_DESARROLLO!CV147+N70_DESARROLLO!Y147</f>
        <v>-2.8172741151794245E-2</v>
      </c>
      <c r="CS62" s="5">
        <f>N70_DESARROLLO!CW147+N70_DESARROLLO!Z147</f>
        <v>-2.8989567932948379E-2</v>
      </c>
      <c r="CT62" s="5">
        <f>N70_DESARROLLO!CX147+N70_DESARROLLO!AA147</f>
        <v>-2.9855181616033843E-2</v>
      </c>
      <c r="CU62" s="5">
        <f>N70_DESARROLLO!CY147+N70_DESARROLLO!AB147</f>
        <v>-3.0774088329711291E-2</v>
      </c>
      <c r="CV62" s="5">
        <f>N70_DESARROLLO!CZ147+N70_DESARROLLO!AC147</f>
        <v>-3.1751366862667441E-2</v>
      </c>
      <c r="CW62" s="5">
        <f>N70_DESARROLLO!DA147+N70_DESARROLLO!AD147</f>
        <v>-3.2792762635871275E-2</v>
      </c>
      <c r="CX62" s="5">
        <f>N70_DESARROLLO!DB147+N70_DESARROLLO!AE147</f>
        <v>-3.3904800811321523E-2</v>
      </c>
      <c r="CY62" s="5">
        <f>N70_DESARROLLO!DC147+N70_DESARROLLO!AF147</f>
        <v>-3.5094923244214704E-2</v>
      </c>
      <c r="CZ62" s="5">
        <f>N70_DESARROLLO!DD147+N70_DESARROLLO!AG147</f>
        <v>-3.6371655357440025E-2</v>
      </c>
      <c r="DA62" s="5">
        <f>N70_DESARROLLO!DE147+N70_DESARROLLO!AH147</f>
        <v>-3.7744810855699584E-2</v>
      </c>
      <c r="DB62" s="5">
        <f>N70_DESARROLLO!DF147+N70_DESARROLLO!AI147</f>
        <v>-3.922574468547857E-2</v>
      </c>
      <c r="DC62" s="5">
        <f>N70_DESARROLLO!DG147+N70_DESARROLLO!AJ147</f>
        <v>-4.0827668052531463E-2</v>
      </c>
      <c r="DD62" s="5">
        <f>N70_DESARROLLO!DH147+N70_DESARROLLO!AK147</f>
        <v>-4.2566044021113525E-2</v>
      </c>
      <c r="DE62" s="5">
        <f>N70_DESARROLLO!DI147+N70_DESARROLLO!AL147</f>
        <v>-4.4459088822761617E-2</v>
      </c>
      <c r="DF62" s="5">
        <f>N70_DESARROLLO!DJ147+N70_DESARROLLO!AM147</f>
        <v>-4.6528413377890931E-2</v>
      </c>
      <c r="DG62" s="5">
        <f>N70_DESARROLLO!DK147+N70_DESARROLLO!AN147</f>
        <v>-4.8799853039072971E-2</v>
      </c>
      <c r="DH62" s="5">
        <f>N70_DESARROLLO!DL147+N70_DESARROLLO!AO147</f>
        <v>-5.1304553326342761E-2</v>
      </c>
      <c r="DI62" s="5">
        <f>N70_DESARROLLO!DM147+N70_DESARROLLO!AP147</f>
        <v>-5.4080408838149241E-2</v>
      </c>
      <c r="DJ62" s="5">
        <f>N70_DESARROLLO!DN147+N70_DESARROLLO!AQ147</f>
        <v>-5.7173997129080778E-2</v>
      </c>
      <c r="DK62" s="5">
        <f>N70_DESARROLLO!DO147+N70_DESARROLLO!AR147</f>
        <v>-6.0643218403514498E-2</v>
      </c>
      <c r="DL62" s="5">
        <f>N70_DESARROLLO!DP147+N70_DESARROLLO!AS147</f>
        <v>-6.4560961252492111E-2</v>
      </c>
      <c r="DM62" s="5">
        <f>N70_DESARROLLO!DQ147+N70_DESARROLLO!AT147</f>
        <v>-6.9020292350860157E-2</v>
      </c>
      <c r="DN62" s="5">
        <f>N70_DESARROLLO!DR147+N70_DESARROLLO!AU147</f>
        <v>-7.4141965022344158E-2</v>
      </c>
      <c r="DO62" s="5">
        <f>N70_DESARROLLO!DS147+N70_DESARROLLO!AV147</f>
        <v>-8.0085554140349235E-2</v>
      </c>
      <c r="DP62" s="5">
        <f>N70_DESARROLLO!DT147+N70_DESARROLLO!AW147</f>
        <v>-8.7066442319344017E-2</v>
      </c>
      <c r="DQ62" s="5">
        <f>N70_DESARROLLO!DU147+N70_DESARROLLO!AX147</f>
        <v>-9.5382594982174052E-2</v>
      </c>
      <c r="DR62" s="5">
        <f>N70_DESARROLLO!DV147+N70_DESARROLLO!AY147</f>
        <v>-0.10545841852056981</v>
      </c>
      <c r="DS62" s="5">
        <f>N70_DESARROLLO!DW147+N70_DESARROLLO!AZ147</f>
        <v>-0.11791996375049385</v>
      </c>
      <c r="DT62" s="5">
        <f>N70_DESARROLLO!DX147+N70_DESARROLLO!BA147</f>
        <v>-0.13373123411929144</v>
      </c>
      <c r="DU62" s="5">
        <f>N70_DESARROLLO!DY147+N70_DESARROLLO!BB147</f>
        <v>-0.15445886474682136</v>
      </c>
      <c r="DV62" s="5">
        <f>N70_DESARROLLO!DZ147+N70_DESARROLLO!BC147</f>
        <v>-0.18283342438756101</v>
      </c>
      <c r="DW62" s="5">
        <f>N70_DESARROLLO!EA147+N70_DESARROLLO!BD147</f>
        <v>-0.22408833054043442</v>
      </c>
      <c r="DX62" s="5">
        <f>N70_DESARROLLO!EB147+N70_DESARROLLO!BE147</f>
        <v>-0.28973434150572408</v>
      </c>
      <c r="DY62" s="5">
        <f>N70_DESARROLLO!EC147+N70_DESARROLLO!BF147</f>
        <v>-0.41141440075355473</v>
      </c>
      <c r="DZ62" s="5">
        <f>N70_DESARROLLO!ED147+N70_DESARROLLO!BG147</f>
        <v>-0.72775792963607455</v>
      </c>
      <c r="EA62" s="5">
        <f>N70_DESARROLLO!EE147+N70_DESARROLLO!BH147</f>
        <v>-1.6479184659605444</v>
      </c>
      <c r="EB62" s="5">
        <f>N70_DESARROLLO!EF147+N70_DESARROLLO!BI147</f>
        <v>1.6479184659605282</v>
      </c>
      <c r="EC62" s="5">
        <f>N70_DESARROLLO!EG147+N70_DESARROLLO!BJ147</f>
        <v>0.72775792963608976</v>
      </c>
      <c r="ED62" s="5">
        <f>N70_DESARROLLO!EH147+N70_DESARROLLO!BK147</f>
        <v>0.41141440075354063</v>
      </c>
      <c r="EE62" s="5">
        <f>N70_DESARROLLO!EI147+N70_DESARROLLO!BL147</f>
        <v>0.28973434150574007</v>
      </c>
      <c r="EF62" s="5">
        <f>N70_DESARROLLO!EJ147+N70_DESARROLLO!BM147</f>
        <v>0.2240883305404191</v>
      </c>
      <c r="EG62" s="5">
        <f>N70_DESARROLLO!EK147+N70_DESARROLLO!BN147</f>
        <v>0.18283342438757677</v>
      </c>
      <c r="EH62" s="5">
        <f>N70_DESARROLLO!EL147+N70_DESARROLLO!BO147</f>
        <v>0.15445886474680548</v>
      </c>
      <c r="EI62" s="5">
        <f>N70_DESARROLLO!EM147+N70_DESARROLLO!BP147</f>
        <v>0.1337312341193071</v>
      </c>
      <c r="EJ62" s="5">
        <f>N70_DESARROLLO!EN147+N70_DESARROLLO!BQ147</f>
        <v>0.11791996375047809</v>
      </c>
      <c r="EK62" s="5">
        <f>N70_DESARROLLO!EO147+N70_DESARROLLO!BR147</f>
        <v>0.10545841852058624</v>
      </c>
      <c r="EL62" s="5">
        <f>N70_DESARROLLO!EP147+N70_DESARROLLO!BS147</f>
        <v>9.5382594982166613E-2</v>
      </c>
      <c r="EM62" s="5">
        <f>N70_DESARROLLO!EQ147+N70_DESARROLLO!BT147</f>
        <v>8.7066442319336246E-2</v>
      </c>
      <c r="EN62" s="5">
        <f>N70_DESARROLLO!ER147+N70_DESARROLLO!BU147</f>
        <v>8.0085554140362891E-2</v>
      </c>
      <c r="EO62" s="5">
        <f>N70_DESARROLLO!ES147+N70_DESARROLLO!BV147</f>
        <v>7.414196502232917E-2</v>
      </c>
      <c r="EP62" s="5">
        <f>N70_DESARROLLO!ET147+N70_DESARROLLO!BW147</f>
        <v>6.902029235087781E-2</v>
      </c>
      <c r="EQ62" s="5">
        <f>N70_DESARROLLO!EU147+N70_DESARROLLO!BX147</f>
        <v>6.4560961252473681E-2</v>
      </c>
      <c r="ER62" s="5">
        <f>N70_DESARROLLO!EV147+N70_DESARROLLO!BY147</f>
        <v>100.19037675059457</v>
      </c>
      <c r="FC62">
        <v>53</v>
      </c>
      <c r="FD62" s="4">
        <v>9.207252179236063E-5</v>
      </c>
      <c r="FE62" s="4">
        <v>1.8497111950833864E-4</v>
      </c>
      <c r="FF62" s="4">
        <v>2.4522618732470341E-4</v>
      </c>
      <c r="FG62" s="4">
        <v>2.9873233518324825E-4</v>
      </c>
      <c r="FH62" s="4">
        <v>3.4864518676315786E-4</v>
      </c>
      <c r="FI62" s="4">
        <v>3.9683115394080297E-4</v>
      </c>
      <c r="FJ62" s="4">
        <v>4.4433426848134973E-4</v>
      </c>
      <c r="FK62" s="4">
        <v>4.9184886823193234E-4</v>
      </c>
      <c r="FL62" s="4">
        <v>5.3988685878019762E-4</v>
      </c>
      <c r="FM62" s="4">
        <v>5.8885930794347352E-4</v>
      </c>
      <c r="FN62" s="4">
        <v>6.3912024660497545E-4</v>
      </c>
      <c r="FO62" s="4">
        <v>6.9099264925582041E-4</v>
      </c>
      <c r="FP62" s="4">
        <v>7.4478524739221845E-4</v>
      </c>
      <c r="FQ62" s="4">
        <v>8.0080438319875442E-4</v>
      </c>
      <c r="FR62" s="4">
        <v>8.5936312643569051E-4</v>
      </c>
      <c r="FS62" s="4">
        <v>9.2078892519904625E-4</v>
      </c>
      <c r="FT62" s="4">
        <v>9.8543057901362657E-4</v>
      </c>
      <c r="FU62" s="4">
        <v>1.0536650718815941E-3</v>
      </c>
      <c r="FV62" s="4">
        <v>1.1259046748148967E-3</v>
      </c>
      <c r="FW62" s="4">
        <v>1.2026046706880616E-3</v>
      </c>
      <c r="FX62" s="4">
        <v>1.2842720432490783E-3</v>
      </c>
      <c r="FY62" s="4">
        <v>1.3714754959232936E-3</v>
      </c>
      <c r="FZ62" s="4">
        <v>1.4648572207622184E-3</v>
      </c>
      <c r="GA62" s="4">
        <v>1.5651469251209465E-3</v>
      </c>
      <c r="GB62" s="4">
        <v>1.6731787495620736E-3</v>
      </c>
      <c r="GC62" s="4">
        <v>1.7899118861247996E-3</v>
      </c>
      <c r="GD62" s="4">
        <v>1.9164559483144268E-3</v>
      </c>
      <c r="GE62" s="4">
        <v>2.054102478704621E-3</v>
      </c>
      <c r="GF62" s="4">
        <v>2.2043644447978902E-3</v>
      </c>
      <c r="GG62" s="4">
        <v>2.3690262260788499E-3</v>
      </c>
      <c r="GH62" s="4">
        <v>2.5502075208469061E-3</v>
      </c>
      <c r="GI62" s="4">
        <v>2.7504459336991963E-3</v>
      </c>
      <c r="GJ62" s="4">
        <v>2.9728049502249325E-3</v>
      </c>
      <c r="GK62" s="4">
        <v>3.2210168950050954E-3</v>
      </c>
      <c r="GL62" s="4">
        <v>3.4996748389167177E-3</v>
      </c>
      <c r="GM62" s="4">
        <v>3.8144941644985505E-3</v>
      </c>
      <c r="GN62" s="4">
        <v>4.1726751356728486E-3</v>
      </c>
      <c r="GO62" s="4">
        <v>4.5834150188301124E-3</v>
      </c>
      <c r="GP62" s="4">
        <v>5.0586468919257841E-3</v>
      </c>
      <c r="GQ62" s="4">
        <v>5.6141312903896E-3</v>
      </c>
      <c r="GR62" s="4">
        <v>6.2711138580307593E-3</v>
      </c>
      <c r="GS62" s="4">
        <v>7.0589229809992094E-3</v>
      </c>
      <c r="GT62" s="4">
        <v>8.0191926012497285E-3</v>
      </c>
      <c r="GU62" s="4">
        <v>9.2130311274767097E-3</v>
      </c>
      <c r="GV62" s="4">
        <v>1.0733841012930451E-2</v>
      </c>
      <c r="GW62" s="4">
        <v>1.2731756049791456E-2</v>
      </c>
      <c r="GX62" s="4">
        <v>1.5463950022234968E-2</v>
      </c>
      <c r="GY62" s="4">
        <v>1.9411724204973533E-2</v>
      </c>
      <c r="GZ62" s="4">
        <v>2.5553477294466252E-2</v>
      </c>
      <c r="HA62" s="4">
        <v>3.6827619919209409E-2</v>
      </c>
      <c r="HB62" s="4">
        <v>5.4068132687455459E-2</v>
      </c>
      <c r="HC62" s="4">
        <v>0.24463305431391064</v>
      </c>
      <c r="HD62" s="4">
        <v>-0.25119572330009937</v>
      </c>
      <c r="HE62" s="4">
        <v>-6.0642322909649882E-2</v>
      </c>
      <c r="HF62" s="4">
        <v>-4.3424823318367452E-2</v>
      </c>
      <c r="HG62" s="4">
        <v>-3.2185089848605491E-2</v>
      </c>
      <c r="HH62" s="4">
        <v>-2.6088891755359396E-2</v>
      </c>
      <c r="HI62" s="4">
        <v>-2.2197245226189696E-2</v>
      </c>
      <c r="HJ62" s="4">
        <v>-1.9530540388210706E-2</v>
      </c>
      <c r="HK62" s="4">
        <v>-1.7605033101241497E-2</v>
      </c>
      <c r="HL62" s="4">
        <v>-1.6158721182441698E-2</v>
      </c>
      <c r="HM62" s="4">
        <v>-1.5031913146644793E-2</v>
      </c>
      <c r="HN62" s="4">
        <v>-1.4111868955454167E-2</v>
      </c>
      <c r="HO62" s="4">
        <v>-1.3296688080621857E-2</v>
      </c>
      <c r="HP62" s="4">
        <v>-1.2451520340445077E-2</v>
      </c>
      <c r="HQ62" s="4">
        <v>-1.132704670692314E-2</v>
      </c>
      <c r="HR62" s="4">
        <v>-9.0003864985700923E-3</v>
      </c>
      <c r="HS62" s="4">
        <v>-6.2958818515642641E-3</v>
      </c>
      <c r="HT62" s="4">
        <v>7.2882231726691032E-2</v>
      </c>
      <c r="HU62" s="4">
        <v>-0.22413456866270989</v>
      </c>
    </row>
    <row r="63" spans="4:229" x14ac:dyDescent="0.25">
      <c r="D63" s="10">
        <v>54</v>
      </c>
      <c r="E63" s="5">
        <f>'N70'!E70-'N70'!E69</f>
        <v>1.4285714285714235E-2</v>
      </c>
      <c r="F63" s="5">
        <f>'N70'!H69-'N70'!$E$16</f>
        <v>0.76428571428571423</v>
      </c>
      <c r="G63" s="5">
        <f>'N70'!H69-'N70'!$E$17</f>
        <v>0.75</v>
      </c>
      <c r="H63" s="5">
        <f>'N70'!H69-'N70'!$E$18</f>
        <v>0.73571428571428565</v>
      </c>
      <c r="I63" s="5">
        <f>'N70'!H69-'N70'!$E$19</f>
        <v>0.72142857142857142</v>
      </c>
      <c r="J63" s="5">
        <f>'N70'!H69-'N70'!$E$20</f>
        <v>0.70714285714285707</v>
      </c>
      <c r="K63" s="5">
        <f>'N70'!H69-'N70'!$E$21</f>
        <v>0.69285714285714284</v>
      </c>
      <c r="L63" s="5">
        <f>'N70'!H69-'N70'!$E$22</f>
        <v>0.67857142857142849</v>
      </c>
      <c r="M63" s="5">
        <f>'N70'!H69-'N70'!$E$23</f>
        <v>0.66428571428571426</v>
      </c>
      <c r="N63" s="5">
        <f>'N70'!H69-'N70'!$E$24</f>
        <v>0.64999999999999991</v>
      </c>
      <c r="O63" s="5">
        <f>'N70'!H69-'N70'!$E$25</f>
        <v>0.63571428571428568</v>
      </c>
      <c r="P63" s="5">
        <f>'N70'!H69-'N70'!$E$26</f>
        <v>0.62142857142857144</v>
      </c>
      <c r="Q63" s="5">
        <f>'N70'!H69-'N70'!$E$27</f>
        <v>0.6071428571428571</v>
      </c>
      <c r="R63" s="5">
        <f>'N70'!H69-'N70'!$E$28</f>
        <v>0.59285714285714275</v>
      </c>
      <c r="S63" s="5">
        <f>'N70'!H69-'N70'!$E$29</f>
        <v>0.57857142857142851</v>
      </c>
      <c r="T63" s="5">
        <f>'N70'!H69-'N70'!$E$30</f>
        <v>0.56428571428571428</v>
      </c>
      <c r="U63" s="5">
        <f>'N70'!H69-'N70'!$E$31</f>
        <v>0.54999999999999993</v>
      </c>
      <c r="V63" s="5">
        <f>'N70'!H69-'N70'!$E$32</f>
        <v>0.5357142857142857</v>
      </c>
      <c r="W63" s="5">
        <f>'N70'!H69-'N70'!$E$33</f>
        <v>0.52142857142857135</v>
      </c>
      <c r="X63" s="5">
        <f>'N70'!H69-'N70'!$E$34</f>
        <v>0.50714285714285712</v>
      </c>
      <c r="Y63" s="5">
        <f>'N70'!H69-'N70'!$E$35</f>
        <v>0.49285714285714283</v>
      </c>
      <c r="Z63" s="5">
        <f>'N70'!H69-'N70'!$E$36</f>
        <v>0.47857142857142854</v>
      </c>
      <c r="AA63" s="5">
        <f>'N70'!H69-'N70'!$E$37</f>
        <v>0.46428571428571425</v>
      </c>
      <c r="AB63" s="5">
        <f>'N70'!H69-'N70'!$E$38</f>
        <v>0.44999999999999996</v>
      </c>
      <c r="AC63" s="5">
        <f>'N70'!H69-'N70'!$E$39</f>
        <v>0.43571428571428567</v>
      </c>
      <c r="AD63" s="5">
        <f>'N70'!H69-'N70'!$E$40</f>
        <v>0.42142857142857137</v>
      </c>
      <c r="AE63" s="5">
        <f>'N70'!H69-'N70'!$E$41</f>
        <v>0.40714285714285708</v>
      </c>
      <c r="AF63" s="5">
        <f>'N70'!H69-'N70'!$E$42</f>
        <v>0.39285714285714279</v>
      </c>
      <c r="AG63" s="5">
        <f>'N70'!H69-'N70'!$E$43</f>
        <v>0.37857142857142856</v>
      </c>
      <c r="AH63" s="5">
        <f>'N70'!H69-'N70'!$E$44</f>
        <v>0.36428571428571427</v>
      </c>
      <c r="AI63" s="5">
        <f>'N70'!H69-'N70'!$E$45</f>
        <v>0.35</v>
      </c>
      <c r="AJ63" s="5">
        <f>'N70'!H69-'N70'!$E$46</f>
        <v>0.33571428571428569</v>
      </c>
      <c r="AK63" s="5">
        <f>'N70'!H69-'N70'!$E$47</f>
        <v>0.3214285714285714</v>
      </c>
      <c r="AL63" s="5">
        <f>'N70'!H69-'N70'!$E$48</f>
        <v>0.30714285714285711</v>
      </c>
      <c r="AM63" s="5">
        <f>'N70'!H69-'N70'!$E$49</f>
        <v>0.29285714285714282</v>
      </c>
      <c r="AN63" s="5">
        <f>'N70'!H69-'N70'!$E$50</f>
        <v>0.27857142857142853</v>
      </c>
      <c r="AO63" s="5">
        <f>'N70'!H69-'N70'!$E$51</f>
        <v>0.26428571428571423</v>
      </c>
      <c r="AP63" s="5">
        <f>'N70'!H69-'N70'!$E$52</f>
        <v>0.25</v>
      </c>
      <c r="AQ63" s="5">
        <f>'N70'!H69-'N70'!$E$53</f>
        <v>0.23571428571428565</v>
      </c>
      <c r="AR63" s="5">
        <f>'N70'!H69-'N70'!$E$54</f>
        <v>0.22142857142857142</v>
      </c>
      <c r="AS63" s="5">
        <f>'N70'!H69-'N70'!$E$55</f>
        <v>0.20714285714285707</v>
      </c>
      <c r="AT63" s="5">
        <f>'N70'!H69-'N70'!$E$56</f>
        <v>0.19285714285714284</v>
      </c>
      <c r="AU63" s="5">
        <f>'N70'!H69-'N70'!$E$57</f>
        <v>0.17857142857142849</v>
      </c>
      <c r="AV63" s="5">
        <f>'N70'!H69-'N70'!$E$58</f>
        <v>0.16428571428571426</v>
      </c>
      <c r="AW63" s="5">
        <f>'N70'!H69-'N70'!$E$59</f>
        <v>0.15000000000000002</v>
      </c>
      <c r="AX63" s="5">
        <f>'N70'!H69-'N70'!$E$60</f>
        <v>0.13571428571428568</v>
      </c>
      <c r="AY63" s="5">
        <f>'N70'!H69-'N70'!$E$61</f>
        <v>0.12142857142857144</v>
      </c>
      <c r="AZ63" s="5">
        <f>'N70'!H69-'N70'!$E$62</f>
        <v>0.1071428571428571</v>
      </c>
      <c r="BA63" s="5">
        <f>'N70'!H69-'N70'!$E$63</f>
        <v>9.285714285714286E-2</v>
      </c>
      <c r="BB63" s="5">
        <f>'N70'!H69-'N70'!$E$64</f>
        <v>7.8571428571428514E-2</v>
      </c>
      <c r="BC63" s="5">
        <f>'N70'!H69-'N70'!$E$65</f>
        <v>6.4285714285714279E-2</v>
      </c>
      <c r="BD63" s="5">
        <f>'N70'!H69-'N70'!$E$66</f>
        <v>4.9999999999999933E-2</v>
      </c>
      <c r="BE63" s="5">
        <f>'N70'!H69-'N70'!$E$67</f>
        <v>3.5714285714285698E-2</v>
      </c>
      <c r="BF63" s="5">
        <f>'N70'!H69-'N70'!$E$68</f>
        <v>2.1428571428571352E-2</v>
      </c>
      <c r="BG63" s="5">
        <f>'N70'!H69-'N70'!$E$69</f>
        <v>7.1428571428571175E-3</v>
      </c>
      <c r="BH63" s="5">
        <f>'N70'!H69-'N70'!$E$70</f>
        <v>-7.1428571428571175E-3</v>
      </c>
      <c r="BI63" s="5">
        <f>'N70'!H69-'N70'!$E$71</f>
        <v>-2.1428571428571463E-2</v>
      </c>
      <c r="BJ63" s="5">
        <f>'N70'!H69-'N70'!$E$72</f>
        <v>-3.5714285714285698E-2</v>
      </c>
      <c r="BK63" s="5">
        <f>'N70'!H69-'N70'!$E$73</f>
        <v>-5.0000000000000044E-2</v>
      </c>
      <c r="BL63" s="5">
        <f>'N70'!H69-'N70'!$E$74</f>
        <v>-6.4285714285714279E-2</v>
      </c>
      <c r="BM63" s="5">
        <f>'N70'!H69-'N70'!$E$75</f>
        <v>-7.8571428571428625E-2</v>
      </c>
      <c r="BN63" s="5">
        <f>'N70'!H69-'N70'!$E$76</f>
        <v>-9.285714285714286E-2</v>
      </c>
      <c r="BO63" s="5">
        <f>'N70'!H69-'N70'!$E$77</f>
        <v>-0.10714285714285721</v>
      </c>
      <c r="BP63" s="5">
        <f>'N70'!H69-'N70'!$E$78</f>
        <v>-0.12142857142857144</v>
      </c>
      <c r="BQ63" s="5">
        <f>'N70'!H69-'N70'!$E$79</f>
        <v>-0.13571428571428579</v>
      </c>
      <c r="BR63" s="5">
        <f>'N70'!H69-'N70'!$E$80</f>
        <v>-0.15000000000000002</v>
      </c>
      <c r="BS63" s="5">
        <f>'N70'!H69-'N70'!$E$81</f>
        <v>-0.16428571428571426</v>
      </c>
      <c r="BT63" s="5">
        <f>'N70'!H69-'N70'!$E$82</f>
        <v>-0.1785714285714286</v>
      </c>
      <c r="BU63" s="5">
        <f>'N70'!H69-'N70'!$E$83</f>
        <v>-0.19285714285714284</v>
      </c>
      <c r="BV63" s="5">
        <f>'N70'!H69-'N70'!$E$84</f>
        <v>-0.20714285714285718</v>
      </c>
      <c r="BW63" s="5">
        <f>'N70'!H69-'N70'!$E$85</f>
        <v>-0.22142857142857142</v>
      </c>
      <c r="BX63" s="5">
        <v>-1</v>
      </c>
      <c r="BZ63">
        <v>54</v>
      </c>
      <c r="CA63" s="5">
        <f>N70_DESARROLLO!CE148+N70_DESARROLLO!H148</f>
        <v>-9.4045542079997935E-3</v>
      </c>
      <c r="CB63" s="5">
        <f>N70_DESARROLLO!CF148+N70_DESARROLLO!I148</f>
        <v>-1.9048771379235774E-2</v>
      </c>
      <c r="CC63" s="5">
        <f>N70_DESARROLLO!CG148+N70_DESARROLLO!J148</f>
        <v>-1.9418696489477361E-2</v>
      </c>
      <c r="CD63" s="5">
        <f>N70_DESARROLLO!CH148+N70_DESARROLLO!K148</f>
        <v>-1.9803274917291835E-2</v>
      </c>
      <c r="CE63" s="5">
        <f>N70_DESARROLLO!CI148+N70_DESARROLLO!L148</f>
        <v>-2.0203394977345357E-2</v>
      </c>
      <c r="CF63" s="5">
        <f>N70_DESARROLLO!CJ148+N70_DESARROLLO!M148</f>
        <v>-2.062001827215143E-2</v>
      </c>
      <c r="CG63" s="5">
        <f>N70_DESARROLLO!CK148+N70_DESARROLLO!N148</f>
        <v>-2.1054187410176284E-2</v>
      </c>
      <c r="CH63" s="5">
        <f>N70_DESARROLLO!CL148+N70_DESARROLLO!O148</f>
        <v>-2.1507034719698614E-2</v>
      </c>
      <c r="CI63" s="5">
        <f>N70_DESARROLLO!CM148+N70_DESARROLLO!P148</f>
        <v>-2.1979792112873819E-2</v>
      </c>
      <c r="CJ63" s="5">
        <f>N70_DESARROLLO!CN148+N70_DESARROLLO!Q148</f>
        <v>-2.2473802280097654E-2</v>
      </c>
      <c r="CK63" s="5">
        <f>N70_DESARROLLO!CO148+N70_DESARROLLO!R148</f>
        <v>-2.2990531429693095E-2</v>
      </c>
      <c r="CL63" s="5">
        <f>N70_DESARROLLO!CP148+N70_DESARROLLO!S148</f>
        <v>-2.3531583826936764E-2</v>
      </c>
      <c r="CM63" s="5">
        <f>N70_DESARROLLO!CQ148+N70_DESARROLLO!T148</f>
        <v>-2.4098718436573519E-2</v>
      </c>
      <c r="CN63" s="5">
        <f>N70_DESARROLLO!CR148+N70_DESARROLLO!U148</f>
        <v>-2.4693868032503286E-2</v>
      </c>
      <c r="CO63" s="5">
        <f>N70_DESARROLLO!CS148+N70_DESARROLLO!V148</f>
        <v>-2.5319161212273178E-2</v>
      </c>
      <c r="CP63" s="5">
        <f>N70_DESARROLLO!CT148+N70_DESARROLLO!W148</f>
        <v>-2.5976947844882692E-2</v>
      </c>
      <c r="CQ63" s="5">
        <f>N70_DESARROLLO!CU148+N70_DESARROLLO!X148</f>
        <v>-2.6669828593211653E-2</v>
      </c>
      <c r="CR63" s="5">
        <f>N70_DESARROLLO!CV148+N70_DESARROLLO!Y148</f>
        <v>-2.740068929380679E-2</v>
      </c>
      <c r="CS63" s="5">
        <f>N70_DESARROLLO!CW148+N70_DESARROLLO!Z148</f>
        <v>-2.8172741151781922E-2</v>
      </c>
      <c r="CT63" s="5">
        <f>N70_DESARROLLO!CX148+N70_DESARROLLO!AA148</f>
        <v>-2.8989567932952598E-2</v>
      </c>
      <c r="CU63" s="5">
        <f>N70_DESARROLLO!CY148+N70_DESARROLLO!AB148</f>
        <v>-2.9855181616034066E-2</v>
      </c>
      <c r="CV63" s="5">
        <f>N70_DESARROLLO!CZ148+N70_DESARROLLO!AC148</f>
        <v>-3.0774088329711402E-2</v>
      </c>
      <c r="CW63" s="5">
        <f>N70_DESARROLLO!DA148+N70_DESARROLLO!AD148</f>
        <v>-3.1751366862667441E-2</v>
      </c>
      <c r="CX63" s="5">
        <f>N70_DESARROLLO!DB148+N70_DESARROLLO!AE148</f>
        <v>-3.2792762635871164E-2</v>
      </c>
      <c r="CY63" s="5">
        <f>N70_DESARROLLO!DC148+N70_DESARROLLO!AF148</f>
        <v>-3.3904800811321412E-2</v>
      </c>
      <c r="CZ63" s="5">
        <f>N70_DESARROLLO!DD148+N70_DESARROLLO!AG148</f>
        <v>-3.5094923244214593E-2</v>
      </c>
      <c r="DA63" s="5">
        <f>N70_DESARROLLO!DE148+N70_DESARROLLO!AH148</f>
        <v>-3.6371655357443133E-2</v>
      </c>
      <c r="DB63" s="5">
        <f>N70_DESARROLLO!DF148+N70_DESARROLLO!AI148</f>
        <v>-3.7744810855693589E-2</v>
      </c>
      <c r="DC63" s="5">
        <f>N70_DESARROLLO!DG148+N70_DESARROLLO!AJ148</f>
        <v>-3.9225744685481789E-2</v>
      </c>
      <c r="DD63" s="5">
        <f>N70_DESARROLLO!DH148+N70_DESARROLLO!AK148</f>
        <v>-4.0827668052531574E-2</v>
      </c>
      <c r="DE63" s="5">
        <f>N70_DESARROLLO!DI148+N70_DESARROLLO!AL148</f>
        <v>-4.2566044021113636E-2</v>
      </c>
      <c r="DF63" s="5">
        <f>N70_DESARROLLO!DJ148+N70_DESARROLLO!AM148</f>
        <v>-4.4459088822761617E-2</v>
      </c>
      <c r="DG63" s="5">
        <f>N70_DESARROLLO!DK148+N70_DESARROLLO!AN148</f>
        <v>-4.652841337789082E-2</v>
      </c>
      <c r="DH63" s="5">
        <f>N70_DESARROLLO!DL148+N70_DESARROLLO!AO148</f>
        <v>-4.8799853039073193E-2</v>
      </c>
      <c r="DI63" s="5">
        <f>N70_DESARROLLO!DM148+N70_DESARROLLO!AP148</f>
        <v>-5.1304553326342761E-2</v>
      </c>
      <c r="DJ63" s="5">
        <f>N70_DESARROLLO!DN148+N70_DESARROLLO!AQ148</f>
        <v>-5.4080408838153127E-2</v>
      </c>
      <c r="DK63" s="5">
        <f>N70_DESARROLLO!DO148+N70_DESARROLLO!AR148</f>
        <v>-5.7173997129068899E-2</v>
      </c>
      <c r="DL63" s="5">
        <f>N70_DESARROLLO!DP148+N70_DESARROLLO!AS148</f>
        <v>-6.0643218403530041E-2</v>
      </c>
      <c r="DM63" s="5">
        <f>N70_DESARROLLO!DQ148+N70_DESARROLLO!AT148</f>
        <v>-6.456096125247579E-2</v>
      </c>
      <c r="DN63" s="5">
        <f>N70_DESARROLLO!DR148+N70_DESARROLLO!AU148</f>
        <v>-6.9020292350875811E-2</v>
      </c>
      <c r="DO63" s="5">
        <f>N70_DESARROLLO!DS148+N70_DESARROLLO!AV148</f>
        <v>-7.4141965022329614E-2</v>
      </c>
      <c r="DP63" s="5">
        <f>N70_DESARROLLO!DT148+N70_DESARROLLO!AW148</f>
        <v>-8.0085554140364557E-2</v>
      </c>
      <c r="DQ63" s="5">
        <f>N70_DESARROLLO!DU148+N70_DESARROLLO!AX148</f>
        <v>-8.7066442319335802E-2</v>
      </c>
      <c r="DR63" s="5">
        <f>N70_DESARROLLO!DV148+N70_DESARROLLO!AY148</f>
        <v>-9.5382594982166724E-2</v>
      </c>
      <c r="DS63" s="5">
        <f>N70_DESARROLLO!DW148+N70_DESARROLLO!AZ148</f>
        <v>-0.10545841852058602</v>
      </c>
      <c r="DT63" s="5">
        <f>N70_DESARROLLO!DX148+N70_DESARROLLO!BA148</f>
        <v>-0.11791996375047831</v>
      </c>
      <c r="DU63" s="5">
        <f>N70_DESARROLLO!DY148+N70_DESARROLLO!BB148</f>
        <v>-0.13373123411930654</v>
      </c>
      <c r="DV63" s="5">
        <f>N70_DESARROLLO!DZ148+N70_DESARROLLO!BC148</f>
        <v>-0.15445886474680592</v>
      </c>
      <c r="DW63" s="5">
        <f>N70_DESARROLLO!EA148+N70_DESARROLLO!BD148</f>
        <v>-0.18283342438757666</v>
      </c>
      <c r="DX63" s="5">
        <f>N70_DESARROLLO!EB148+N70_DESARROLLO!BE148</f>
        <v>-0.22408833054041921</v>
      </c>
      <c r="DY63" s="5">
        <f>N70_DESARROLLO!EC148+N70_DESARROLLO!BF148</f>
        <v>-0.28973434150574007</v>
      </c>
      <c r="DZ63" s="5">
        <f>N70_DESARROLLO!ED148+N70_DESARROLLO!BG148</f>
        <v>-0.41141440075354019</v>
      </c>
      <c r="EA63" s="5">
        <f>N70_DESARROLLO!EE148+N70_DESARROLLO!BH148</f>
        <v>-0.72775792963608976</v>
      </c>
      <c r="EB63" s="5">
        <f>N70_DESARROLLO!EF148+N70_DESARROLLO!BI148</f>
        <v>-1.6479184659605282</v>
      </c>
      <c r="EC63" s="5">
        <f>N70_DESARROLLO!EG148+N70_DESARROLLO!BJ148</f>
        <v>1.6479184659605444</v>
      </c>
      <c r="ED63" s="5">
        <f>N70_DESARROLLO!EH148+N70_DESARROLLO!BK148</f>
        <v>0.72775792963607433</v>
      </c>
      <c r="EE63" s="5">
        <f>N70_DESARROLLO!EI148+N70_DESARROLLO!BL148</f>
        <v>0.41141440075355495</v>
      </c>
      <c r="EF63" s="5">
        <f>N70_DESARROLLO!EJ148+N70_DESARROLLO!BM148</f>
        <v>0.2897343415057243</v>
      </c>
      <c r="EG63" s="5">
        <f>N70_DESARROLLO!EK148+N70_DESARROLLO!BN148</f>
        <v>0.22408833054043464</v>
      </c>
      <c r="EH63" s="5">
        <f>N70_DESARROLLO!EL148+N70_DESARROLLO!BO148</f>
        <v>0.18283342438756045</v>
      </c>
      <c r="EI63" s="5">
        <f>N70_DESARROLLO!EM148+N70_DESARROLLO!BP148</f>
        <v>0.1544588647468208</v>
      </c>
      <c r="EJ63" s="5">
        <f>N70_DESARROLLO!EN148+N70_DESARROLLO!BQ148</f>
        <v>0.13373123411929266</v>
      </c>
      <c r="EK63" s="5">
        <f>N70_DESARROLLO!EO148+N70_DESARROLLO!BR148</f>
        <v>0.11791996375049285</v>
      </c>
      <c r="EL63" s="5">
        <f>N70_DESARROLLO!EP148+N70_DESARROLLO!BS148</f>
        <v>0.10545841852057103</v>
      </c>
      <c r="EM63" s="5">
        <f>N70_DESARROLLO!EQ148+N70_DESARROLLO!BT148</f>
        <v>9.5382594982173496E-2</v>
      </c>
      <c r="EN63" s="5">
        <f>N70_DESARROLLO!ER148+N70_DESARROLLO!BU148</f>
        <v>8.7066442319344683E-2</v>
      </c>
      <c r="EO63" s="5">
        <f>N70_DESARROLLO!ES148+N70_DESARROLLO!BV148</f>
        <v>8.0085554140347681E-2</v>
      </c>
      <c r="EP63" s="5">
        <f>N70_DESARROLLO!ET148+N70_DESARROLLO!BW148</f>
        <v>7.4141965022345824E-2</v>
      </c>
      <c r="EQ63" s="5">
        <f>N70_DESARROLLO!EU148+N70_DESARROLLO!BX148</f>
        <v>6.9020292350860046E-2</v>
      </c>
      <c r="ER63" s="5">
        <f>N70_DESARROLLO!EV148+N70_DESARROLLO!BY148</f>
        <v>104.56884242983719</v>
      </c>
      <c r="FC63">
        <v>54</v>
      </c>
      <c r="FD63" s="4">
        <v>8.7194819033175624E-5</v>
      </c>
      <c r="FE63" s="4">
        <v>1.7511680519998395E-4</v>
      </c>
      <c r="FF63" s="4">
        <v>2.3207327134419815E-4</v>
      </c>
      <c r="FG63" s="4">
        <v>2.8259770196161334E-4</v>
      </c>
      <c r="FH63" s="4">
        <v>3.2967849401775717E-4</v>
      </c>
      <c r="FI63" s="4">
        <v>3.7508133140216242E-4</v>
      </c>
      <c r="FJ63" s="4">
        <v>4.1979182667297436E-4</v>
      </c>
      <c r="FK63" s="4">
        <v>4.6446344492032099E-4</v>
      </c>
      <c r="FL63" s="4">
        <v>5.0957596771750038E-4</v>
      </c>
      <c r="FM63" s="4">
        <v>5.5551273959782621E-4</v>
      </c>
      <c r="FN63" s="4">
        <v>6.0260206863760768E-4</v>
      </c>
      <c r="FO63" s="4">
        <v>6.5114170886127853E-4</v>
      </c>
      <c r="FP63" s="4">
        <v>7.014146218922556E-4</v>
      </c>
      <c r="FQ63" s="4">
        <v>7.5370000007749178E-4</v>
      </c>
      <c r="FR63" s="4">
        <v>8.0828165055254152E-4</v>
      </c>
      <c r="FS63" s="4">
        <v>8.6545493491155831E-4</v>
      </c>
      <c r="FT63" s="4">
        <v>9.2553299929490178E-4</v>
      </c>
      <c r="FU63" s="4">
        <v>9.8885278847131897E-4</v>
      </c>
      <c r="FV63" s="4">
        <v>1.0557812114631502E-3</v>
      </c>
      <c r="FW63" s="4">
        <v>1.1267217665379455E-3</v>
      </c>
      <c r="FX63" s="4">
        <v>1.2021219150915405E-3</v>
      </c>
      <c r="FY63" s="4">
        <v>1.2824815058149748E-3</v>
      </c>
      <c r="FZ63" s="4">
        <v>1.3683625882716609E-3</v>
      </c>
      <c r="GA63" s="4">
        <v>1.4604010181976503E-3</v>
      </c>
      <c r="GB63" s="4">
        <v>1.5593203496753708E-3</v>
      </c>
      <c r="GC63" s="4">
        <v>1.6659486388773586E-3</v>
      </c>
      <c r="GD63" s="4">
        <v>1.781238962040916E-3</v>
      </c>
      <c r="GE63" s="4">
        <v>1.906294694206794E-3</v>
      </c>
      <c r="GF63" s="4">
        <v>2.0424009307594957E-3</v>
      </c>
      <c r="GG63" s="4">
        <v>2.1910638994779644E-3</v>
      </c>
      <c r="GH63" s="4">
        <v>2.3540608633051737E-3</v>
      </c>
      <c r="GI63" s="4">
        <v>2.5335039402393307E-3</v>
      </c>
      <c r="GJ63" s="4">
        <v>2.7319225990436028E-3</v>
      </c>
      <c r="GK63" s="4">
        <v>2.9523715352563653E-3</v>
      </c>
      <c r="GL63" s="4">
        <v>3.1985735215755077E-3</v>
      </c>
      <c r="GM63" s="4">
        <v>3.4751111964702341E-3</v>
      </c>
      <c r="GN63" s="4">
        <v>3.7876884976040586E-3</v>
      </c>
      <c r="GO63" s="4">
        <v>4.1434930840200208E-3</v>
      </c>
      <c r="GP63" s="4">
        <v>4.551708291801326E-3</v>
      </c>
      <c r="GQ63" s="4">
        <v>5.0242517575369719E-3</v>
      </c>
      <c r="GR63" s="4">
        <v>5.5768668562463375E-3</v>
      </c>
      <c r="GS63" s="4">
        <v>6.2307801205231965E-3</v>
      </c>
      <c r="GT63" s="4">
        <v>7.015298618445214E-3</v>
      </c>
      <c r="GU63" s="4">
        <v>7.972032488601101E-3</v>
      </c>
      <c r="GV63" s="4">
        <v>9.1620635556777918E-3</v>
      </c>
      <c r="GW63" s="4">
        <v>1.0678764608322865E-2</v>
      </c>
      <c r="GX63" s="4">
        <v>1.2672236412564231E-2</v>
      </c>
      <c r="GY63" s="4">
        <v>1.5399616145764645E-2</v>
      </c>
      <c r="GZ63" s="4">
        <v>1.9342164813785295E-2</v>
      </c>
      <c r="HA63" s="4">
        <v>2.5478237370268744E-2</v>
      </c>
      <c r="HB63" s="4">
        <v>3.6746197913086448E-2</v>
      </c>
      <c r="HC63" s="4">
        <v>5.3979979312967573E-2</v>
      </c>
      <c r="HD63" s="4">
        <v>0.24453757451065841</v>
      </c>
      <c r="HE63" s="4">
        <v>-0.25129916241176331</v>
      </c>
      <c r="HF63" s="4">
        <v>-6.0754373042407342E-2</v>
      </c>
      <c r="HG63" s="4">
        <v>-4.3546115873556598E-2</v>
      </c>
      <c r="HH63" s="4">
        <v>-3.2316159767306146E-2</v>
      </c>
      <c r="HI63" s="4">
        <v>-2.6230032480682682E-2</v>
      </c>
      <c r="HJ63" s="4">
        <v>-2.2348232510560277E-2</v>
      </c>
      <c r="HK63" s="4">
        <v>-1.969009858267947E-2</v>
      </c>
      <c r="HL63" s="4">
        <v>-1.7769775165842466E-2</v>
      </c>
      <c r="HM63" s="4">
        <v>-1.6320957349958469E-2</v>
      </c>
      <c r="HN63" s="4">
        <v>-1.5174861727766545E-2</v>
      </c>
      <c r="HO63" s="4">
        <v>-1.4198462498299274E-2</v>
      </c>
      <c r="HP63" s="4">
        <v>-1.3239581179558766E-2</v>
      </c>
      <c r="HQ63" s="4">
        <v>-1.2040865683507783E-2</v>
      </c>
      <c r="HR63" s="4">
        <v>-9.6833492243364478E-3</v>
      </c>
      <c r="HS63" s="4">
        <v>-6.9931445398449376E-3</v>
      </c>
      <c r="HT63" s="4">
        <v>7.1533592201237228E-2</v>
      </c>
      <c r="HU63" s="4">
        <v>-0.22391892518613213</v>
      </c>
    </row>
    <row r="64" spans="4:229" x14ac:dyDescent="0.25">
      <c r="D64" s="10">
        <v>55</v>
      </c>
      <c r="E64" s="5">
        <f>'N70'!E71-'N70'!E70</f>
        <v>1.4285714285714346E-2</v>
      </c>
      <c r="F64" s="5">
        <f>'N70'!H70-'N70'!$E$16</f>
        <v>0.77857142857142847</v>
      </c>
      <c r="G64" s="5">
        <f>'N70'!H70-'N70'!$E$17</f>
        <v>0.76428571428571423</v>
      </c>
      <c r="H64" s="5">
        <f>'N70'!H70-'N70'!$E$18</f>
        <v>0.74999999999999989</v>
      </c>
      <c r="I64" s="5">
        <f>'N70'!H70-'N70'!$E$19</f>
        <v>0.73571428571428565</v>
      </c>
      <c r="J64" s="5">
        <f>'N70'!H70-'N70'!$E$20</f>
        <v>0.72142857142857131</v>
      </c>
      <c r="K64" s="5">
        <f>'N70'!H70-'N70'!$E$21</f>
        <v>0.70714285714285707</v>
      </c>
      <c r="L64" s="5">
        <f>'N70'!H70-'N70'!$E$22</f>
        <v>0.69285714285714273</v>
      </c>
      <c r="M64" s="5">
        <f>'N70'!H70-'N70'!$E$23</f>
        <v>0.67857142857142849</v>
      </c>
      <c r="N64" s="5">
        <f>'N70'!H70-'N70'!$E$24</f>
        <v>0.66428571428571415</v>
      </c>
      <c r="O64" s="5">
        <f>'N70'!H70-'N70'!$E$25</f>
        <v>0.64999999999999991</v>
      </c>
      <c r="P64" s="5">
        <f>'N70'!H70-'N70'!$E$26</f>
        <v>0.63571428571428568</v>
      </c>
      <c r="Q64" s="5">
        <f>'N70'!H70-'N70'!$E$27</f>
        <v>0.62142857142857133</v>
      </c>
      <c r="R64" s="5">
        <f>'N70'!H70-'N70'!$E$28</f>
        <v>0.60714285714285698</v>
      </c>
      <c r="S64" s="5">
        <f>'N70'!H70-'N70'!$E$29</f>
        <v>0.59285714285714275</v>
      </c>
      <c r="T64" s="5">
        <f>'N70'!H70-'N70'!$E$30</f>
        <v>0.57857142857142851</v>
      </c>
      <c r="U64" s="5">
        <f>'N70'!H70-'N70'!$E$31</f>
        <v>0.56428571428571417</v>
      </c>
      <c r="V64" s="5">
        <f>'N70'!H70-'N70'!$E$32</f>
        <v>0.54999999999999993</v>
      </c>
      <c r="W64" s="5">
        <f>'N70'!H70-'N70'!$E$33</f>
        <v>0.53571428571428559</v>
      </c>
      <c r="X64" s="5">
        <f>'N70'!H70-'N70'!$E$34</f>
        <v>0.52142857142857135</v>
      </c>
      <c r="Y64" s="5">
        <f>'N70'!H70-'N70'!$E$35</f>
        <v>0.50714285714285712</v>
      </c>
      <c r="Z64" s="5">
        <f>'N70'!H70-'N70'!$E$36</f>
        <v>0.49285714285714277</v>
      </c>
      <c r="AA64" s="5">
        <f>'N70'!H70-'N70'!$E$37</f>
        <v>0.47857142857142848</v>
      </c>
      <c r="AB64" s="5">
        <f>'N70'!H70-'N70'!$E$38</f>
        <v>0.46428571428571419</v>
      </c>
      <c r="AC64" s="5">
        <f>'N70'!H70-'N70'!$E$39</f>
        <v>0.4499999999999999</v>
      </c>
      <c r="AD64" s="5">
        <f>'N70'!H70-'N70'!$E$40</f>
        <v>0.43571428571428561</v>
      </c>
      <c r="AE64" s="5">
        <f>'N70'!H70-'N70'!$E$41</f>
        <v>0.42142857142857132</v>
      </c>
      <c r="AF64" s="5">
        <f>'N70'!H70-'N70'!$E$42</f>
        <v>0.40714285714285703</v>
      </c>
      <c r="AG64" s="5">
        <f>'N70'!H70-'N70'!$E$43</f>
        <v>0.39285714285714279</v>
      </c>
      <c r="AH64" s="5">
        <f>'N70'!H70-'N70'!$E$44</f>
        <v>0.3785714285714285</v>
      </c>
      <c r="AI64" s="5">
        <f>'N70'!H70-'N70'!$E$45</f>
        <v>0.36428571428571421</v>
      </c>
      <c r="AJ64" s="5">
        <f>'N70'!H70-'N70'!$E$46</f>
        <v>0.34999999999999992</v>
      </c>
      <c r="AK64" s="5">
        <f>'N70'!H70-'N70'!$E$47</f>
        <v>0.33571428571428563</v>
      </c>
      <c r="AL64" s="5">
        <f>'N70'!H70-'N70'!$E$48</f>
        <v>0.32142857142857134</v>
      </c>
      <c r="AM64" s="5">
        <f>'N70'!H70-'N70'!$E$49</f>
        <v>0.30714285714285705</v>
      </c>
      <c r="AN64" s="5">
        <f>'N70'!H70-'N70'!$E$50</f>
        <v>0.29285714285714276</v>
      </c>
      <c r="AO64" s="5">
        <f>'N70'!H70-'N70'!$E$51</f>
        <v>0.27857142857142847</v>
      </c>
      <c r="AP64" s="5">
        <f>'N70'!H70-'N70'!$E$52</f>
        <v>0.26428571428571423</v>
      </c>
      <c r="AQ64" s="5">
        <f>'N70'!H70-'N70'!$E$53</f>
        <v>0.24999999999999989</v>
      </c>
      <c r="AR64" s="5">
        <f>'N70'!H70-'N70'!$E$54</f>
        <v>0.23571428571428565</v>
      </c>
      <c r="AS64" s="5">
        <f>'N70'!H70-'N70'!$E$55</f>
        <v>0.22142857142857131</v>
      </c>
      <c r="AT64" s="5">
        <f>'N70'!H70-'N70'!$E$56</f>
        <v>0.20714285714285707</v>
      </c>
      <c r="AU64" s="5">
        <f>'N70'!H70-'N70'!$E$57</f>
        <v>0.19285714285714273</v>
      </c>
      <c r="AV64" s="5">
        <f>'N70'!H70-'N70'!$E$58</f>
        <v>0.17857142857142849</v>
      </c>
      <c r="AW64" s="5">
        <f>'N70'!H70-'N70'!$E$59</f>
        <v>0.16428571428571426</v>
      </c>
      <c r="AX64" s="5">
        <f>'N70'!H70-'N70'!$E$60</f>
        <v>0.14999999999999991</v>
      </c>
      <c r="AY64" s="5">
        <f>'N70'!H70-'N70'!$E$61</f>
        <v>0.13571428571428568</v>
      </c>
      <c r="AZ64" s="5">
        <f>'N70'!H70-'N70'!$E$62</f>
        <v>0.12142857142857133</v>
      </c>
      <c r="BA64" s="5">
        <f>'N70'!H70-'N70'!$E$63</f>
        <v>0.1071428571428571</v>
      </c>
      <c r="BB64" s="5">
        <f>'N70'!H70-'N70'!$E$64</f>
        <v>9.2857142857142749E-2</v>
      </c>
      <c r="BC64" s="5">
        <f>'N70'!H70-'N70'!$E$65</f>
        <v>7.8571428571428514E-2</v>
      </c>
      <c r="BD64" s="5">
        <f>'N70'!H70-'N70'!$E$66</f>
        <v>6.4285714285714168E-2</v>
      </c>
      <c r="BE64" s="5">
        <f>'N70'!H70-'N70'!$E$67</f>
        <v>4.9999999999999933E-2</v>
      </c>
      <c r="BF64" s="5">
        <f>'N70'!H70-'N70'!$E$68</f>
        <v>3.5714285714285587E-2</v>
      </c>
      <c r="BG64" s="5">
        <f>'N70'!H70-'N70'!$E$69</f>
        <v>2.1428571428571352E-2</v>
      </c>
      <c r="BH64" s="5">
        <f>'N70'!H70-'N70'!$E$70</f>
        <v>7.1428571428571175E-3</v>
      </c>
      <c r="BI64" s="5">
        <f>'N70'!H70-'N70'!$E$71</f>
        <v>-7.1428571428572285E-3</v>
      </c>
      <c r="BJ64" s="5">
        <f>'N70'!H70-'N70'!$E$72</f>
        <v>-2.1428571428571463E-2</v>
      </c>
      <c r="BK64" s="5">
        <f>'N70'!H70-'N70'!$E$73</f>
        <v>-3.5714285714285809E-2</v>
      </c>
      <c r="BL64" s="5">
        <f>'N70'!H70-'N70'!$E$74</f>
        <v>-5.0000000000000044E-2</v>
      </c>
      <c r="BM64" s="5">
        <f>'N70'!H70-'N70'!$E$75</f>
        <v>-6.428571428571439E-2</v>
      </c>
      <c r="BN64" s="5">
        <f>'N70'!H70-'N70'!$E$76</f>
        <v>-7.8571428571428625E-2</v>
      </c>
      <c r="BO64" s="5">
        <f>'N70'!H70-'N70'!$E$77</f>
        <v>-9.2857142857142971E-2</v>
      </c>
      <c r="BP64" s="5">
        <f>'N70'!H70-'N70'!$E$78</f>
        <v>-0.10714285714285721</v>
      </c>
      <c r="BQ64" s="5">
        <f>'N70'!H70-'N70'!$E$79</f>
        <v>-0.12142857142857155</v>
      </c>
      <c r="BR64" s="5">
        <f>'N70'!H70-'N70'!$E$80</f>
        <v>-0.13571428571428579</v>
      </c>
      <c r="BS64" s="5">
        <f>'N70'!H70-'N70'!$E$81</f>
        <v>-0.15000000000000002</v>
      </c>
      <c r="BT64" s="5">
        <f>'N70'!H70-'N70'!$E$82</f>
        <v>-0.16428571428571437</v>
      </c>
      <c r="BU64" s="5">
        <f>'N70'!H70-'N70'!$E$83</f>
        <v>-0.1785714285714286</v>
      </c>
      <c r="BV64" s="5">
        <f>'N70'!H70-'N70'!$E$84</f>
        <v>-0.19285714285714295</v>
      </c>
      <c r="BW64" s="5">
        <f>'N70'!H70-'N70'!$E$85</f>
        <v>-0.20714285714285718</v>
      </c>
      <c r="BX64" s="5">
        <v>-1</v>
      </c>
      <c r="BZ64">
        <v>55</v>
      </c>
      <c r="CA64" s="5">
        <f>N70_DESARROLLO!CE149+N70_DESARROLLO!H149</f>
        <v>-9.2309246374168152E-3</v>
      </c>
      <c r="CB64" s="5">
        <f>N70_DESARROLLO!CF149+N70_DESARROLLO!I149</f>
        <v>-1.869267770818972E-2</v>
      </c>
      <c r="CC64" s="5">
        <f>N70_DESARROLLO!CG149+N70_DESARROLLO!J149</f>
        <v>-1.9048771379253426E-2</v>
      </c>
      <c r="CD64" s="5">
        <f>N70_DESARROLLO!CH149+N70_DESARROLLO!K149</f>
        <v>-1.9418696489460041E-2</v>
      </c>
      <c r="CE64" s="5">
        <f>N70_DESARROLLO!CI149+N70_DESARROLLO!L149</f>
        <v>-1.9803274917314484E-2</v>
      </c>
      <c r="CF64" s="5">
        <f>N70_DESARROLLO!CJ149+N70_DESARROLLO!M149</f>
        <v>-2.020339497732293E-2</v>
      </c>
      <c r="CG64" s="5">
        <f>N70_DESARROLLO!CK149+N70_DESARROLLO!N149</f>
        <v>-2.0620018272167751E-2</v>
      </c>
      <c r="CH64" s="5">
        <f>N70_DESARROLLO!CL149+N70_DESARROLLO!O149</f>
        <v>-2.1054187410165626E-2</v>
      </c>
      <c r="CI64" s="5">
        <f>N70_DESARROLLO!CM149+N70_DESARROLLO!P149</f>
        <v>-2.1507034719709384E-2</v>
      </c>
      <c r="CJ64" s="5">
        <f>N70_DESARROLLO!CN149+N70_DESARROLLO!Q149</f>
        <v>-2.197979211286849E-2</v>
      </c>
      <c r="CK64" s="5">
        <f>N70_DESARROLLO!CO149+N70_DESARROLLO!R149</f>
        <v>-2.2473802280093103E-2</v>
      </c>
      <c r="CL64" s="5">
        <f>N70_DESARROLLO!CP149+N70_DESARROLLO!S149</f>
        <v>-2.2990531429698202E-2</v>
      </c>
      <c r="CM64" s="5">
        <f>N70_DESARROLLO!CQ149+N70_DESARROLLO!T149</f>
        <v>-2.3531583826945646E-2</v>
      </c>
      <c r="CN64" s="5">
        <f>N70_DESARROLLO!CR149+N70_DESARROLLO!U149</f>
        <v>-2.4098718436563749E-2</v>
      </c>
      <c r="CO64" s="5">
        <f>N70_DESARROLLO!CS149+N70_DESARROLLO!V149</f>
        <v>-2.4693868032494404E-2</v>
      </c>
      <c r="CP64" s="5">
        <f>N70_DESARROLLO!CT149+N70_DESARROLLO!W149</f>
        <v>-2.5319161212291275E-2</v>
      </c>
      <c r="CQ64" s="5">
        <f>N70_DESARROLLO!CU149+N70_DESARROLLO!X149</f>
        <v>-2.5976947844864928E-2</v>
      </c>
      <c r="CR64" s="5">
        <f>N70_DESARROLLO!CV149+N70_DESARROLLO!Y149</f>
        <v>-2.6669828593224643E-2</v>
      </c>
      <c r="CS64" s="5">
        <f>N70_DESARROLLO!CW149+N70_DESARROLLO!Z149</f>
        <v>-2.7400689293802127E-2</v>
      </c>
      <c r="CT64" s="5">
        <f>N70_DESARROLLO!CX149+N70_DESARROLLO!AA149</f>
        <v>-2.8172741151778147E-2</v>
      </c>
      <c r="CU64" s="5">
        <f>N70_DESARROLLO!CY149+N70_DESARROLLO!AB149</f>
        <v>-2.8989567932956817E-2</v>
      </c>
      <c r="CV64" s="5">
        <f>N70_DESARROLLO!CZ149+N70_DESARROLLO!AC149</f>
        <v>-2.9855181616034066E-2</v>
      </c>
      <c r="CW64" s="5">
        <f>N70_DESARROLLO!DA149+N70_DESARROLLO!AD149</f>
        <v>-3.0774088329711291E-2</v>
      </c>
      <c r="CX64" s="5">
        <f>N70_DESARROLLO!DB149+N70_DESARROLLO!AE149</f>
        <v>-3.175136686266733E-2</v>
      </c>
      <c r="CY64" s="5">
        <f>N70_DESARROLLO!DC149+N70_DESARROLLO!AF149</f>
        <v>-3.2792762635871275E-2</v>
      </c>
      <c r="CZ64" s="5">
        <f>N70_DESARROLLO!DD149+N70_DESARROLLO!AG149</f>
        <v>-3.3904800811321301E-2</v>
      </c>
      <c r="DA64" s="5">
        <f>N70_DESARROLLO!DE149+N70_DESARROLLO!AH149</f>
        <v>-3.5094923244217813E-2</v>
      </c>
      <c r="DB64" s="5">
        <f>N70_DESARROLLO!DF149+N70_DESARROLLO!AI149</f>
        <v>-3.6371655357436694E-2</v>
      </c>
      <c r="DC64" s="5">
        <f>N70_DESARROLLO!DG149+N70_DESARROLLO!AJ149</f>
        <v>-3.7744810855697031E-2</v>
      </c>
      <c r="DD64" s="5">
        <f>N70_DESARROLLO!DH149+N70_DESARROLLO!AK149</f>
        <v>-3.9225744685481456E-2</v>
      </c>
      <c r="DE64" s="5">
        <f>N70_DESARROLLO!DI149+N70_DESARROLLO!AL149</f>
        <v>-4.0827668052531463E-2</v>
      </c>
      <c r="DF64" s="5">
        <f>N70_DESARROLLO!DJ149+N70_DESARROLLO!AM149</f>
        <v>-4.2566044021113747E-2</v>
      </c>
      <c r="DG64" s="5">
        <f>N70_DESARROLLO!DK149+N70_DESARROLLO!AN149</f>
        <v>-4.4459088822761506E-2</v>
      </c>
      <c r="DH64" s="5">
        <f>N70_DESARROLLO!DL149+N70_DESARROLLO!AO149</f>
        <v>-4.6528413377888156E-2</v>
      </c>
      <c r="DI64" s="5">
        <f>N70_DESARROLLO!DM149+N70_DESARROLLO!AP149</f>
        <v>-4.8799853039075525E-2</v>
      </c>
      <c r="DJ64" s="5">
        <f>N70_DESARROLLO!DN149+N70_DESARROLLO!AQ149</f>
        <v>-5.1304553326346869E-2</v>
      </c>
      <c r="DK64" s="5">
        <f>N70_DESARROLLO!DO149+N70_DESARROLLO!AR149</f>
        <v>-5.408040883814047E-2</v>
      </c>
      <c r="DL64" s="5">
        <f>N70_DESARROLLO!DP149+N70_DESARROLLO!AS149</f>
        <v>-5.717399712908533E-2</v>
      </c>
      <c r="DM64" s="5">
        <f>N70_DESARROLLO!DQ149+N70_DESARROLLO!AT149</f>
        <v>-6.0643218403514609E-2</v>
      </c>
      <c r="DN64" s="5">
        <f>N70_DESARROLLO!DR149+N70_DESARROLLO!AU149</f>
        <v>-6.4560961252490667E-2</v>
      </c>
      <c r="DO64" s="5">
        <f>N70_DESARROLLO!DS149+N70_DESARROLLO!AV149</f>
        <v>-6.902029235086049E-2</v>
      </c>
      <c r="DP64" s="5">
        <f>N70_DESARROLLO!DT149+N70_DESARROLLO!AW149</f>
        <v>-7.4141965022345935E-2</v>
      </c>
      <c r="DQ64" s="5">
        <f>N70_DESARROLLO!DU149+N70_DESARROLLO!AX149</f>
        <v>-8.0085554140355453E-2</v>
      </c>
      <c r="DR64" s="5">
        <f>N70_DESARROLLO!DV149+N70_DESARROLLO!AY149</f>
        <v>-8.7066442319328918E-2</v>
      </c>
      <c r="DS64" s="5">
        <f>N70_DESARROLLO!DW149+N70_DESARROLLO!AZ149</f>
        <v>-9.5382594982182156E-2</v>
      </c>
      <c r="DT64" s="5">
        <f>N70_DESARROLLO!DX149+N70_DESARROLLO!BA149</f>
        <v>-0.10545841852057092</v>
      </c>
      <c r="DU64" s="5">
        <f>N70_DESARROLLO!DY149+N70_DESARROLLO!BB149</f>
        <v>-0.11791996375049318</v>
      </c>
      <c r="DV64" s="5">
        <f>N70_DESARROLLO!DZ149+N70_DESARROLLO!BC149</f>
        <v>-0.13373123411929144</v>
      </c>
      <c r="DW64" s="5">
        <f>N70_DESARROLLO!EA149+N70_DESARROLLO!BD149</f>
        <v>-0.15445886474682102</v>
      </c>
      <c r="DX64" s="5">
        <f>N70_DESARROLLO!EB149+N70_DESARROLLO!BE149</f>
        <v>-0.18283342438756112</v>
      </c>
      <c r="DY64" s="5">
        <f>N70_DESARROLLO!EC149+N70_DESARROLLO!BF149</f>
        <v>-0.22408833054043509</v>
      </c>
      <c r="DZ64" s="5">
        <f>N70_DESARROLLO!ED149+N70_DESARROLLO!BG149</f>
        <v>-0.28973434150572519</v>
      </c>
      <c r="EA64" s="5">
        <f>N70_DESARROLLO!EE149+N70_DESARROLLO!BH149</f>
        <v>-0.41141440075355573</v>
      </c>
      <c r="EB64" s="5">
        <f>N70_DESARROLLO!EF149+N70_DESARROLLO!BI149</f>
        <v>-0.72775792963607799</v>
      </c>
      <c r="EC64" s="5">
        <f>N70_DESARROLLO!EG149+N70_DESARROLLO!BJ149</f>
        <v>-1.6479184659605282</v>
      </c>
      <c r="ED64" s="5">
        <f>N70_DESARROLLO!EH149+N70_DESARROLLO!BK149</f>
        <v>1.6479184659605211</v>
      </c>
      <c r="EE64" s="5">
        <f>N70_DESARROLLO!EI149+N70_DESARROLLO!BL149</f>
        <v>0.72775792963608488</v>
      </c>
      <c r="EF64" s="5">
        <f>N70_DESARROLLO!EJ149+N70_DESARROLLO!BM149</f>
        <v>0.4114144007535393</v>
      </c>
      <c r="EG64" s="5">
        <f>N70_DESARROLLO!EK149+N70_DESARROLLO!BN149</f>
        <v>0.2897343415057394</v>
      </c>
      <c r="EH64" s="5">
        <f>N70_DESARROLLO!EL149+N70_DESARROLLO!BO149</f>
        <v>0.22408833054041866</v>
      </c>
      <c r="EI64" s="5">
        <f>N70_DESARROLLO!EM149+N70_DESARROLLO!BP149</f>
        <v>0.18283342438757699</v>
      </c>
      <c r="EJ64" s="5">
        <f>N70_DESARROLLO!EN149+N70_DESARROLLO!BQ149</f>
        <v>0.15445886474680481</v>
      </c>
      <c r="EK64" s="5">
        <f>N70_DESARROLLO!EO149+N70_DESARROLLO!BR149</f>
        <v>0.13373123411930665</v>
      </c>
      <c r="EL64" s="5">
        <f>N70_DESARROLLO!EP149+N70_DESARROLLO!BS149</f>
        <v>0.11791996375047742</v>
      </c>
      <c r="EM64" s="5">
        <f>N70_DESARROLLO!EQ149+N70_DESARROLLO!BT149</f>
        <v>0.10545841852057869</v>
      </c>
      <c r="EN64" s="5">
        <f>N70_DESARROLLO!ER149+N70_DESARROLLO!BU149</f>
        <v>9.5382594982181268E-2</v>
      </c>
      <c r="EO64" s="5">
        <f>N70_DESARROLLO!ES149+N70_DESARROLLO!BV149</f>
        <v>8.7066442319330473E-2</v>
      </c>
      <c r="EP64" s="5">
        <f>N70_DESARROLLO!ET149+N70_DESARROLLO!BW149</f>
        <v>8.0085554140363002E-2</v>
      </c>
      <c r="EQ64" s="5">
        <f>N70_DESARROLLO!EU149+N70_DESARROLLO!BX149</f>
        <v>7.414196502232917E-2</v>
      </c>
      <c r="ER64" s="5">
        <f>N70_DESARROLLO!EV149+N70_DESARROLLO!BY149</f>
        <v>109.23956765463052</v>
      </c>
      <c r="FC64">
        <v>55</v>
      </c>
      <c r="FD64" s="4">
        <v>8.2489062092547591E-5</v>
      </c>
      <c r="FE64" s="4">
        <v>1.656160144625385E-4</v>
      </c>
      <c r="FF64" s="4">
        <v>2.1940212845867086E-4</v>
      </c>
      <c r="FG64" s="4">
        <v>2.6706665758703153E-4</v>
      </c>
      <c r="FH64" s="4">
        <v>3.1143677244425939E-4</v>
      </c>
      <c r="FI64" s="4">
        <v>3.5418129949715339E-4</v>
      </c>
      <c r="FJ64" s="4">
        <v>3.9622997104822431E-4</v>
      </c>
      <c r="FK64" s="4">
        <v>4.3819743426940156E-4</v>
      </c>
      <c r="FL64" s="4">
        <v>4.8053322682586419E-4</v>
      </c>
      <c r="FM64" s="4">
        <v>5.2359483877553888E-4</v>
      </c>
      <c r="FN64" s="4">
        <v>5.676868153256183E-4</v>
      </c>
      <c r="FO64" s="4">
        <v>6.130838183821246E-4</v>
      </c>
      <c r="FP64" s="4">
        <v>6.6004540493538844E-4</v>
      </c>
      <c r="FQ64" s="4">
        <v>7.0882628823714224E-4</v>
      </c>
      <c r="FR64" s="4">
        <v>7.5968406365480175E-4</v>
      </c>
      <c r="FS64" s="4">
        <v>8.128855226715026E-4</v>
      </c>
      <c r="FT64" s="4">
        <v>8.6871224101581213E-4</v>
      </c>
      <c r="FU64" s="4">
        <v>9.2746589569111192E-4</v>
      </c>
      <c r="FV64" s="4">
        <v>9.8947364294907185E-4</v>
      </c>
      <c r="FW64" s="4">
        <v>1.0550938281303026E-3</v>
      </c>
      <c r="FX64" s="4">
        <v>1.1247222750283524E-3</v>
      </c>
      <c r="FY64" s="4">
        <v>1.1987994058034216E-3</v>
      </c>
      <c r="FZ64" s="4">
        <v>1.277818467665986E-3</v>
      </c>
      <c r="GA64" s="4">
        <v>1.3623351882274652E-3</v>
      </c>
      <c r="GB64" s="4">
        <v>1.4529792499842979E-3</v>
      </c>
      <c r="GC64" s="4">
        <v>1.5504680706621273E-3</v>
      </c>
      <c r="GD64" s="4">
        <v>1.6556235078931461E-3</v>
      </c>
      <c r="GE64" s="4">
        <v>1.7693922862299883E-3</v>
      </c>
      <c r="GF64" s="4">
        <v>1.8928711892730544E-3</v>
      </c>
      <c r="GG64" s="4">
        <v>2.0273383960565401E-3</v>
      </c>
      <c r="GH64" s="4">
        <v>2.1742928066851436E-3</v>
      </c>
      <c r="GI64" s="4">
        <v>2.3355038552011148E-3</v>
      </c>
      <c r="GJ64" s="4">
        <v>2.5130752338450766E-3</v>
      </c>
      <c r="GK64" s="4">
        <v>2.7095272852125435E-3</v>
      </c>
      <c r="GL64" s="4">
        <v>2.9279047646076158E-3</v>
      </c>
      <c r="GM64" s="4">
        <v>3.1719195643048932E-3</v>
      </c>
      <c r="GN64" s="4">
        <v>3.4461423611311178E-3</v>
      </c>
      <c r="GO64" s="4">
        <v>3.7562638912331317E-3</v>
      </c>
      <c r="GP64" s="4">
        <v>4.1094571932202362E-3</v>
      </c>
      <c r="GQ64" s="4">
        <v>4.5148893614700841E-3</v>
      </c>
      <c r="GR64" s="4">
        <v>4.9844599409718335E-3</v>
      </c>
      <c r="GS64" s="4">
        <v>5.5338921078945634E-3</v>
      </c>
      <c r="GT64" s="4">
        <v>6.1843898007358979E-3</v>
      </c>
      <c r="GU64" s="4">
        <v>6.9652347796489182E-3</v>
      </c>
      <c r="GV64" s="4">
        <v>7.9180088152730217E-3</v>
      </c>
      <c r="GW64" s="4">
        <v>9.1037619394146278E-3</v>
      </c>
      <c r="GX64" s="4">
        <v>1.061583135820034E-2</v>
      </c>
      <c r="GY64" s="4">
        <v>1.2604278137293201E-2</v>
      </c>
      <c r="GZ64" s="4">
        <v>1.5326195410768973E-2</v>
      </c>
      <c r="HA64" s="4">
        <v>1.926279579476772E-2</v>
      </c>
      <c r="HB64" s="4">
        <v>2.5392381934062597E-2</v>
      </c>
      <c r="HC64" s="4">
        <v>3.6653262924483454E-2</v>
      </c>
      <c r="HD64" s="4">
        <v>5.3879316617406636E-2</v>
      </c>
      <c r="HE64" s="4">
        <v>0.24442848620636395</v>
      </c>
      <c r="HF64" s="4">
        <v>-0.25141740868581103</v>
      </c>
      <c r="HG64" s="4">
        <v>-6.0882510163874193E-2</v>
      </c>
      <c r="HH64" s="4">
        <v>-4.3684808572685772E-2</v>
      </c>
      <c r="HI64" s="4">
        <v>-3.2465870642749362E-2</v>
      </c>
      <c r="HJ64" s="4">
        <v>-2.6390762627697649E-2</v>
      </c>
      <c r="HK64" s="4">
        <v>-2.2519014320514001E-2</v>
      </c>
      <c r="HL64" s="4">
        <v>-1.9867979302933159E-2</v>
      </c>
      <c r="HM64" s="4">
        <v>-1.7947700759989381E-2</v>
      </c>
      <c r="HN64" s="4">
        <v>-1.6483121360164669E-2</v>
      </c>
      <c r="HO64" s="4">
        <v>-1.5285784621982003E-2</v>
      </c>
      <c r="HP64" s="4">
        <v>-1.4173605373801804E-2</v>
      </c>
      <c r="HQ64" s="4">
        <v>-1.2874508352596296E-2</v>
      </c>
      <c r="HR64" s="4">
        <v>-1.0470547831154312E-2</v>
      </c>
      <c r="HS64" s="4">
        <v>-7.7879019042218075E-3</v>
      </c>
      <c r="HT64" s="4">
        <v>7.0022781840856405E-2</v>
      </c>
      <c r="HU64" s="4">
        <v>-0.22369939704551983</v>
      </c>
    </row>
    <row r="65" spans="4:229" x14ac:dyDescent="0.25">
      <c r="D65" s="10">
        <v>56</v>
      </c>
      <c r="E65" s="5">
        <f>'N70'!E72-'N70'!E71</f>
        <v>1.4285714285714235E-2</v>
      </c>
      <c r="F65" s="5">
        <f>'N70'!H71-'N70'!$E$16</f>
        <v>0.79285714285714282</v>
      </c>
      <c r="G65" s="5">
        <f>'N70'!H71-'N70'!$E$17</f>
        <v>0.77857142857142858</v>
      </c>
      <c r="H65" s="5">
        <f>'N70'!H71-'N70'!$E$18</f>
        <v>0.76428571428571423</v>
      </c>
      <c r="I65" s="5">
        <f>'N70'!H71-'N70'!$E$19</f>
        <v>0.75</v>
      </c>
      <c r="J65" s="5">
        <f>'N70'!H71-'N70'!$E$20</f>
        <v>0.73571428571428565</v>
      </c>
      <c r="K65" s="5">
        <f>'N70'!H71-'N70'!$E$21</f>
        <v>0.72142857142857142</v>
      </c>
      <c r="L65" s="5">
        <f>'N70'!H71-'N70'!$E$22</f>
        <v>0.70714285714285707</v>
      </c>
      <c r="M65" s="5">
        <f>'N70'!H71-'N70'!$E$23</f>
        <v>0.69285714285714284</v>
      </c>
      <c r="N65" s="5">
        <f>'N70'!H71-'N70'!$E$24</f>
        <v>0.67857142857142849</v>
      </c>
      <c r="O65" s="5">
        <f>'N70'!H71-'N70'!$E$25</f>
        <v>0.66428571428571426</v>
      </c>
      <c r="P65" s="5">
        <f>'N70'!H71-'N70'!$E$26</f>
        <v>0.64999999999999991</v>
      </c>
      <c r="Q65" s="5">
        <f>'N70'!H71-'N70'!$E$27</f>
        <v>0.63571428571428568</v>
      </c>
      <c r="R65" s="5">
        <f>'N70'!H71-'N70'!$E$28</f>
        <v>0.62142857142857144</v>
      </c>
      <c r="S65" s="5">
        <f>'N70'!H71-'N70'!$E$29</f>
        <v>0.6071428571428571</v>
      </c>
      <c r="T65" s="5">
        <f>'N70'!H71-'N70'!$E$30</f>
        <v>0.59285714285714286</v>
      </c>
      <c r="U65" s="5">
        <f>'N70'!H71-'N70'!$E$31</f>
        <v>0.57857142857142851</v>
      </c>
      <c r="V65" s="5">
        <f>'N70'!H71-'N70'!$E$32</f>
        <v>0.56428571428571428</v>
      </c>
      <c r="W65" s="5">
        <f>'N70'!H71-'N70'!$E$33</f>
        <v>0.54999999999999993</v>
      </c>
      <c r="X65" s="5">
        <f>'N70'!H71-'N70'!$E$34</f>
        <v>0.5357142857142857</v>
      </c>
      <c r="Y65" s="5">
        <f>'N70'!H71-'N70'!$E$35</f>
        <v>0.52142857142857135</v>
      </c>
      <c r="Z65" s="5">
        <f>'N70'!H71-'N70'!$E$36</f>
        <v>0.50714285714285712</v>
      </c>
      <c r="AA65" s="5">
        <f>'N70'!H71-'N70'!$E$37</f>
        <v>0.49285714285714283</v>
      </c>
      <c r="AB65" s="5">
        <f>'N70'!H71-'N70'!$E$38</f>
        <v>0.47857142857142854</v>
      </c>
      <c r="AC65" s="5">
        <f>'N70'!H71-'N70'!$E$39</f>
        <v>0.46428571428571425</v>
      </c>
      <c r="AD65" s="5">
        <f>'N70'!H71-'N70'!$E$40</f>
        <v>0.44999999999999996</v>
      </c>
      <c r="AE65" s="5">
        <f>'N70'!H71-'N70'!$E$41</f>
        <v>0.43571428571428567</v>
      </c>
      <c r="AF65" s="5">
        <f>'N70'!H71-'N70'!$E$42</f>
        <v>0.42142857142857137</v>
      </c>
      <c r="AG65" s="5">
        <f>'N70'!H71-'N70'!$E$43</f>
        <v>0.40714285714285714</v>
      </c>
      <c r="AH65" s="5">
        <f>'N70'!H71-'N70'!$E$44</f>
        <v>0.39285714285714285</v>
      </c>
      <c r="AI65" s="5">
        <f>'N70'!H71-'N70'!$E$45</f>
        <v>0.37857142857142856</v>
      </c>
      <c r="AJ65" s="5">
        <f>'N70'!H71-'N70'!$E$46</f>
        <v>0.36428571428571427</v>
      </c>
      <c r="AK65" s="5">
        <f>'N70'!H71-'N70'!$E$47</f>
        <v>0.35</v>
      </c>
      <c r="AL65" s="5">
        <f>'N70'!H71-'N70'!$E$48</f>
        <v>0.33571428571428569</v>
      </c>
      <c r="AM65" s="5">
        <f>'N70'!H71-'N70'!$E$49</f>
        <v>0.3214285714285714</v>
      </c>
      <c r="AN65" s="5">
        <f>'N70'!H71-'N70'!$E$50</f>
        <v>0.30714285714285711</v>
      </c>
      <c r="AO65" s="5">
        <f>'N70'!H71-'N70'!$E$51</f>
        <v>0.29285714285714282</v>
      </c>
      <c r="AP65" s="5">
        <f>'N70'!H71-'N70'!$E$52</f>
        <v>0.27857142857142858</v>
      </c>
      <c r="AQ65" s="5">
        <f>'N70'!H71-'N70'!$E$53</f>
        <v>0.26428571428571423</v>
      </c>
      <c r="AR65" s="5">
        <f>'N70'!H71-'N70'!$E$54</f>
        <v>0.25</v>
      </c>
      <c r="AS65" s="5">
        <f>'N70'!H71-'N70'!$E$55</f>
        <v>0.23571428571428565</v>
      </c>
      <c r="AT65" s="5">
        <f>'N70'!H71-'N70'!$E$56</f>
        <v>0.22142857142857142</v>
      </c>
      <c r="AU65" s="5">
        <f>'N70'!H71-'N70'!$E$57</f>
        <v>0.20714285714285707</v>
      </c>
      <c r="AV65" s="5">
        <f>'N70'!H71-'N70'!$E$58</f>
        <v>0.19285714285714284</v>
      </c>
      <c r="AW65" s="5">
        <f>'N70'!H71-'N70'!$E$59</f>
        <v>0.1785714285714286</v>
      </c>
      <c r="AX65" s="5">
        <f>'N70'!H71-'N70'!$E$60</f>
        <v>0.16428571428571426</v>
      </c>
      <c r="AY65" s="5">
        <f>'N70'!H71-'N70'!$E$61</f>
        <v>0.15000000000000002</v>
      </c>
      <c r="AZ65" s="5">
        <f>'N70'!H71-'N70'!$E$62</f>
        <v>0.13571428571428568</v>
      </c>
      <c r="BA65" s="5">
        <f>'N70'!H71-'N70'!$E$63</f>
        <v>0.12142857142857144</v>
      </c>
      <c r="BB65" s="5">
        <f>'N70'!H71-'N70'!$E$64</f>
        <v>0.1071428571428571</v>
      </c>
      <c r="BC65" s="5">
        <f>'N70'!H71-'N70'!$E$65</f>
        <v>9.285714285714286E-2</v>
      </c>
      <c r="BD65" s="5">
        <f>'N70'!H71-'N70'!$E$66</f>
        <v>7.8571428571428514E-2</v>
      </c>
      <c r="BE65" s="5">
        <f>'N70'!H71-'N70'!$E$67</f>
        <v>6.4285714285714279E-2</v>
      </c>
      <c r="BF65" s="5">
        <f>'N70'!H71-'N70'!$E$68</f>
        <v>4.9999999999999933E-2</v>
      </c>
      <c r="BG65" s="5">
        <f>'N70'!H71-'N70'!$E$69</f>
        <v>3.5714285714285698E-2</v>
      </c>
      <c r="BH65" s="5">
        <f>'N70'!H71-'N70'!$E$70</f>
        <v>2.1428571428571463E-2</v>
      </c>
      <c r="BI65" s="5">
        <f>'N70'!H71-'N70'!$E$71</f>
        <v>7.1428571428571175E-3</v>
      </c>
      <c r="BJ65" s="5">
        <f>'N70'!H71-'N70'!$E$72</f>
        <v>-7.1428571428571175E-3</v>
      </c>
      <c r="BK65" s="5">
        <f>'N70'!H71-'N70'!$E$73</f>
        <v>-2.1428571428571463E-2</v>
      </c>
      <c r="BL65" s="5">
        <f>'N70'!H71-'N70'!$E$74</f>
        <v>-3.5714285714285698E-2</v>
      </c>
      <c r="BM65" s="5">
        <f>'N70'!H71-'N70'!$E$75</f>
        <v>-5.0000000000000044E-2</v>
      </c>
      <c r="BN65" s="5">
        <f>'N70'!H71-'N70'!$E$76</f>
        <v>-6.4285714285714279E-2</v>
      </c>
      <c r="BO65" s="5">
        <f>'N70'!H71-'N70'!$E$77</f>
        <v>-7.8571428571428625E-2</v>
      </c>
      <c r="BP65" s="5">
        <f>'N70'!H71-'N70'!$E$78</f>
        <v>-9.285714285714286E-2</v>
      </c>
      <c r="BQ65" s="5">
        <f>'N70'!H71-'N70'!$E$79</f>
        <v>-0.10714285714285721</v>
      </c>
      <c r="BR65" s="5">
        <f>'N70'!H71-'N70'!$E$80</f>
        <v>-0.12142857142857144</v>
      </c>
      <c r="BS65" s="5">
        <f>'N70'!H71-'N70'!$E$81</f>
        <v>-0.13571428571428568</v>
      </c>
      <c r="BT65" s="5">
        <f>'N70'!H71-'N70'!$E$82</f>
        <v>-0.15000000000000002</v>
      </c>
      <c r="BU65" s="5">
        <f>'N70'!H71-'N70'!$E$83</f>
        <v>-0.16428571428571426</v>
      </c>
      <c r="BV65" s="5">
        <f>'N70'!H71-'N70'!$E$84</f>
        <v>-0.1785714285714286</v>
      </c>
      <c r="BW65" s="5">
        <f>'N70'!H71-'N70'!$E$85</f>
        <v>-0.19285714285714284</v>
      </c>
      <c r="BX65" s="5">
        <v>-1</v>
      </c>
      <c r="BZ65">
        <v>56</v>
      </c>
      <c r="CA65" s="5">
        <f>N70_DESARROLLO!CE150+N70_DESARROLLO!H150</f>
        <v>-9.0635901473971048E-3</v>
      </c>
      <c r="CB65" s="5">
        <f>N70_DESARROLLO!CF150+N70_DESARROLLO!I150</f>
        <v>-1.8349653936844179E-2</v>
      </c>
      <c r="CC65" s="5">
        <f>N70_DESARROLLO!CG150+N70_DESARROLLO!J150</f>
        <v>-1.8692677708213812E-2</v>
      </c>
      <c r="CD65" s="5">
        <f>N70_DESARROLLO!CH150+N70_DESARROLLO!K150</f>
        <v>-1.9048771379235774E-2</v>
      </c>
      <c r="CE65" s="5">
        <f>N70_DESARROLLO!CI150+N70_DESARROLLO!L150</f>
        <v>-1.9418696489477361E-2</v>
      </c>
      <c r="CF65" s="5">
        <f>N70_DESARROLLO!CJ150+N70_DESARROLLO!M150</f>
        <v>-1.9803274917291835E-2</v>
      </c>
      <c r="CG65" s="5">
        <f>N70_DESARROLLO!CK150+N70_DESARROLLO!N150</f>
        <v>-2.0203394977345357E-2</v>
      </c>
      <c r="CH65" s="5">
        <f>N70_DESARROLLO!CL150+N70_DESARROLLO!O150</f>
        <v>-2.062001827215143E-2</v>
      </c>
      <c r="CI65" s="5">
        <f>N70_DESARROLLO!CM150+N70_DESARROLLO!P150</f>
        <v>-2.1054187410176284E-2</v>
      </c>
      <c r="CJ65" s="5">
        <f>N70_DESARROLLO!CN150+N70_DESARROLLO!Q150</f>
        <v>-2.1507034719698614E-2</v>
      </c>
      <c r="CK65" s="5">
        <f>N70_DESARROLLO!CO150+N70_DESARROLLO!R150</f>
        <v>-2.1979792112873819E-2</v>
      </c>
      <c r="CL65" s="5">
        <f>N70_DESARROLLO!CP150+N70_DESARROLLO!S150</f>
        <v>-2.2473802280097654E-2</v>
      </c>
      <c r="CM65" s="5">
        <f>N70_DESARROLLO!CQ150+N70_DESARROLLO!T150</f>
        <v>-2.2990531429693095E-2</v>
      </c>
      <c r="CN65" s="5">
        <f>N70_DESARROLLO!CR150+N70_DESARROLLO!U150</f>
        <v>-2.3531583826945979E-2</v>
      </c>
      <c r="CO65" s="5">
        <f>N70_DESARROLLO!CS150+N70_DESARROLLO!V150</f>
        <v>-2.4098718436559308E-2</v>
      </c>
      <c r="CP65" s="5">
        <f>N70_DESARROLLO!CT150+N70_DESARROLLO!W150</f>
        <v>-2.4693868032508171E-2</v>
      </c>
      <c r="CQ65" s="5">
        <f>N70_DESARROLLO!CU150+N70_DESARROLLO!X150</f>
        <v>-2.5319161212273178E-2</v>
      </c>
      <c r="CR65" s="5">
        <f>N70_DESARROLLO!CV150+N70_DESARROLLO!Y150</f>
        <v>-2.5976947844882692E-2</v>
      </c>
      <c r="CS65" s="5">
        <f>N70_DESARROLLO!CW150+N70_DESARROLLO!Z150</f>
        <v>-2.6669828593211653E-2</v>
      </c>
      <c r="CT65" s="5">
        <f>N70_DESARROLLO!CX150+N70_DESARROLLO!AA150</f>
        <v>-2.740068929380679E-2</v>
      </c>
      <c r="CU65" s="5">
        <f>N70_DESARROLLO!CY150+N70_DESARROLLO!AB150</f>
        <v>-2.8172741151781922E-2</v>
      </c>
      <c r="CV65" s="5">
        <f>N70_DESARROLLO!CZ150+N70_DESARROLLO!AC150</f>
        <v>-2.8989567932952598E-2</v>
      </c>
      <c r="CW65" s="5">
        <f>N70_DESARROLLO!DA150+N70_DESARROLLO!AD150</f>
        <v>-2.9855181616034066E-2</v>
      </c>
      <c r="CX65" s="5">
        <f>N70_DESARROLLO!DB150+N70_DESARROLLO!AE150</f>
        <v>-3.0774088329711402E-2</v>
      </c>
      <c r="CY65" s="5">
        <f>N70_DESARROLLO!DC150+N70_DESARROLLO!AF150</f>
        <v>-3.1751366862667441E-2</v>
      </c>
      <c r="CZ65" s="5">
        <f>N70_DESARROLLO!DD150+N70_DESARROLLO!AG150</f>
        <v>-3.2792762635871164E-2</v>
      </c>
      <c r="DA65" s="5">
        <f>N70_DESARROLLO!DE150+N70_DESARROLLO!AH150</f>
        <v>-3.3904800811324631E-2</v>
      </c>
      <c r="DB65" s="5">
        <f>N70_DESARROLLO!DF150+N70_DESARROLLO!AI150</f>
        <v>-3.5094923244211151E-2</v>
      </c>
      <c r="DC65" s="5">
        <f>N70_DESARROLLO!DG150+N70_DESARROLLO!AJ150</f>
        <v>-3.6371655357440025E-2</v>
      </c>
      <c r="DD65" s="5">
        <f>N70_DESARROLLO!DH150+N70_DESARROLLO!AK150</f>
        <v>-3.774481085569692E-2</v>
      </c>
      <c r="DE65" s="5">
        <f>N70_DESARROLLO!DI150+N70_DESARROLLO!AL150</f>
        <v>-3.9225744685481789E-2</v>
      </c>
      <c r="DF65" s="5">
        <f>N70_DESARROLLO!DJ150+N70_DESARROLLO!AM150</f>
        <v>-4.0827668052531574E-2</v>
      </c>
      <c r="DG65" s="5">
        <f>N70_DESARROLLO!DK150+N70_DESARROLLO!AN150</f>
        <v>-4.2566044021113636E-2</v>
      </c>
      <c r="DH65" s="5">
        <f>N70_DESARROLLO!DL150+N70_DESARROLLO!AO150</f>
        <v>-4.4459088822761617E-2</v>
      </c>
      <c r="DI65" s="5">
        <f>N70_DESARROLLO!DM150+N70_DESARROLLO!AP150</f>
        <v>-4.652841337789082E-2</v>
      </c>
      <c r="DJ65" s="5">
        <f>N70_DESARROLLO!DN150+N70_DESARROLLO!AQ150</f>
        <v>-4.8799853039077523E-2</v>
      </c>
      <c r="DK65" s="5">
        <f>N70_DESARROLLO!DO150+N70_DESARROLLO!AR150</f>
        <v>-5.1304553326333657E-2</v>
      </c>
      <c r="DL65" s="5">
        <f>N70_DESARROLLO!DP150+N70_DESARROLLO!AS150</f>
        <v>-5.408040883815779E-2</v>
      </c>
      <c r="DM65" s="5">
        <f>N70_DESARROLLO!DQ150+N70_DESARROLLO!AT150</f>
        <v>-5.7173997129068899E-2</v>
      </c>
      <c r="DN65" s="5">
        <f>N70_DESARROLLO!DR150+N70_DESARROLLO!AU150</f>
        <v>-6.0643218403530041E-2</v>
      </c>
      <c r="DO65" s="5">
        <f>N70_DESARROLLO!DS150+N70_DESARROLLO!AV150</f>
        <v>-6.456096125247579E-2</v>
      </c>
      <c r="DP65" s="5">
        <f>N70_DESARROLLO!DT150+N70_DESARROLLO!AW150</f>
        <v>-6.9020292350875811E-2</v>
      </c>
      <c r="DQ65" s="5">
        <f>N70_DESARROLLO!DU150+N70_DESARROLLO!AX150</f>
        <v>-7.4141965022336609E-2</v>
      </c>
      <c r="DR65" s="5">
        <f>N70_DESARROLLO!DV150+N70_DESARROLLO!AY150</f>
        <v>-8.0085554140349235E-2</v>
      </c>
      <c r="DS65" s="5">
        <f>N70_DESARROLLO!DW150+N70_DESARROLLO!AZ150</f>
        <v>-8.7066442319344017E-2</v>
      </c>
      <c r="DT65" s="5">
        <f>N70_DESARROLLO!DX150+N70_DESARROLLO!BA150</f>
        <v>-9.5382594982166724E-2</v>
      </c>
      <c r="DU65" s="5">
        <f>N70_DESARROLLO!DY150+N70_DESARROLLO!BB150</f>
        <v>-0.10545841852058602</v>
      </c>
      <c r="DV65" s="5">
        <f>N70_DESARROLLO!DZ150+N70_DESARROLLO!BC150</f>
        <v>-0.11791996375047831</v>
      </c>
      <c r="DW65" s="5">
        <f>N70_DESARROLLO!EA150+N70_DESARROLLO!BD150</f>
        <v>-0.13373123411930654</v>
      </c>
      <c r="DX65" s="5">
        <f>N70_DESARROLLO!EB150+N70_DESARROLLO!BE150</f>
        <v>-0.15445886474680592</v>
      </c>
      <c r="DY65" s="5">
        <f>N70_DESARROLLO!EC150+N70_DESARROLLO!BF150</f>
        <v>-0.18283342438757666</v>
      </c>
      <c r="DZ65" s="5">
        <f>N70_DESARROLLO!ED150+N70_DESARROLLO!BG150</f>
        <v>-0.22408833054041921</v>
      </c>
      <c r="EA65" s="5">
        <f>N70_DESARROLLO!EE150+N70_DESARROLLO!BH150</f>
        <v>-0.28973434150574007</v>
      </c>
      <c r="EB65" s="5">
        <f>N70_DESARROLLO!EF150+N70_DESARROLLO!BI150</f>
        <v>-0.41141440075354385</v>
      </c>
      <c r="EC65" s="5">
        <f>N70_DESARROLLO!EG150+N70_DESARROLLO!BJ150</f>
        <v>-0.72775792963607455</v>
      </c>
      <c r="ED65" s="5">
        <f>N70_DESARROLLO!EH150+N70_DESARROLLO!BK150</f>
        <v>-1.6479184659605444</v>
      </c>
      <c r="EE65" s="5">
        <f>N70_DESARROLLO!EI150+N70_DESARROLLO!BL150</f>
        <v>1.6479184659605444</v>
      </c>
      <c r="EF65" s="5">
        <f>N70_DESARROLLO!EJ150+N70_DESARROLLO!BM150</f>
        <v>0.72775792963607433</v>
      </c>
      <c r="EG65" s="5">
        <f>N70_DESARROLLO!EK150+N70_DESARROLLO!BN150</f>
        <v>0.41141440075355495</v>
      </c>
      <c r="EH65" s="5">
        <f>N70_DESARROLLO!EL150+N70_DESARROLLO!BO150</f>
        <v>0.2897343415057243</v>
      </c>
      <c r="EI65" s="5">
        <f>N70_DESARROLLO!EM150+N70_DESARROLLO!BP150</f>
        <v>0.22408833054043464</v>
      </c>
      <c r="EJ65" s="5">
        <f>N70_DESARROLLO!EN150+N70_DESARROLLO!BQ150</f>
        <v>0.18283342438756045</v>
      </c>
      <c r="EK65" s="5">
        <f>N70_DESARROLLO!EO150+N70_DESARROLLO!BR150</f>
        <v>0.1544588647468208</v>
      </c>
      <c r="EL65" s="5">
        <f>N70_DESARROLLO!EP150+N70_DESARROLLO!BS150</f>
        <v>0.13373123411929266</v>
      </c>
      <c r="EM65" s="5">
        <f>N70_DESARROLLO!EQ150+N70_DESARROLLO!BT150</f>
        <v>0.11791996375048441</v>
      </c>
      <c r="EN65" s="5">
        <f>N70_DESARROLLO!ER150+N70_DESARROLLO!BU150</f>
        <v>0.10545841852058624</v>
      </c>
      <c r="EO65" s="5">
        <f>N70_DESARROLLO!ES150+N70_DESARROLLO!BV150</f>
        <v>9.5382594982166613E-2</v>
      </c>
      <c r="EP65" s="5">
        <f>N70_DESARROLLO!ET150+N70_DESARROLLO!BW150</f>
        <v>8.7066442319344683E-2</v>
      </c>
      <c r="EQ65" s="5">
        <f>N70_DESARROLLO!EU150+N70_DESARROLLO!BX150</f>
        <v>8.0085554140347681E-2</v>
      </c>
      <c r="ER65" s="5">
        <f>N70_DESARROLLO!EV150+N70_DESARROLLO!BY150</f>
        <v>114.24437823303424</v>
      </c>
      <c r="FC65">
        <v>56</v>
      </c>
      <c r="FD65" s="4">
        <v>7.7937029515582452E-5</v>
      </c>
      <c r="FE65" s="4">
        <v>1.5643139367463394E-4</v>
      </c>
      <c r="FF65" s="4">
        <v>2.0716200865589687E-4</v>
      </c>
      <c r="FG65" s="4">
        <v>2.520757824044799E-4</v>
      </c>
      <c r="FH65" s="4">
        <v>2.9384400570932714E-4</v>
      </c>
      <c r="FI65" s="4">
        <v>3.340420907558276E-4</v>
      </c>
      <c r="FJ65" s="4">
        <v>3.7354614065883201E-4</v>
      </c>
      <c r="FK65" s="4">
        <v>4.1293379964825824E-4</v>
      </c>
      <c r="FL65" s="4">
        <v>4.526260154131924E-4</v>
      </c>
      <c r="FM65" s="4">
        <v>4.9295606099662064E-4</v>
      </c>
      <c r="FN65" s="4">
        <v>5.3420642943003695E-4</v>
      </c>
      <c r="FO65" s="4">
        <v>5.7663054121971787E-4</v>
      </c>
      <c r="FP65" s="4">
        <v>6.2046659788377641E-4</v>
      </c>
      <c r="FQ65" s="4">
        <v>6.6594713891666686E-4</v>
      </c>
      <c r="FR65" s="4">
        <v>7.1330617153470032E-4</v>
      </c>
      <c r="FS65" s="4">
        <v>7.627849295598647E-4</v>
      </c>
      <c r="FT65" s="4">
        <v>8.1463690230044409E-4</v>
      </c>
      <c r="FU65" s="4">
        <v>8.6913255372718379E-4</v>
      </c>
      <c r="FV65" s="4">
        <v>9.2656403340383303E-4</v>
      </c>
      <c r="FW65" s="4">
        <v>9.8725011948642299E-4</v>
      </c>
      <c r="FX65" s="4">
        <v>1.0515416075024249E-3</v>
      </c>
      <c r="FY65" s="4">
        <v>1.119827356083711E-3</v>
      </c>
      <c r="FZ65" s="4">
        <v>1.1925412166242488E-3</v>
      </c>
      <c r="GA65" s="4">
        <v>1.2701701067503349E-3</v>
      </c>
      <c r="GB65" s="4">
        <v>1.3532635381574662E-3</v>
      </c>
      <c r="GC65" s="4">
        <v>1.4424449812308173E-3</v>
      </c>
      <c r="GD65" s="4">
        <v>1.5384255471875348E-3</v>
      </c>
      <c r="GE65" s="4">
        <v>1.6420206017090228E-3</v>
      </c>
      <c r="GF65" s="4">
        <v>1.7541701043941515E-3</v>
      </c>
      <c r="GG65" s="4">
        <v>1.8759637139525956E-3</v>
      </c>
      <c r="GH65" s="4">
        <v>2.0086720355557918E-3</v>
      </c>
      <c r="GI65" s="4">
        <v>2.1537858530587604E-3</v>
      </c>
      <c r="GJ65" s="4">
        <v>2.3130658417416404E-3</v>
      </c>
      <c r="GK65" s="4">
        <v>2.4886061834067941E-3</v>
      </c>
      <c r="GL65" s="4">
        <v>2.6829168379602928E-3</v>
      </c>
      <c r="GM65" s="4">
        <v>2.899031171192223E-3</v>
      </c>
      <c r="GN65" s="4">
        <v>3.1406485276805384E-3</v>
      </c>
      <c r="GO65" s="4">
        <v>3.4123257071205062E-3</v>
      </c>
      <c r="GP65" s="4">
        <v>3.7197380446447E-3</v>
      </c>
      <c r="GQ65" s="4">
        <v>4.0700414327023964E-3</v>
      </c>
      <c r="GR65" s="4">
        <v>4.4723838224301395E-3</v>
      </c>
      <c r="GS65" s="4">
        <v>4.9386433322387248E-3</v>
      </c>
      <c r="GT65" s="4">
        <v>5.4845191043313094E-3</v>
      </c>
      <c r="GU65" s="4">
        <v>6.1311880719580525E-3</v>
      </c>
      <c r="GV65" s="4">
        <v>6.907901615173637E-3</v>
      </c>
      <c r="GW65" s="4">
        <v>7.8562073114718106E-3</v>
      </c>
      <c r="GX65" s="4">
        <v>9.0371167272658391E-3</v>
      </c>
      <c r="GY65" s="4">
        <v>1.0543923879757887E-2</v>
      </c>
      <c r="GZ65" s="4">
        <v>1.2526641534966415E-2</v>
      </c>
      <c r="HA65" s="4">
        <v>1.5242309196958379E-2</v>
      </c>
      <c r="HB65" s="4">
        <v>1.9172080656765244E-2</v>
      </c>
      <c r="HC65" s="4">
        <v>2.5294195364553296E-2</v>
      </c>
      <c r="HD65" s="4">
        <v>3.6546896970017485E-2</v>
      </c>
      <c r="HE65" s="4">
        <v>5.3764000124881743E-2</v>
      </c>
      <c r="HF65" s="4">
        <v>0.24430339593987166</v>
      </c>
      <c r="HG65" s="4">
        <v>-0.25155311996901131</v>
      </c>
      <c r="HH65" s="4">
        <v>-6.1029653490168083E-2</v>
      </c>
      <c r="HI65" s="4">
        <v>-4.3844037232014244E-2</v>
      </c>
      <c r="HJ65" s="4">
        <v>-3.2637439781599727E-2</v>
      </c>
      <c r="HK65" s="4">
        <v>-2.6574051932201907E-2</v>
      </c>
      <c r="HL65" s="4">
        <v>-2.2711560656272823E-2</v>
      </c>
      <c r="HM65" s="4">
        <v>-2.0063445296683836E-2</v>
      </c>
      <c r="HN65" s="4">
        <v>-1.8131379150477297E-2</v>
      </c>
      <c r="HO65" s="4">
        <v>-1.6621321892480018E-2</v>
      </c>
      <c r="HP65" s="4">
        <v>-1.5297129413522742E-2</v>
      </c>
      <c r="HQ65" s="4">
        <v>-1.3859751211113606E-2</v>
      </c>
      <c r="HR65" s="4">
        <v>-1.1386683887219083E-2</v>
      </c>
      <c r="HS65" s="4">
        <v>-8.7009509320259484E-3</v>
      </c>
      <c r="HT65" s="4">
        <v>6.8316621680171455E-2</v>
      </c>
      <c r="HU65" s="4">
        <v>-0.22346726836041381</v>
      </c>
    </row>
    <row r="66" spans="4:229" x14ac:dyDescent="0.25">
      <c r="D66" s="10">
        <v>57</v>
      </c>
      <c r="E66" s="5">
        <f>'N70'!E73-'N70'!E72</f>
        <v>1.4285714285714346E-2</v>
      </c>
      <c r="F66" s="5">
        <f>'N70'!H72-'N70'!$E$16</f>
        <v>0.80714285714285716</v>
      </c>
      <c r="G66" s="5">
        <f>'N70'!H72-'N70'!$E$17</f>
        <v>0.79285714285714293</v>
      </c>
      <c r="H66" s="5">
        <f>'N70'!H72-'N70'!$E$18</f>
        <v>0.77857142857142858</v>
      </c>
      <c r="I66" s="5">
        <f>'N70'!H72-'N70'!$E$19</f>
        <v>0.76428571428571435</v>
      </c>
      <c r="J66" s="5">
        <f>'N70'!H72-'N70'!$E$20</f>
        <v>0.75</v>
      </c>
      <c r="K66" s="5">
        <f>'N70'!H72-'N70'!$E$21</f>
        <v>0.73571428571428577</v>
      </c>
      <c r="L66" s="5">
        <f>'N70'!H72-'N70'!$E$22</f>
        <v>0.72142857142857142</v>
      </c>
      <c r="M66" s="5">
        <f>'N70'!H72-'N70'!$E$23</f>
        <v>0.70714285714285718</v>
      </c>
      <c r="N66" s="5">
        <f>'N70'!H72-'N70'!$E$24</f>
        <v>0.69285714285714284</v>
      </c>
      <c r="O66" s="5">
        <f>'N70'!H72-'N70'!$E$25</f>
        <v>0.6785714285714286</v>
      </c>
      <c r="P66" s="5">
        <f>'N70'!H72-'N70'!$E$26</f>
        <v>0.66428571428571437</v>
      </c>
      <c r="Q66" s="5">
        <f>'N70'!H72-'N70'!$E$27</f>
        <v>0.65</v>
      </c>
      <c r="R66" s="5">
        <f>'N70'!H72-'N70'!$E$28</f>
        <v>0.63571428571428568</v>
      </c>
      <c r="S66" s="5">
        <f>'N70'!H72-'N70'!$E$29</f>
        <v>0.62142857142857144</v>
      </c>
      <c r="T66" s="5">
        <f>'N70'!H72-'N70'!$E$30</f>
        <v>0.60714285714285721</v>
      </c>
      <c r="U66" s="5">
        <f>'N70'!H72-'N70'!$E$31</f>
        <v>0.59285714285714286</v>
      </c>
      <c r="V66" s="5">
        <f>'N70'!H72-'N70'!$E$32</f>
        <v>0.57857142857142863</v>
      </c>
      <c r="W66" s="5">
        <f>'N70'!H72-'N70'!$E$33</f>
        <v>0.56428571428571428</v>
      </c>
      <c r="X66" s="5">
        <f>'N70'!H72-'N70'!$E$34</f>
        <v>0.55000000000000004</v>
      </c>
      <c r="Y66" s="5">
        <f>'N70'!H72-'N70'!$E$35</f>
        <v>0.53571428571428581</v>
      </c>
      <c r="Z66" s="5">
        <f>'N70'!H72-'N70'!$E$36</f>
        <v>0.52142857142857146</v>
      </c>
      <c r="AA66" s="5">
        <f>'N70'!H72-'N70'!$E$37</f>
        <v>0.50714285714285712</v>
      </c>
      <c r="AB66" s="5">
        <f>'N70'!H72-'N70'!$E$38</f>
        <v>0.49285714285714288</v>
      </c>
      <c r="AC66" s="5">
        <f>'N70'!H72-'N70'!$E$39</f>
        <v>0.47857142857142859</v>
      </c>
      <c r="AD66" s="5">
        <f>'N70'!H72-'N70'!$E$40</f>
        <v>0.4642857142857143</v>
      </c>
      <c r="AE66" s="5">
        <f>'N70'!H72-'N70'!$E$41</f>
        <v>0.45</v>
      </c>
      <c r="AF66" s="5">
        <f>'N70'!H72-'N70'!$E$42</f>
        <v>0.43571428571428572</v>
      </c>
      <c r="AG66" s="5">
        <f>'N70'!H72-'N70'!$E$43</f>
        <v>0.42142857142857149</v>
      </c>
      <c r="AH66" s="5">
        <f>'N70'!H72-'N70'!$E$44</f>
        <v>0.4071428571428572</v>
      </c>
      <c r="AI66" s="5">
        <f>'N70'!H72-'N70'!$E$45</f>
        <v>0.3928571428571429</v>
      </c>
      <c r="AJ66" s="5">
        <f>'N70'!H72-'N70'!$E$46</f>
        <v>0.37857142857142861</v>
      </c>
      <c r="AK66" s="5">
        <f>'N70'!H72-'N70'!$E$47</f>
        <v>0.36428571428571432</v>
      </c>
      <c r="AL66" s="5">
        <f>'N70'!H72-'N70'!$E$48</f>
        <v>0.35000000000000003</v>
      </c>
      <c r="AM66" s="5">
        <f>'N70'!H72-'N70'!$E$49</f>
        <v>0.33571428571428574</v>
      </c>
      <c r="AN66" s="5">
        <f>'N70'!H72-'N70'!$E$50</f>
        <v>0.32142857142857145</v>
      </c>
      <c r="AO66" s="5">
        <f>'N70'!H72-'N70'!$E$51</f>
        <v>0.30714285714285716</v>
      </c>
      <c r="AP66" s="5">
        <f>'N70'!H72-'N70'!$E$52</f>
        <v>0.29285714285714293</v>
      </c>
      <c r="AQ66" s="5">
        <f>'N70'!H72-'N70'!$E$53</f>
        <v>0.27857142857142858</v>
      </c>
      <c r="AR66" s="5">
        <f>'N70'!H72-'N70'!$E$54</f>
        <v>0.26428571428571435</v>
      </c>
      <c r="AS66" s="5">
        <f>'N70'!H72-'N70'!$E$55</f>
        <v>0.25</v>
      </c>
      <c r="AT66" s="5">
        <f>'N70'!H72-'N70'!$E$56</f>
        <v>0.23571428571428577</v>
      </c>
      <c r="AU66" s="5">
        <f>'N70'!H72-'N70'!$E$57</f>
        <v>0.22142857142857142</v>
      </c>
      <c r="AV66" s="5">
        <f>'N70'!H72-'N70'!$E$58</f>
        <v>0.20714285714285718</v>
      </c>
      <c r="AW66" s="5">
        <f>'N70'!H72-'N70'!$E$59</f>
        <v>0.19285714285714295</v>
      </c>
      <c r="AX66" s="5">
        <f>'N70'!H72-'N70'!$E$60</f>
        <v>0.1785714285714286</v>
      </c>
      <c r="AY66" s="5">
        <f>'N70'!H72-'N70'!$E$61</f>
        <v>0.16428571428571437</v>
      </c>
      <c r="AZ66" s="5">
        <f>'N70'!H72-'N70'!$E$62</f>
        <v>0.15000000000000002</v>
      </c>
      <c r="BA66" s="5">
        <f>'N70'!H72-'N70'!$E$63</f>
        <v>0.13571428571428579</v>
      </c>
      <c r="BB66" s="5">
        <f>'N70'!H72-'N70'!$E$64</f>
        <v>0.12142857142857144</v>
      </c>
      <c r="BC66" s="5">
        <f>'N70'!H72-'N70'!$E$65</f>
        <v>0.10714285714285721</v>
      </c>
      <c r="BD66" s="5">
        <f>'N70'!H72-'N70'!$E$66</f>
        <v>9.285714285714286E-2</v>
      </c>
      <c r="BE66" s="5">
        <f>'N70'!H72-'N70'!$E$67</f>
        <v>7.8571428571428625E-2</v>
      </c>
      <c r="BF66" s="5">
        <f>'N70'!H72-'N70'!$E$68</f>
        <v>6.4285714285714279E-2</v>
      </c>
      <c r="BG66" s="5">
        <f>'N70'!H72-'N70'!$E$69</f>
        <v>5.0000000000000044E-2</v>
      </c>
      <c r="BH66" s="5">
        <f>'N70'!H72-'N70'!$E$70</f>
        <v>3.5714285714285809E-2</v>
      </c>
      <c r="BI66" s="5">
        <f>'N70'!H72-'N70'!$E$71</f>
        <v>2.1428571428571463E-2</v>
      </c>
      <c r="BJ66" s="5">
        <f>'N70'!H72-'N70'!$E$72</f>
        <v>7.1428571428572285E-3</v>
      </c>
      <c r="BK66" s="5">
        <f>'N70'!H72-'N70'!$E$73</f>
        <v>-7.1428571428571175E-3</v>
      </c>
      <c r="BL66" s="5">
        <f>'N70'!H72-'N70'!$E$74</f>
        <v>-2.1428571428571352E-2</v>
      </c>
      <c r="BM66" s="5">
        <f>'N70'!H72-'N70'!$E$75</f>
        <v>-3.5714285714285698E-2</v>
      </c>
      <c r="BN66" s="5">
        <f>'N70'!H72-'N70'!$E$76</f>
        <v>-4.9999999999999933E-2</v>
      </c>
      <c r="BO66" s="5">
        <f>'N70'!H72-'N70'!$E$77</f>
        <v>-6.4285714285714279E-2</v>
      </c>
      <c r="BP66" s="5">
        <f>'N70'!H72-'N70'!$E$78</f>
        <v>-7.8571428571428514E-2</v>
      </c>
      <c r="BQ66" s="5">
        <f>'N70'!H72-'N70'!$E$79</f>
        <v>-9.285714285714286E-2</v>
      </c>
      <c r="BR66" s="5">
        <f>'N70'!H72-'N70'!$E$80</f>
        <v>-0.1071428571428571</v>
      </c>
      <c r="BS66" s="5">
        <f>'N70'!H72-'N70'!$E$81</f>
        <v>-0.12142857142857133</v>
      </c>
      <c r="BT66" s="5">
        <f>'N70'!H72-'N70'!$E$82</f>
        <v>-0.13571428571428568</v>
      </c>
      <c r="BU66" s="5">
        <f>'N70'!H72-'N70'!$E$83</f>
        <v>-0.14999999999999991</v>
      </c>
      <c r="BV66" s="5">
        <f>'N70'!H72-'N70'!$E$84</f>
        <v>-0.16428571428571426</v>
      </c>
      <c r="BW66" s="5">
        <f>'N70'!H72-'N70'!$E$85</f>
        <v>-0.17857142857142849</v>
      </c>
      <c r="BX66" s="5">
        <v>-1</v>
      </c>
      <c r="BZ66">
        <v>57</v>
      </c>
      <c r="CA66" s="5">
        <f>N70_DESARROLLO!CE151+N70_DESARROLLO!H151</f>
        <v>-8.9022144776919054E-3</v>
      </c>
      <c r="CB66" s="5">
        <f>N70_DESARROLLO!CF151+N70_DESARROLLO!I151</f>
        <v>-1.8018993426857643E-2</v>
      </c>
      <c r="CC66" s="5">
        <f>N70_DESARROLLO!CG151+N70_DESARROLLO!J151</f>
        <v>-1.8349653936862609E-2</v>
      </c>
      <c r="CD66" s="5">
        <f>N70_DESARROLLO!CH151+N70_DESARROLLO!K151</f>
        <v>-1.869267770818972E-2</v>
      </c>
      <c r="CE66" s="5">
        <f>N70_DESARROLLO!CI151+N70_DESARROLLO!L151</f>
        <v>-1.9048771379253426E-2</v>
      </c>
      <c r="CF66" s="5">
        <f>N70_DESARROLLO!CJ151+N70_DESARROLLO!M151</f>
        <v>-1.9418696489460152E-2</v>
      </c>
      <c r="CG66" s="5">
        <f>N70_DESARROLLO!CK151+N70_DESARROLLO!N151</f>
        <v>-1.9803274917314595E-2</v>
      </c>
      <c r="CH66" s="5">
        <f>N70_DESARROLLO!CL151+N70_DESARROLLO!O151</f>
        <v>-2.0203394977323041E-2</v>
      </c>
      <c r="CI66" s="5">
        <f>N70_DESARROLLO!CM151+N70_DESARROLLO!P151</f>
        <v>-2.0620018272167862E-2</v>
      </c>
      <c r="CJ66" s="5">
        <f>N70_DESARROLLO!CN151+N70_DESARROLLO!Q151</f>
        <v>-2.1054187410170844E-2</v>
      </c>
      <c r="CK66" s="5">
        <f>N70_DESARROLLO!CO151+N70_DESARROLLO!R151</f>
        <v>-2.1507034719698725E-2</v>
      </c>
      <c r="CL66" s="5">
        <f>N70_DESARROLLO!CP151+N70_DESARROLLO!S151</f>
        <v>-2.1979792112864049E-2</v>
      </c>
      <c r="CM66" s="5">
        <f>N70_DESARROLLO!CQ151+N70_DESARROLLO!T151</f>
        <v>-2.2473802280108091E-2</v>
      </c>
      <c r="CN66" s="5">
        <f>N70_DESARROLLO!CR151+N70_DESARROLLO!U151</f>
        <v>-2.2990531429697869E-2</v>
      </c>
      <c r="CO66" s="5">
        <f>N70_DESARROLLO!CS151+N70_DESARROLLO!V151</f>
        <v>-2.3531583826931546E-2</v>
      </c>
      <c r="CP66" s="5">
        <f>N70_DESARROLLO!CT151+N70_DESARROLLO!W151</f>
        <v>-2.4098718436573519E-2</v>
      </c>
      <c r="CQ66" s="5">
        <f>N70_DESARROLLO!CU151+N70_DESARROLLO!X151</f>
        <v>-2.4693868032494515E-2</v>
      </c>
      <c r="CR66" s="5">
        <f>N70_DESARROLLO!CV151+N70_DESARROLLO!Y151</f>
        <v>-2.5319161212291275E-2</v>
      </c>
      <c r="CS66" s="5">
        <f>N70_DESARROLLO!CW151+N70_DESARROLLO!Z151</f>
        <v>-2.5976947844873366E-2</v>
      </c>
      <c r="CT66" s="5">
        <f>N70_DESARROLLO!CX151+N70_DESARROLLO!AA151</f>
        <v>-2.6669828593211653E-2</v>
      </c>
      <c r="CU66" s="5">
        <f>N70_DESARROLLO!CY151+N70_DESARROLLO!AB151</f>
        <v>-2.7400689293798908E-2</v>
      </c>
      <c r="CV66" s="5">
        <f>N70_DESARROLLO!CZ151+N70_DESARROLLO!AC151</f>
        <v>-2.8172741151794245E-2</v>
      </c>
      <c r="CW66" s="5">
        <f>N70_DESARROLLO!DA151+N70_DESARROLLO!AD151</f>
        <v>-2.8989567932948379E-2</v>
      </c>
      <c r="CX66" s="5">
        <f>N70_DESARROLLO!DB151+N70_DESARROLLO!AE151</f>
        <v>-2.9855181616033843E-2</v>
      </c>
      <c r="CY66" s="5">
        <f>N70_DESARROLLO!DC151+N70_DESARROLLO!AF151</f>
        <v>-3.0774088329711291E-2</v>
      </c>
      <c r="CZ66" s="5">
        <f>N70_DESARROLLO!DD151+N70_DESARROLLO!AG151</f>
        <v>-3.1751366862667441E-2</v>
      </c>
      <c r="DA66" s="5">
        <f>N70_DESARROLLO!DE151+N70_DESARROLLO!AH151</f>
        <v>-3.2792762635874606E-2</v>
      </c>
      <c r="DB66" s="5">
        <f>N70_DESARROLLO!DF151+N70_DESARROLLO!AI151</f>
        <v>-3.3904800811317859E-2</v>
      </c>
      <c r="DC66" s="5">
        <f>N70_DESARROLLO!DG151+N70_DESARROLLO!AJ151</f>
        <v>-3.5094923244214482E-2</v>
      </c>
      <c r="DD66" s="5">
        <f>N70_DESARROLLO!DH151+N70_DESARROLLO!AK151</f>
        <v>-3.6371655357440136E-2</v>
      </c>
      <c r="DE66" s="5">
        <f>N70_DESARROLLO!DI151+N70_DESARROLLO!AL151</f>
        <v>-3.7744810855697031E-2</v>
      </c>
      <c r="DF66" s="5">
        <f>N70_DESARROLLO!DJ151+N70_DESARROLLO!AM151</f>
        <v>-3.9225744685481678E-2</v>
      </c>
      <c r="DG66" s="5">
        <f>N70_DESARROLLO!DK151+N70_DESARROLLO!AN151</f>
        <v>-4.0827668052531463E-2</v>
      </c>
      <c r="DH66" s="5">
        <f>N70_DESARROLLO!DL151+N70_DESARROLLO!AO151</f>
        <v>-4.2566044021113525E-2</v>
      </c>
      <c r="DI66" s="5">
        <f>N70_DESARROLLO!DM151+N70_DESARROLLO!AP151</f>
        <v>-4.4459088822761617E-2</v>
      </c>
      <c r="DJ66" s="5">
        <f>N70_DESARROLLO!DN151+N70_DESARROLLO!AQ151</f>
        <v>-4.6528413377893041E-2</v>
      </c>
      <c r="DK66" s="5">
        <f>N70_DESARROLLO!DO151+N70_DESARROLLO!AR151</f>
        <v>-4.8799853039068419E-2</v>
      </c>
      <c r="DL66" s="5">
        <f>N70_DESARROLLO!DP151+N70_DESARROLLO!AS151</f>
        <v>-5.1304553326349422E-2</v>
      </c>
      <c r="DM66" s="5">
        <f>N70_DESARROLLO!DQ151+N70_DESARROLLO!AT151</f>
        <v>-5.408040883814047E-2</v>
      </c>
      <c r="DN66" s="5">
        <f>N70_DESARROLLO!DR151+N70_DESARROLLO!AU151</f>
        <v>-5.7173997129085441E-2</v>
      </c>
      <c r="DO66" s="5">
        <f>N70_DESARROLLO!DS151+N70_DESARROLLO!AV151</f>
        <v>-6.0643218403514498E-2</v>
      </c>
      <c r="DP66" s="5">
        <f>N70_DESARROLLO!DT151+N70_DESARROLLO!AW151</f>
        <v>-6.4560961252492111E-2</v>
      </c>
      <c r="DQ66" s="5">
        <f>N70_DESARROLLO!DU151+N70_DESARROLLO!AX151</f>
        <v>-6.9020292350867707E-2</v>
      </c>
      <c r="DR66" s="5">
        <f>N70_DESARROLLO!DV151+N70_DESARROLLO!AY151</f>
        <v>-7.4141965022327838E-2</v>
      </c>
      <c r="DS66" s="5">
        <f>N70_DESARROLLO!DW151+N70_DESARROLLO!AZ151</f>
        <v>-8.0085554140364446E-2</v>
      </c>
      <c r="DT66" s="5">
        <f>N70_DESARROLLO!DX151+N70_DESARROLLO!BA151</f>
        <v>-8.7066442319330251E-2</v>
      </c>
      <c r="DU66" s="5">
        <f>N70_DESARROLLO!DY151+N70_DESARROLLO!BB151</f>
        <v>-9.5382594982181823E-2</v>
      </c>
      <c r="DV66" s="5">
        <f>N70_DESARROLLO!DZ151+N70_DESARROLLO!BC151</f>
        <v>-0.10545841852056981</v>
      </c>
      <c r="DW66" s="5">
        <f>N70_DESARROLLO!EA151+N70_DESARROLLO!BD151</f>
        <v>-0.11791996375049385</v>
      </c>
      <c r="DX66" s="5">
        <f>N70_DESARROLLO!EB151+N70_DESARROLLO!BE151</f>
        <v>-0.13373123411929144</v>
      </c>
      <c r="DY66" s="5">
        <f>N70_DESARROLLO!EC151+N70_DESARROLLO!BF151</f>
        <v>-0.15445886474682136</v>
      </c>
      <c r="DZ66" s="5">
        <f>N70_DESARROLLO!ED151+N70_DESARROLLO!BG151</f>
        <v>-0.18283342438756101</v>
      </c>
      <c r="EA66" s="5">
        <f>N70_DESARROLLO!EE151+N70_DESARROLLO!BH151</f>
        <v>-0.22408833054043442</v>
      </c>
      <c r="EB66" s="5">
        <f>N70_DESARROLLO!EF151+N70_DESARROLLO!BI151</f>
        <v>-0.2897343415057293</v>
      </c>
      <c r="EC66" s="5">
        <f>N70_DESARROLLO!EG151+N70_DESARROLLO!BJ151</f>
        <v>-0.41141440075353952</v>
      </c>
      <c r="ED66" s="5">
        <f>N70_DESARROLLO!EH151+N70_DESARROLLO!BK151</f>
        <v>-0.72775792963608488</v>
      </c>
      <c r="EE66" s="5">
        <f>N70_DESARROLLO!EI151+N70_DESARROLLO!BL151</f>
        <v>-1.6479184659605211</v>
      </c>
      <c r="EF66" s="5">
        <f>N70_DESARROLLO!EJ151+N70_DESARROLLO!BM151</f>
        <v>1.6479184659605282</v>
      </c>
      <c r="EG66" s="5">
        <f>N70_DESARROLLO!EK151+N70_DESARROLLO!BN151</f>
        <v>0.72775792963608976</v>
      </c>
      <c r="EH66" s="5">
        <f>N70_DESARROLLO!EL151+N70_DESARROLLO!BO151</f>
        <v>0.41141440075354063</v>
      </c>
      <c r="EI66" s="5">
        <f>N70_DESARROLLO!EM151+N70_DESARROLLO!BP151</f>
        <v>0.28973434150574007</v>
      </c>
      <c r="EJ66" s="5">
        <f>N70_DESARROLLO!EN151+N70_DESARROLLO!BQ151</f>
        <v>0.2240883305404191</v>
      </c>
      <c r="EK66" s="5">
        <f>N70_DESARROLLO!EO151+N70_DESARROLLO!BR151</f>
        <v>0.18283342438757677</v>
      </c>
      <c r="EL66" s="5">
        <f>N70_DESARROLLO!EP151+N70_DESARROLLO!BS151</f>
        <v>0.15445886474680548</v>
      </c>
      <c r="EM66" s="5">
        <f>N70_DESARROLLO!EQ151+N70_DESARROLLO!BT151</f>
        <v>0.13373123411929777</v>
      </c>
      <c r="EN66" s="5">
        <f>N70_DESARROLLO!ER151+N70_DESARROLLO!BU151</f>
        <v>0.11791996375049496</v>
      </c>
      <c r="EO66" s="5">
        <f>N70_DESARROLLO!ES151+N70_DESARROLLO!BV151</f>
        <v>0.10545841852056947</v>
      </c>
      <c r="EP66" s="5">
        <f>N70_DESARROLLO!ET151+N70_DESARROLLO!BW151</f>
        <v>9.5382594982183821E-2</v>
      </c>
      <c r="EQ66" s="5">
        <f>N70_DESARROLLO!EU151+N70_DESARROLLO!BX151</f>
        <v>8.7066442319328474E-2</v>
      </c>
      <c r="ER66" s="5">
        <f>N70_DESARROLLO!EV151+N70_DESARROLLO!BY151</f>
        <v>119.6347757317737</v>
      </c>
      <c r="FC66">
        <v>57</v>
      </c>
      <c r="FD66" s="4">
        <v>7.3520670377976601E-5</v>
      </c>
      <c r="FE66" s="4">
        <v>1.4752603009839788E-4</v>
      </c>
      <c r="FF66" s="4">
        <v>1.9530290908392655E-4</v>
      </c>
      <c r="FG66" s="4">
        <v>2.3756278002197147E-4</v>
      </c>
      <c r="FH66" s="4">
        <v>2.7682575763544686E-4</v>
      </c>
      <c r="FI66" s="4">
        <v>3.1457686822486869E-4</v>
      </c>
      <c r="FJ66" s="4">
        <v>3.5164056355583981E-4</v>
      </c>
      <c r="FK66" s="4">
        <v>3.8855907733451945E-4</v>
      </c>
      <c r="FL66" s="4">
        <v>4.2572621570841985E-4</v>
      </c>
      <c r="FM66" s="4">
        <v>4.6345246552510338E-4</v>
      </c>
      <c r="FN66" s="4">
        <v>5.0199975867858875E-4</v>
      </c>
      <c r="FO66" s="4">
        <v>5.4160188302980819E-4</v>
      </c>
      <c r="FP66" s="4">
        <v>5.8247746070431018E-4</v>
      </c>
      <c r="FQ66" s="4">
        <v>6.2483884944386969E-4</v>
      </c>
      <c r="FR66" s="4">
        <v>6.6889872812069776E-4</v>
      </c>
      <c r="FS66" s="4">
        <v>7.1487535881052861E-4</v>
      </c>
      <c r="FT66" s="4">
        <v>7.629971244995428E-4</v>
      </c>
      <c r="FU66" s="4">
        <v>8.1350673141735829E-4</v>
      </c>
      <c r="FV66" s="4">
        <v>8.666653509061625E-4</v>
      </c>
      <c r="FW66" s="4">
        <v>9.227569152420029E-4</v>
      </c>
      <c r="FX66" s="4">
        <v>9.8209275348912391E-4</v>
      </c>
      <c r="FY66" s="4">
        <v>1.0450167463722346E-3</v>
      </c>
      <c r="FZ66" s="4">
        <v>1.1119111885045964E-3</v>
      </c>
      <c r="GA66" s="4">
        <v>1.183203569434525E-3</v>
      </c>
      <c r="GB66" s="4">
        <v>1.2593745224822336E-3</v>
      </c>
      <c r="GC66" s="4">
        <v>1.3409672442948834E-3</v>
      </c>
      <c r="GD66" s="4">
        <v>1.4285987617291861E-3</v>
      </c>
      <c r="GE66" s="4">
        <v>1.522973522444678E-3</v>
      </c>
      <c r="GF66" s="4">
        <v>1.6248999195713008E-3</v>
      </c>
      <c r="GG66" s="4">
        <v>1.7353105419459613E-3</v>
      </c>
      <c r="GH66" s="4">
        <v>1.8552871870832993E-3</v>
      </c>
      <c r="GI66" s="4">
        <v>1.9860920109512742E-3</v>
      </c>
      <c r="GJ66" s="4">
        <v>2.1292066548227301E-3</v>
      </c>
      <c r="GK66" s="4">
        <v>2.2863818423654527E-3</v>
      </c>
      <c r="GL66" s="4">
        <v>2.4597008662208147E-3</v>
      </c>
      <c r="GM66" s="4">
        <v>2.6516617153304481E-3</v>
      </c>
      <c r="GN66" s="4">
        <v>2.8652845395717918E-3</v>
      </c>
      <c r="GO66" s="4">
        <v>3.1042540370540828E-3</v>
      </c>
      <c r="GP66" s="4">
        <v>3.3731107184687349E-3</v>
      </c>
      <c r="GQ66" s="4">
        <v>3.6775117446368956E-3</v>
      </c>
      <c r="GR66" s="4">
        <v>4.0245926699614722E-3</v>
      </c>
      <c r="GS66" s="4">
        <v>4.4234786247047998E-3</v>
      </c>
      <c r="GT66" s="4">
        <v>4.8860220585666058E-3</v>
      </c>
      <c r="GU66" s="4">
        <v>5.4278931818513695E-3</v>
      </c>
      <c r="GV66" s="4">
        <v>6.0702362639985068E-3</v>
      </c>
      <c r="GW66" s="4">
        <v>6.8422657679165439E-3</v>
      </c>
      <c r="GX66" s="4">
        <v>7.7854875341204213E-3</v>
      </c>
      <c r="GY66" s="4">
        <v>8.9608659811691322E-3</v>
      </c>
      <c r="GZ66" s="4">
        <v>1.0461641996263697E-2</v>
      </c>
      <c r="HA66" s="4">
        <v>1.2437768768204233E-2</v>
      </c>
      <c r="HB66" s="4">
        <v>1.5146219580285192E-2</v>
      </c>
      <c r="HC66" s="4">
        <v>1.9068075730165605E-2</v>
      </c>
      <c r="HD66" s="4">
        <v>2.5181499386498489E-2</v>
      </c>
      <c r="HE66" s="4">
        <v>3.6424655728626035E-2</v>
      </c>
      <c r="HF66" s="4">
        <v>5.3631287318748583E-2</v>
      </c>
      <c r="HG66" s="4">
        <v>0.2441592345928115</v>
      </c>
      <c r="HH66" s="4">
        <v>-0.25170970686887029</v>
      </c>
      <c r="HI66" s="4">
        <v>-6.1199535622150275E-2</v>
      </c>
      <c r="HJ66" s="4">
        <v>-4.4027758067681354E-2</v>
      </c>
      <c r="HK66" s="4">
        <v>-3.2834773193873686E-2</v>
      </c>
      <c r="HL66" s="4">
        <v>-2.6783090548428212E-2</v>
      </c>
      <c r="HM66" s="4">
        <v>-2.29267805979061E-2</v>
      </c>
      <c r="HN66" s="4">
        <v>-2.0271386974596531E-2</v>
      </c>
      <c r="HO66" s="4">
        <v>-1.8300383072536477E-2</v>
      </c>
      <c r="HP66" s="4">
        <v>-1.6673597092024404E-2</v>
      </c>
      <c r="HQ66" s="4">
        <v>-1.5041244466844107E-2</v>
      </c>
      <c r="HR66" s="4">
        <v>-1.246536073497663E-2</v>
      </c>
      <c r="HS66" s="4">
        <v>-9.7597847007314595E-3</v>
      </c>
      <c r="HT66" s="4">
        <v>6.6372745946226108E-2</v>
      </c>
      <c r="HU66" s="4">
        <v>-0.22321170573165536</v>
      </c>
    </row>
    <row r="67" spans="4:229" x14ac:dyDescent="0.25">
      <c r="D67" s="10">
        <v>58</v>
      </c>
      <c r="E67" s="5">
        <f>'N70'!E74-'N70'!E73</f>
        <v>1.4285714285714235E-2</v>
      </c>
      <c r="F67" s="5">
        <f>'N70'!H73-'N70'!$E$16</f>
        <v>0.8214285714285714</v>
      </c>
      <c r="G67" s="5">
        <f>'N70'!H73-'N70'!$E$17</f>
        <v>0.80714285714285716</v>
      </c>
      <c r="H67" s="5">
        <f>'N70'!H73-'N70'!$E$18</f>
        <v>0.79285714285714282</v>
      </c>
      <c r="I67" s="5">
        <f>'N70'!H73-'N70'!$E$19</f>
        <v>0.77857142857142858</v>
      </c>
      <c r="J67" s="5">
        <f>'N70'!H73-'N70'!$E$20</f>
        <v>0.76428571428571423</v>
      </c>
      <c r="K67" s="5">
        <f>'N70'!H73-'N70'!$E$21</f>
        <v>0.75</v>
      </c>
      <c r="L67" s="5">
        <f>'N70'!H73-'N70'!$E$22</f>
        <v>0.73571428571428565</v>
      </c>
      <c r="M67" s="5">
        <f>'N70'!H73-'N70'!$E$23</f>
        <v>0.72142857142857142</v>
      </c>
      <c r="N67" s="5">
        <f>'N70'!H73-'N70'!$E$24</f>
        <v>0.70714285714285707</v>
      </c>
      <c r="O67" s="5">
        <f>'N70'!H73-'N70'!$E$25</f>
        <v>0.69285714285714284</v>
      </c>
      <c r="P67" s="5">
        <f>'N70'!H73-'N70'!$E$26</f>
        <v>0.6785714285714286</v>
      </c>
      <c r="Q67" s="5">
        <f>'N70'!H73-'N70'!$E$27</f>
        <v>0.66428571428571426</v>
      </c>
      <c r="R67" s="5">
        <f>'N70'!H73-'N70'!$E$28</f>
        <v>0.64999999999999991</v>
      </c>
      <c r="S67" s="5">
        <f>'N70'!H73-'N70'!$E$29</f>
        <v>0.63571428571428568</v>
      </c>
      <c r="T67" s="5">
        <f>'N70'!H73-'N70'!$E$30</f>
        <v>0.62142857142857144</v>
      </c>
      <c r="U67" s="5">
        <f>'N70'!H73-'N70'!$E$31</f>
        <v>0.6071428571428571</v>
      </c>
      <c r="V67" s="5">
        <f>'N70'!H73-'N70'!$E$32</f>
        <v>0.59285714285714286</v>
      </c>
      <c r="W67" s="5">
        <f>'N70'!H73-'N70'!$E$33</f>
        <v>0.57857142857142851</v>
      </c>
      <c r="X67" s="5">
        <f>'N70'!H73-'N70'!$E$34</f>
        <v>0.56428571428571428</v>
      </c>
      <c r="Y67" s="5">
        <f>'N70'!H73-'N70'!$E$35</f>
        <v>0.55000000000000004</v>
      </c>
      <c r="Z67" s="5">
        <f>'N70'!H73-'N70'!$E$36</f>
        <v>0.5357142857142857</v>
      </c>
      <c r="AA67" s="5">
        <f>'N70'!H73-'N70'!$E$37</f>
        <v>0.52142857142857135</v>
      </c>
      <c r="AB67" s="5">
        <f>'N70'!H73-'N70'!$E$38</f>
        <v>0.50714285714285712</v>
      </c>
      <c r="AC67" s="5">
        <f>'N70'!H73-'N70'!$E$39</f>
        <v>0.49285714285714283</v>
      </c>
      <c r="AD67" s="5">
        <f>'N70'!H73-'N70'!$E$40</f>
        <v>0.47857142857142854</v>
      </c>
      <c r="AE67" s="5">
        <f>'N70'!H73-'N70'!$E$41</f>
        <v>0.46428571428571425</v>
      </c>
      <c r="AF67" s="5">
        <f>'N70'!H73-'N70'!$E$42</f>
        <v>0.44999999999999996</v>
      </c>
      <c r="AG67" s="5">
        <f>'N70'!H73-'N70'!$E$43</f>
        <v>0.43571428571428572</v>
      </c>
      <c r="AH67" s="5">
        <f>'N70'!H73-'N70'!$E$44</f>
        <v>0.42142857142857143</v>
      </c>
      <c r="AI67" s="5">
        <f>'N70'!H73-'N70'!$E$45</f>
        <v>0.40714285714285714</v>
      </c>
      <c r="AJ67" s="5">
        <f>'N70'!H73-'N70'!$E$46</f>
        <v>0.39285714285714285</v>
      </c>
      <c r="AK67" s="5">
        <f>'N70'!H73-'N70'!$E$47</f>
        <v>0.37857142857142856</v>
      </c>
      <c r="AL67" s="5">
        <f>'N70'!H73-'N70'!$E$48</f>
        <v>0.36428571428571427</v>
      </c>
      <c r="AM67" s="5">
        <f>'N70'!H73-'N70'!$E$49</f>
        <v>0.35</v>
      </c>
      <c r="AN67" s="5">
        <f>'N70'!H73-'N70'!$E$50</f>
        <v>0.33571428571428569</v>
      </c>
      <c r="AO67" s="5">
        <f>'N70'!H73-'N70'!$E$51</f>
        <v>0.3214285714285714</v>
      </c>
      <c r="AP67" s="5">
        <f>'N70'!H73-'N70'!$E$52</f>
        <v>0.30714285714285716</v>
      </c>
      <c r="AQ67" s="5">
        <f>'N70'!H73-'N70'!$E$53</f>
        <v>0.29285714285714282</v>
      </c>
      <c r="AR67" s="5">
        <f>'N70'!H73-'N70'!$E$54</f>
        <v>0.27857142857142858</v>
      </c>
      <c r="AS67" s="5">
        <f>'N70'!H73-'N70'!$E$55</f>
        <v>0.26428571428571423</v>
      </c>
      <c r="AT67" s="5">
        <f>'N70'!H73-'N70'!$E$56</f>
        <v>0.25</v>
      </c>
      <c r="AU67" s="5">
        <f>'N70'!H73-'N70'!$E$57</f>
        <v>0.23571428571428565</v>
      </c>
      <c r="AV67" s="5">
        <f>'N70'!H73-'N70'!$E$58</f>
        <v>0.22142857142857142</v>
      </c>
      <c r="AW67" s="5">
        <f>'N70'!H73-'N70'!$E$59</f>
        <v>0.20714285714285718</v>
      </c>
      <c r="AX67" s="5">
        <f>'N70'!H73-'N70'!$E$60</f>
        <v>0.19285714285714284</v>
      </c>
      <c r="AY67" s="5">
        <f>'N70'!H73-'N70'!$E$61</f>
        <v>0.1785714285714286</v>
      </c>
      <c r="AZ67" s="5">
        <f>'N70'!H73-'N70'!$E$62</f>
        <v>0.16428571428571426</v>
      </c>
      <c r="BA67" s="5">
        <f>'N70'!H73-'N70'!$E$63</f>
        <v>0.15000000000000002</v>
      </c>
      <c r="BB67" s="5">
        <f>'N70'!H73-'N70'!$E$64</f>
        <v>0.13571428571428568</v>
      </c>
      <c r="BC67" s="5">
        <f>'N70'!H73-'N70'!$E$65</f>
        <v>0.12142857142857144</v>
      </c>
      <c r="BD67" s="5">
        <f>'N70'!H73-'N70'!$E$66</f>
        <v>0.1071428571428571</v>
      </c>
      <c r="BE67" s="5">
        <f>'N70'!H73-'N70'!$E$67</f>
        <v>9.285714285714286E-2</v>
      </c>
      <c r="BF67" s="5">
        <f>'N70'!H73-'N70'!$E$68</f>
        <v>7.8571428571428514E-2</v>
      </c>
      <c r="BG67" s="5">
        <f>'N70'!H73-'N70'!$E$69</f>
        <v>6.4285714285714279E-2</v>
      </c>
      <c r="BH67" s="5">
        <f>'N70'!H73-'N70'!$E$70</f>
        <v>5.0000000000000044E-2</v>
      </c>
      <c r="BI67" s="5">
        <f>'N70'!H73-'N70'!$E$71</f>
        <v>3.5714285714285698E-2</v>
      </c>
      <c r="BJ67" s="5">
        <f>'N70'!H73-'N70'!$E$72</f>
        <v>2.1428571428571463E-2</v>
      </c>
      <c r="BK67" s="5">
        <f>'N70'!H73-'N70'!$E$73</f>
        <v>7.1428571428571175E-3</v>
      </c>
      <c r="BL67" s="5">
        <f>'N70'!H73-'N70'!$E$74</f>
        <v>-7.1428571428571175E-3</v>
      </c>
      <c r="BM67" s="5">
        <f>'N70'!H73-'N70'!$E$75</f>
        <v>-2.1428571428571463E-2</v>
      </c>
      <c r="BN67" s="5">
        <f>'N70'!H73-'N70'!$E$76</f>
        <v>-3.5714285714285698E-2</v>
      </c>
      <c r="BO67" s="5">
        <f>'N70'!H73-'N70'!$E$77</f>
        <v>-5.0000000000000044E-2</v>
      </c>
      <c r="BP67" s="5">
        <f>'N70'!H73-'N70'!$E$78</f>
        <v>-6.4285714285714279E-2</v>
      </c>
      <c r="BQ67" s="5">
        <f>'N70'!H73-'N70'!$E$79</f>
        <v>-7.8571428571428625E-2</v>
      </c>
      <c r="BR67" s="5">
        <f>'N70'!H73-'N70'!$E$80</f>
        <v>-9.285714285714286E-2</v>
      </c>
      <c r="BS67" s="5">
        <f>'N70'!H73-'N70'!$E$81</f>
        <v>-0.1071428571428571</v>
      </c>
      <c r="BT67" s="5">
        <f>'N70'!H73-'N70'!$E$82</f>
        <v>-0.12142857142857144</v>
      </c>
      <c r="BU67" s="5">
        <f>'N70'!H73-'N70'!$E$83</f>
        <v>-0.13571428571428568</v>
      </c>
      <c r="BV67" s="5">
        <f>'N70'!H73-'N70'!$E$84</f>
        <v>-0.15000000000000002</v>
      </c>
      <c r="BW67" s="5">
        <f>'N70'!H73-'N70'!$E$85</f>
        <v>-0.16428571428571426</v>
      </c>
      <c r="BX67" s="5">
        <v>-1</v>
      </c>
      <c r="BZ67">
        <v>58</v>
      </c>
      <c r="CA67" s="5">
        <f>N70_DESARROLLO!CE152+N70_DESARROLLO!H152</f>
        <v>-8.7464848985490118E-3</v>
      </c>
      <c r="CB67" s="5">
        <f>N70_DESARROLLO!CF152+N70_DESARROLLO!I152</f>
        <v>-1.7700039580932247E-2</v>
      </c>
      <c r="CC67" s="5">
        <f>N70_DESARROLLO!CG152+N70_DESARROLLO!J152</f>
        <v>-1.80189934268703E-2</v>
      </c>
      <c r="CD67" s="5">
        <f>N70_DESARROLLO!CH152+N70_DESARROLLO!K152</f>
        <v>-1.8349653936844179E-2</v>
      </c>
      <c r="CE67" s="5">
        <f>N70_DESARROLLO!CI152+N70_DESARROLLO!L152</f>
        <v>-1.8692677708213812E-2</v>
      </c>
      <c r="CF67" s="5">
        <f>N70_DESARROLLO!CJ152+N70_DESARROLLO!M152</f>
        <v>-1.9048771379235774E-2</v>
      </c>
      <c r="CG67" s="5">
        <f>N70_DESARROLLO!CK152+N70_DESARROLLO!N152</f>
        <v>-1.9418696489477361E-2</v>
      </c>
      <c r="CH67" s="5">
        <f>N70_DESARROLLO!CL152+N70_DESARROLLO!O152</f>
        <v>-1.9803274917291835E-2</v>
      </c>
      <c r="CI67" s="5">
        <f>N70_DESARROLLO!CM152+N70_DESARROLLO!P152</f>
        <v>-2.0203394977345357E-2</v>
      </c>
      <c r="CJ67" s="5">
        <f>N70_DESARROLLO!CN152+N70_DESARROLLO!Q152</f>
        <v>-2.0620018272156537E-2</v>
      </c>
      <c r="CK67" s="5">
        <f>N70_DESARROLLO!CO152+N70_DESARROLLO!R152</f>
        <v>-2.1054187410165626E-2</v>
      </c>
      <c r="CL67" s="5">
        <f>N70_DESARROLLO!CP152+N70_DESARROLLO!S152</f>
        <v>-2.1507034719704166E-2</v>
      </c>
      <c r="CM67" s="5">
        <f>N70_DESARROLLO!CQ152+N70_DESARROLLO!T152</f>
        <v>-2.1979792112873819E-2</v>
      </c>
      <c r="CN67" s="5">
        <f>N70_DESARROLLO!CR152+N70_DESARROLLO!U152</f>
        <v>-2.2473802280097654E-2</v>
      </c>
      <c r="CO67" s="5">
        <f>N70_DESARROLLO!CS152+N70_DESARROLLO!V152</f>
        <v>-2.2990531429693095E-2</v>
      </c>
      <c r="CP67" s="5">
        <f>N70_DESARROLLO!CT152+N70_DESARROLLO!W152</f>
        <v>-2.3531583826945979E-2</v>
      </c>
      <c r="CQ67" s="5">
        <f>N70_DESARROLLO!CU152+N70_DESARROLLO!X152</f>
        <v>-2.4098718436559308E-2</v>
      </c>
      <c r="CR67" s="5">
        <f>N70_DESARROLLO!CV152+N70_DESARROLLO!Y152</f>
        <v>-2.4693868032508171E-2</v>
      </c>
      <c r="CS67" s="5">
        <f>N70_DESARROLLO!CW152+N70_DESARROLLO!Z152</f>
        <v>-2.5319161212281727E-2</v>
      </c>
      <c r="CT67" s="5">
        <f>N70_DESARROLLO!CX152+N70_DESARROLLO!AA152</f>
        <v>-2.5976947844864928E-2</v>
      </c>
      <c r="CU67" s="5">
        <f>N70_DESARROLLO!CY152+N70_DESARROLLO!AB152</f>
        <v>-2.6669828593220757E-2</v>
      </c>
      <c r="CV67" s="5">
        <f>N70_DESARROLLO!CZ152+N70_DESARROLLO!AC152</f>
        <v>-2.740068929380679E-2</v>
      </c>
      <c r="CW67" s="5">
        <f>N70_DESARROLLO!DA152+N70_DESARROLLO!AD152</f>
        <v>-2.8172741151781922E-2</v>
      </c>
      <c r="CX67" s="5">
        <f>N70_DESARROLLO!DB152+N70_DESARROLLO!AE152</f>
        <v>-2.8989567932952598E-2</v>
      </c>
      <c r="CY67" s="5">
        <f>N70_DESARROLLO!DC152+N70_DESARROLLO!AF152</f>
        <v>-2.9855181616034066E-2</v>
      </c>
      <c r="CZ67" s="5">
        <f>N70_DESARROLLO!DD152+N70_DESARROLLO!AG152</f>
        <v>-3.0774088329711402E-2</v>
      </c>
      <c r="DA67" s="5">
        <f>N70_DESARROLLO!DE152+N70_DESARROLLO!AH152</f>
        <v>-3.1751366862670549E-2</v>
      </c>
      <c r="DB67" s="5">
        <f>N70_DESARROLLO!DF152+N70_DESARROLLO!AI152</f>
        <v>-3.2792762635867723E-2</v>
      </c>
      <c r="DC67" s="5">
        <f>N70_DESARROLLO!DG152+N70_DESARROLLO!AJ152</f>
        <v>-3.3904800811321523E-2</v>
      </c>
      <c r="DD67" s="5">
        <f>N70_DESARROLLO!DH152+N70_DESARROLLO!AK152</f>
        <v>-3.5094923244214704E-2</v>
      </c>
      <c r="DE67" s="5">
        <f>N70_DESARROLLO!DI152+N70_DESARROLLO!AL152</f>
        <v>-3.6371655357440025E-2</v>
      </c>
      <c r="DF67" s="5">
        <f>N70_DESARROLLO!DJ152+N70_DESARROLLO!AM152</f>
        <v>-3.774481085569692E-2</v>
      </c>
      <c r="DG67" s="5">
        <f>N70_DESARROLLO!DK152+N70_DESARROLLO!AN152</f>
        <v>-3.9225744685481789E-2</v>
      </c>
      <c r="DH67" s="5">
        <f>N70_DESARROLLO!DL152+N70_DESARROLLO!AO152</f>
        <v>-4.0827668052531574E-2</v>
      </c>
      <c r="DI67" s="5">
        <f>N70_DESARROLLO!DM152+N70_DESARROLLO!AP152</f>
        <v>-4.2566044021113636E-2</v>
      </c>
      <c r="DJ67" s="5">
        <f>N70_DESARROLLO!DN152+N70_DESARROLLO!AQ152</f>
        <v>-4.4459088822766279E-2</v>
      </c>
      <c r="DK67" s="5">
        <f>N70_DESARROLLO!DO152+N70_DESARROLLO!AR152</f>
        <v>-4.6528413377880939E-2</v>
      </c>
      <c r="DL67" s="5">
        <f>N70_DESARROLLO!DP152+N70_DESARROLLO!AS152</f>
        <v>-4.879985303908263E-2</v>
      </c>
      <c r="DM67" s="5">
        <f>N70_DESARROLLO!DQ152+N70_DESARROLLO!AT152</f>
        <v>-5.1304553326333657E-2</v>
      </c>
      <c r="DN67" s="5">
        <f>N70_DESARROLLO!DR152+N70_DESARROLLO!AU152</f>
        <v>-5.408040883815779E-2</v>
      </c>
      <c r="DO67" s="5">
        <f>N70_DESARROLLO!DS152+N70_DESARROLLO!AV152</f>
        <v>-5.7173997129068899E-2</v>
      </c>
      <c r="DP67" s="5">
        <f>N70_DESARROLLO!DT152+N70_DESARROLLO!AW152</f>
        <v>-6.0643218403530041E-2</v>
      </c>
      <c r="DQ67" s="5">
        <f>N70_DESARROLLO!DU152+N70_DESARROLLO!AX152</f>
        <v>-6.4560961252483895E-2</v>
      </c>
      <c r="DR67" s="5">
        <f>N70_DESARROLLO!DV152+N70_DESARROLLO!AY152</f>
        <v>-6.9020292350860157E-2</v>
      </c>
      <c r="DS67" s="5">
        <f>N70_DESARROLLO!DW152+N70_DESARROLLO!AZ152</f>
        <v>-7.4141965022344158E-2</v>
      </c>
      <c r="DT67" s="5">
        <f>N70_DESARROLLO!DX152+N70_DESARROLLO!BA152</f>
        <v>-8.0085554140349235E-2</v>
      </c>
      <c r="DU67" s="5">
        <f>N70_DESARROLLO!DY152+N70_DESARROLLO!BB152</f>
        <v>-8.7066442319344017E-2</v>
      </c>
      <c r="DV67" s="5">
        <f>N70_DESARROLLO!DZ152+N70_DESARROLLO!BC152</f>
        <v>-9.5382594982166724E-2</v>
      </c>
      <c r="DW67" s="5">
        <f>N70_DESARROLLO!EA152+N70_DESARROLLO!BD152</f>
        <v>-0.10545841852058602</v>
      </c>
      <c r="DX67" s="5">
        <f>N70_DESARROLLO!EB152+N70_DESARROLLO!BE152</f>
        <v>-0.11791996375047831</v>
      </c>
      <c r="DY67" s="5">
        <f>N70_DESARROLLO!EC152+N70_DESARROLLO!BF152</f>
        <v>-0.13373123411930654</v>
      </c>
      <c r="DZ67" s="5">
        <f>N70_DESARROLLO!ED152+N70_DESARROLLO!BG152</f>
        <v>-0.15445886474680592</v>
      </c>
      <c r="EA67" s="5">
        <f>N70_DESARROLLO!EE152+N70_DESARROLLO!BH152</f>
        <v>-0.18283342438757666</v>
      </c>
      <c r="EB67" s="5">
        <f>N70_DESARROLLO!EF152+N70_DESARROLLO!BI152</f>
        <v>-0.22408833054042532</v>
      </c>
      <c r="EC67" s="5">
        <f>N70_DESARROLLO!EG152+N70_DESARROLLO!BJ152</f>
        <v>-0.28973434150572408</v>
      </c>
      <c r="ED67" s="5">
        <f>N70_DESARROLLO!EH152+N70_DESARROLLO!BK152</f>
        <v>-0.41141440075355473</v>
      </c>
      <c r="EE67" s="5">
        <f>N70_DESARROLLO!EI152+N70_DESARROLLO!BL152</f>
        <v>-0.72775792963607455</v>
      </c>
      <c r="EF67" s="5">
        <f>N70_DESARROLLO!EJ152+N70_DESARROLLO!BM152</f>
        <v>-1.6479184659605444</v>
      </c>
      <c r="EG67" s="5">
        <f>N70_DESARROLLO!EK152+N70_DESARROLLO!BN152</f>
        <v>1.6479184659605444</v>
      </c>
      <c r="EH67" s="5">
        <f>N70_DESARROLLO!EL152+N70_DESARROLLO!BO152</f>
        <v>0.72775792963607433</v>
      </c>
      <c r="EI67" s="5">
        <f>N70_DESARROLLO!EM152+N70_DESARROLLO!BP152</f>
        <v>0.41141440075355495</v>
      </c>
      <c r="EJ67" s="5">
        <f>N70_DESARROLLO!EN152+N70_DESARROLLO!BQ152</f>
        <v>0.2897343415057243</v>
      </c>
      <c r="EK67" s="5">
        <f>N70_DESARROLLO!EO152+N70_DESARROLLO!BR152</f>
        <v>0.22408833054043464</v>
      </c>
      <c r="EL67" s="5">
        <f>N70_DESARROLLO!EP152+N70_DESARROLLO!BS152</f>
        <v>0.18283342438756045</v>
      </c>
      <c r="EM67" s="5">
        <f>N70_DESARROLLO!EQ152+N70_DESARROLLO!BT152</f>
        <v>0.15445886474681236</v>
      </c>
      <c r="EN67" s="5">
        <f>N70_DESARROLLO!ER152+N70_DESARROLLO!BU152</f>
        <v>0.1337312341193071</v>
      </c>
      <c r="EO67" s="5">
        <f>N70_DESARROLLO!ES152+N70_DESARROLLO!BV152</f>
        <v>0.11791996375047809</v>
      </c>
      <c r="EP67" s="5">
        <f>N70_DESARROLLO!ET152+N70_DESARROLLO!BW152</f>
        <v>0.10545841852058624</v>
      </c>
      <c r="EQ67" s="5">
        <f>N70_DESARROLLO!EU152+N70_DESARROLLO!BX152</f>
        <v>9.5382594982166613E-2</v>
      </c>
      <c r="ER67" s="5">
        <f>N70_DESARROLLO!EV152+N70_DESARROLLO!BY152</f>
        <v>125.47517330595419</v>
      </c>
      <c r="FC67">
        <v>58</v>
      </c>
      <c r="FD67" s="4">
        <v>6.9221717322711558E-5</v>
      </c>
      <c r="FE67" s="4">
        <v>1.3886266600732865E-4</v>
      </c>
      <c r="FF67" s="4">
        <v>1.8377451767174813E-4</v>
      </c>
      <c r="FG67" s="4">
        <v>2.2346517070659369E-4</v>
      </c>
      <c r="FH67" s="4">
        <v>2.6030762143800792E-4</v>
      </c>
      <c r="FI67" s="4">
        <v>2.9569912734802808E-4</v>
      </c>
      <c r="FJ67" s="4">
        <v>3.3041420183157891E-4</v>
      </c>
      <c r="FK67" s="4">
        <v>3.6496105000218378E-4</v>
      </c>
      <c r="FL67" s="4">
        <v>3.9970759497377935E-4</v>
      </c>
      <c r="FM67" s="4">
        <v>4.3494278092841456E-4</v>
      </c>
      <c r="FN67" s="4">
        <v>4.7090927373218182E-4</v>
      </c>
      <c r="FO67" s="4">
        <v>5.0782262409870946E-4</v>
      </c>
      <c r="FP67" s="4">
        <v>5.4588341263659345E-4</v>
      </c>
      <c r="FQ67" s="4">
        <v>5.8528553638116751E-4</v>
      </c>
      <c r="FR67" s="4">
        <v>6.2622229323850559E-4</v>
      </c>
      <c r="FS67" s="4">
        <v>6.6889119569952106E-4</v>
      </c>
      <c r="FT67" s="4">
        <v>7.1349807342203171E-4</v>
      </c>
      <c r="FU67" s="4">
        <v>7.6026082518589359E-4</v>
      </c>
      <c r="FV67" s="4">
        <v>8.0941307155978624E-4</v>
      </c>
      <c r="FW67" s="4">
        <v>8.6120790067639611E-4</v>
      </c>
      <c r="FX67" s="4">
        <v>9.159218701287453E-4</v>
      </c>
      <c r="FY67" s="4">
        <v>9.7385941805575623E-4</v>
      </c>
      <c r="FZ67" s="4">
        <v>1.0353578408298792E-3</v>
      </c>
      <c r="GA67" s="4">
        <v>1.1007930107540601E-3</v>
      </c>
      <c r="GB67" s="4">
        <v>1.1705860349665838E-3</v>
      </c>
      <c r="GC67" s="4">
        <v>1.2452110971332751E-3</v>
      </c>
      <c r="GD67" s="4">
        <v>1.3252047792801651E-3</v>
      </c>
      <c r="GE67" s="4">
        <v>1.4111772361428544E-3</v>
      </c>
      <c r="GF67" s="4">
        <v>1.5038256948634334E-3</v>
      </c>
      <c r="GG67" s="4">
        <v>1.6039508875691443E-3</v>
      </c>
      <c r="GH67" s="4">
        <v>1.7124772055289944E-3</v>
      </c>
      <c r="GI67" s="4">
        <v>1.830477609617917E-3</v>
      </c>
      <c r="GJ67" s="4">
        <v>1.9592046685830379E-3</v>
      </c>
      <c r="GK67" s="4">
        <v>2.1001295627083405E-3</v>
      </c>
      <c r="GL67" s="4">
        <v>2.2549915432055734E-3</v>
      </c>
      <c r="GM67" s="4">
        <v>2.4258612633848383E-3</v>
      </c>
      <c r="GN67" s="4">
        <v>2.6152227292927112E-3</v>
      </c>
      <c r="GO67" s="4">
        <v>2.826080562272148E-3</v>
      </c>
      <c r="GP67" s="4">
        <v>3.0621021541714717E-3</v>
      </c>
      <c r="GQ67" s="4">
        <v>3.3278086642938407E-3</v>
      </c>
      <c r="GR67" s="4">
        <v>3.6288355481835471E-3</v>
      </c>
      <c r="GS67" s="4">
        <v>3.9722939443971343E-3</v>
      </c>
      <c r="GT67" s="4">
        <v>4.367281444904168E-3</v>
      </c>
      <c r="GU67" s="4">
        <v>4.8256193644351259E-3</v>
      </c>
      <c r="GV67" s="4">
        <v>5.3629426383697068E-3</v>
      </c>
      <c r="GW67" s="4">
        <v>6.0003555046269997E-3</v>
      </c>
      <c r="GX67" s="4">
        <v>6.7670269487351085E-3</v>
      </c>
      <c r="GY67" s="4">
        <v>7.7044111370136274E-3</v>
      </c>
      <c r="GZ67" s="4">
        <v>8.8734138351080852E-3</v>
      </c>
      <c r="HA67" s="4">
        <v>1.0367209552687426E-2</v>
      </c>
      <c r="HB67" s="4">
        <v>1.2335676800602352E-2</v>
      </c>
      <c r="HC67" s="4">
        <v>1.5035705734451912E-2</v>
      </c>
      <c r="HD67" s="4">
        <v>1.8948286833911639E-2</v>
      </c>
      <c r="HE67" s="4">
        <v>2.5051486330124887E-2</v>
      </c>
      <c r="HF67" s="4">
        <v>3.6283374426421988E-2</v>
      </c>
      <c r="HG67" s="4">
        <v>5.3477612500936605E-2</v>
      </c>
      <c r="HH67" s="4">
        <v>0.24399199947645733</v>
      </c>
      <c r="HI67" s="4">
        <v>-0.25189161940790306</v>
      </c>
      <c r="HJ67" s="4">
        <v>-6.139699881709778E-2</v>
      </c>
      <c r="HK67" s="4">
        <v>-4.4240996698949694E-2</v>
      </c>
      <c r="HL67" s="4">
        <v>-3.3062515706892739E-2</v>
      </c>
      <c r="HM67" s="4">
        <v>-2.7020743845685532E-2</v>
      </c>
      <c r="HN67" s="4">
        <v>-2.3162312764908422E-2</v>
      </c>
      <c r="HO67" s="4">
        <v>-2.047546237028532E-2</v>
      </c>
      <c r="HP67" s="4">
        <v>-1.8399315299814312E-2</v>
      </c>
      <c r="HQ67" s="4">
        <v>-1.6483863790871755E-2</v>
      </c>
      <c r="HR67" s="4">
        <v>-1.3753576598130113E-2</v>
      </c>
      <c r="HS67" s="4">
        <v>-1.1001596072048744E-2</v>
      </c>
      <c r="HT67" s="4">
        <v>6.4136019415646742E-2</v>
      </c>
      <c r="HU67" s="4">
        <v>-0.22291889754180541</v>
      </c>
    </row>
    <row r="68" spans="4:229" x14ac:dyDescent="0.25">
      <c r="D68" s="10">
        <v>59</v>
      </c>
      <c r="E68" s="5">
        <f>'N70'!E75-'N70'!E74</f>
        <v>1.4285714285714346E-2</v>
      </c>
      <c r="F68" s="5">
        <f>'N70'!H74-'N70'!$E$16</f>
        <v>0.83571428571428563</v>
      </c>
      <c r="G68" s="5">
        <f>'N70'!H74-'N70'!$E$17</f>
        <v>0.8214285714285714</v>
      </c>
      <c r="H68" s="5">
        <f>'N70'!H74-'N70'!$E$18</f>
        <v>0.80714285714285705</v>
      </c>
      <c r="I68" s="5">
        <f>'N70'!H74-'N70'!$E$19</f>
        <v>0.79285714285714282</v>
      </c>
      <c r="J68" s="5">
        <f>'N70'!H74-'N70'!$E$20</f>
        <v>0.77857142857142847</v>
      </c>
      <c r="K68" s="5">
        <f>'N70'!H74-'N70'!$E$21</f>
        <v>0.76428571428571423</v>
      </c>
      <c r="L68" s="5">
        <f>'N70'!H74-'N70'!$E$22</f>
        <v>0.74999999999999989</v>
      </c>
      <c r="M68" s="5">
        <f>'N70'!H74-'N70'!$E$23</f>
        <v>0.73571428571428565</v>
      </c>
      <c r="N68" s="5">
        <f>'N70'!H74-'N70'!$E$24</f>
        <v>0.72142857142857131</v>
      </c>
      <c r="O68" s="5">
        <f>'N70'!H74-'N70'!$E$25</f>
        <v>0.70714285714285707</v>
      </c>
      <c r="P68" s="5">
        <f>'N70'!H74-'N70'!$E$26</f>
        <v>0.69285714285714284</v>
      </c>
      <c r="Q68" s="5">
        <f>'N70'!H74-'N70'!$E$27</f>
        <v>0.67857142857142849</v>
      </c>
      <c r="R68" s="5">
        <f>'N70'!H74-'N70'!$E$28</f>
        <v>0.66428571428571415</v>
      </c>
      <c r="S68" s="5">
        <f>'N70'!H74-'N70'!$E$29</f>
        <v>0.64999999999999991</v>
      </c>
      <c r="T68" s="5">
        <f>'N70'!H74-'N70'!$E$30</f>
        <v>0.63571428571428568</v>
      </c>
      <c r="U68" s="5">
        <f>'N70'!H74-'N70'!$E$31</f>
        <v>0.62142857142857133</v>
      </c>
      <c r="V68" s="5">
        <f>'N70'!H74-'N70'!$E$32</f>
        <v>0.6071428571428571</v>
      </c>
      <c r="W68" s="5">
        <f>'N70'!H74-'N70'!$E$33</f>
        <v>0.59285714285714275</v>
      </c>
      <c r="X68" s="5">
        <f>'N70'!H74-'N70'!$E$34</f>
        <v>0.57857142857142851</v>
      </c>
      <c r="Y68" s="5">
        <f>'N70'!H74-'N70'!$E$35</f>
        <v>0.56428571428571428</v>
      </c>
      <c r="Z68" s="5">
        <f>'N70'!H74-'N70'!$E$36</f>
        <v>0.54999999999999993</v>
      </c>
      <c r="AA68" s="5">
        <f>'N70'!H74-'N70'!$E$37</f>
        <v>0.53571428571428559</v>
      </c>
      <c r="AB68" s="5">
        <f>'N70'!H74-'N70'!$E$38</f>
        <v>0.52142857142857135</v>
      </c>
      <c r="AC68" s="5">
        <f>'N70'!H74-'N70'!$E$39</f>
        <v>0.50714285714285712</v>
      </c>
      <c r="AD68" s="5">
        <f>'N70'!H74-'N70'!$E$40</f>
        <v>0.49285714285714277</v>
      </c>
      <c r="AE68" s="5">
        <f>'N70'!H74-'N70'!$E$41</f>
        <v>0.47857142857142848</v>
      </c>
      <c r="AF68" s="5">
        <f>'N70'!H74-'N70'!$E$42</f>
        <v>0.46428571428571419</v>
      </c>
      <c r="AG68" s="5">
        <f>'N70'!H74-'N70'!$E$43</f>
        <v>0.44999999999999996</v>
      </c>
      <c r="AH68" s="5">
        <f>'N70'!H74-'N70'!$E$44</f>
        <v>0.43571428571428567</v>
      </c>
      <c r="AI68" s="5">
        <f>'N70'!H74-'N70'!$E$45</f>
        <v>0.42142857142857137</v>
      </c>
      <c r="AJ68" s="5">
        <f>'N70'!H74-'N70'!$E$46</f>
        <v>0.40714285714285708</v>
      </c>
      <c r="AK68" s="5">
        <f>'N70'!H74-'N70'!$E$47</f>
        <v>0.39285714285714279</v>
      </c>
      <c r="AL68" s="5">
        <f>'N70'!H74-'N70'!$E$48</f>
        <v>0.3785714285714285</v>
      </c>
      <c r="AM68" s="5">
        <f>'N70'!H74-'N70'!$E$49</f>
        <v>0.36428571428571421</v>
      </c>
      <c r="AN68" s="5">
        <f>'N70'!H74-'N70'!$E$50</f>
        <v>0.34999999999999992</v>
      </c>
      <c r="AO68" s="5">
        <f>'N70'!H74-'N70'!$E$51</f>
        <v>0.33571428571428563</v>
      </c>
      <c r="AP68" s="5">
        <f>'N70'!H74-'N70'!$E$52</f>
        <v>0.3214285714285714</v>
      </c>
      <c r="AQ68" s="5">
        <f>'N70'!H74-'N70'!$E$53</f>
        <v>0.30714285714285705</v>
      </c>
      <c r="AR68" s="5">
        <f>'N70'!H74-'N70'!$E$54</f>
        <v>0.29285714285714282</v>
      </c>
      <c r="AS68" s="5">
        <f>'N70'!H74-'N70'!$E$55</f>
        <v>0.27857142857142847</v>
      </c>
      <c r="AT68" s="5">
        <f>'N70'!H74-'N70'!$E$56</f>
        <v>0.26428571428571423</v>
      </c>
      <c r="AU68" s="5">
        <f>'N70'!H74-'N70'!$E$57</f>
        <v>0.24999999999999989</v>
      </c>
      <c r="AV68" s="5">
        <f>'N70'!H74-'N70'!$E$58</f>
        <v>0.23571428571428565</v>
      </c>
      <c r="AW68" s="5">
        <f>'N70'!H74-'N70'!$E$59</f>
        <v>0.22142857142857142</v>
      </c>
      <c r="AX68" s="5">
        <f>'N70'!H74-'N70'!$E$60</f>
        <v>0.20714285714285707</v>
      </c>
      <c r="AY68" s="5">
        <f>'N70'!H74-'N70'!$E$61</f>
        <v>0.19285714285714284</v>
      </c>
      <c r="AZ68" s="5">
        <f>'N70'!H74-'N70'!$E$62</f>
        <v>0.17857142857142849</v>
      </c>
      <c r="BA68" s="5">
        <f>'N70'!H74-'N70'!$E$63</f>
        <v>0.16428571428571426</v>
      </c>
      <c r="BB68" s="5">
        <f>'N70'!H74-'N70'!$E$64</f>
        <v>0.14999999999999991</v>
      </c>
      <c r="BC68" s="5">
        <f>'N70'!H74-'N70'!$E$65</f>
        <v>0.13571428571428568</v>
      </c>
      <c r="BD68" s="5">
        <f>'N70'!H74-'N70'!$E$66</f>
        <v>0.12142857142857133</v>
      </c>
      <c r="BE68" s="5">
        <f>'N70'!H74-'N70'!$E$67</f>
        <v>0.1071428571428571</v>
      </c>
      <c r="BF68" s="5">
        <f>'N70'!H74-'N70'!$E$68</f>
        <v>9.2857142857142749E-2</v>
      </c>
      <c r="BG68" s="5">
        <f>'N70'!H74-'N70'!$E$69</f>
        <v>7.8571428571428514E-2</v>
      </c>
      <c r="BH68" s="5">
        <f>'N70'!H74-'N70'!$E$70</f>
        <v>6.4285714285714279E-2</v>
      </c>
      <c r="BI68" s="5">
        <f>'N70'!H74-'N70'!$E$71</f>
        <v>4.9999999999999933E-2</v>
      </c>
      <c r="BJ68" s="5">
        <f>'N70'!H74-'N70'!$E$72</f>
        <v>3.5714285714285698E-2</v>
      </c>
      <c r="BK68" s="5">
        <f>'N70'!H74-'N70'!$E$73</f>
        <v>2.1428571428571352E-2</v>
      </c>
      <c r="BL68" s="5">
        <f>'N70'!H74-'N70'!$E$74</f>
        <v>7.1428571428571175E-3</v>
      </c>
      <c r="BM68" s="5">
        <f>'N70'!H74-'N70'!$E$75</f>
        <v>-7.1428571428572285E-3</v>
      </c>
      <c r="BN68" s="5">
        <f>'N70'!H74-'N70'!$E$76</f>
        <v>-2.1428571428571463E-2</v>
      </c>
      <c r="BO68" s="5">
        <f>'N70'!H74-'N70'!$E$77</f>
        <v>-3.5714285714285809E-2</v>
      </c>
      <c r="BP68" s="5">
        <f>'N70'!H74-'N70'!$E$78</f>
        <v>-5.0000000000000044E-2</v>
      </c>
      <c r="BQ68" s="5">
        <f>'N70'!H74-'N70'!$E$79</f>
        <v>-6.428571428571439E-2</v>
      </c>
      <c r="BR68" s="5">
        <f>'N70'!H74-'N70'!$E$80</f>
        <v>-7.8571428571428625E-2</v>
      </c>
      <c r="BS68" s="5">
        <f>'N70'!H74-'N70'!$E$81</f>
        <v>-9.285714285714286E-2</v>
      </c>
      <c r="BT68" s="5">
        <f>'N70'!H74-'N70'!$E$82</f>
        <v>-0.10714285714285721</v>
      </c>
      <c r="BU68" s="5">
        <f>'N70'!H74-'N70'!$E$83</f>
        <v>-0.12142857142857144</v>
      </c>
      <c r="BV68" s="5">
        <f>'N70'!H74-'N70'!$E$84</f>
        <v>-0.13571428571428579</v>
      </c>
      <c r="BW68" s="5">
        <f>'N70'!H74-'N70'!$E$85</f>
        <v>-0.15000000000000002</v>
      </c>
      <c r="BX68" s="5">
        <v>-1</v>
      </c>
      <c r="BZ68">
        <v>59</v>
      </c>
      <c r="CA68" s="5">
        <f>N70_DESARROLLO!CE153+N70_DESARROLLO!H153</f>
        <v>-8.596110187827688E-3</v>
      </c>
      <c r="CB68" s="5">
        <f>N70_DESARROLLO!CF153+N70_DESARROLLO!I153</f>
        <v>-1.7392181490050618E-2</v>
      </c>
      <c r="CC68" s="5">
        <f>N70_DESARROLLO!CG153+N70_DESARROLLO!J153</f>
        <v>-1.7700039580951898E-2</v>
      </c>
      <c r="CD68" s="5">
        <f>N70_DESARROLLO!CH153+N70_DESARROLLO!K153</f>
        <v>-1.8018993426857532E-2</v>
      </c>
      <c r="CE68" s="5">
        <f>N70_DESARROLLO!CI153+N70_DESARROLLO!L153</f>
        <v>-1.834965393686272E-2</v>
      </c>
      <c r="CF68" s="5">
        <f>N70_DESARROLLO!CJ153+N70_DESARROLLO!M153</f>
        <v>-1.869267770818972E-2</v>
      </c>
      <c r="CG68" s="5">
        <f>N70_DESARROLLO!CK153+N70_DESARROLLO!N153</f>
        <v>-1.9048771379253426E-2</v>
      </c>
      <c r="CH68" s="5">
        <f>N70_DESARROLLO!CL153+N70_DESARROLLO!O153</f>
        <v>-1.9418696489460041E-2</v>
      </c>
      <c r="CI68" s="5">
        <f>N70_DESARROLLO!CM153+N70_DESARROLLO!P153</f>
        <v>-1.9803274917314484E-2</v>
      </c>
      <c r="CJ68" s="5">
        <f>N70_DESARROLLO!CN153+N70_DESARROLLO!Q153</f>
        <v>-2.0203394977333811E-2</v>
      </c>
      <c r="CK68" s="5">
        <f>N70_DESARROLLO!CO153+N70_DESARROLLO!R153</f>
        <v>-2.062001827215143E-2</v>
      </c>
      <c r="CL68" s="5">
        <f>N70_DESARROLLO!CP153+N70_DESARROLLO!S153</f>
        <v>-2.1054187410171177E-2</v>
      </c>
      <c r="CM68" s="5">
        <f>N70_DESARROLLO!CQ153+N70_DESARROLLO!T153</f>
        <v>-2.1507034719709384E-2</v>
      </c>
      <c r="CN68" s="5">
        <f>N70_DESARROLLO!CR153+N70_DESARROLLO!U153</f>
        <v>-2.197979211286849E-2</v>
      </c>
      <c r="CO68" s="5">
        <f>N70_DESARROLLO!CS153+N70_DESARROLLO!V153</f>
        <v>-2.2473802280093103E-2</v>
      </c>
      <c r="CP68" s="5">
        <f>N70_DESARROLLO!CT153+N70_DESARROLLO!W153</f>
        <v>-2.2990531429702865E-2</v>
      </c>
      <c r="CQ68" s="5">
        <f>N70_DESARROLLO!CU153+N70_DESARROLLO!X153</f>
        <v>-2.3531583826931435E-2</v>
      </c>
      <c r="CR68" s="5">
        <f>N70_DESARROLLO!CV153+N70_DESARROLLO!Y153</f>
        <v>-2.4098718436573519E-2</v>
      </c>
      <c r="CS68" s="5">
        <f>N70_DESARROLLO!CW153+N70_DESARROLLO!Z153</f>
        <v>-2.4693868032503286E-2</v>
      </c>
      <c r="CT68" s="5">
        <f>N70_DESARROLLO!CX153+N70_DESARROLLO!AA153</f>
        <v>-2.5319161212273178E-2</v>
      </c>
      <c r="CU68" s="5">
        <f>N70_DESARROLLO!CY153+N70_DESARROLLO!AB153</f>
        <v>-2.5976947844874254E-2</v>
      </c>
      <c r="CV68" s="5">
        <f>N70_DESARROLLO!CZ153+N70_DESARROLLO!AC153</f>
        <v>-2.6669828593224643E-2</v>
      </c>
      <c r="CW68" s="5">
        <f>N70_DESARROLLO!DA153+N70_DESARROLLO!AD153</f>
        <v>-2.7400689293802127E-2</v>
      </c>
      <c r="CX68" s="5">
        <f>N70_DESARROLLO!DB153+N70_DESARROLLO!AE153</f>
        <v>-2.8172741151778147E-2</v>
      </c>
      <c r="CY68" s="5">
        <f>N70_DESARROLLO!DC153+N70_DESARROLLO!AF153</f>
        <v>-2.8989567932956817E-2</v>
      </c>
      <c r="CZ68" s="5">
        <f>N70_DESARROLLO!DD153+N70_DESARROLLO!AG153</f>
        <v>-2.9855181616034066E-2</v>
      </c>
      <c r="DA68" s="5">
        <f>N70_DESARROLLO!DE153+N70_DESARROLLO!AH153</f>
        <v>-3.0774088329714844E-2</v>
      </c>
      <c r="DB68" s="5">
        <f>N70_DESARROLLO!DF153+N70_DESARROLLO!AI153</f>
        <v>-3.1751366862663444E-2</v>
      </c>
      <c r="DC68" s="5">
        <f>N70_DESARROLLO!DG153+N70_DESARROLLO!AJ153</f>
        <v>-3.2792762635871164E-2</v>
      </c>
      <c r="DD68" s="5">
        <f>N70_DESARROLLO!DH153+N70_DESARROLLO!AK153</f>
        <v>-3.3904800811321412E-2</v>
      </c>
      <c r="DE68" s="5">
        <f>N70_DESARROLLO!DI153+N70_DESARROLLO!AL153</f>
        <v>-3.5094923244214593E-2</v>
      </c>
      <c r="DF68" s="5">
        <f>N70_DESARROLLO!DJ153+N70_DESARROLLO!AM153</f>
        <v>-3.6371655357440247E-2</v>
      </c>
      <c r="DG68" s="5">
        <f>N70_DESARROLLO!DK153+N70_DESARROLLO!AN153</f>
        <v>-3.7744810855697031E-2</v>
      </c>
      <c r="DH68" s="5">
        <f>N70_DESARROLLO!DL153+N70_DESARROLLO!AO153</f>
        <v>-3.9225744685481456E-2</v>
      </c>
      <c r="DI68" s="5">
        <f>N70_DESARROLLO!DM153+N70_DESARROLLO!AP153</f>
        <v>-4.0827668052531463E-2</v>
      </c>
      <c r="DJ68" s="5">
        <f>N70_DESARROLLO!DN153+N70_DESARROLLO!AQ153</f>
        <v>-4.2566044021118632E-2</v>
      </c>
      <c r="DK68" s="5">
        <f>N70_DESARROLLO!DO153+N70_DESARROLLO!AR153</f>
        <v>-4.4459088822753623E-2</v>
      </c>
      <c r="DL68" s="5">
        <f>N70_DESARROLLO!DP153+N70_DESARROLLO!AS153</f>
        <v>-4.6528413377895816E-2</v>
      </c>
      <c r="DM68" s="5">
        <f>N70_DESARROLLO!DQ153+N70_DESARROLLO!AT153</f>
        <v>-4.8799853039066088E-2</v>
      </c>
      <c r="DN68" s="5">
        <f>N70_DESARROLLO!DR153+N70_DESARROLLO!AU153</f>
        <v>-5.1304553326351976E-2</v>
      </c>
      <c r="DO68" s="5">
        <f>N70_DESARROLLO!DS153+N70_DESARROLLO!AV153</f>
        <v>-5.408040883814047E-2</v>
      </c>
      <c r="DP68" s="5">
        <f>N70_DESARROLLO!DT153+N70_DESARROLLO!AW153</f>
        <v>-5.717399712908533E-2</v>
      </c>
      <c r="DQ68" s="5">
        <f>N70_DESARROLLO!DU153+N70_DESARROLLO!AX153</f>
        <v>-6.0643218403521382E-2</v>
      </c>
      <c r="DR68" s="5">
        <f>N70_DESARROLLO!DV153+N70_DESARROLLO!AY153</f>
        <v>-6.456096125247579E-2</v>
      </c>
      <c r="DS68" s="5">
        <f>N70_DESARROLLO!DW153+N70_DESARROLLO!AZ153</f>
        <v>-6.9020292350875811E-2</v>
      </c>
      <c r="DT68" s="5">
        <f>N70_DESARROLLO!DX153+N70_DESARROLLO!BA153</f>
        <v>-7.4141965022329614E-2</v>
      </c>
      <c r="DU68" s="5">
        <f>N70_DESARROLLO!DY153+N70_DESARROLLO!BB153</f>
        <v>-8.0085554140364557E-2</v>
      </c>
      <c r="DV68" s="5">
        <f>N70_DESARROLLO!DZ153+N70_DESARROLLO!BC153</f>
        <v>-8.7066442319328918E-2</v>
      </c>
      <c r="DW68" s="5">
        <f>N70_DESARROLLO!EA153+N70_DESARROLLO!BD153</f>
        <v>-9.5382594982182156E-2</v>
      </c>
      <c r="DX68" s="5">
        <f>N70_DESARROLLO!EB153+N70_DESARROLLO!BE153</f>
        <v>-0.10545841852057092</v>
      </c>
      <c r="DY68" s="5">
        <f>N70_DESARROLLO!EC153+N70_DESARROLLO!BF153</f>
        <v>-0.11791996375049318</v>
      </c>
      <c r="DZ68" s="5">
        <f>N70_DESARROLLO!ED153+N70_DESARROLLO!BG153</f>
        <v>-0.13373123411929144</v>
      </c>
      <c r="EA68" s="5">
        <f>N70_DESARROLLO!EE153+N70_DESARROLLO!BH153</f>
        <v>-0.15445886474682102</v>
      </c>
      <c r="EB68" s="5">
        <f>N70_DESARROLLO!EF153+N70_DESARROLLO!BI153</f>
        <v>-0.18283342438756756</v>
      </c>
      <c r="EC68" s="5">
        <f>N70_DESARROLLO!EG153+N70_DESARROLLO!BJ153</f>
        <v>-0.22408833054041921</v>
      </c>
      <c r="ED68" s="5">
        <f>N70_DESARROLLO!EH153+N70_DESARROLLO!BK153</f>
        <v>-0.28973434150574007</v>
      </c>
      <c r="EE68" s="5">
        <f>N70_DESARROLLO!EI153+N70_DESARROLLO!BL153</f>
        <v>-0.41141440075354019</v>
      </c>
      <c r="EF68" s="5">
        <f>N70_DESARROLLO!EJ153+N70_DESARROLLO!BM153</f>
        <v>-0.72775792963608976</v>
      </c>
      <c r="EG68" s="5">
        <f>N70_DESARROLLO!EK153+N70_DESARROLLO!BN153</f>
        <v>-1.6479184659605282</v>
      </c>
      <c r="EH68" s="5">
        <f>N70_DESARROLLO!EL153+N70_DESARROLLO!BO153</f>
        <v>1.6479184659605211</v>
      </c>
      <c r="EI68" s="5">
        <f>N70_DESARROLLO!EM153+N70_DESARROLLO!BP153</f>
        <v>0.72775792963608488</v>
      </c>
      <c r="EJ68" s="5">
        <f>N70_DESARROLLO!EN153+N70_DESARROLLO!BQ153</f>
        <v>0.4114144007535393</v>
      </c>
      <c r="EK68" s="5">
        <f>N70_DESARROLLO!EO153+N70_DESARROLLO!BR153</f>
        <v>0.2897343415057394</v>
      </c>
      <c r="EL68" s="5">
        <f>N70_DESARROLLO!EP153+N70_DESARROLLO!BS153</f>
        <v>0.22408833054041866</v>
      </c>
      <c r="EM68" s="5">
        <f>N70_DESARROLLO!EQ153+N70_DESARROLLO!BT153</f>
        <v>0.182833424387567</v>
      </c>
      <c r="EN68" s="5">
        <f>N70_DESARROLLO!ER153+N70_DESARROLLO!BU153</f>
        <v>0.1544588647468208</v>
      </c>
      <c r="EO68" s="5">
        <f>N70_DESARROLLO!ES153+N70_DESARROLLO!BV153</f>
        <v>0.13373123411929266</v>
      </c>
      <c r="EP68" s="5">
        <f>N70_DESARROLLO!ET153+N70_DESARROLLO!BW153</f>
        <v>0.11791996375049285</v>
      </c>
      <c r="EQ68" s="5">
        <f>N70_DESARROLLO!EU153+N70_DESARROLLO!BX153</f>
        <v>0.10545841852057103</v>
      </c>
      <c r="ER68" s="5">
        <f>N70_DESARROLLO!EV153+N70_DESARROLLO!BY153</f>
        <v>131.84760872267253</v>
      </c>
      <c r="FC68">
        <v>59</v>
      </c>
      <c r="FD68" s="4">
        <v>6.5021197921637751E-5</v>
      </c>
      <c r="FE68" s="4">
        <v>1.3040271107255932E-4</v>
      </c>
      <c r="FF68" s="4">
        <v>1.7252489347888028E-4</v>
      </c>
      <c r="FG68" s="4">
        <v>2.0971866958546172E-4</v>
      </c>
      <c r="FH68" s="4">
        <v>2.4421330811218183E-4</v>
      </c>
      <c r="FI68" s="4">
        <v>2.7732049581765197E-4</v>
      </c>
      <c r="FJ68" s="4">
        <v>3.0976625718054005E-4</v>
      </c>
      <c r="FK68" s="4">
        <v>3.4202594666958921E-4</v>
      </c>
      <c r="FL68" s="4">
        <v>3.7444268351238347E-4</v>
      </c>
      <c r="FM68" s="4">
        <v>4.0728493980033635E-4</v>
      </c>
      <c r="FN68" s="4">
        <v>4.4077723279988451E-4</v>
      </c>
      <c r="FO68" s="4">
        <v>4.7511808108127533E-4</v>
      </c>
      <c r="FP68" s="4">
        <v>5.104913512869099E-4</v>
      </c>
      <c r="FQ68" s="4">
        <v>5.4707396380646988E-4</v>
      </c>
      <c r="FR68" s="4">
        <v>5.8504151207587542E-4</v>
      </c>
      <c r="FS68" s="4">
        <v>6.2457266800731146E-4</v>
      </c>
      <c r="FT68" s="4">
        <v>6.6585289574060103E-4</v>
      </c>
      <c r="FU68" s="4">
        <v>7.0907780781912151E-4</v>
      </c>
      <c r="FV68" s="4">
        <v>7.544563940246325E-4</v>
      </c>
      <c r="FW68" s="4">
        <v>8.0221429613862023E-4</v>
      </c>
      <c r="FX68" s="4">
        <v>8.5259727231293194E-4</v>
      </c>
      <c r="FY68" s="4">
        <v>9.0587498281420847E-4</v>
      </c>
      <c r="FZ68" s="4">
        <v>9.6234522966505182E-4</v>
      </c>
      <c r="GA68" s="4">
        <v>1.0223387934352635E-3</v>
      </c>
      <c r="GB68" s="4">
        <v>1.0862250308181481E-3</v>
      </c>
      <c r="GC68" s="4">
        <v>1.1544184270120994E-3</v>
      </c>
      <c r="GD68" s="4">
        <v>1.227386339207531E-3</v>
      </c>
      <c r="GE68" s="4">
        <v>1.3056582243313245E-3</v>
      </c>
      <c r="GF68" s="4">
        <v>1.3898367199448158E-3</v>
      </c>
      <c r="GG68" s="4">
        <v>1.4806110482733304E-3</v>
      </c>
      <c r="GH68" s="4">
        <v>1.5787733480406604E-3</v>
      </c>
      <c r="GI68" s="4">
        <v>1.6852387202557436E-3</v>
      </c>
      <c r="GJ68" s="4">
        <v>1.8010700199425458E-3</v>
      </c>
      <c r="GK68" s="4">
        <v>1.927508762408601E-3</v>
      </c>
      <c r="GL68" s="4">
        <v>2.0660139785211953E-3</v>
      </c>
      <c r="GM68" s="4">
        <v>2.2183115057424429E-3</v>
      </c>
      <c r="GN68" s="4">
        <v>2.3864571269224667E-3</v>
      </c>
      <c r="GO68" s="4">
        <v>2.5729182997961939E-3</v>
      </c>
      <c r="GP68" s="4">
        <v>2.7806811642194736E-3</v>
      </c>
      <c r="GQ68" s="4">
        <v>3.0133924015181761E-3</v>
      </c>
      <c r="GR68" s="4">
        <v>3.2755498876376244E-3</v>
      </c>
      <c r="GS68" s="4">
        <v>3.5727628218495322E-3</v>
      </c>
      <c r="GT68" s="4">
        <v>3.9121126475340868E-3</v>
      </c>
      <c r="GU68" s="4">
        <v>4.3026632803793048E-3</v>
      </c>
      <c r="GV68" s="4">
        <v>4.7561977483861701E-3</v>
      </c>
      <c r="GW68" s="4">
        <v>5.2883073631960426E-3</v>
      </c>
      <c r="GX68" s="4">
        <v>5.9200465709873147E-3</v>
      </c>
      <c r="GY68" s="4">
        <v>6.6805274619735414E-3</v>
      </c>
      <c r="GZ68" s="4">
        <v>7.6111391784965052E-3</v>
      </c>
      <c r="HA68" s="4">
        <v>8.7727132633963999E-3</v>
      </c>
      <c r="HB68" s="4">
        <v>1.0258339790735762E-2</v>
      </c>
      <c r="HC68" s="4">
        <v>1.221780187279803E-2</v>
      </c>
      <c r="HD68" s="4">
        <v>1.4907883225800597E-2</v>
      </c>
      <c r="HE68" s="4">
        <v>1.8809458232023273E-2</v>
      </c>
      <c r="HF68" s="4">
        <v>2.4900471728706977E-2</v>
      </c>
      <c r="HG68" s="4">
        <v>3.6118877513815109E-2</v>
      </c>
      <c r="HH68" s="4">
        <v>5.3298247562808362E-2</v>
      </c>
      <c r="HI68" s="4">
        <v>0.24379636385924813</v>
      </c>
      <c r="HJ68" s="4">
        <v>-0.25210477953316901</v>
      </c>
      <c r="HK68" s="4">
        <v>-6.1628428753111225E-2</v>
      </c>
      <c r="HL68" s="4">
        <v>-4.4490159015809001E-2</v>
      </c>
      <c r="HM68" s="4">
        <v>-3.3325892202648692E-2</v>
      </c>
      <c r="HN68" s="4">
        <v>-2.7287951626714671E-2</v>
      </c>
      <c r="HO68" s="4">
        <v>-2.3406700786260611E-2</v>
      </c>
      <c r="HP68" s="4">
        <v>-2.0628086730003284E-2</v>
      </c>
      <c r="HQ68" s="4">
        <v>-1.8285793167627368E-2</v>
      </c>
      <c r="HR68" s="4">
        <v>-1.5319284450730813E-2</v>
      </c>
      <c r="HS68" s="4">
        <v>-1.2478089365222595E-2</v>
      </c>
      <c r="HT68" s="4">
        <v>6.1533106027179339E-2</v>
      </c>
      <c r="HU68" s="4">
        <v>-0.22257076476703119</v>
      </c>
    </row>
    <row r="69" spans="4:229" x14ac:dyDescent="0.25">
      <c r="D69" s="10">
        <v>60</v>
      </c>
      <c r="E69" s="5">
        <f>'N70'!E76-'N70'!E75</f>
        <v>1.4285714285714235E-2</v>
      </c>
      <c r="F69" s="5">
        <f>'N70'!H75-'N70'!$E$16</f>
        <v>0.85</v>
      </c>
      <c r="G69" s="5">
        <f>'N70'!H75-'N70'!$E$17</f>
        <v>0.83571428571428574</v>
      </c>
      <c r="H69" s="5">
        <f>'N70'!H75-'N70'!$E$18</f>
        <v>0.8214285714285714</v>
      </c>
      <c r="I69" s="5">
        <f>'N70'!H75-'N70'!$E$19</f>
        <v>0.80714285714285716</v>
      </c>
      <c r="J69" s="5">
        <f>'N70'!H75-'N70'!$E$20</f>
        <v>0.79285714285714282</v>
      </c>
      <c r="K69" s="5">
        <f>'N70'!H75-'N70'!$E$21</f>
        <v>0.77857142857142858</v>
      </c>
      <c r="L69" s="5">
        <f>'N70'!H75-'N70'!$E$22</f>
        <v>0.76428571428571423</v>
      </c>
      <c r="M69" s="5">
        <f>'N70'!H75-'N70'!$E$23</f>
        <v>0.75</v>
      </c>
      <c r="N69" s="5">
        <f>'N70'!H75-'N70'!$E$24</f>
        <v>0.73571428571428565</v>
      </c>
      <c r="O69" s="5">
        <f>'N70'!H75-'N70'!$E$25</f>
        <v>0.72142857142857142</v>
      </c>
      <c r="P69" s="5">
        <f>'N70'!H75-'N70'!$E$26</f>
        <v>0.70714285714285707</v>
      </c>
      <c r="Q69" s="5">
        <f>'N70'!H75-'N70'!$E$27</f>
        <v>0.69285714285714284</v>
      </c>
      <c r="R69" s="5">
        <f>'N70'!H75-'N70'!$E$28</f>
        <v>0.6785714285714286</v>
      </c>
      <c r="S69" s="5">
        <f>'N70'!H75-'N70'!$E$29</f>
        <v>0.66428571428571426</v>
      </c>
      <c r="T69" s="5">
        <f>'N70'!H75-'N70'!$E$30</f>
        <v>0.65</v>
      </c>
      <c r="U69" s="5">
        <f>'N70'!H75-'N70'!$E$31</f>
        <v>0.63571428571428568</v>
      </c>
      <c r="V69" s="5">
        <f>'N70'!H75-'N70'!$E$32</f>
        <v>0.62142857142857144</v>
      </c>
      <c r="W69" s="5">
        <f>'N70'!H75-'N70'!$E$33</f>
        <v>0.6071428571428571</v>
      </c>
      <c r="X69" s="5">
        <f>'N70'!H75-'N70'!$E$34</f>
        <v>0.59285714285714286</v>
      </c>
      <c r="Y69" s="5">
        <f>'N70'!H75-'N70'!$E$35</f>
        <v>0.57857142857142851</v>
      </c>
      <c r="Z69" s="5">
        <f>'N70'!H75-'N70'!$E$36</f>
        <v>0.56428571428571428</v>
      </c>
      <c r="AA69" s="5">
        <f>'N70'!H75-'N70'!$E$37</f>
        <v>0.55000000000000004</v>
      </c>
      <c r="AB69" s="5">
        <f>'N70'!H75-'N70'!$E$38</f>
        <v>0.5357142857142857</v>
      </c>
      <c r="AC69" s="5">
        <f>'N70'!H75-'N70'!$E$39</f>
        <v>0.52142857142857135</v>
      </c>
      <c r="AD69" s="5">
        <f>'N70'!H75-'N70'!$E$40</f>
        <v>0.50714285714285712</v>
      </c>
      <c r="AE69" s="5">
        <f>'N70'!H75-'N70'!$E$41</f>
        <v>0.49285714285714283</v>
      </c>
      <c r="AF69" s="5">
        <f>'N70'!H75-'N70'!$E$42</f>
        <v>0.47857142857142854</v>
      </c>
      <c r="AG69" s="5">
        <f>'N70'!H75-'N70'!$E$43</f>
        <v>0.4642857142857143</v>
      </c>
      <c r="AH69" s="5">
        <f>'N70'!H75-'N70'!$E$44</f>
        <v>0.45</v>
      </c>
      <c r="AI69" s="5">
        <f>'N70'!H75-'N70'!$E$45</f>
        <v>0.43571428571428572</v>
      </c>
      <c r="AJ69" s="5">
        <f>'N70'!H75-'N70'!$E$46</f>
        <v>0.42142857142857143</v>
      </c>
      <c r="AK69" s="5">
        <f>'N70'!H75-'N70'!$E$47</f>
        <v>0.40714285714285714</v>
      </c>
      <c r="AL69" s="5">
        <f>'N70'!H75-'N70'!$E$48</f>
        <v>0.39285714285714285</v>
      </c>
      <c r="AM69" s="5">
        <f>'N70'!H75-'N70'!$E$49</f>
        <v>0.37857142857142856</v>
      </c>
      <c r="AN69" s="5">
        <f>'N70'!H75-'N70'!$E$50</f>
        <v>0.36428571428571427</v>
      </c>
      <c r="AO69" s="5">
        <f>'N70'!H75-'N70'!$E$51</f>
        <v>0.35</v>
      </c>
      <c r="AP69" s="5">
        <f>'N70'!H75-'N70'!$E$52</f>
        <v>0.33571428571428574</v>
      </c>
      <c r="AQ69" s="5">
        <f>'N70'!H75-'N70'!$E$53</f>
        <v>0.3214285714285714</v>
      </c>
      <c r="AR69" s="5">
        <f>'N70'!H75-'N70'!$E$54</f>
        <v>0.30714285714285716</v>
      </c>
      <c r="AS69" s="5">
        <f>'N70'!H75-'N70'!$E$55</f>
        <v>0.29285714285714282</v>
      </c>
      <c r="AT69" s="5">
        <f>'N70'!H75-'N70'!$E$56</f>
        <v>0.27857142857142858</v>
      </c>
      <c r="AU69" s="5">
        <f>'N70'!H75-'N70'!$E$57</f>
        <v>0.26428571428571423</v>
      </c>
      <c r="AV69" s="5">
        <f>'N70'!H75-'N70'!$E$58</f>
        <v>0.25</v>
      </c>
      <c r="AW69" s="5">
        <f>'N70'!H75-'N70'!$E$59</f>
        <v>0.23571428571428577</v>
      </c>
      <c r="AX69" s="5">
        <f>'N70'!H75-'N70'!$E$60</f>
        <v>0.22142857142857142</v>
      </c>
      <c r="AY69" s="5">
        <f>'N70'!H75-'N70'!$E$61</f>
        <v>0.20714285714285718</v>
      </c>
      <c r="AZ69" s="5">
        <f>'N70'!H75-'N70'!$E$62</f>
        <v>0.19285714285714284</v>
      </c>
      <c r="BA69" s="5">
        <f>'N70'!H75-'N70'!$E$63</f>
        <v>0.1785714285714286</v>
      </c>
      <c r="BB69" s="5">
        <f>'N70'!H75-'N70'!$E$64</f>
        <v>0.16428571428571426</v>
      </c>
      <c r="BC69" s="5">
        <f>'N70'!H75-'N70'!$E$65</f>
        <v>0.15000000000000002</v>
      </c>
      <c r="BD69" s="5">
        <f>'N70'!H75-'N70'!$E$66</f>
        <v>0.13571428571428568</v>
      </c>
      <c r="BE69" s="5">
        <f>'N70'!H75-'N70'!$E$67</f>
        <v>0.12142857142857144</v>
      </c>
      <c r="BF69" s="5">
        <f>'N70'!H75-'N70'!$E$68</f>
        <v>0.1071428571428571</v>
      </c>
      <c r="BG69" s="5">
        <f>'N70'!H75-'N70'!$E$69</f>
        <v>9.285714285714286E-2</v>
      </c>
      <c r="BH69" s="5">
        <f>'N70'!H75-'N70'!$E$70</f>
        <v>7.8571428571428625E-2</v>
      </c>
      <c r="BI69" s="5">
        <f>'N70'!H75-'N70'!$E$71</f>
        <v>6.4285714285714279E-2</v>
      </c>
      <c r="BJ69" s="5">
        <f>'N70'!H75-'N70'!$E$72</f>
        <v>5.0000000000000044E-2</v>
      </c>
      <c r="BK69" s="5">
        <f>'N70'!H75-'N70'!$E$73</f>
        <v>3.5714285714285698E-2</v>
      </c>
      <c r="BL69" s="5">
        <f>'N70'!H75-'N70'!$E$74</f>
        <v>2.1428571428571463E-2</v>
      </c>
      <c r="BM69" s="5">
        <f>'N70'!H75-'N70'!$E$75</f>
        <v>7.1428571428571175E-3</v>
      </c>
      <c r="BN69" s="5">
        <f>'N70'!H75-'N70'!$E$76</f>
        <v>-7.1428571428571175E-3</v>
      </c>
      <c r="BO69" s="5">
        <f>'N70'!H75-'N70'!$E$77</f>
        <v>-2.1428571428571463E-2</v>
      </c>
      <c r="BP69" s="5">
        <f>'N70'!H75-'N70'!$E$78</f>
        <v>-3.5714285714285698E-2</v>
      </c>
      <c r="BQ69" s="5">
        <f>'N70'!H75-'N70'!$E$79</f>
        <v>-5.0000000000000044E-2</v>
      </c>
      <c r="BR69" s="5">
        <f>'N70'!H75-'N70'!$E$80</f>
        <v>-6.4285714285714279E-2</v>
      </c>
      <c r="BS69" s="5">
        <f>'N70'!H75-'N70'!$E$81</f>
        <v>-7.8571428571428514E-2</v>
      </c>
      <c r="BT69" s="5">
        <f>'N70'!H75-'N70'!$E$82</f>
        <v>-9.285714285714286E-2</v>
      </c>
      <c r="BU69" s="5">
        <f>'N70'!H75-'N70'!$E$83</f>
        <v>-0.1071428571428571</v>
      </c>
      <c r="BV69" s="5">
        <f>'N70'!H75-'N70'!$E$84</f>
        <v>-0.12142857142857144</v>
      </c>
      <c r="BW69" s="5">
        <f>'N70'!H75-'N70'!$E$85</f>
        <v>-0.13571428571428568</v>
      </c>
      <c r="BX69" s="5">
        <v>-1</v>
      </c>
      <c r="BZ69">
        <v>60</v>
      </c>
      <c r="CA69" s="5">
        <f>N70_DESARROLLO!CE154+N70_DESARROLLO!H154</f>
        <v>-8.4508188132838002E-3</v>
      </c>
      <c r="CB69" s="5">
        <f>N70_DESARROLLO!CF154+N70_DESARROLLO!I154</f>
        <v>-1.7094850027301711E-2</v>
      </c>
      <c r="CC69" s="5">
        <f>N70_DESARROLLO!CG154+N70_DESARROLLO!J154</f>
        <v>-1.7392181490069936E-2</v>
      </c>
      <c r="CD69" s="5">
        <f>N70_DESARROLLO!CH154+N70_DESARROLLO!K154</f>
        <v>-1.7700039580932247E-2</v>
      </c>
      <c r="CE69" s="5">
        <f>N70_DESARROLLO!CI154+N70_DESARROLLO!L154</f>
        <v>-1.80189934268703E-2</v>
      </c>
      <c r="CF69" s="5">
        <f>N70_DESARROLLO!CJ154+N70_DESARROLLO!M154</f>
        <v>-1.8349653936844179E-2</v>
      </c>
      <c r="CG69" s="5">
        <f>N70_DESARROLLO!CK154+N70_DESARROLLO!N154</f>
        <v>-1.8692677708213812E-2</v>
      </c>
      <c r="CH69" s="5">
        <f>N70_DESARROLLO!CL154+N70_DESARROLLO!O154</f>
        <v>-1.9048771379235774E-2</v>
      </c>
      <c r="CI69" s="5">
        <f>N70_DESARROLLO!CM154+N70_DESARROLLO!P154</f>
        <v>-1.9418696489477361E-2</v>
      </c>
      <c r="CJ69" s="5">
        <f>N70_DESARROLLO!CN154+N70_DESARROLLO!Q154</f>
        <v>-1.9803274917291835E-2</v>
      </c>
      <c r="CK69" s="5">
        <f>N70_DESARROLLO!CO154+N70_DESARROLLO!R154</f>
        <v>-2.0203394977345357E-2</v>
      </c>
      <c r="CL69" s="5">
        <f>N70_DESARROLLO!CP154+N70_DESARROLLO!S154</f>
        <v>-2.0620018272156537E-2</v>
      </c>
      <c r="CM69" s="5">
        <f>N70_DESARROLLO!CQ154+N70_DESARROLLO!T154</f>
        <v>-2.1054187410165626E-2</v>
      </c>
      <c r="CN69" s="5">
        <f>N70_DESARROLLO!CR154+N70_DESARROLLO!U154</f>
        <v>-2.1507034719714269E-2</v>
      </c>
      <c r="CO69" s="5">
        <f>N70_DESARROLLO!CS154+N70_DESARROLLO!V154</f>
        <v>-2.1979792112853391E-2</v>
      </c>
      <c r="CP69" s="5">
        <f>N70_DESARROLLO!CT154+N70_DESARROLLO!W154</f>
        <v>-2.2473802280108091E-2</v>
      </c>
      <c r="CQ69" s="5">
        <f>N70_DESARROLLO!CU154+N70_DESARROLLO!X154</f>
        <v>-2.2990531429693095E-2</v>
      </c>
      <c r="CR69" s="5">
        <f>N70_DESARROLLO!CV154+N70_DESARROLLO!Y154</f>
        <v>-2.3531583826945979E-2</v>
      </c>
      <c r="CS69" s="5">
        <f>N70_DESARROLLO!CW154+N70_DESARROLLO!Z154</f>
        <v>-2.4098718436559308E-2</v>
      </c>
      <c r="CT69" s="5">
        <f>N70_DESARROLLO!CX154+N70_DESARROLLO!AA154</f>
        <v>-2.4693868032508171E-2</v>
      </c>
      <c r="CU69" s="5">
        <f>N70_DESARROLLO!CY154+N70_DESARROLLO!AB154</f>
        <v>-2.5319161212281727E-2</v>
      </c>
      <c r="CV69" s="5">
        <f>N70_DESARROLLO!CZ154+N70_DESARROLLO!AC154</f>
        <v>-2.5976947844864928E-2</v>
      </c>
      <c r="CW69" s="5">
        <f>N70_DESARROLLO!DA154+N70_DESARROLLO!AD154</f>
        <v>-2.6669828593220757E-2</v>
      </c>
      <c r="CX69" s="5">
        <f>N70_DESARROLLO!DB154+N70_DESARROLLO!AE154</f>
        <v>-2.740068929380679E-2</v>
      </c>
      <c r="CY69" s="5">
        <f>N70_DESARROLLO!DC154+N70_DESARROLLO!AF154</f>
        <v>-2.8172741151781922E-2</v>
      </c>
      <c r="CZ69" s="5">
        <f>N70_DESARROLLO!DD154+N70_DESARROLLO!AG154</f>
        <v>-2.8989567932952598E-2</v>
      </c>
      <c r="DA69" s="5">
        <f>N70_DESARROLLO!DE154+N70_DESARROLLO!AH154</f>
        <v>-2.9855181616037618E-2</v>
      </c>
      <c r="DB69" s="5">
        <f>N70_DESARROLLO!DF154+N70_DESARROLLO!AI154</f>
        <v>-3.0774088329707516E-2</v>
      </c>
      <c r="DC69" s="5">
        <f>N70_DESARROLLO!DG154+N70_DESARROLLO!AJ154</f>
        <v>-3.1751366862667441E-2</v>
      </c>
      <c r="DD69" s="5">
        <f>N70_DESARROLLO!DH154+N70_DESARROLLO!AK154</f>
        <v>-3.2792762635871275E-2</v>
      </c>
      <c r="DE69" s="5">
        <f>N70_DESARROLLO!DI154+N70_DESARROLLO!AL154</f>
        <v>-3.3904800811321523E-2</v>
      </c>
      <c r="DF69" s="5">
        <f>N70_DESARROLLO!DJ154+N70_DESARROLLO!AM154</f>
        <v>-3.5094923244214704E-2</v>
      </c>
      <c r="DG69" s="5">
        <f>N70_DESARROLLO!DK154+N70_DESARROLLO!AN154</f>
        <v>-3.6371655357440025E-2</v>
      </c>
      <c r="DH69" s="5">
        <f>N70_DESARROLLO!DL154+N70_DESARROLLO!AO154</f>
        <v>-3.774481085569692E-2</v>
      </c>
      <c r="DI69" s="5">
        <f>N70_DESARROLLO!DM154+N70_DESARROLLO!AP154</f>
        <v>-3.9225744685481789E-2</v>
      </c>
      <c r="DJ69" s="5">
        <f>N70_DESARROLLO!DN154+N70_DESARROLLO!AQ154</f>
        <v>-4.0827668052537014E-2</v>
      </c>
      <c r="DK69" s="5">
        <f>N70_DESARROLLO!DO154+N70_DESARROLLO!AR154</f>
        <v>-4.2566044021105198E-2</v>
      </c>
      <c r="DL69" s="5">
        <f>N70_DESARROLLO!DP154+N70_DESARROLLO!AS154</f>
        <v>-4.4459088822769166E-2</v>
      </c>
      <c r="DM69" s="5">
        <f>N70_DESARROLLO!DQ154+N70_DESARROLLO!AT154</f>
        <v>-4.6528413377880939E-2</v>
      </c>
      <c r="DN69" s="5">
        <f>N70_DESARROLLO!DR154+N70_DESARROLLO!AU154</f>
        <v>-4.879985303908263E-2</v>
      </c>
      <c r="DO69" s="5">
        <f>N70_DESARROLLO!DS154+N70_DESARROLLO!AV154</f>
        <v>-5.1304553326333657E-2</v>
      </c>
      <c r="DP69" s="5">
        <f>N70_DESARROLLO!DT154+N70_DESARROLLO!AW154</f>
        <v>-5.408040883815779E-2</v>
      </c>
      <c r="DQ69" s="5">
        <f>N70_DESARROLLO!DU154+N70_DESARROLLO!AX154</f>
        <v>-5.7173997129076337E-2</v>
      </c>
      <c r="DR69" s="5">
        <f>N70_DESARROLLO!DV154+N70_DESARROLLO!AY154</f>
        <v>-6.0643218403514498E-2</v>
      </c>
      <c r="DS69" s="5">
        <f>N70_DESARROLLO!DW154+N70_DESARROLLO!AZ154</f>
        <v>-6.4560961252492111E-2</v>
      </c>
      <c r="DT69" s="5">
        <f>N70_DESARROLLO!DX154+N70_DESARROLLO!BA154</f>
        <v>-6.9020292350860157E-2</v>
      </c>
      <c r="DU69" s="5">
        <f>N70_DESARROLLO!DY154+N70_DESARROLLO!BB154</f>
        <v>-7.4141965022344158E-2</v>
      </c>
      <c r="DV69" s="5">
        <f>N70_DESARROLLO!DZ154+N70_DESARROLLO!BC154</f>
        <v>-8.0085554140349235E-2</v>
      </c>
      <c r="DW69" s="5">
        <f>N70_DESARROLLO!EA154+N70_DESARROLLO!BD154</f>
        <v>-8.7066442319344017E-2</v>
      </c>
      <c r="DX69" s="5">
        <f>N70_DESARROLLO!EB154+N70_DESARROLLO!BE154</f>
        <v>-9.5382594982166724E-2</v>
      </c>
      <c r="DY69" s="5">
        <f>N70_DESARROLLO!EC154+N70_DESARROLLO!BF154</f>
        <v>-0.10545841852058602</v>
      </c>
      <c r="DZ69" s="5">
        <f>N70_DESARROLLO!ED154+N70_DESARROLLO!BG154</f>
        <v>-0.11791996375047831</v>
      </c>
      <c r="EA69" s="5">
        <f>N70_DESARROLLO!EE154+N70_DESARROLLO!BH154</f>
        <v>-0.13373123411930654</v>
      </c>
      <c r="EB69" s="5">
        <f>N70_DESARROLLO!EF154+N70_DESARROLLO!BI154</f>
        <v>-0.15445886474681247</v>
      </c>
      <c r="EC69" s="5">
        <f>N70_DESARROLLO!EG154+N70_DESARROLLO!BJ154</f>
        <v>-0.18283342438756101</v>
      </c>
      <c r="ED69" s="5">
        <f>N70_DESARROLLO!EH154+N70_DESARROLLO!BK154</f>
        <v>-0.22408833054043442</v>
      </c>
      <c r="EE69" s="5">
        <f>N70_DESARROLLO!EI154+N70_DESARROLLO!BL154</f>
        <v>-0.28973434150572408</v>
      </c>
      <c r="EF69" s="5">
        <f>N70_DESARROLLO!EJ154+N70_DESARROLLO!BM154</f>
        <v>-0.41141440075355473</v>
      </c>
      <c r="EG69" s="5">
        <f>N70_DESARROLLO!EK154+N70_DESARROLLO!BN154</f>
        <v>-0.72775792963607455</v>
      </c>
      <c r="EH69" s="5">
        <f>N70_DESARROLLO!EL154+N70_DESARROLLO!BO154</f>
        <v>-1.6479184659605444</v>
      </c>
      <c r="EI69" s="5">
        <f>N70_DESARROLLO!EM154+N70_DESARROLLO!BP154</f>
        <v>1.6479184659605444</v>
      </c>
      <c r="EJ69" s="5">
        <f>N70_DESARROLLO!EN154+N70_DESARROLLO!BQ154</f>
        <v>0.72775792963607433</v>
      </c>
      <c r="EK69" s="5">
        <f>N70_DESARROLLO!EO154+N70_DESARROLLO!BR154</f>
        <v>0.41141440075355495</v>
      </c>
      <c r="EL69" s="5">
        <f>N70_DESARROLLO!EP154+N70_DESARROLLO!BS154</f>
        <v>0.2897343415057243</v>
      </c>
      <c r="EM69" s="5">
        <f>N70_DESARROLLO!EQ154+N70_DESARROLLO!BT154</f>
        <v>0.2240883305404251</v>
      </c>
      <c r="EN69" s="5">
        <f>N70_DESARROLLO!ER154+N70_DESARROLLO!BU154</f>
        <v>0.18283342438757677</v>
      </c>
      <c r="EO69" s="5">
        <f>N70_DESARROLLO!ES154+N70_DESARROLLO!BV154</f>
        <v>0.15445886474680548</v>
      </c>
      <c r="EP69" s="5">
        <f>N70_DESARROLLO!ET154+N70_DESARROLLO!BW154</f>
        <v>0.1337312341193071</v>
      </c>
      <c r="EQ69" s="5">
        <f>N70_DESARROLLO!EU154+N70_DESARROLLO!BX154</f>
        <v>0.11791996375047809</v>
      </c>
      <c r="ER69" s="5">
        <f>N70_DESARROLLO!EV154+N70_DESARROLLO!BY154</f>
        <v>138.85882591974013</v>
      </c>
      <c r="FC69">
        <v>60</v>
      </c>
      <c r="FD69" s="4">
        <v>6.0898781115854444E-5</v>
      </c>
      <c r="FE69" s="4">
        <v>1.2210492626118266E-4</v>
      </c>
      <c r="FF69" s="4">
        <v>1.6149871620832389E-4</v>
      </c>
      <c r="FG69" s="4">
        <v>1.9625504605116361E-4</v>
      </c>
      <c r="FH69" s="4">
        <v>2.2846213691549248E-4</v>
      </c>
      <c r="FI69" s="4">
        <v>2.5934786215275207E-4</v>
      </c>
      <c r="FJ69" s="4">
        <v>2.8959093603324608E-4</v>
      </c>
      <c r="FK69" s="4">
        <v>3.1963483649151761E-4</v>
      </c>
      <c r="FL69" s="4">
        <v>3.4979878380733464E-4</v>
      </c>
      <c r="FM69" s="4">
        <v>3.8033168483496838E-4</v>
      </c>
      <c r="FN69" s="4">
        <v>4.1144086110038046E-4</v>
      </c>
      <c r="FO69" s="4">
        <v>4.4330883062639514E-4</v>
      </c>
      <c r="FP69" s="4">
        <v>4.7610388489495973E-4</v>
      </c>
      <c r="FQ69" s="4">
        <v>5.0998724151607487E-4</v>
      </c>
      <c r="FR69" s="4">
        <v>5.4511822796776493E-4</v>
      </c>
      <c r="FS69" s="4">
        <v>5.8165831181216981E-4</v>
      </c>
      <c r="FT69" s="4">
        <v>6.1977446375266975E-4</v>
      </c>
      <c r="FU69" s="4">
        <v>6.5964216294860556E-4</v>
      </c>
      <c r="FV69" s="4">
        <v>7.0144825557018949E-4</v>
      </c>
      <c r="FW69" s="4">
        <v>7.4539382310781662E-4</v>
      </c>
      <c r="FX69" s="4">
        <v>7.9169718755471433E-4</v>
      </c>
      <c r="FY69" s="4">
        <v>8.405971676516648E-4</v>
      </c>
      <c r="FZ69" s="4">
        <v>8.9235669837435267E-4</v>
      </c>
      <c r="GA69" s="4">
        <v>9.4726693279022765E-4</v>
      </c>
      <c r="GB69" s="4">
        <v>1.0056519601667551E-3</v>
      </c>
      <c r="GC69" s="4">
        <v>1.067874297125633E-3</v>
      </c>
      <c r="GD69" s="4">
        <v>1.1343413406882203E-3</v>
      </c>
      <c r="GE69" s="4">
        <v>1.2055130154557197E-3</v>
      </c>
      <c r="GF69" s="4">
        <v>1.2819109045849944E-3</v>
      </c>
      <c r="GG69" s="4">
        <v>1.3641292305780826E-3</v>
      </c>
      <c r="GH69" s="4">
        <v>1.452848152911398E-3</v>
      </c>
      <c r="GI69" s="4">
        <v>1.5488499844865948E-3</v>
      </c>
      <c r="GJ69" s="4">
        <v>1.6530391101140323E-3</v>
      </c>
      <c r="GK69" s="4">
        <v>1.7664666358522324E-3</v>
      </c>
      <c r="GL69" s="4">
        <v>1.8903611343257382E-3</v>
      </c>
      <c r="GM69" s="4">
        <v>2.0261673164680177E-3</v>
      </c>
      <c r="GN69" s="4">
        <v>2.175595111815848E-3</v>
      </c>
      <c r="GO69" s="4">
        <v>2.3406825638752288E-3</v>
      </c>
      <c r="GP69" s="4">
        <v>2.523877277150444E-3</v>
      </c>
      <c r="GQ69" s="4">
        <v>2.7281430952889089E-3</v>
      </c>
      <c r="GR69" s="4">
        <v>2.9571015757415106E-3</v>
      </c>
      <c r="GS69" s="4">
        <v>3.2152221921823137E-3</v>
      </c>
      <c r="GT69" s="4">
        <v>3.5080819340927733E-3</v>
      </c>
      <c r="GU69" s="4">
        <v>3.8427256060336442E-3</v>
      </c>
      <c r="GV69" s="4">
        <v>4.2281753260876576E-3</v>
      </c>
      <c r="GW69" s="4">
        <v>4.6761663110481402E-3</v>
      </c>
      <c r="GX69" s="4">
        <v>5.2022350513790264E-3</v>
      </c>
      <c r="GY69" s="4">
        <v>5.8273730111041222E-3</v>
      </c>
      <c r="GZ69" s="4">
        <v>6.5806198284096328E-3</v>
      </c>
      <c r="HA69" s="4">
        <v>7.5032812751159791E-3</v>
      </c>
      <c r="HB69" s="4">
        <v>8.6560930796198768E-3</v>
      </c>
      <c r="HC69" s="4">
        <v>1.0132035606066117E-2</v>
      </c>
      <c r="HD69" s="4">
        <v>1.2080767305944923E-2</v>
      </c>
      <c r="HE69" s="4">
        <v>1.4758932279517689E-2</v>
      </c>
      <c r="HF69" s="4">
        <v>1.8647252691485695E-2</v>
      </c>
      <c r="HG69" s="4">
        <v>2.4723515872178491E-2</v>
      </c>
      <c r="HH69" s="4">
        <v>3.5925530323259416E-2</v>
      </c>
      <c r="HI69" s="4">
        <v>5.3086773339096428E-2</v>
      </c>
      <c r="HJ69" s="4">
        <v>0.24356506473506767</v>
      </c>
      <c r="HK69" s="4">
        <v>-0.2523572562963467</v>
      </c>
      <c r="HL69" s="4">
        <v>-6.1902402639029332E-2</v>
      </c>
      <c r="HM69" s="4">
        <v>-4.4783366818210241E-2</v>
      </c>
      <c r="HN69" s="4">
        <v>-3.3629876843026485E-2</v>
      </c>
      <c r="HO69" s="4">
        <v>-2.7579198122987869E-2</v>
      </c>
      <c r="HP69" s="4">
        <v>-2.362180689402002E-2</v>
      </c>
      <c r="HQ69" s="4">
        <v>-2.0603352161137855E-2</v>
      </c>
      <c r="HR69" s="4">
        <v>-1.7264793446476693E-2</v>
      </c>
      <c r="HS69" s="4">
        <v>-1.4263527958476309E-2</v>
      </c>
      <c r="HT69" s="4">
        <v>5.8463948268616298E-2</v>
      </c>
      <c r="HU69" s="4">
        <v>-0.22214296756267812</v>
      </c>
    </row>
    <row r="70" spans="4:229" x14ac:dyDescent="0.25">
      <c r="D70" s="10">
        <v>61</v>
      </c>
      <c r="E70" s="5">
        <f>'N70'!E77-'N70'!E76</f>
        <v>1.4285714285714346E-2</v>
      </c>
      <c r="F70" s="5">
        <f>'N70'!H76-'N70'!$E$16</f>
        <v>0.86428571428571432</v>
      </c>
      <c r="G70" s="5">
        <f>'N70'!H76-'N70'!$E$17</f>
        <v>0.85000000000000009</v>
      </c>
      <c r="H70" s="5">
        <f>'N70'!H76-'N70'!$E$18</f>
        <v>0.83571428571428574</v>
      </c>
      <c r="I70" s="5">
        <f>'N70'!H76-'N70'!$E$19</f>
        <v>0.82142857142857151</v>
      </c>
      <c r="J70" s="5">
        <f>'N70'!H76-'N70'!$E$20</f>
        <v>0.80714285714285716</v>
      </c>
      <c r="K70" s="5">
        <f>'N70'!H76-'N70'!$E$21</f>
        <v>0.79285714285714293</v>
      </c>
      <c r="L70" s="5">
        <f>'N70'!H76-'N70'!$E$22</f>
        <v>0.77857142857142858</v>
      </c>
      <c r="M70" s="5">
        <f>'N70'!H76-'N70'!$E$23</f>
        <v>0.76428571428571435</v>
      </c>
      <c r="N70" s="5">
        <f>'N70'!H76-'N70'!$E$24</f>
        <v>0.75</v>
      </c>
      <c r="O70" s="5">
        <f>'N70'!H76-'N70'!$E$25</f>
        <v>0.73571428571428577</v>
      </c>
      <c r="P70" s="5">
        <f>'N70'!H76-'N70'!$E$26</f>
        <v>0.72142857142857153</v>
      </c>
      <c r="Q70" s="5">
        <f>'N70'!H76-'N70'!$E$27</f>
        <v>0.70714285714285718</v>
      </c>
      <c r="R70" s="5">
        <f>'N70'!H76-'N70'!$E$28</f>
        <v>0.69285714285714284</v>
      </c>
      <c r="S70" s="5">
        <f>'N70'!H76-'N70'!$E$29</f>
        <v>0.6785714285714286</v>
      </c>
      <c r="T70" s="5">
        <f>'N70'!H76-'N70'!$E$30</f>
        <v>0.66428571428571437</v>
      </c>
      <c r="U70" s="5">
        <f>'N70'!H76-'N70'!$E$31</f>
        <v>0.65</v>
      </c>
      <c r="V70" s="5">
        <f>'N70'!H76-'N70'!$E$32</f>
        <v>0.63571428571428579</v>
      </c>
      <c r="W70" s="5">
        <f>'N70'!H76-'N70'!$E$33</f>
        <v>0.62142857142857144</v>
      </c>
      <c r="X70" s="5">
        <f>'N70'!H76-'N70'!$E$34</f>
        <v>0.60714285714285721</v>
      </c>
      <c r="Y70" s="5">
        <f>'N70'!H76-'N70'!$E$35</f>
        <v>0.59285714285714297</v>
      </c>
      <c r="Z70" s="5">
        <f>'N70'!H76-'N70'!$E$36</f>
        <v>0.57857142857142863</v>
      </c>
      <c r="AA70" s="5">
        <f>'N70'!H76-'N70'!$E$37</f>
        <v>0.56428571428571428</v>
      </c>
      <c r="AB70" s="5">
        <f>'N70'!H76-'N70'!$E$38</f>
        <v>0.55000000000000004</v>
      </c>
      <c r="AC70" s="5">
        <f>'N70'!H76-'N70'!$E$39</f>
        <v>0.53571428571428581</v>
      </c>
      <c r="AD70" s="5">
        <f>'N70'!H76-'N70'!$E$40</f>
        <v>0.52142857142857146</v>
      </c>
      <c r="AE70" s="5">
        <f>'N70'!H76-'N70'!$E$41</f>
        <v>0.50714285714285712</v>
      </c>
      <c r="AF70" s="5">
        <f>'N70'!H76-'N70'!$E$42</f>
        <v>0.49285714285714288</v>
      </c>
      <c r="AG70" s="5">
        <f>'N70'!H76-'N70'!$E$43</f>
        <v>0.47857142857142865</v>
      </c>
      <c r="AH70" s="5">
        <f>'N70'!H76-'N70'!$E$44</f>
        <v>0.46428571428571436</v>
      </c>
      <c r="AI70" s="5">
        <f>'N70'!H76-'N70'!$E$45</f>
        <v>0.45000000000000007</v>
      </c>
      <c r="AJ70" s="5">
        <f>'N70'!H76-'N70'!$E$46</f>
        <v>0.43571428571428578</v>
      </c>
      <c r="AK70" s="5">
        <f>'N70'!H76-'N70'!$E$47</f>
        <v>0.42142857142857149</v>
      </c>
      <c r="AL70" s="5">
        <f>'N70'!H76-'N70'!$E$48</f>
        <v>0.4071428571428572</v>
      </c>
      <c r="AM70" s="5">
        <f>'N70'!H76-'N70'!$E$49</f>
        <v>0.3928571428571429</v>
      </c>
      <c r="AN70" s="5">
        <f>'N70'!H76-'N70'!$E$50</f>
        <v>0.37857142857142861</v>
      </c>
      <c r="AO70" s="5">
        <f>'N70'!H76-'N70'!$E$51</f>
        <v>0.36428571428571432</v>
      </c>
      <c r="AP70" s="5">
        <f>'N70'!H76-'N70'!$E$52</f>
        <v>0.35000000000000009</v>
      </c>
      <c r="AQ70" s="5">
        <f>'N70'!H76-'N70'!$E$53</f>
        <v>0.33571428571428574</v>
      </c>
      <c r="AR70" s="5">
        <f>'N70'!H76-'N70'!$E$54</f>
        <v>0.32142857142857151</v>
      </c>
      <c r="AS70" s="5">
        <f>'N70'!H76-'N70'!$E$55</f>
        <v>0.30714285714285716</v>
      </c>
      <c r="AT70" s="5">
        <f>'N70'!H76-'N70'!$E$56</f>
        <v>0.29285714285714293</v>
      </c>
      <c r="AU70" s="5">
        <f>'N70'!H76-'N70'!$E$57</f>
        <v>0.27857142857142858</v>
      </c>
      <c r="AV70" s="5">
        <f>'N70'!H76-'N70'!$E$58</f>
        <v>0.26428571428571435</v>
      </c>
      <c r="AW70" s="5">
        <f>'N70'!H76-'N70'!$E$59</f>
        <v>0.25000000000000011</v>
      </c>
      <c r="AX70" s="5">
        <f>'N70'!H76-'N70'!$E$60</f>
        <v>0.23571428571428577</v>
      </c>
      <c r="AY70" s="5">
        <f>'N70'!H76-'N70'!$E$61</f>
        <v>0.22142857142857153</v>
      </c>
      <c r="AZ70" s="5">
        <f>'N70'!H76-'N70'!$E$62</f>
        <v>0.20714285714285718</v>
      </c>
      <c r="BA70" s="5">
        <f>'N70'!H76-'N70'!$E$63</f>
        <v>0.19285714285714295</v>
      </c>
      <c r="BB70" s="5">
        <f>'N70'!H76-'N70'!$E$64</f>
        <v>0.1785714285714286</v>
      </c>
      <c r="BC70" s="5">
        <f>'N70'!H76-'N70'!$E$65</f>
        <v>0.16428571428571437</v>
      </c>
      <c r="BD70" s="5">
        <f>'N70'!H76-'N70'!$E$66</f>
        <v>0.15000000000000002</v>
      </c>
      <c r="BE70" s="5">
        <f>'N70'!H76-'N70'!$E$67</f>
        <v>0.13571428571428579</v>
      </c>
      <c r="BF70" s="5">
        <f>'N70'!H76-'N70'!$E$68</f>
        <v>0.12142857142857144</v>
      </c>
      <c r="BG70" s="5">
        <f>'N70'!H76-'N70'!$E$69</f>
        <v>0.10714285714285721</v>
      </c>
      <c r="BH70" s="5">
        <f>'N70'!H76-'N70'!$E$70</f>
        <v>9.2857142857142971E-2</v>
      </c>
      <c r="BI70" s="5">
        <f>'N70'!H76-'N70'!$E$71</f>
        <v>7.8571428571428625E-2</v>
      </c>
      <c r="BJ70" s="5">
        <f>'N70'!H76-'N70'!$E$72</f>
        <v>6.428571428571439E-2</v>
      </c>
      <c r="BK70" s="5">
        <f>'N70'!H76-'N70'!$E$73</f>
        <v>5.0000000000000044E-2</v>
      </c>
      <c r="BL70" s="5">
        <f>'N70'!H76-'N70'!$E$74</f>
        <v>3.5714285714285809E-2</v>
      </c>
      <c r="BM70" s="5">
        <f>'N70'!H76-'N70'!$E$75</f>
        <v>2.1428571428571463E-2</v>
      </c>
      <c r="BN70" s="5">
        <f>'N70'!H76-'N70'!$E$76</f>
        <v>7.1428571428572285E-3</v>
      </c>
      <c r="BO70" s="5">
        <f>'N70'!H76-'N70'!$E$77</f>
        <v>-7.1428571428571175E-3</v>
      </c>
      <c r="BP70" s="5">
        <f>'N70'!H76-'N70'!$E$78</f>
        <v>-2.1428571428571352E-2</v>
      </c>
      <c r="BQ70" s="5">
        <f>'N70'!H76-'N70'!$E$79</f>
        <v>-3.5714285714285698E-2</v>
      </c>
      <c r="BR70" s="5">
        <f>'N70'!H76-'N70'!$E$80</f>
        <v>-4.9999999999999933E-2</v>
      </c>
      <c r="BS70" s="5">
        <f>'N70'!H76-'N70'!$E$81</f>
        <v>-6.4285714285714168E-2</v>
      </c>
      <c r="BT70" s="5">
        <f>'N70'!H76-'N70'!$E$82</f>
        <v>-7.8571428571428514E-2</v>
      </c>
      <c r="BU70" s="5">
        <f>'N70'!H76-'N70'!$E$83</f>
        <v>-9.2857142857142749E-2</v>
      </c>
      <c r="BV70" s="5">
        <f>'N70'!H76-'N70'!$E$84</f>
        <v>-0.1071428571428571</v>
      </c>
      <c r="BW70" s="5">
        <f>'N70'!H76-'N70'!$E$85</f>
        <v>-0.12142857142857133</v>
      </c>
      <c r="BX70" s="5">
        <v>-1</v>
      </c>
      <c r="BZ70">
        <v>61</v>
      </c>
      <c r="CA70" s="5">
        <f>N70_DESARROLLO!CE155+N70_DESARROLLO!H155</f>
        <v>-8.3103572961139571E-3</v>
      </c>
      <c r="CB70" s="5">
        <f>N70_DESARROLLO!CF155+N70_DESARROLLO!I155</f>
        <v>-1.6807514335715701E-2</v>
      </c>
      <c r="CC70" s="5">
        <f>N70_DESARROLLO!CG155+N70_DESARROLLO!J155</f>
        <v>-1.7094850027315034E-2</v>
      </c>
      <c r="CD70" s="5">
        <f>N70_DESARROLLO!CH155+N70_DESARROLLO!K155</f>
        <v>-1.7392181490050507E-2</v>
      </c>
      <c r="CE70" s="5">
        <f>N70_DESARROLLO!CI155+N70_DESARROLLO!L155</f>
        <v>-1.7700039580951787E-2</v>
      </c>
      <c r="CF70" s="5">
        <f>N70_DESARROLLO!CJ155+N70_DESARROLLO!M155</f>
        <v>-1.8018993426857643E-2</v>
      </c>
      <c r="CG70" s="5">
        <f>N70_DESARROLLO!CK155+N70_DESARROLLO!N155</f>
        <v>-1.8349653936862609E-2</v>
      </c>
      <c r="CH70" s="5">
        <f>N70_DESARROLLO!CL155+N70_DESARROLLO!O155</f>
        <v>-1.869267770818972E-2</v>
      </c>
      <c r="CI70" s="5">
        <f>N70_DESARROLLO!CM155+N70_DESARROLLO!P155</f>
        <v>-1.9048771379253426E-2</v>
      </c>
      <c r="CJ70" s="5">
        <f>N70_DESARROLLO!CN155+N70_DESARROLLO!Q155</f>
        <v>-1.9418696489471365E-2</v>
      </c>
      <c r="CK70" s="5">
        <f>N70_DESARROLLO!CO155+N70_DESARROLLO!R155</f>
        <v>-1.9803274917291835E-2</v>
      </c>
      <c r="CL70" s="5">
        <f>N70_DESARROLLO!CP155+N70_DESARROLLO!S155</f>
        <v>-2.0203394977334588E-2</v>
      </c>
      <c r="CM70" s="5">
        <f>N70_DESARROLLO!CQ155+N70_DESARROLLO!T155</f>
        <v>-2.0620018272167862E-2</v>
      </c>
      <c r="CN70" s="5">
        <f>N70_DESARROLLO!CR155+N70_DESARROLLO!U155</f>
        <v>-2.1054187410170844E-2</v>
      </c>
      <c r="CO70" s="5">
        <f>N70_DESARROLLO!CS155+N70_DESARROLLO!V155</f>
        <v>-2.1507034719698725E-2</v>
      </c>
      <c r="CP70" s="5">
        <f>N70_DESARROLLO!CT155+N70_DESARROLLO!W155</f>
        <v>-2.1979792112873819E-2</v>
      </c>
      <c r="CQ70" s="5">
        <f>N70_DESARROLLO!CU155+N70_DESARROLLO!X155</f>
        <v>-2.2473802280092992E-2</v>
      </c>
      <c r="CR70" s="5">
        <f>N70_DESARROLLO!CV155+N70_DESARROLLO!Y155</f>
        <v>-2.2990531429702976E-2</v>
      </c>
      <c r="CS70" s="5">
        <f>N70_DESARROLLO!CW155+N70_DESARROLLO!Z155</f>
        <v>-2.353158382694065E-2</v>
      </c>
      <c r="CT70" s="5">
        <f>N70_DESARROLLO!CX155+N70_DESARROLLO!AA155</f>
        <v>-2.4098718436559197E-2</v>
      </c>
      <c r="CU70" s="5">
        <f>N70_DESARROLLO!CY155+N70_DESARROLLO!AB155</f>
        <v>-2.46938680324994E-2</v>
      </c>
      <c r="CV70" s="5">
        <f>N70_DESARROLLO!CZ155+N70_DESARROLLO!AC155</f>
        <v>-2.5319161212291275E-2</v>
      </c>
      <c r="CW70" s="5">
        <f>N70_DESARROLLO!DA155+N70_DESARROLLO!AD155</f>
        <v>-2.5976947844873366E-2</v>
      </c>
      <c r="CX70" s="5">
        <f>N70_DESARROLLO!DB155+N70_DESARROLLO!AE155</f>
        <v>-2.6669828593211653E-2</v>
      </c>
      <c r="CY70" s="5">
        <f>N70_DESARROLLO!DC155+N70_DESARROLLO!AF155</f>
        <v>-2.7400689293798908E-2</v>
      </c>
      <c r="CZ70" s="5">
        <f>N70_DESARROLLO!DD155+N70_DESARROLLO!AG155</f>
        <v>-2.8172741151794245E-2</v>
      </c>
      <c r="DA70" s="5">
        <f>N70_DESARROLLO!DE155+N70_DESARROLLO!AH155</f>
        <v>-2.8989567932952043E-2</v>
      </c>
      <c r="DB70" s="5">
        <f>N70_DESARROLLO!DF155+N70_DESARROLLO!AI155</f>
        <v>-2.9855181616029847E-2</v>
      </c>
      <c r="DC70" s="5">
        <f>N70_DESARROLLO!DG155+N70_DESARROLLO!AJ155</f>
        <v>-3.0774088329711402E-2</v>
      </c>
      <c r="DD70" s="5">
        <f>N70_DESARROLLO!DH155+N70_DESARROLLO!AK155</f>
        <v>-3.175136686266733E-2</v>
      </c>
      <c r="DE70" s="5">
        <f>N70_DESARROLLO!DI155+N70_DESARROLLO!AL155</f>
        <v>-3.2792762635871164E-2</v>
      </c>
      <c r="DF70" s="5">
        <f>N70_DESARROLLO!DJ155+N70_DESARROLLO!AM155</f>
        <v>-3.3904800811321412E-2</v>
      </c>
      <c r="DG70" s="5">
        <f>N70_DESARROLLO!DK155+N70_DESARROLLO!AN155</f>
        <v>-3.5094923244214482E-2</v>
      </c>
      <c r="DH70" s="5">
        <f>N70_DESARROLLO!DL155+N70_DESARROLLO!AO155</f>
        <v>-3.6371655357440136E-2</v>
      </c>
      <c r="DI70" s="5">
        <f>N70_DESARROLLO!DM155+N70_DESARROLLO!AP155</f>
        <v>-3.7744810855697031E-2</v>
      </c>
      <c r="DJ70" s="5">
        <f>N70_DESARROLLO!DN155+N70_DESARROLLO!AQ155</f>
        <v>-3.9225744685484232E-2</v>
      </c>
      <c r="DK70" s="5">
        <f>N70_DESARROLLO!DO155+N70_DESARROLLO!AR155</f>
        <v>-4.0827668052526134E-2</v>
      </c>
      <c r="DL70" s="5">
        <f>N70_DESARROLLO!DP155+N70_DESARROLLO!AS155</f>
        <v>-4.2566044021121408E-2</v>
      </c>
      <c r="DM70" s="5">
        <f>N70_DESARROLLO!DQ155+N70_DESARROLLO!AT155</f>
        <v>-4.4459088822753734E-2</v>
      </c>
      <c r="DN70" s="5">
        <f>N70_DESARROLLO!DR155+N70_DESARROLLO!AU155</f>
        <v>-4.6528413377895705E-2</v>
      </c>
      <c r="DO70" s="5">
        <f>N70_DESARROLLO!DS155+N70_DESARROLLO!AV155</f>
        <v>-4.8799853039068419E-2</v>
      </c>
      <c r="DP70" s="5">
        <f>N70_DESARROLLO!DT155+N70_DESARROLLO!AW155</f>
        <v>-5.1304553326349422E-2</v>
      </c>
      <c r="DQ70" s="5">
        <f>N70_DESARROLLO!DU155+N70_DESARROLLO!AX155</f>
        <v>-5.4080408838148242E-2</v>
      </c>
      <c r="DR70" s="5">
        <f>N70_DESARROLLO!DV155+N70_DESARROLLO!AY155</f>
        <v>-5.7173997129068899E-2</v>
      </c>
      <c r="DS70" s="5">
        <f>N70_DESARROLLO!DW155+N70_DESARROLLO!AZ155</f>
        <v>-6.0643218403531929E-2</v>
      </c>
      <c r="DT70" s="5">
        <f>N70_DESARROLLO!DX155+N70_DESARROLLO!BA155</f>
        <v>-6.4560961252473681E-2</v>
      </c>
      <c r="DU70" s="5">
        <f>N70_DESARROLLO!DY155+N70_DESARROLLO!BB155</f>
        <v>-6.9020292350877255E-2</v>
      </c>
      <c r="DV70" s="5">
        <f>N70_DESARROLLO!DZ155+N70_DESARROLLO!BC155</f>
        <v>-7.4141965022327838E-2</v>
      </c>
      <c r="DW70" s="5">
        <f>N70_DESARROLLO!EA155+N70_DESARROLLO!BD155</f>
        <v>-8.0085554140364446E-2</v>
      </c>
      <c r="DX70" s="5">
        <f>N70_DESARROLLO!EB155+N70_DESARROLLO!BE155</f>
        <v>-8.7066442319330251E-2</v>
      </c>
      <c r="DY70" s="5">
        <f>N70_DESARROLLO!EC155+N70_DESARROLLO!BF155</f>
        <v>-9.5382594982181823E-2</v>
      </c>
      <c r="DZ70" s="5">
        <f>N70_DESARROLLO!ED155+N70_DESARROLLO!BG155</f>
        <v>-0.10545841852056981</v>
      </c>
      <c r="EA70" s="5">
        <f>N70_DESARROLLO!EE155+N70_DESARROLLO!BH155</f>
        <v>-0.11791996375049385</v>
      </c>
      <c r="EB70" s="5">
        <f>N70_DESARROLLO!EF155+N70_DESARROLLO!BI155</f>
        <v>-0.13373123411929866</v>
      </c>
      <c r="EC70" s="5">
        <f>N70_DESARROLLO!EG155+N70_DESARROLLO!BJ155</f>
        <v>-0.15445886474680526</v>
      </c>
      <c r="ED70" s="5">
        <f>N70_DESARROLLO!EH155+N70_DESARROLLO!BK155</f>
        <v>-0.18283342438757588</v>
      </c>
      <c r="EE70" s="5">
        <f>N70_DESARROLLO!EI155+N70_DESARROLLO!BL155</f>
        <v>-0.22408833054041954</v>
      </c>
      <c r="EF70" s="5">
        <f>N70_DESARROLLO!EJ155+N70_DESARROLLO!BM155</f>
        <v>-0.28973434150573907</v>
      </c>
      <c r="EG70" s="5">
        <f>N70_DESARROLLO!EK155+N70_DESARROLLO!BN155</f>
        <v>-0.41141440075353952</v>
      </c>
      <c r="EH70" s="5">
        <f>N70_DESARROLLO!EL155+N70_DESARROLLO!BO155</f>
        <v>-0.72775792963608488</v>
      </c>
      <c r="EI70" s="5">
        <f>N70_DESARROLLO!EM155+N70_DESARROLLO!BP155</f>
        <v>-1.6479184659605211</v>
      </c>
      <c r="EJ70" s="5">
        <f>N70_DESARROLLO!EN155+N70_DESARROLLO!BQ155</f>
        <v>1.6479184659605282</v>
      </c>
      <c r="EK70" s="5">
        <f>N70_DESARROLLO!EO155+N70_DESARROLLO!BR155</f>
        <v>0.72775792963608976</v>
      </c>
      <c r="EL70" s="5">
        <f>N70_DESARROLLO!EP155+N70_DESARROLLO!BS155</f>
        <v>0.41141440075354063</v>
      </c>
      <c r="EM70" s="5">
        <f>N70_DESARROLLO!EQ155+N70_DESARROLLO!BT155</f>
        <v>0.28973434150573008</v>
      </c>
      <c r="EN70" s="5">
        <f>N70_DESARROLLO!ER155+N70_DESARROLLO!BU155</f>
        <v>0.22408833054043509</v>
      </c>
      <c r="EO70" s="5">
        <f>N70_DESARROLLO!ES155+N70_DESARROLLO!BV155</f>
        <v>0.18283342438756023</v>
      </c>
      <c r="EP70" s="5">
        <f>N70_DESARROLLO!ET155+N70_DESARROLLO!BW155</f>
        <v>0.15445886474682136</v>
      </c>
      <c r="EQ70" s="5">
        <f>N70_DESARROLLO!EU155+N70_DESARROLLO!BX155</f>
        <v>0.13373123411929144</v>
      </c>
      <c r="ER70" s="5">
        <f>N70_DESARROLLO!EV155+N70_DESARROLLO!BY155</f>
        <v>146.65131485958747</v>
      </c>
      <c r="FC70">
        <v>61</v>
      </c>
      <c r="FD70" s="4">
        <v>5.6831852377401516E-5</v>
      </c>
      <c r="FE70" s="4">
        <v>1.1392356629493098E-4</v>
      </c>
      <c r="FF70" s="4">
        <v>1.5063482368017937E-4</v>
      </c>
      <c r="FG70" s="4">
        <v>1.8299912314954071E-4</v>
      </c>
      <c r="FH70" s="4">
        <v>2.1296553127463268E-4</v>
      </c>
      <c r="FI70" s="4">
        <v>2.4167938329112945E-4</v>
      </c>
      <c r="FJ70" s="4">
        <v>2.6977297268121687E-4</v>
      </c>
      <c r="FK70" s="4">
        <v>2.9765866327786776E-4</v>
      </c>
      <c r="FL70" s="4">
        <v>3.2563250590451838E-4</v>
      </c>
      <c r="FM70" s="4">
        <v>3.5392458890585641E-4</v>
      </c>
      <c r="FN70" s="4">
        <v>3.8272583395517834E-4</v>
      </c>
      <c r="FO70" s="4">
        <v>4.1220362825796739E-4</v>
      </c>
      <c r="FP70" s="4">
        <v>4.4251165372979863E-4</v>
      </c>
      <c r="FQ70" s="4">
        <v>4.7379650886939428E-4</v>
      </c>
      <c r="FR70" s="4">
        <v>5.0620248092556237E-4</v>
      </c>
      <c r="FS70" s="4">
        <v>5.3987522783779148E-4</v>
      </c>
      <c r="FT70" s="4">
        <v>5.7496482192865986E-4</v>
      </c>
      <c r="FU70" s="4">
        <v>6.1162844115656648E-4</v>
      </c>
      <c r="FV70" s="4">
        <v>6.5003290131111248E-4</v>
      </c>
      <c r="FW70" s="4">
        <v>6.9035717057094046E-4</v>
      </c>
      <c r="FX70" s="4">
        <v>7.3279497940343915E-4</v>
      </c>
      <c r="FY70" s="4">
        <v>7.7755762496292344E-4</v>
      </c>
      <c r="FZ70" s="4">
        <v>8.2487706564610759E-4</v>
      </c>
      <c r="GA70" s="4">
        <v>8.750094053101864E-4</v>
      </c>
      <c r="GB70" s="4">
        <v>9.2823887724939223E-4</v>
      </c>
      <c r="GC70" s="4">
        <v>9.8488245527179863E-4</v>
      </c>
      <c r="GD70" s="4">
        <v>1.0452952436427634E-3</v>
      </c>
      <c r="GE70" s="4">
        <v>1.1098768307869027E-3</v>
      </c>
      <c r="GF70" s="4">
        <v>1.1790788354161083E-3</v>
      </c>
      <c r="GG70" s="4">
        <v>1.2534139318835056E-3</v>
      </c>
      <c r="GH70" s="4">
        <v>1.3334667176652059E-3</v>
      </c>
      <c r="GI70" s="4">
        <v>1.4199068871404202E-3</v>
      </c>
      <c r="GJ70" s="4">
        <v>1.5135053104692372E-3</v>
      </c>
      <c r="GK70" s="4">
        <v>1.6151537972884068E-3</v>
      </c>
      <c r="GL70" s="4">
        <v>1.7258895701628902E-3</v>
      </c>
      <c r="GM70" s="4">
        <v>1.8469258083595869E-3</v>
      </c>
      <c r="GN70" s="4">
        <v>1.9796900870932563E-3</v>
      </c>
      <c r="GO70" s="4">
        <v>2.1258731880075248E-3</v>
      </c>
      <c r="GP70" s="4">
        <v>2.2874916799664187E-3</v>
      </c>
      <c r="GQ70" s="4">
        <v>2.4669689976968266E-3</v>
      </c>
      <c r="GR70" s="4">
        <v>2.6672416869011786E-3</v>
      </c>
      <c r="GS70" s="4">
        <v>2.891900368323496E-3</v>
      </c>
      <c r="GT70" s="4">
        <v>3.1453793364303816E-3</v>
      </c>
      <c r="GU70" s="4">
        <v>3.4332154437462905E-3</v>
      </c>
      <c r="GV70" s="4">
        <v>3.7624075516946875E-3</v>
      </c>
      <c r="GW70" s="4">
        <v>4.141925022627853E-3</v>
      </c>
      <c r="GX70" s="4">
        <v>4.583442313172096E-3</v>
      </c>
      <c r="GY70" s="4">
        <v>5.102425743501636E-3</v>
      </c>
      <c r="GZ70" s="4">
        <v>5.7197855528051149E-3</v>
      </c>
      <c r="HA70" s="4">
        <v>6.4644672037824837E-3</v>
      </c>
      <c r="HB70" s="4">
        <v>7.3776672118832428E-3</v>
      </c>
      <c r="HC70" s="4">
        <v>8.5199946871859118E-3</v>
      </c>
      <c r="HD70" s="4">
        <v>9.9842838019054119E-3</v>
      </c>
      <c r="HE70" s="4">
        <v>1.1920025596806267E-2</v>
      </c>
      <c r="HF70" s="4">
        <v>1.4583675520445342E-2</v>
      </c>
      <c r="HG70" s="4">
        <v>1.8455749639394115E-2</v>
      </c>
      <c r="HH70" s="4">
        <v>2.4513823896735076E-2</v>
      </c>
      <c r="HI70" s="4">
        <v>3.5695520169915847E-2</v>
      </c>
      <c r="HJ70" s="4">
        <v>5.2834222289970416E-2</v>
      </c>
      <c r="HK70" s="4">
        <v>0.24328790187297242</v>
      </c>
      <c r="HL70" s="4">
        <v>-0.25266036387969343</v>
      </c>
      <c r="HM70" s="4">
        <v>-6.2230676394256959E-2</v>
      </c>
      <c r="HN70" s="4">
        <v>-4.5130628631631718E-2</v>
      </c>
      <c r="HO70" s="4">
        <v>-3.3976324171168318E-2</v>
      </c>
      <c r="HP70" s="4">
        <v>-2.7867991490177026E-2</v>
      </c>
      <c r="HQ70" s="4">
        <v>-2.3701901707227534E-2</v>
      </c>
      <c r="HR70" s="4">
        <v>-1.9752101571019282E-2</v>
      </c>
      <c r="HS70" s="4">
        <v>-1.6468909580497577E-2</v>
      </c>
      <c r="HT70" s="4">
        <v>5.4787849386944511E-2</v>
      </c>
      <c r="HU70" s="4">
        <v>-0.22160170791907058</v>
      </c>
    </row>
    <row r="71" spans="4:229" x14ac:dyDescent="0.25">
      <c r="D71" s="10">
        <v>62</v>
      </c>
      <c r="E71" s="5">
        <f>'N70'!E78-'N70'!E77</f>
        <v>1.4285714285714235E-2</v>
      </c>
      <c r="F71" s="5">
        <f>'N70'!H77-'N70'!$E$16</f>
        <v>0.87857142857142856</v>
      </c>
      <c r="G71" s="5">
        <f>'N70'!H77-'N70'!$E$17</f>
        <v>0.86428571428571432</v>
      </c>
      <c r="H71" s="5">
        <f>'N70'!H77-'N70'!$E$18</f>
        <v>0.85</v>
      </c>
      <c r="I71" s="5">
        <f>'N70'!H77-'N70'!$E$19</f>
        <v>0.83571428571428574</v>
      </c>
      <c r="J71" s="5">
        <f>'N70'!H77-'N70'!$E$20</f>
        <v>0.8214285714285714</v>
      </c>
      <c r="K71" s="5">
        <f>'N70'!H77-'N70'!$E$21</f>
        <v>0.80714285714285716</v>
      </c>
      <c r="L71" s="5">
        <f>'N70'!H77-'N70'!$E$22</f>
        <v>0.79285714285714282</v>
      </c>
      <c r="M71" s="5">
        <f>'N70'!H77-'N70'!$E$23</f>
        <v>0.77857142857142858</v>
      </c>
      <c r="N71" s="5">
        <f>'N70'!H77-'N70'!$E$24</f>
        <v>0.76428571428571423</v>
      </c>
      <c r="O71" s="5">
        <f>'N70'!H77-'N70'!$E$25</f>
        <v>0.75</v>
      </c>
      <c r="P71" s="5">
        <f>'N70'!H77-'N70'!$E$26</f>
        <v>0.73571428571428577</v>
      </c>
      <c r="Q71" s="5">
        <f>'N70'!H77-'N70'!$E$27</f>
        <v>0.72142857142857142</v>
      </c>
      <c r="R71" s="5">
        <f>'N70'!H77-'N70'!$E$28</f>
        <v>0.70714285714285707</v>
      </c>
      <c r="S71" s="5">
        <f>'N70'!H77-'N70'!$E$29</f>
        <v>0.69285714285714284</v>
      </c>
      <c r="T71" s="5">
        <f>'N70'!H77-'N70'!$E$30</f>
        <v>0.6785714285714286</v>
      </c>
      <c r="U71" s="5">
        <f>'N70'!H77-'N70'!$E$31</f>
        <v>0.66428571428571426</v>
      </c>
      <c r="V71" s="5">
        <f>'N70'!H77-'N70'!$E$32</f>
        <v>0.65</v>
      </c>
      <c r="W71" s="5">
        <f>'N70'!H77-'N70'!$E$33</f>
        <v>0.63571428571428568</v>
      </c>
      <c r="X71" s="5">
        <f>'N70'!H77-'N70'!$E$34</f>
        <v>0.62142857142857144</v>
      </c>
      <c r="Y71" s="5">
        <f>'N70'!H77-'N70'!$E$35</f>
        <v>0.60714285714285721</v>
      </c>
      <c r="Z71" s="5">
        <f>'N70'!H77-'N70'!$E$36</f>
        <v>0.59285714285714286</v>
      </c>
      <c r="AA71" s="5">
        <f>'N70'!H77-'N70'!$E$37</f>
        <v>0.57857142857142851</v>
      </c>
      <c r="AB71" s="5">
        <f>'N70'!H77-'N70'!$E$38</f>
        <v>0.56428571428571428</v>
      </c>
      <c r="AC71" s="5">
        <f>'N70'!H77-'N70'!$E$39</f>
        <v>0.55000000000000004</v>
      </c>
      <c r="AD71" s="5">
        <f>'N70'!H77-'N70'!$E$40</f>
        <v>0.5357142857142857</v>
      </c>
      <c r="AE71" s="5">
        <f>'N70'!H77-'N70'!$E$41</f>
        <v>0.52142857142857135</v>
      </c>
      <c r="AF71" s="5">
        <f>'N70'!H77-'N70'!$E$42</f>
        <v>0.50714285714285712</v>
      </c>
      <c r="AG71" s="5">
        <f>'N70'!H77-'N70'!$E$43</f>
        <v>0.49285714285714288</v>
      </c>
      <c r="AH71" s="5">
        <f>'N70'!H77-'N70'!$E$44</f>
        <v>0.47857142857142859</v>
      </c>
      <c r="AI71" s="5">
        <f>'N70'!H77-'N70'!$E$45</f>
        <v>0.4642857142857143</v>
      </c>
      <c r="AJ71" s="5">
        <f>'N70'!H77-'N70'!$E$46</f>
        <v>0.45</v>
      </c>
      <c r="AK71" s="5">
        <f>'N70'!H77-'N70'!$E$47</f>
        <v>0.43571428571428572</v>
      </c>
      <c r="AL71" s="5">
        <f>'N70'!H77-'N70'!$E$48</f>
        <v>0.42142857142857143</v>
      </c>
      <c r="AM71" s="5">
        <f>'N70'!H77-'N70'!$E$49</f>
        <v>0.40714285714285714</v>
      </c>
      <c r="AN71" s="5">
        <f>'N70'!H77-'N70'!$E$50</f>
        <v>0.39285714285714285</v>
      </c>
      <c r="AO71" s="5">
        <f>'N70'!H77-'N70'!$E$51</f>
        <v>0.37857142857142856</v>
      </c>
      <c r="AP71" s="5">
        <f>'N70'!H77-'N70'!$E$52</f>
        <v>0.36428571428571432</v>
      </c>
      <c r="AQ71" s="5">
        <f>'N70'!H77-'N70'!$E$53</f>
        <v>0.35</v>
      </c>
      <c r="AR71" s="5">
        <f>'N70'!H77-'N70'!$E$54</f>
        <v>0.33571428571428574</v>
      </c>
      <c r="AS71" s="5">
        <f>'N70'!H77-'N70'!$E$55</f>
        <v>0.3214285714285714</v>
      </c>
      <c r="AT71" s="5">
        <f>'N70'!H77-'N70'!$E$56</f>
        <v>0.30714285714285716</v>
      </c>
      <c r="AU71" s="5">
        <f>'N70'!H77-'N70'!$E$57</f>
        <v>0.29285714285714282</v>
      </c>
      <c r="AV71" s="5">
        <f>'N70'!H77-'N70'!$E$58</f>
        <v>0.27857142857142858</v>
      </c>
      <c r="AW71" s="5">
        <f>'N70'!H77-'N70'!$E$59</f>
        <v>0.26428571428571435</v>
      </c>
      <c r="AX71" s="5">
        <f>'N70'!H77-'N70'!$E$60</f>
        <v>0.25</v>
      </c>
      <c r="AY71" s="5">
        <f>'N70'!H77-'N70'!$E$61</f>
        <v>0.23571428571428577</v>
      </c>
      <c r="AZ71" s="5">
        <f>'N70'!H77-'N70'!$E$62</f>
        <v>0.22142857142857142</v>
      </c>
      <c r="BA71" s="5">
        <f>'N70'!H77-'N70'!$E$63</f>
        <v>0.20714285714285718</v>
      </c>
      <c r="BB71" s="5">
        <f>'N70'!H77-'N70'!$E$64</f>
        <v>0.19285714285714284</v>
      </c>
      <c r="BC71" s="5">
        <f>'N70'!H77-'N70'!$E$65</f>
        <v>0.1785714285714286</v>
      </c>
      <c r="BD71" s="5">
        <f>'N70'!H77-'N70'!$E$66</f>
        <v>0.16428571428571426</v>
      </c>
      <c r="BE71" s="5">
        <f>'N70'!H77-'N70'!$E$67</f>
        <v>0.15000000000000002</v>
      </c>
      <c r="BF71" s="5">
        <f>'N70'!H77-'N70'!$E$68</f>
        <v>0.13571428571428568</v>
      </c>
      <c r="BG71" s="5">
        <f>'N70'!H77-'N70'!$E$69</f>
        <v>0.12142857142857144</v>
      </c>
      <c r="BH71" s="5">
        <f>'N70'!H77-'N70'!$E$70</f>
        <v>0.10714285714285721</v>
      </c>
      <c r="BI71" s="5">
        <f>'N70'!H77-'N70'!$E$71</f>
        <v>9.285714285714286E-2</v>
      </c>
      <c r="BJ71" s="5">
        <f>'N70'!H77-'N70'!$E$72</f>
        <v>7.8571428571428625E-2</v>
      </c>
      <c r="BK71" s="5">
        <f>'N70'!H77-'N70'!$E$73</f>
        <v>6.4285714285714279E-2</v>
      </c>
      <c r="BL71" s="5">
        <f>'N70'!H77-'N70'!$E$74</f>
        <v>5.0000000000000044E-2</v>
      </c>
      <c r="BM71" s="5">
        <f>'N70'!H77-'N70'!$E$75</f>
        <v>3.5714285714285698E-2</v>
      </c>
      <c r="BN71" s="5">
        <f>'N70'!H77-'N70'!$E$76</f>
        <v>2.1428571428571463E-2</v>
      </c>
      <c r="BO71" s="5">
        <f>'N70'!H77-'N70'!$E$77</f>
        <v>7.1428571428571175E-3</v>
      </c>
      <c r="BP71" s="5">
        <f>'N70'!H77-'N70'!$E$78</f>
        <v>-7.1428571428571175E-3</v>
      </c>
      <c r="BQ71" s="5">
        <f>'N70'!H77-'N70'!$E$79</f>
        <v>-2.1428571428571463E-2</v>
      </c>
      <c r="BR71" s="5">
        <f>'N70'!H77-'N70'!$E$80</f>
        <v>-3.5714285714285698E-2</v>
      </c>
      <c r="BS71" s="5">
        <f>'N70'!H77-'N70'!$E$81</f>
        <v>-4.9999999999999933E-2</v>
      </c>
      <c r="BT71" s="5">
        <f>'N70'!H77-'N70'!$E$82</f>
        <v>-6.4285714285714279E-2</v>
      </c>
      <c r="BU71" s="5">
        <f>'N70'!H77-'N70'!$E$83</f>
        <v>-7.8571428571428514E-2</v>
      </c>
      <c r="BV71" s="5">
        <f>'N70'!H77-'N70'!$E$84</f>
        <v>-9.285714285714286E-2</v>
      </c>
      <c r="BW71" s="5">
        <f>'N70'!H77-'N70'!$E$85</f>
        <v>-0.1071428571428571</v>
      </c>
      <c r="BX71" s="5">
        <v>-1</v>
      </c>
      <c r="BZ71">
        <v>62</v>
      </c>
      <c r="CA71" s="5">
        <f>N70_DESARROLLO!CE156+N70_DESARROLLO!H156</f>
        <v>-8.1744887350685413E-3</v>
      </c>
      <c r="CB71" s="5">
        <f>N70_DESARROLLO!CF156+N70_DESARROLLO!I156</f>
        <v>-1.652967866459143E-2</v>
      </c>
      <c r="CC71" s="5">
        <f>N70_DESARROLLO!CG156+N70_DESARROLLO!J156</f>
        <v>-1.6807514335729246E-2</v>
      </c>
      <c r="CD71" s="5">
        <f>N70_DESARROLLO!CH156+N70_DESARROLLO!K156</f>
        <v>-1.7094850027301711E-2</v>
      </c>
      <c r="CE71" s="5">
        <f>N70_DESARROLLO!CI156+N70_DESARROLLO!L156</f>
        <v>-1.7392181490069936E-2</v>
      </c>
      <c r="CF71" s="5">
        <f>N70_DESARROLLO!CJ156+N70_DESARROLLO!M156</f>
        <v>-1.7700039580932247E-2</v>
      </c>
      <c r="CG71" s="5">
        <f>N70_DESARROLLO!CK156+N70_DESARROLLO!N156</f>
        <v>-1.80189934268703E-2</v>
      </c>
      <c r="CH71" s="5">
        <f>N70_DESARROLLO!CL156+N70_DESARROLLO!O156</f>
        <v>-1.8349653936844179E-2</v>
      </c>
      <c r="CI71" s="5">
        <f>N70_DESARROLLO!CM156+N70_DESARROLLO!P156</f>
        <v>-1.8692677708213812E-2</v>
      </c>
      <c r="CJ71" s="5">
        <f>N70_DESARROLLO!CN156+N70_DESARROLLO!Q156</f>
        <v>-1.9048771379241214E-2</v>
      </c>
      <c r="CK71" s="5">
        <f>N70_DESARROLLO!CO156+N70_DESARROLLO!R156</f>
        <v>-1.9418696489460152E-2</v>
      </c>
      <c r="CL71" s="5">
        <f>N70_DESARROLLO!CP156+N70_DESARROLLO!S156</f>
        <v>-1.9803274917303604E-2</v>
      </c>
      <c r="CM71" s="5">
        <f>N70_DESARROLLO!CQ156+N70_DESARROLLO!T156</f>
        <v>-2.0203394977345357E-2</v>
      </c>
      <c r="CN71" s="5">
        <f>N70_DESARROLLO!CR156+N70_DESARROLLO!U156</f>
        <v>-2.0620018272156537E-2</v>
      </c>
      <c r="CO71" s="5">
        <f>N70_DESARROLLO!CS156+N70_DESARROLLO!V156</f>
        <v>-2.1054187410165626E-2</v>
      </c>
      <c r="CP71" s="5">
        <f>N70_DESARROLLO!CT156+N70_DESARROLLO!W156</f>
        <v>-2.1507034719714269E-2</v>
      </c>
      <c r="CQ71" s="5">
        <f>N70_DESARROLLO!CU156+N70_DESARROLLO!X156</f>
        <v>-2.1979792112853391E-2</v>
      </c>
      <c r="CR71" s="5">
        <f>N70_DESARROLLO!CV156+N70_DESARROLLO!Y156</f>
        <v>-2.2473802280108091E-2</v>
      </c>
      <c r="CS71" s="5">
        <f>N70_DESARROLLO!CW156+N70_DESARROLLO!Z156</f>
        <v>-2.2990531429697869E-2</v>
      </c>
      <c r="CT71" s="5">
        <f>N70_DESARROLLO!CX156+N70_DESARROLLO!AA156</f>
        <v>-2.3531583826931546E-2</v>
      </c>
      <c r="CU71" s="5">
        <f>N70_DESARROLLO!CY156+N70_DESARROLLO!AB156</f>
        <v>-2.4098718436569078E-2</v>
      </c>
      <c r="CV71" s="5">
        <f>N70_DESARROLLO!CZ156+N70_DESARROLLO!AC156</f>
        <v>-2.4693868032508171E-2</v>
      </c>
      <c r="CW71" s="5">
        <f>N70_DESARROLLO!DA156+N70_DESARROLLO!AD156</f>
        <v>-2.5319161212281727E-2</v>
      </c>
      <c r="CX71" s="5">
        <f>N70_DESARROLLO!DB156+N70_DESARROLLO!AE156</f>
        <v>-2.5976947844864928E-2</v>
      </c>
      <c r="CY71" s="5">
        <f>N70_DESARROLLO!DC156+N70_DESARROLLO!AF156</f>
        <v>-2.6669828593220757E-2</v>
      </c>
      <c r="CZ71" s="5">
        <f>N70_DESARROLLO!DD156+N70_DESARROLLO!AG156</f>
        <v>-2.740068929380679E-2</v>
      </c>
      <c r="DA71" s="5">
        <f>N70_DESARROLLO!DE156+N70_DESARROLLO!AH156</f>
        <v>-2.8172741151785807E-2</v>
      </c>
      <c r="DB71" s="5">
        <f>N70_DESARROLLO!DF156+N70_DESARROLLO!AI156</f>
        <v>-2.8989567932948379E-2</v>
      </c>
      <c r="DC71" s="5">
        <f>N70_DESARROLLO!DG156+N70_DESARROLLO!AJ156</f>
        <v>-2.9855181616033843E-2</v>
      </c>
      <c r="DD71" s="5">
        <f>N70_DESARROLLO!DH156+N70_DESARROLLO!AK156</f>
        <v>-3.0774088329711291E-2</v>
      </c>
      <c r="DE71" s="5">
        <f>N70_DESARROLLO!DI156+N70_DESARROLLO!AL156</f>
        <v>-3.1751366862667441E-2</v>
      </c>
      <c r="DF71" s="5">
        <f>N70_DESARROLLO!DJ156+N70_DESARROLLO!AM156</f>
        <v>-3.2792762635871275E-2</v>
      </c>
      <c r="DG71" s="5">
        <f>N70_DESARROLLO!DK156+N70_DESARROLLO!AN156</f>
        <v>-3.3904800811321523E-2</v>
      </c>
      <c r="DH71" s="5">
        <f>N70_DESARROLLO!DL156+N70_DESARROLLO!AO156</f>
        <v>-3.5094923244214704E-2</v>
      </c>
      <c r="DI71" s="5">
        <f>N70_DESARROLLO!DM156+N70_DESARROLLO!AP156</f>
        <v>-3.6371655357440025E-2</v>
      </c>
      <c r="DJ71" s="5">
        <f>N70_DESARROLLO!DN156+N70_DESARROLLO!AQ156</f>
        <v>-3.7744810855699584E-2</v>
      </c>
      <c r="DK71" s="5">
        <f>N70_DESARROLLO!DO156+N70_DESARROLLO!AR156</f>
        <v>-3.9225744685472907E-2</v>
      </c>
      <c r="DL71" s="5">
        <f>N70_DESARROLLO!DP156+N70_DESARROLLO!AS156</f>
        <v>-4.0827668052543231E-2</v>
      </c>
      <c r="DM71" s="5">
        <f>N70_DESARROLLO!DQ156+N70_DESARROLLO!AT156</f>
        <v>-4.2566044021105198E-2</v>
      </c>
      <c r="DN71" s="5">
        <f>N70_DESARROLLO!DR156+N70_DESARROLLO!AU156</f>
        <v>-4.4459088822769166E-2</v>
      </c>
      <c r="DO71" s="5">
        <f>N70_DESARROLLO!DS156+N70_DESARROLLO!AV156</f>
        <v>-4.6528413377880939E-2</v>
      </c>
      <c r="DP71" s="5">
        <f>N70_DESARROLLO!DT156+N70_DESARROLLO!AW156</f>
        <v>-4.879985303908263E-2</v>
      </c>
      <c r="DQ71" s="5">
        <f>N70_DESARROLLO!DU156+N70_DESARROLLO!AX156</f>
        <v>-5.1304553326341873E-2</v>
      </c>
      <c r="DR71" s="5">
        <f>N70_DESARROLLO!DV156+N70_DESARROLLO!AY156</f>
        <v>-5.408040883814047E-2</v>
      </c>
      <c r="DS71" s="5">
        <f>N70_DESARROLLO!DW156+N70_DESARROLLO!AZ156</f>
        <v>-5.7173997129085441E-2</v>
      </c>
      <c r="DT71" s="5">
        <f>N70_DESARROLLO!DX156+N70_DESARROLLO!BA156</f>
        <v>-6.0643218403514498E-2</v>
      </c>
      <c r="DU71" s="5">
        <f>N70_DESARROLLO!DY156+N70_DESARROLLO!BB156</f>
        <v>-6.4560961252492111E-2</v>
      </c>
      <c r="DV71" s="5">
        <f>N70_DESARROLLO!DZ156+N70_DESARROLLO!BC156</f>
        <v>-6.9020292350860157E-2</v>
      </c>
      <c r="DW71" s="5">
        <f>N70_DESARROLLO!EA156+N70_DESARROLLO!BD156</f>
        <v>-7.4141965022344158E-2</v>
      </c>
      <c r="DX71" s="5">
        <f>N70_DESARROLLO!EB156+N70_DESARROLLO!BE156</f>
        <v>-8.0085554140349235E-2</v>
      </c>
      <c r="DY71" s="5">
        <f>N70_DESARROLLO!EC156+N70_DESARROLLO!BF156</f>
        <v>-8.7066442319344017E-2</v>
      </c>
      <c r="DZ71" s="5">
        <f>N70_DESARROLLO!ED156+N70_DESARROLLO!BG156</f>
        <v>-9.5382594982166724E-2</v>
      </c>
      <c r="EA71" s="5">
        <f>N70_DESARROLLO!EE156+N70_DESARROLLO!BH156</f>
        <v>-0.10545841852058602</v>
      </c>
      <c r="EB71" s="5">
        <f>N70_DESARROLLO!EF156+N70_DESARROLLO!BI156</f>
        <v>-0.11791996375048475</v>
      </c>
      <c r="EC71" s="5">
        <f>N70_DESARROLLO!EG156+N70_DESARROLLO!BJ156</f>
        <v>-0.13373123411929144</v>
      </c>
      <c r="ED71" s="5">
        <f>N70_DESARROLLO!EH156+N70_DESARROLLO!BK156</f>
        <v>-0.15445886474682136</v>
      </c>
      <c r="EE71" s="5">
        <f>N70_DESARROLLO!EI156+N70_DESARROLLO!BL156</f>
        <v>-0.18283342438756101</v>
      </c>
      <c r="EF71" s="5">
        <f>N70_DESARROLLO!EJ156+N70_DESARROLLO!BM156</f>
        <v>-0.22408833054043442</v>
      </c>
      <c r="EG71" s="5">
        <f>N70_DESARROLLO!EK156+N70_DESARROLLO!BN156</f>
        <v>-0.28973434150572408</v>
      </c>
      <c r="EH71" s="5">
        <f>N70_DESARROLLO!EL156+N70_DESARROLLO!BO156</f>
        <v>-0.41141440075355473</v>
      </c>
      <c r="EI71" s="5">
        <f>N70_DESARROLLO!EM156+N70_DESARROLLO!BP156</f>
        <v>-0.72775792963607455</v>
      </c>
      <c r="EJ71" s="5">
        <f>N70_DESARROLLO!EN156+N70_DESARROLLO!BQ156</f>
        <v>-1.6479184659605444</v>
      </c>
      <c r="EK71" s="5">
        <f>N70_DESARROLLO!EO156+N70_DESARROLLO!BR156</f>
        <v>1.6479184659605444</v>
      </c>
      <c r="EL71" s="5">
        <f>N70_DESARROLLO!EP156+N70_DESARROLLO!BS156</f>
        <v>0.72775792963607433</v>
      </c>
      <c r="EM71" s="5">
        <f>N70_DESARROLLO!EQ156+N70_DESARROLLO!BT156</f>
        <v>0.41141440075354452</v>
      </c>
      <c r="EN71" s="5">
        <f>N70_DESARROLLO!ER156+N70_DESARROLLO!BU156</f>
        <v>0.28973434150574007</v>
      </c>
      <c r="EO71" s="5">
        <f>N70_DESARROLLO!ES156+N70_DESARROLLO!BV156</f>
        <v>0.2240883305404191</v>
      </c>
      <c r="EP71" s="5">
        <f>N70_DESARROLLO!ET156+N70_DESARROLLO!BW156</f>
        <v>0.18283342438757677</v>
      </c>
      <c r="EQ71" s="5">
        <f>N70_DESARROLLO!EU156+N70_DESARROLLO!BX156</f>
        <v>0.15445886474680548</v>
      </c>
      <c r="ER71" s="5">
        <f>N70_DESARROLLO!EV156+N70_DESARROLLO!BY156</f>
        <v>155.42130313025831</v>
      </c>
      <c r="FC71">
        <v>62</v>
      </c>
      <c r="FD71" s="4">
        <v>5.2794129051879138E-5</v>
      </c>
      <c r="FE71" s="4">
        <v>1.0580560333850964E-4</v>
      </c>
      <c r="FF71" s="4">
        <v>1.3986253924230097E-4</v>
      </c>
      <c r="FG71" s="4">
        <v>1.6986431307787166E-4</v>
      </c>
      <c r="FH71" s="4">
        <v>1.976218186964848E-4</v>
      </c>
      <c r="FI71" s="4">
        <v>2.241985766998486E-4</v>
      </c>
      <c r="FJ71" s="4">
        <v>2.5018102518300296E-4</v>
      </c>
      <c r="FK71" s="4">
        <v>2.7595094579025304E-4</v>
      </c>
      <c r="FL71" s="4">
        <v>3.0178176433803534E-4</v>
      </c>
      <c r="FM71" s="4">
        <v>3.2788533377969099E-4</v>
      </c>
      <c r="FN71" s="4">
        <v>3.5443681617256038E-4</v>
      </c>
      <c r="FO71" s="4">
        <v>3.8158918096747337E-4</v>
      </c>
      <c r="FP71" s="4">
        <v>4.0948230206561164E-4</v>
      </c>
      <c r="FQ71" s="4">
        <v>4.38249065541209E-4</v>
      </c>
      <c r="FR71" s="4">
        <v>4.6801974890600787E-4</v>
      </c>
      <c r="FS71" s="4">
        <v>4.9892537645319641E-4</v>
      </c>
      <c r="FT71" s="4">
        <v>5.3110046884901458E-4</v>
      </c>
      <c r="FU71" s="4">
        <v>5.6468545037135099E-4</v>
      </c>
      <c r="FV71" s="4">
        <v>5.9982889053444865E-4</v>
      </c>
      <c r="FW71" s="4">
        <v>6.3668970798334086E-4</v>
      </c>
      <c r="FX71" s="4">
        <v>6.7543943701206012E-4</v>
      </c>
      <c r="FY71" s="4">
        <v>7.1626464328046935E-4</v>
      </c>
      <c r="FZ71" s="4">
        <v>7.5936957043313917E-4</v>
      </c>
      <c r="GA71" s="4">
        <v>8.0497910111049622E-4</v>
      </c>
      <c r="GB71" s="4">
        <v>8.5334212329969488E-4</v>
      </c>
      <c r="GC71" s="4">
        <v>9.0473540582582329E-4</v>
      </c>
      <c r="GD71" s="4">
        <v>9.5946810543133683E-4</v>
      </c>
      <c r="GE71" s="4">
        <v>1.0178870532091659E-3</v>
      </c>
      <c r="GF71" s="4">
        <v>1.0803830017968457E-3</v>
      </c>
      <c r="GG71" s="4">
        <v>1.1473980589618183E-3</v>
      </c>
      <c r="GH71" s="4">
        <v>1.219434591125196E-3</v>
      </c>
      <c r="GI71" s="4">
        <v>1.2970659566454369E-3</v>
      </c>
      <c r="GJ71" s="4">
        <v>1.3809495295467168E-3</v>
      </c>
      <c r="GK71" s="4">
        <v>1.4718426086048279E-3</v>
      </c>
      <c r="GL71" s="4">
        <v>1.5706219871256743E-3</v>
      </c>
      <c r="GM71" s="4">
        <v>1.6783082031548273E-3</v>
      </c>
      <c r="GN71" s="4">
        <v>1.7960958245669166E-3</v>
      </c>
      <c r="GO71" s="4">
        <v>1.9253915867869179E-3</v>
      </c>
      <c r="GP71" s="4">
        <v>2.067862850101894E-3</v>
      </c>
      <c r="GQ71" s="4">
        <v>2.2254997648701574E-3</v>
      </c>
      <c r="GR71" s="4">
        <v>2.4006958590666052E-3</v>
      </c>
      <c r="GS71" s="4">
        <v>2.5963537009251079E-3</v>
      </c>
      <c r="GT71" s="4">
        <v>2.8160251696530045E-3</v>
      </c>
      <c r="GU71" s="4">
        <v>3.0641002263166284E-3</v>
      </c>
      <c r="GV71" s="4">
        <v>3.3460648072343858E-3</v>
      </c>
      <c r="GW71" s="4">
        <v>3.6688590863605615E-3</v>
      </c>
      <c r="GX71" s="4">
        <v>4.0413845406980968E-3</v>
      </c>
      <c r="GY71" s="4">
        <v>4.4752368320760154E-3</v>
      </c>
      <c r="GZ71" s="4">
        <v>4.9857905289424206E-3</v>
      </c>
      <c r="HA71" s="4">
        <v>5.5938487281337818E-3</v>
      </c>
      <c r="HB71" s="4">
        <v>6.3282315024464813E-3</v>
      </c>
      <c r="HC71" s="4">
        <v>7.2299884519891455E-3</v>
      </c>
      <c r="HD71" s="4">
        <v>8.3595566447183037E-3</v>
      </c>
      <c r="HE71" s="4">
        <v>9.8095694663135578E-3</v>
      </c>
      <c r="HF71" s="4">
        <v>1.1729285548186105E-2</v>
      </c>
      <c r="HG71" s="4">
        <v>1.4374895871334011E-2</v>
      </c>
      <c r="HH71" s="4">
        <v>1.8226625708380559E-2</v>
      </c>
      <c r="HI71" s="4">
        <v>2.4261753886905497E-2</v>
      </c>
      <c r="HJ71" s="4">
        <v>3.5417651002493895E-2</v>
      </c>
      <c r="HK71" s="4">
        <v>5.2527620245839277E-2</v>
      </c>
      <c r="HL71" s="4">
        <v>0.24295001616716894</v>
      </c>
      <c r="HM71" s="4">
        <v>-0.25303053946690302</v>
      </c>
      <c r="HN71" s="4">
        <v>-6.2629704387547488E-2</v>
      </c>
      <c r="HO71" s="4">
        <v>-4.554317280383454E-2</v>
      </c>
      <c r="HP71" s="4">
        <v>-3.4353444255903497E-2</v>
      </c>
      <c r="HQ71" s="4">
        <v>-2.8073882720681141E-2</v>
      </c>
      <c r="HR71" s="4">
        <v>-2.3054637765582111E-2</v>
      </c>
      <c r="HS71" s="4">
        <v>-1.9268579832997956E-2</v>
      </c>
      <c r="HT71" s="4">
        <v>5.0299610828713065E-2</v>
      </c>
      <c r="HU71" s="4">
        <v>-0.22089837564473694</v>
      </c>
    </row>
    <row r="72" spans="4:229" x14ac:dyDescent="0.25">
      <c r="D72" s="10">
        <v>63</v>
      </c>
      <c r="E72" s="5">
        <f>'N70'!E79-'N70'!E78</f>
        <v>1.4285714285714346E-2</v>
      </c>
      <c r="F72" s="5">
        <f>'N70'!H78-'N70'!$E$16</f>
        <v>0.89285714285714279</v>
      </c>
      <c r="G72" s="5">
        <f>'N70'!H78-'N70'!$E$17</f>
        <v>0.87857142857142856</v>
      </c>
      <c r="H72" s="5">
        <f>'N70'!H78-'N70'!$E$18</f>
        <v>0.86428571428571421</v>
      </c>
      <c r="I72" s="5">
        <f>'N70'!H78-'N70'!$E$19</f>
        <v>0.85</v>
      </c>
      <c r="J72" s="5">
        <f>'N70'!H78-'N70'!$E$20</f>
        <v>0.83571428571428563</v>
      </c>
      <c r="K72" s="5">
        <f>'N70'!H78-'N70'!$E$21</f>
        <v>0.8214285714285714</v>
      </c>
      <c r="L72" s="5">
        <f>'N70'!H78-'N70'!$E$22</f>
        <v>0.80714285714285705</v>
      </c>
      <c r="M72" s="5">
        <f>'N70'!H78-'N70'!$E$23</f>
        <v>0.79285714285714282</v>
      </c>
      <c r="N72" s="5">
        <f>'N70'!H78-'N70'!$E$24</f>
        <v>0.77857142857142847</v>
      </c>
      <c r="O72" s="5">
        <f>'N70'!H78-'N70'!$E$25</f>
        <v>0.76428571428571423</v>
      </c>
      <c r="P72" s="5">
        <f>'N70'!H78-'N70'!$E$26</f>
        <v>0.75</v>
      </c>
      <c r="Q72" s="5">
        <f>'N70'!H78-'N70'!$E$27</f>
        <v>0.73571428571428565</v>
      </c>
      <c r="R72" s="5">
        <f>'N70'!H78-'N70'!$E$28</f>
        <v>0.72142857142857131</v>
      </c>
      <c r="S72" s="5">
        <f>'N70'!H78-'N70'!$E$29</f>
        <v>0.70714285714285707</v>
      </c>
      <c r="T72" s="5">
        <f>'N70'!H78-'N70'!$E$30</f>
        <v>0.69285714285714284</v>
      </c>
      <c r="U72" s="5">
        <f>'N70'!H78-'N70'!$E$31</f>
        <v>0.67857142857142849</v>
      </c>
      <c r="V72" s="5">
        <f>'N70'!H78-'N70'!$E$32</f>
        <v>0.66428571428571426</v>
      </c>
      <c r="W72" s="5">
        <f>'N70'!H78-'N70'!$E$33</f>
        <v>0.64999999999999991</v>
      </c>
      <c r="X72" s="5">
        <f>'N70'!H78-'N70'!$E$34</f>
        <v>0.63571428571428568</v>
      </c>
      <c r="Y72" s="5">
        <f>'N70'!H78-'N70'!$E$35</f>
        <v>0.62142857142857144</v>
      </c>
      <c r="Z72" s="5">
        <f>'N70'!H78-'N70'!$E$36</f>
        <v>0.6071428571428571</v>
      </c>
      <c r="AA72" s="5">
        <f>'N70'!H78-'N70'!$E$37</f>
        <v>0.59285714285714275</v>
      </c>
      <c r="AB72" s="5">
        <f>'N70'!H78-'N70'!$E$38</f>
        <v>0.57857142857142851</v>
      </c>
      <c r="AC72" s="5">
        <f>'N70'!H78-'N70'!$E$39</f>
        <v>0.56428571428571428</v>
      </c>
      <c r="AD72" s="5">
        <f>'N70'!H78-'N70'!$E$40</f>
        <v>0.54999999999999993</v>
      </c>
      <c r="AE72" s="5">
        <f>'N70'!H78-'N70'!$E$41</f>
        <v>0.53571428571428559</v>
      </c>
      <c r="AF72" s="5">
        <f>'N70'!H78-'N70'!$E$42</f>
        <v>0.52142857142857135</v>
      </c>
      <c r="AG72" s="5">
        <f>'N70'!H78-'N70'!$E$43</f>
        <v>0.50714285714285712</v>
      </c>
      <c r="AH72" s="5">
        <f>'N70'!H78-'N70'!$E$44</f>
        <v>0.49285714285714283</v>
      </c>
      <c r="AI72" s="5">
        <f>'N70'!H78-'N70'!$E$45</f>
        <v>0.47857142857142854</v>
      </c>
      <c r="AJ72" s="5">
        <f>'N70'!H78-'N70'!$E$46</f>
        <v>0.46428571428571425</v>
      </c>
      <c r="AK72" s="5">
        <f>'N70'!H78-'N70'!$E$47</f>
        <v>0.44999999999999996</v>
      </c>
      <c r="AL72" s="5">
        <f>'N70'!H78-'N70'!$E$48</f>
        <v>0.43571428571428567</v>
      </c>
      <c r="AM72" s="5">
        <f>'N70'!H78-'N70'!$E$49</f>
        <v>0.42142857142857137</v>
      </c>
      <c r="AN72" s="5">
        <f>'N70'!H78-'N70'!$E$50</f>
        <v>0.40714285714285708</v>
      </c>
      <c r="AO72" s="5">
        <f>'N70'!H78-'N70'!$E$51</f>
        <v>0.39285714285714279</v>
      </c>
      <c r="AP72" s="5">
        <f>'N70'!H78-'N70'!$E$52</f>
        <v>0.37857142857142856</v>
      </c>
      <c r="AQ72" s="5">
        <f>'N70'!H78-'N70'!$E$53</f>
        <v>0.36428571428571421</v>
      </c>
      <c r="AR72" s="5">
        <f>'N70'!H78-'N70'!$E$54</f>
        <v>0.35</v>
      </c>
      <c r="AS72" s="5">
        <f>'N70'!H78-'N70'!$E$55</f>
        <v>0.33571428571428563</v>
      </c>
      <c r="AT72" s="5">
        <f>'N70'!H78-'N70'!$E$56</f>
        <v>0.3214285714285714</v>
      </c>
      <c r="AU72" s="5">
        <f>'N70'!H78-'N70'!$E$57</f>
        <v>0.30714285714285705</v>
      </c>
      <c r="AV72" s="5">
        <f>'N70'!H78-'N70'!$E$58</f>
        <v>0.29285714285714282</v>
      </c>
      <c r="AW72" s="5">
        <f>'N70'!H78-'N70'!$E$59</f>
        <v>0.27857142857142858</v>
      </c>
      <c r="AX72" s="5">
        <f>'N70'!H78-'N70'!$E$60</f>
        <v>0.26428571428571423</v>
      </c>
      <c r="AY72" s="5">
        <f>'N70'!H78-'N70'!$E$61</f>
        <v>0.25</v>
      </c>
      <c r="AZ72" s="5">
        <f>'N70'!H78-'N70'!$E$62</f>
        <v>0.23571428571428565</v>
      </c>
      <c r="BA72" s="5">
        <f>'N70'!H78-'N70'!$E$63</f>
        <v>0.22142857142857142</v>
      </c>
      <c r="BB72" s="5">
        <f>'N70'!H78-'N70'!$E$64</f>
        <v>0.20714285714285707</v>
      </c>
      <c r="BC72" s="5">
        <f>'N70'!H78-'N70'!$E$65</f>
        <v>0.19285714285714284</v>
      </c>
      <c r="BD72" s="5">
        <f>'N70'!H78-'N70'!$E$66</f>
        <v>0.17857142857142849</v>
      </c>
      <c r="BE72" s="5">
        <f>'N70'!H78-'N70'!$E$67</f>
        <v>0.16428571428571426</v>
      </c>
      <c r="BF72" s="5">
        <f>'N70'!H78-'N70'!$E$68</f>
        <v>0.14999999999999991</v>
      </c>
      <c r="BG72" s="5">
        <f>'N70'!H78-'N70'!$E$69</f>
        <v>0.13571428571428568</v>
      </c>
      <c r="BH72" s="5">
        <f>'N70'!H78-'N70'!$E$70</f>
        <v>0.12142857142857144</v>
      </c>
      <c r="BI72" s="5">
        <f>'N70'!H78-'N70'!$E$71</f>
        <v>0.1071428571428571</v>
      </c>
      <c r="BJ72" s="5">
        <f>'N70'!H78-'N70'!$E$72</f>
        <v>9.285714285714286E-2</v>
      </c>
      <c r="BK72" s="5">
        <f>'N70'!H78-'N70'!$E$73</f>
        <v>7.8571428571428514E-2</v>
      </c>
      <c r="BL72" s="5">
        <f>'N70'!H78-'N70'!$E$74</f>
        <v>6.4285714285714279E-2</v>
      </c>
      <c r="BM72" s="5">
        <f>'N70'!H78-'N70'!$E$75</f>
        <v>4.9999999999999933E-2</v>
      </c>
      <c r="BN72" s="5">
        <f>'N70'!H78-'N70'!$E$76</f>
        <v>3.5714285714285698E-2</v>
      </c>
      <c r="BO72" s="5">
        <f>'N70'!H78-'N70'!$E$77</f>
        <v>2.1428571428571352E-2</v>
      </c>
      <c r="BP72" s="5">
        <f>'N70'!H78-'N70'!$E$78</f>
        <v>7.1428571428571175E-3</v>
      </c>
      <c r="BQ72" s="5">
        <f>'N70'!H78-'N70'!$E$79</f>
        <v>-7.1428571428572285E-3</v>
      </c>
      <c r="BR72" s="5">
        <f>'N70'!H78-'N70'!$E$80</f>
        <v>-2.1428571428571463E-2</v>
      </c>
      <c r="BS72" s="5">
        <f>'N70'!H78-'N70'!$E$81</f>
        <v>-3.5714285714285698E-2</v>
      </c>
      <c r="BT72" s="5">
        <f>'N70'!H78-'N70'!$E$82</f>
        <v>-5.0000000000000044E-2</v>
      </c>
      <c r="BU72" s="5">
        <f>'N70'!H78-'N70'!$E$83</f>
        <v>-6.4285714285714279E-2</v>
      </c>
      <c r="BV72" s="5">
        <f>'N70'!H78-'N70'!$E$84</f>
        <v>-7.8571428571428625E-2</v>
      </c>
      <c r="BW72" s="5">
        <f>'N70'!H78-'N70'!$E$85</f>
        <v>-9.285714285714286E-2</v>
      </c>
      <c r="BX72" s="5">
        <v>-1</v>
      </c>
      <c r="BZ72">
        <v>63</v>
      </c>
      <c r="CA72" s="5">
        <f>N70_DESARROLLO!CE157+N70_DESARROLLO!H157</f>
        <v>-8.0429914730227869E-3</v>
      </c>
      <c r="CB72" s="5">
        <f>N70_DESARROLLO!CF157+N70_DESARROLLO!I157</f>
        <v>-1.6260879514510052E-2</v>
      </c>
      <c r="CC72" s="5">
        <f>N70_DESARROLLO!CG157+N70_DESARROLLO!J157</f>
        <v>-1.6529678664605085E-2</v>
      </c>
      <c r="CD72" s="5">
        <f>N70_DESARROLLO!CH157+N70_DESARROLLO!K157</f>
        <v>-1.6807514335715812E-2</v>
      </c>
      <c r="CE72" s="5">
        <f>N70_DESARROLLO!CI157+N70_DESARROLLO!L157</f>
        <v>-1.7094850027315034E-2</v>
      </c>
      <c r="CF72" s="5">
        <f>N70_DESARROLLO!CJ157+N70_DESARROLLO!M157</f>
        <v>-1.7392181490050618E-2</v>
      </c>
      <c r="CG72" s="5">
        <f>N70_DESARROLLO!CK157+N70_DESARROLLO!N157</f>
        <v>-1.7700039580951898E-2</v>
      </c>
      <c r="CH72" s="5">
        <f>N70_DESARROLLO!CL157+N70_DESARROLLO!O157</f>
        <v>-1.8018993426857532E-2</v>
      </c>
      <c r="CI72" s="5">
        <f>N70_DESARROLLO!CM157+N70_DESARROLLO!P157</f>
        <v>-1.834965393686272E-2</v>
      </c>
      <c r="CJ72" s="5">
        <f>N70_DESARROLLO!CN157+N70_DESARROLLO!Q157</f>
        <v>-1.8692677708201377E-2</v>
      </c>
      <c r="CK72" s="5">
        <f>N70_DESARROLLO!CO157+N70_DESARROLLO!R157</f>
        <v>-1.9048771379235774E-2</v>
      </c>
      <c r="CL72" s="5">
        <f>N70_DESARROLLO!CP157+N70_DESARROLLO!S157</f>
        <v>-1.9418696489466036E-2</v>
      </c>
      <c r="CM72" s="5">
        <f>N70_DESARROLLO!CQ157+N70_DESARROLLO!T157</f>
        <v>-1.9803274917314484E-2</v>
      </c>
      <c r="CN72" s="5">
        <f>N70_DESARROLLO!CR157+N70_DESARROLLO!U157</f>
        <v>-2.0203394977333811E-2</v>
      </c>
      <c r="CO72" s="5">
        <f>N70_DESARROLLO!CS157+N70_DESARROLLO!V157</f>
        <v>-2.062001827215143E-2</v>
      </c>
      <c r="CP72" s="5">
        <f>N70_DESARROLLO!CT157+N70_DESARROLLO!W157</f>
        <v>-2.1054187410176284E-2</v>
      </c>
      <c r="CQ72" s="5">
        <f>N70_DESARROLLO!CU157+N70_DESARROLLO!X157</f>
        <v>-2.1507034719698614E-2</v>
      </c>
      <c r="CR72" s="5">
        <f>N70_DESARROLLO!CV157+N70_DESARROLLO!Y157</f>
        <v>-2.1979792112873819E-2</v>
      </c>
      <c r="CS72" s="5">
        <f>N70_DESARROLLO!CW157+N70_DESARROLLO!Z157</f>
        <v>-2.2473802280097654E-2</v>
      </c>
      <c r="CT72" s="5">
        <f>N70_DESARROLLO!CX157+N70_DESARROLLO!AA157</f>
        <v>-2.2990531429693095E-2</v>
      </c>
      <c r="CU72" s="5">
        <f>N70_DESARROLLO!CY157+N70_DESARROLLO!AB157</f>
        <v>-2.3531583826936764E-2</v>
      </c>
      <c r="CV72" s="5">
        <f>N70_DESARROLLO!CZ157+N70_DESARROLLO!AC157</f>
        <v>-2.4098718436573519E-2</v>
      </c>
      <c r="CW72" s="5">
        <f>N70_DESARROLLO!DA157+N70_DESARROLLO!AD157</f>
        <v>-2.4693868032503286E-2</v>
      </c>
      <c r="CX72" s="5">
        <f>N70_DESARROLLO!DB157+N70_DESARROLLO!AE157</f>
        <v>-2.5319161212273178E-2</v>
      </c>
      <c r="CY72" s="5">
        <f>N70_DESARROLLO!DC157+N70_DESARROLLO!AF157</f>
        <v>-2.5976947844874254E-2</v>
      </c>
      <c r="CZ72" s="5">
        <f>N70_DESARROLLO!DD157+N70_DESARROLLO!AG157</f>
        <v>-2.6669828593224643E-2</v>
      </c>
      <c r="DA72" s="5">
        <f>N70_DESARROLLO!DE157+N70_DESARROLLO!AH157</f>
        <v>-2.7400689293802127E-2</v>
      </c>
      <c r="DB72" s="5">
        <f>N70_DESARROLLO!DF157+N70_DESARROLLO!AI157</f>
        <v>-2.8172741151781922E-2</v>
      </c>
      <c r="DC72" s="5">
        <f>N70_DESARROLLO!DG157+N70_DESARROLLO!AJ157</f>
        <v>-2.8989567932952598E-2</v>
      </c>
      <c r="DD72" s="5">
        <f>N70_DESARROLLO!DH157+N70_DESARROLLO!AK157</f>
        <v>-2.9855181616034066E-2</v>
      </c>
      <c r="DE72" s="5">
        <f>N70_DESARROLLO!DI157+N70_DESARROLLO!AL157</f>
        <v>-3.0774088329711402E-2</v>
      </c>
      <c r="DF72" s="5">
        <f>N70_DESARROLLO!DJ157+N70_DESARROLLO!AM157</f>
        <v>-3.1751366862667441E-2</v>
      </c>
      <c r="DG72" s="5">
        <f>N70_DESARROLLO!DK157+N70_DESARROLLO!AN157</f>
        <v>-3.2792762635871164E-2</v>
      </c>
      <c r="DH72" s="5">
        <f>N70_DESARROLLO!DL157+N70_DESARROLLO!AO157</f>
        <v>-3.3904800811321412E-2</v>
      </c>
      <c r="DI72" s="5">
        <f>N70_DESARROLLO!DM157+N70_DESARROLLO!AP157</f>
        <v>-3.5094923244214593E-2</v>
      </c>
      <c r="DJ72" s="5">
        <f>N70_DESARROLLO!DN157+N70_DESARROLLO!AQ157</f>
        <v>-3.6371655357443133E-2</v>
      </c>
      <c r="DK72" s="5">
        <f>N70_DESARROLLO!DO157+N70_DESARROLLO!AR157</f>
        <v>-3.7744810855687927E-2</v>
      </c>
      <c r="DL72" s="5">
        <f>N70_DESARROLLO!DP157+N70_DESARROLLO!AS157</f>
        <v>-3.922574468549056E-2</v>
      </c>
      <c r="DM72" s="5">
        <f>N70_DESARROLLO!DQ157+N70_DESARROLLO!AT157</f>
        <v>-4.0827668052526023E-2</v>
      </c>
      <c r="DN72" s="5">
        <f>N70_DESARROLLO!DR157+N70_DESARROLLO!AU157</f>
        <v>-4.2566044021121519E-2</v>
      </c>
      <c r="DO72" s="5">
        <f>N70_DESARROLLO!DS157+N70_DESARROLLO!AV157</f>
        <v>-4.4459088822753623E-2</v>
      </c>
      <c r="DP72" s="5">
        <f>N70_DESARROLLO!DT157+N70_DESARROLLO!AW157</f>
        <v>-4.6528413377895816E-2</v>
      </c>
      <c r="DQ72" s="5">
        <f>N70_DESARROLLO!DU157+N70_DESARROLLO!AX157</f>
        <v>-4.8799853039074859E-2</v>
      </c>
      <c r="DR72" s="5">
        <f>N70_DESARROLLO!DV157+N70_DESARROLLO!AY157</f>
        <v>-5.1304553326333657E-2</v>
      </c>
      <c r="DS72" s="5">
        <f>N70_DESARROLLO!DW157+N70_DESARROLLO!AZ157</f>
        <v>-5.408040883815779E-2</v>
      </c>
      <c r="DT72" s="5">
        <f>N70_DESARROLLO!DX157+N70_DESARROLLO!BA157</f>
        <v>-5.7173997129068899E-2</v>
      </c>
      <c r="DU72" s="5">
        <f>N70_DESARROLLO!DY157+N70_DESARROLLO!BB157</f>
        <v>-6.0643218403530041E-2</v>
      </c>
      <c r="DV72" s="5">
        <f>N70_DESARROLLO!DZ157+N70_DESARROLLO!BC157</f>
        <v>-6.456096125247579E-2</v>
      </c>
      <c r="DW72" s="5">
        <f>N70_DESARROLLO!EA157+N70_DESARROLLO!BD157</f>
        <v>-6.9020292350875811E-2</v>
      </c>
      <c r="DX72" s="5">
        <f>N70_DESARROLLO!EB157+N70_DESARROLLO!BE157</f>
        <v>-7.4141965022329614E-2</v>
      </c>
      <c r="DY72" s="5">
        <f>N70_DESARROLLO!EC157+N70_DESARROLLO!BF157</f>
        <v>-8.0085554140364557E-2</v>
      </c>
      <c r="DZ72" s="5">
        <f>N70_DESARROLLO!ED157+N70_DESARROLLO!BG157</f>
        <v>-8.7066442319328918E-2</v>
      </c>
      <c r="EA72" s="5">
        <f>N70_DESARROLLO!EE157+N70_DESARROLLO!BH157</f>
        <v>-9.5382594982182156E-2</v>
      </c>
      <c r="EB72" s="5">
        <f>N70_DESARROLLO!EF157+N70_DESARROLLO!BI157</f>
        <v>-0.10545841852057736</v>
      </c>
      <c r="EC72" s="5">
        <f>N70_DESARROLLO!EG157+N70_DESARROLLO!BJ157</f>
        <v>-0.11791996375047831</v>
      </c>
      <c r="ED72" s="5">
        <f>N70_DESARROLLO!EH157+N70_DESARROLLO!BK157</f>
        <v>-0.13373123411930654</v>
      </c>
      <c r="EE72" s="5">
        <f>N70_DESARROLLO!EI157+N70_DESARROLLO!BL157</f>
        <v>-0.15445886474680592</v>
      </c>
      <c r="EF72" s="5">
        <f>N70_DESARROLLO!EJ157+N70_DESARROLLO!BM157</f>
        <v>-0.18283342438757666</v>
      </c>
      <c r="EG72" s="5">
        <f>N70_DESARROLLO!EK157+N70_DESARROLLO!BN157</f>
        <v>-0.22408833054041921</v>
      </c>
      <c r="EH72" s="5">
        <f>N70_DESARROLLO!EL157+N70_DESARROLLO!BO157</f>
        <v>-0.28973434150574007</v>
      </c>
      <c r="EI72" s="5">
        <f>N70_DESARROLLO!EM157+N70_DESARROLLO!BP157</f>
        <v>-0.41141440075354019</v>
      </c>
      <c r="EJ72" s="5">
        <f>N70_DESARROLLO!EN157+N70_DESARROLLO!BQ157</f>
        <v>-0.72775792963608976</v>
      </c>
      <c r="EK72" s="5">
        <f>N70_DESARROLLO!EO157+N70_DESARROLLO!BR157</f>
        <v>-1.6479184659605282</v>
      </c>
      <c r="EL72" s="5">
        <f>N70_DESARROLLO!EP157+N70_DESARROLLO!BS157</f>
        <v>1.6479184659605211</v>
      </c>
      <c r="EM72" s="5">
        <f>N70_DESARROLLO!EQ157+N70_DESARROLLO!BT157</f>
        <v>0.72775792963607355</v>
      </c>
      <c r="EN72" s="5">
        <f>N70_DESARROLLO!ER157+N70_DESARROLLO!BU157</f>
        <v>0.41141440075355495</v>
      </c>
      <c r="EO72" s="5">
        <f>N70_DESARROLLO!ES157+N70_DESARROLLO!BV157</f>
        <v>0.2897343415057243</v>
      </c>
      <c r="EP72" s="5">
        <f>N70_DESARROLLO!ET157+N70_DESARROLLO!BW157</f>
        <v>0.22408833054043464</v>
      </c>
      <c r="EQ72" s="5">
        <f>N70_DESARROLLO!EU157+N70_DESARROLLO!BX157</f>
        <v>0.18283342438756045</v>
      </c>
      <c r="ER72" s="5">
        <f>N70_DESARROLLO!EV157+N70_DESARROLLO!BY157</f>
        <v>165.44972040369072</v>
      </c>
      <c r="FC72">
        <v>63</v>
      </c>
      <c r="FD72" s="4">
        <v>4.8753461167818796E-5</v>
      </c>
      <c r="FE72" s="4">
        <v>9.7686322134782648E-5</v>
      </c>
      <c r="FF72" s="4">
        <v>1.2909585270617327E-4</v>
      </c>
      <c r="FG72" s="4">
        <v>1.5674555368812472E-4</v>
      </c>
      <c r="FH72" s="4">
        <v>1.8230801669622871E-4</v>
      </c>
      <c r="FI72" s="4">
        <v>2.0676500474843057E-4</v>
      </c>
      <c r="FJ72" s="4">
        <v>2.3065728222539521E-4</v>
      </c>
      <c r="FK72" s="4">
        <v>2.5433631458243483E-4</v>
      </c>
      <c r="FL72" s="4">
        <v>2.7805324024920264E-4</v>
      </c>
      <c r="FM72" s="4">
        <v>3.0200208308688714E-4</v>
      </c>
      <c r="FN72" s="4">
        <v>3.2634272277176082E-4</v>
      </c>
      <c r="FO72" s="4">
        <v>3.5121426491247214E-4</v>
      </c>
      <c r="FP72" s="4">
        <v>3.7674341434972691E-4</v>
      </c>
      <c r="FQ72" s="4">
        <v>4.0305007970238836E-4</v>
      </c>
      <c r="FR72" s="4">
        <v>4.3025137334620089E-4</v>
      </c>
      <c r="FS72" s="4">
        <v>4.5846465670725044E-4</v>
      </c>
      <c r="FT72" s="4">
        <v>4.8781001577394008E-4</v>
      </c>
      <c r="FU72" s="4">
        <v>5.1841240834506848E-4</v>
      </c>
      <c r="FV72" s="4">
        <v>5.504036440717485E-4</v>
      </c>
      <c r="FW72" s="4">
        <v>5.8392431252531941E-4</v>
      </c>
      <c r="FX72" s="4">
        <v>6.1912574852000888E-4</v>
      </c>
      <c r="FY72" s="4">
        <v>6.5617211024555347E-4</v>
      </c>
      <c r="FZ72" s="4">
        <v>6.9524264016100851E-4</v>
      </c>
      <c r="GA72" s="4">
        <v>7.3653417888210082E-4</v>
      </c>
      <c r="GB72" s="4">
        <v>7.8026400735353035E-4</v>
      </c>
      <c r="GC72" s="4">
        <v>8.2667310214096148E-4</v>
      </c>
      <c r="GD72" s="4">
        <v>8.760299028588934E-4</v>
      </c>
      <c r="GE72" s="4">
        <v>9.2863471019486528E-4</v>
      </c>
      <c r="GF72" s="4">
        <v>9.8482485876390485E-4</v>
      </c>
      <c r="GG72" s="4">
        <v>1.0449808429617779E-3</v>
      </c>
      <c r="GH72" s="4">
        <v>1.1095336180492639E-3</v>
      </c>
      <c r="GI72" s="4">
        <v>1.1789733566027756E-3</v>
      </c>
      <c r="GJ72" s="4">
        <v>1.2538600163055527E-3</v>
      </c>
      <c r="GK72" s="4">
        <v>1.3348361753817257E-3</v>
      </c>
      <c r="GL72" s="4">
        <v>1.4226427255830639E-3</v>
      </c>
      <c r="GM72" s="4">
        <v>1.5181381920710527E-3</v>
      </c>
      <c r="GN72" s="4">
        <v>1.6223226928116438E-3</v>
      </c>
      <c r="GO72" s="4">
        <v>1.736367883248805E-3</v>
      </c>
      <c r="GP72" s="4">
        <v>1.8616546935602892E-3</v>
      </c>
      <c r="GQ72" s="4">
        <v>1.9998213125533488E-3</v>
      </c>
      <c r="GR72" s="4">
        <v>2.1528247906496801E-3</v>
      </c>
      <c r="GS72" s="4">
        <v>2.323020956910329E-3</v>
      </c>
      <c r="GT72" s="4">
        <v>2.5132692785628154E-3</v>
      </c>
      <c r="GU72" s="4">
        <v>2.7270721660623731E-3</v>
      </c>
      <c r="GV72" s="4">
        <v>2.9687625784564678E-3</v>
      </c>
      <c r="GW72" s="4">
        <v>3.2437605053054204E-3</v>
      </c>
      <c r="GX72" s="4">
        <v>3.5589295148158984E-3</v>
      </c>
      <c r="GY72" s="4">
        <v>3.923081732883929E-3</v>
      </c>
      <c r="GZ72" s="4">
        <v>4.3477081834669843E-3</v>
      </c>
      <c r="HA72" s="4">
        <v>4.8480604178146383E-3</v>
      </c>
      <c r="HB72" s="4">
        <v>5.4447963885527117E-3</v>
      </c>
      <c r="HC72" s="4">
        <v>6.1665643973261375E-3</v>
      </c>
      <c r="HD72" s="4">
        <v>7.0542103408800559E-3</v>
      </c>
      <c r="HE72" s="4">
        <v>8.1679296150832265E-3</v>
      </c>
      <c r="HF72" s="4">
        <v>9.6000695831088296E-3</v>
      </c>
      <c r="HG72" s="4">
        <v>1.1499552878872133E-2</v>
      </c>
      <c r="HH72" s="4">
        <v>1.4122182358493452E-2</v>
      </c>
      <c r="HI72" s="4">
        <v>1.794775071627084E-2</v>
      </c>
      <c r="HJ72" s="4">
        <v>2.3953091964255348E-2</v>
      </c>
      <c r="HK72" s="4">
        <v>3.5075210937964119E-2</v>
      </c>
      <c r="HL72" s="4">
        <v>5.2147358088396656E-2</v>
      </c>
      <c r="HM72" s="4">
        <v>0.24252873673280398</v>
      </c>
      <c r="HN72" s="4">
        <v>-0.25349276131897847</v>
      </c>
      <c r="HO72" s="4">
        <v>-6.3123014765059687E-2</v>
      </c>
      <c r="HP72" s="4">
        <v>-4.602833265821038E-2</v>
      </c>
      <c r="HQ72" s="4">
        <v>-3.4713374626327009E-2</v>
      </c>
      <c r="HR72" s="4">
        <v>-2.7676756664586948E-2</v>
      </c>
      <c r="HS72" s="4">
        <v>-2.2954204947288882E-2</v>
      </c>
      <c r="HT72" s="4">
        <v>4.468610919889008E-2</v>
      </c>
      <c r="HU72" s="4">
        <v>-0.21996010863500801</v>
      </c>
    </row>
    <row r="73" spans="4:229" x14ac:dyDescent="0.25">
      <c r="D73" s="10">
        <v>64</v>
      </c>
      <c r="E73" s="5">
        <f>'N70'!E80-'N70'!E79</f>
        <v>1.4285714285714235E-2</v>
      </c>
      <c r="F73" s="5">
        <f>'N70'!H79-'N70'!$E$16</f>
        <v>0.90714285714285714</v>
      </c>
      <c r="G73" s="5">
        <f>'N70'!H79-'N70'!$E$17</f>
        <v>0.8928571428571429</v>
      </c>
      <c r="H73" s="5">
        <f>'N70'!H79-'N70'!$E$18</f>
        <v>0.87857142857142856</v>
      </c>
      <c r="I73" s="5">
        <f>'N70'!H79-'N70'!$E$19</f>
        <v>0.86428571428571432</v>
      </c>
      <c r="J73" s="5">
        <f>'N70'!H79-'N70'!$E$20</f>
        <v>0.85</v>
      </c>
      <c r="K73" s="5">
        <f>'N70'!H79-'N70'!$E$21</f>
        <v>0.83571428571428574</v>
      </c>
      <c r="L73" s="5">
        <f>'N70'!H79-'N70'!$E$22</f>
        <v>0.8214285714285714</v>
      </c>
      <c r="M73" s="5">
        <f>'N70'!H79-'N70'!$E$23</f>
        <v>0.80714285714285716</v>
      </c>
      <c r="N73" s="5">
        <f>'N70'!H79-'N70'!$E$24</f>
        <v>0.79285714285714282</v>
      </c>
      <c r="O73" s="5">
        <f>'N70'!H79-'N70'!$E$25</f>
        <v>0.77857142857142858</v>
      </c>
      <c r="P73" s="5">
        <f>'N70'!H79-'N70'!$E$26</f>
        <v>0.76428571428571423</v>
      </c>
      <c r="Q73" s="5">
        <f>'N70'!H79-'N70'!$E$27</f>
        <v>0.75</v>
      </c>
      <c r="R73" s="5">
        <f>'N70'!H79-'N70'!$E$28</f>
        <v>0.73571428571428577</v>
      </c>
      <c r="S73" s="5">
        <f>'N70'!H79-'N70'!$E$29</f>
        <v>0.72142857142857142</v>
      </c>
      <c r="T73" s="5">
        <f>'N70'!H79-'N70'!$E$30</f>
        <v>0.70714285714285718</v>
      </c>
      <c r="U73" s="5">
        <f>'N70'!H79-'N70'!$E$31</f>
        <v>0.69285714285714284</v>
      </c>
      <c r="V73" s="5">
        <f>'N70'!H79-'N70'!$E$32</f>
        <v>0.6785714285714286</v>
      </c>
      <c r="W73" s="5">
        <f>'N70'!H79-'N70'!$E$33</f>
        <v>0.66428571428571426</v>
      </c>
      <c r="X73" s="5">
        <f>'N70'!H79-'N70'!$E$34</f>
        <v>0.65</v>
      </c>
      <c r="Y73" s="5">
        <f>'N70'!H79-'N70'!$E$35</f>
        <v>0.63571428571428568</v>
      </c>
      <c r="Z73" s="5">
        <f>'N70'!H79-'N70'!$E$36</f>
        <v>0.62142857142857144</v>
      </c>
      <c r="AA73" s="5">
        <f>'N70'!H79-'N70'!$E$37</f>
        <v>0.60714285714285721</v>
      </c>
      <c r="AB73" s="5">
        <f>'N70'!H79-'N70'!$E$38</f>
        <v>0.59285714285714286</v>
      </c>
      <c r="AC73" s="5">
        <f>'N70'!H79-'N70'!$E$39</f>
        <v>0.57857142857142851</v>
      </c>
      <c r="AD73" s="5">
        <f>'N70'!H79-'N70'!$E$40</f>
        <v>0.56428571428571428</v>
      </c>
      <c r="AE73" s="5">
        <f>'N70'!H79-'N70'!$E$41</f>
        <v>0.55000000000000004</v>
      </c>
      <c r="AF73" s="5">
        <f>'N70'!H79-'N70'!$E$42</f>
        <v>0.5357142857142857</v>
      </c>
      <c r="AG73" s="5">
        <f>'N70'!H79-'N70'!$E$43</f>
        <v>0.52142857142857146</v>
      </c>
      <c r="AH73" s="5">
        <f>'N70'!H79-'N70'!$E$44</f>
        <v>0.50714285714285712</v>
      </c>
      <c r="AI73" s="5">
        <f>'N70'!H79-'N70'!$E$45</f>
        <v>0.49285714285714288</v>
      </c>
      <c r="AJ73" s="5">
        <f>'N70'!H79-'N70'!$E$46</f>
        <v>0.47857142857142859</v>
      </c>
      <c r="AK73" s="5">
        <f>'N70'!H79-'N70'!$E$47</f>
        <v>0.4642857142857143</v>
      </c>
      <c r="AL73" s="5">
        <f>'N70'!H79-'N70'!$E$48</f>
        <v>0.45</v>
      </c>
      <c r="AM73" s="5">
        <f>'N70'!H79-'N70'!$E$49</f>
        <v>0.43571428571428572</v>
      </c>
      <c r="AN73" s="5">
        <f>'N70'!H79-'N70'!$E$50</f>
        <v>0.42142857142857143</v>
      </c>
      <c r="AO73" s="5">
        <f>'N70'!H79-'N70'!$E$51</f>
        <v>0.40714285714285714</v>
      </c>
      <c r="AP73" s="5">
        <f>'N70'!H79-'N70'!$E$52</f>
        <v>0.3928571428571429</v>
      </c>
      <c r="AQ73" s="5">
        <f>'N70'!H79-'N70'!$E$53</f>
        <v>0.37857142857142856</v>
      </c>
      <c r="AR73" s="5">
        <f>'N70'!H79-'N70'!$E$54</f>
        <v>0.36428571428571432</v>
      </c>
      <c r="AS73" s="5">
        <f>'N70'!H79-'N70'!$E$55</f>
        <v>0.35</v>
      </c>
      <c r="AT73" s="5">
        <f>'N70'!H79-'N70'!$E$56</f>
        <v>0.33571428571428574</v>
      </c>
      <c r="AU73" s="5">
        <f>'N70'!H79-'N70'!$E$57</f>
        <v>0.3214285714285714</v>
      </c>
      <c r="AV73" s="5">
        <f>'N70'!H79-'N70'!$E$58</f>
        <v>0.30714285714285716</v>
      </c>
      <c r="AW73" s="5">
        <f>'N70'!H79-'N70'!$E$59</f>
        <v>0.29285714285714293</v>
      </c>
      <c r="AX73" s="5">
        <f>'N70'!H79-'N70'!$E$60</f>
        <v>0.27857142857142858</v>
      </c>
      <c r="AY73" s="5">
        <f>'N70'!H79-'N70'!$E$61</f>
        <v>0.26428571428571435</v>
      </c>
      <c r="AZ73" s="5">
        <f>'N70'!H79-'N70'!$E$62</f>
        <v>0.25</v>
      </c>
      <c r="BA73" s="5">
        <f>'N70'!H79-'N70'!$E$63</f>
        <v>0.23571428571428577</v>
      </c>
      <c r="BB73" s="5">
        <f>'N70'!H79-'N70'!$E$64</f>
        <v>0.22142857142857142</v>
      </c>
      <c r="BC73" s="5">
        <f>'N70'!H79-'N70'!$E$65</f>
        <v>0.20714285714285718</v>
      </c>
      <c r="BD73" s="5">
        <f>'N70'!H79-'N70'!$E$66</f>
        <v>0.19285714285714284</v>
      </c>
      <c r="BE73" s="5">
        <f>'N70'!H79-'N70'!$E$67</f>
        <v>0.1785714285714286</v>
      </c>
      <c r="BF73" s="5">
        <f>'N70'!H79-'N70'!$E$68</f>
        <v>0.16428571428571426</v>
      </c>
      <c r="BG73" s="5">
        <f>'N70'!H79-'N70'!$E$69</f>
        <v>0.15000000000000002</v>
      </c>
      <c r="BH73" s="5">
        <f>'N70'!H79-'N70'!$E$70</f>
        <v>0.13571428571428579</v>
      </c>
      <c r="BI73" s="5">
        <f>'N70'!H79-'N70'!$E$71</f>
        <v>0.12142857142857144</v>
      </c>
      <c r="BJ73" s="5">
        <f>'N70'!H79-'N70'!$E$72</f>
        <v>0.10714285714285721</v>
      </c>
      <c r="BK73" s="5">
        <f>'N70'!H79-'N70'!$E$73</f>
        <v>9.285714285714286E-2</v>
      </c>
      <c r="BL73" s="5">
        <f>'N70'!H79-'N70'!$E$74</f>
        <v>7.8571428571428625E-2</v>
      </c>
      <c r="BM73" s="5">
        <f>'N70'!H79-'N70'!$E$75</f>
        <v>6.4285714285714279E-2</v>
      </c>
      <c r="BN73" s="5">
        <f>'N70'!H79-'N70'!$E$76</f>
        <v>5.0000000000000044E-2</v>
      </c>
      <c r="BO73" s="5">
        <f>'N70'!H79-'N70'!$E$77</f>
        <v>3.5714285714285698E-2</v>
      </c>
      <c r="BP73" s="5">
        <f>'N70'!H79-'N70'!$E$78</f>
        <v>2.1428571428571463E-2</v>
      </c>
      <c r="BQ73" s="5">
        <f>'N70'!H79-'N70'!$E$79</f>
        <v>7.1428571428571175E-3</v>
      </c>
      <c r="BR73" s="5">
        <f>'N70'!H79-'N70'!$E$80</f>
        <v>-7.1428571428571175E-3</v>
      </c>
      <c r="BS73" s="5">
        <f>'N70'!H79-'N70'!$E$81</f>
        <v>-2.1428571428571352E-2</v>
      </c>
      <c r="BT73" s="5">
        <f>'N70'!H79-'N70'!$E$82</f>
        <v>-3.5714285714285698E-2</v>
      </c>
      <c r="BU73" s="5">
        <f>'N70'!H79-'N70'!$E$83</f>
        <v>-4.9999999999999933E-2</v>
      </c>
      <c r="BV73" s="5">
        <f>'N70'!H79-'N70'!$E$84</f>
        <v>-6.4285714285714279E-2</v>
      </c>
      <c r="BW73" s="5">
        <f>'N70'!H79-'N70'!$E$85</f>
        <v>-7.8571428571428514E-2</v>
      </c>
      <c r="BX73" s="5">
        <v>-1</v>
      </c>
      <c r="BZ73">
        <v>64</v>
      </c>
      <c r="CA73" s="5">
        <f>N70_DESARROLLO!CE158+N70_DESARROLLO!H158</f>
        <v>-7.9156578901804497E-3</v>
      </c>
      <c r="CB73" s="5">
        <f>N70_DESARROLLO!CF158+N70_DESARROLLO!I158</f>
        <v>-1.6000683056592413E-2</v>
      </c>
      <c r="CC73" s="5">
        <f>N70_DESARROLLO!CG158+N70_DESARROLLO!J158</f>
        <v>-1.6260879514524262E-2</v>
      </c>
      <c r="CD73" s="5">
        <f>N70_DESARROLLO!CH158+N70_DESARROLLO!K158</f>
        <v>-1.652967866459143E-2</v>
      </c>
      <c r="CE73" s="5">
        <f>N70_DESARROLLO!CI158+N70_DESARROLLO!L158</f>
        <v>-1.6807514335729246E-2</v>
      </c>
      <c r="CF73" s="5">
        <f>N70_DESARROLLO!CJ158+N70_DESARROLLO!M158</f>
        <v>-1.7094850027301711E-2</v>
      </c>
      <c r="CG73" s="5">
        <f>N70_DESARROLLO!CK158+N70_DESARROLLO!N158</f>
        <v>-1.7392181490069936E-2</v>
      </c>
      <c r="CH73" s="5">
        <f>N70_DESARROLLO!CL158+N70_DESARROLLO!O158</f>
        <v>-1.7700039580932247E-2</v>
      </c>
      <c r="CI73" s="5">
        <f>N70_DESARROLLO!CM158+N70_DESARROLLO!P158</f>
        <v>-1.80189934268703E-2</v>
      </c>
      <c r="CJ73" s="5">
        <f>N70_DESARROLLO!CN158+N70_DESARROLLO!Q158</f>
        <v>-1.8349653936844179E-2</v>
      </c>
      <c r="CK73" s="5">
        <f>N70_DESARROLLO!CO158+N70_DESARROLLO!R158</f>
        <v>-1.8692677708213812E-2</v>
      </c>
      <c r="CL73" s="5">
        <f>N70_DESARROLLO!CP158+N70_DESARROLLO!S158</f>
        <v>-1.9048771379241214E-2</v>
      </c>
      <c r="CM73" s="5">
        <f>N70_DESARROLLO!CQ158+N70_DESARROLLO!T158</f>
        <v>-1.9418696489460152E-2</v>
      </c>
      <c r="CN73" s="5">
        <f>N70_DESARROLLO!CR158+N70_DESARROLLO!U158</f>
        <v>-1.9803274917314595E-2</v>
      </c>
      <c r="CO73" s="5">
        <f>N70_DESARROLLO!CS158+N70_DESARROLLO!V158</f>
        <v>-2.0203394977323041E-2</v>
      </c>
      <c r="CP73" s="5">
        <f>N70_DESARROLLO!CT158+N70_DESARROLLO!W158</f>
        <v>-2.0620018272167862E-2</v>
      </c>
      <c r="CQ73" s="5">
        <f>N70_DESARROLLO!CU158+N70_DESARROLLO!X158</f>
        <v>-2.1054187410165626E-2</v>
      </c>
      <c r="CR73" s="5">
        <f>N70_DESARROLLO!CV158+N70_DESARROLLO!Y158</f>
        <v>-2.1507034719714269E-2</v>
      </c>
      <c r="CS73" s="5">
        <f>N70_DESARROLLO!CW158+N70_DESARROLLO!Z158</f>
        <v>-2.1979792112853391E-2</v>
      </c>
      <c r="CT73" s="5">
        <f>N70_DESARROLLO!CX158+N70_DESARROLLO!AA158</f>
        <v>-2.2473802280108091E-2</v>
      </c>
      <c r="CU73" s="5">
        <f>N70_DESARROLLO!CY158+N70_DESARROLLO!AB158</f>
        <v>-2.2990531429697869E-2</v>
      </c>
      <c r="CV73" s="5">
        <f>N70_DESARROLLO!CZ158+N70_DESARROLLO!AC158</f>
        <v>-2.3531583826931546E-2</v>
      </c>
      <c r="CW73" s="5">
        <f>N70_DESARROLLO!DA158+N70_DESARROLLO!AD158</f>
        <v>-2.4098718436569078E-2</v>
      </c>
      <c r="CX73" s="5">
        <f>N70_DESARROLLO!DB158+N70_DESARROLLO!AE158</f>
        <v>-2.4693868032508171E-2</v>
      </c>
      <c r="CY73" s="5">
        <f>N70_DESARROLLO!DC158+N70_DESARROLLO!AF158</f>
        <v>-2.5319161212281727E-2</v>
      </c>
      <c r="CZ73" s="5">
        <f>N70_DESARROLLO!DD158+N70_DESARROLLO!AG158</f>
        <v>-2.5976947844864928E-2</v>
      </c>
      <c r="DA73" s="5">
        <f>N70_DESARROLLO!DE158+N70_DESARROLLO!AH158</f>
        <v>-2.6669828593224754E-2</v>
      </c>
      <c r="DB73" s="5">
        <f>N70_DESARROLLO!DF158+N70_DESARROLLO!AI158</f>
        <v>-2.7400689293794245E-2</v>
      </c>
      <c r="DC73" s="5">
        <f>N70_DESARROLLO!DG158+N70_DESARROLLO!AJ158</f>
        <v>-2.8172741151794245E-2</v>
      </c>
      <c r="DD73" s="5">
        <f>N70_DESARROLLO!DH158+N70_DESARROLLO!AK158</f>
        <v>-2.8989567932948379E-2</v>
      </c>
      <c r="DE73" s="5">
        <f>N70_DESARROLLO!DI158+N70_DESARROLLO!AL158</f>
        <v>-2.9855181616033843E-2</v>
      </c>
      <c r="DF73" s="5">
        <f>N70_DESARROLLO!DJ158+N70_DESARROLLO!AM158</f>
        <v>-3.0774088329711291E-2</v>
      </c>
      <c r="DG73" s="5">
        <f>N70_DESARROLLO!DK158+N70_DESARROLLO!AN158</f>
        <v>-3.1751366862667441E-2</v>
      </c>
      <c r="DH73" s="5">
        <f>N70_DESARROLLO!DL158+N70_DESARROLLO!AO158</f>
        <v>-3.2792762635871275E-2</v>
      </c>
      <c r="DI73" s="5">
        <f>N70_DESARROLLO!DM158+N70_DESARROLLO!AP158</f>
        <v>-3.3904800811321523E-2</v>
      </c>
      <c r="DJ73" s="5">
        <f>N70_DESARROLLO!DN158+N70_DESARROLLO!AQ158</f>
        <v>-3.5094923244217813E-2</v>
      </c>
      <c r="DK73" s="5">
        <f>N70_DESARROLLO!DO158+N70_DESARROLLO!AR158</f>
        <v>-3.6371655357433585E-2</v>
      </c>
      <c r="DL73" s="5">
        <f>N70_DESARROLLO!DP158+N70_DESARROLLO!AS158</f>
        <v>-3.7744810855703137E-2</v>
      </c>
      <c r="DM73" s="5">
        <f>N70_DESARROLLO!DQ158+N70_DESARROLLO!AT158</f>
        <v>-3.9225744685472907E-2</v>
      </c>
      <c r="DN73" s="5">
        <f>N70_DESARROLLO!DR158+N70_DESARROLLO!AU158</f>
        <v>-4.0827668052543231E-2</v>
      </c>
      <c r="DO73" s="5">
        <f>N70_DESARROLLO!DS158+N70_DESARROLLO!AV158</f>
        <v>-4.2566044021105198E-2</v>
      </c>
      <c r="DP73" s="5">
        <f>N70_DESARROLLO!DT158+N70_DESARROLLO!AW158</f>
        <v>-4.4459088822769166E-2</v>
      </c>
      <c r="DQ73" s="5">
        <f>N70_DESARROLLO!DU158+N70_DESARROLLO!AX158</f>
        <v>-4.6528413377887712E-2</v>
      </c>
      <c r="DR73" s="5">
        <f>N70_DESARROLLO!DV158+N70_DESARROLLO!AY158</f>
        <v>-4.8799853039068419E-2</v>
      </c>
      <c r="DS73" s="5">
        <f>N70_DESARROLLO!DW158+N70_DESARROLLO!AZ158</f>
        <v>-5.1304553326349422E-2</v>
      </c>
      <c r="DT73" s="5">
        <f>N70_DESARROLLO!DX158+N70_DESARROLLO!BA158</f>
        <v>-5.408040883814047E-2</v>
      </c>
      <c r="DU73" s="5">
        <f>N70_DESARROLLO!DY158+N70_DESARROLLO!BB158</f>
        <v>-5.7173997129085441E-2</v>
      </c>
      <c r="DV73" s="5">
        <f>N70_DESARROLLO!DZ158+N70_DESARROLLO!BC158</f>
        <v>-6.0643218403514498E-2</v>
      </c>
      <c r="DW73" s="5">
        <f>N70_DESARROLLO!EA158+N70_DESARROLLO!BD158</f>
        <v>-6.4560961252492111E-2</v>
      </c>
      <c r="DX73" s="5">
        <f>N70_DESARROLLO!EB158+N70_DESARROLLO!BE158</f>
        <v>-6.9020292350860157E-2</v>
      </c>
      <c r="DY73" s="5">
        <f>N70_DESARROLLO!EC158+N70_DESARROLLO!BF158</f>
        <v>-7.4141965022344158E-2</v>
      </c>
      <c r="DZ73" s="5">
        <f>N70_DESARROLLO!ED158+N70_DESARROLLO!BG158</f>
        <v>-8.0085554140349235E-2</v>
      </c>
      <c r="EA73" s="5">
        <f>N70_DESARROLLO!EE158+N70_DESARROLLO!BH158</f>
        <v>-8.7066442319344017E-2</v>
      </c>
      <c r="EB73" s="5">
        <f>N70_DESARROLLO!EF158+N70_DESARROLLO!BI158</f>
        <v>-9.5382594982174052E-2</v>
      </c>
      <c r="EC73" s="5">
        <f>N70_DESARROLLO!EG158+N70_DESARROLLO!BJ158</f>
        <v>-0.10545841852056981</v>
      </c>
      <c r="ED73" s="5">
        <f>N70_DESARROLLO!EH158+N70_DESARROLLO!BK158</f>
        <v>-0.11791996375049385</v>
      </c>
      <c r="EE73" s="5">
        <f>N70_DESARROLLO!EI158+N70_DESARROLLO!BL158</f>
        <v>-0.13373123411929144</v>
      </c>
      <c r="EF73" s="5">
        <f>N70_DESARROLLO!EJ158+N70_DESARROLLO!BM158</f>
        <v>-0.15445886474682136</v>
      </c>
      <c r="EG73" s="5">
        <f>N70_DESARROLLO!EK158+N70_DESARROLLO!BN158</f>
        <v>-0.18283342438756101</v>
      </c>
      <c r="EH73" s="5">
        <f>N70_DESARROLLO!EL158+N70_DESARROLLO!BO158</f>
        <v>-0.22408833054043442</v>
      </c>
      <c r="EI73" s="5">
        <f>N70_DESARROLLO!EM158+N70_DESARROLLO!BP158</f>
        <v>-0.28973434150572408</v>
      </c>
      <c r="EJ73" s="5">
        <f>N70_DESARROLLO!EN158+N70_DESARROLLO!BQ158</f>
        <v>-0.41141440075355473</v>
      </c>
      <c r="EK73" s="5">
        <f>N70_DESARROLLO!EO158+N70_DESARROLLO!BR158</f>
        <v>-0.72775792963607455</v>
      </c>
      <c r="EL73" s="5">
        <f>N70_DESARROLLO!EP158+N70_DESARROLLO!BS158</f>
        <v>-1.6479184659605444</v>
      </c>
      <c r="EM73" s="5">
        <f>N70_DESARROLLO!EQ158+N70_DESARROLLO!BT158</f>
        <v>1.6479184659605282</v>
      </c>
      <c r="EN73" s="5">
        <f>N70_DESARROLLO!ER158+N70_DESARROLLO!BU158</f>
        <v>0.72775792963608976</v>
      </c>
      <c r="EO73" s="5">
        <f>N70_DESARROLLO!ES158+N70_DESARROLLO!BV158</f>
        <v>0.41141440075354063</v>
      </c>
      <c r="EP73" s="5">
        <f>N70_DESARROLLO!ET158+N70_DESARROLLO!BW158</f>
        <v>0.28973434150574007</v>
      </c>
      <c r="EQ73" s="5">
        <f>N70_DESARROLLO!EU158+N70_DESARROLLO!BX158</f>
        <v>0.2240883305404191</v>
      </c>
      <c r="ER73" s="5">
        <f>N70_DESARROLLO!EV158+N70_DESARROLLO!BY158</f>
        <v>177.15928590037146</v>
      </c>
      <c r="FC73">
        <v>64</v>
      </c>
      <c r="FD73" s="4">
        <v>4.4668101125209308E-5</v>
      </c>
      <c r="FE73" s="4">
        <v>8.9481852914848658E-5</v>
      </c>
      <c r="FF73" s="4">
        <v>1.1822356341847538E-4</v>
      </c>
      <c r="FG73" s="4">
        <v>1.4350735363663508E-4</v>
      </c>
      <c r="FH73" s="4">
        <v>1.6686594338901785E-4</v>
      </c>
      <c r="FI73" s="4">
        <v>1.8919853865290848E-4</v>
      </c>
      <c r="FJ73" s="4">
        <v>2.1099992661750315E-4</v>
      </c>
      <c r="FK73" s="4">
        <v>2.3259119402660713E-4</v>
      </c>
      <c r="FL73" s="4">
        <v>2.5420128132845686E-4</v>
      </c>
      <c r="FM73" s="4">
        <v>2.7600658416627294E-4</v>
      </c>
      <c r="FN73" s="4">
        <v>2.9815199402963364E-4</v>
      </c>
      <c r="FO73" s="4">
        <v>3.2076313335963877E-4</v>
      </c>
      <c r="FP73" s="4">
        <v>3.4395400504603764E-4</v>
      </c>
      <c r="FQ73" s="4">
        <v>3.6783209833284985E-4</v>
      </c>
      <c r="FR73" s="4">
        <v>3.9250201770831109E-4</v>
      </c>
      <c r="FS73" s="4">
        <v>4.1806822973033291E-4</v>
      </c>
      <c r="FT73" s="4">
        <v>4.4463727937142118E-4</v>
      </c>
      <c r="FU73" s="4">
        <v>4.7231969595653E-4</v>
      </c>
      <c r="FV73" s="4">
        <v>5.012317344372495E-4</v>
      </c>
      <c r="FW73" s="4">
        <v>5.3149705549995296E-4</v>
      </c>
      <c r="FX73" s="4">
        <v>5.6324842346070468E-4</v>
      </c>
      <c r="FY73" s="4">
        <v>5.9662948786933792E-4</v>
      </c>
      <c r="FZ73" s="4">
        <v>6.3179670863895037E-4</v>
      </c>
      <c r="GA73" s="4">
        <v>6.6892148378066912E-4</v>
      </c>
      <c r="GB73" s="4">
        <v>7.0819254209318605E-4</v>
      </c>
      <c r="GC73" s="4">
        <v>7.4981867020238358E-4</v>
      </c>
      <c r="GD73" s="4">
        <v>7.9403185400882411E-4</v>
      </c>
      <c r="GE73" s="4">
        <v>8.4109092956403996E-4</v>
      </c>
      <c r="GF73" s="4">
        <v>8.9128585820369313E-4</v>
      </c>
      <c r="GG73" s="4">
        <v>9.4494276667759993E-4</v>
      </c>
      <c r="GH73" s="4">
        <v>1.0024299268298427E-3</v>
      </c>
      <c r="GI73" s="4">
        <v>1.0641648932099652E-3</v>
      </c>
      <c r="GJ73" s="4">
        <v>1.1306230744624344E-3</v>
      </c>
      <c r="GK73" s="4">
        <v>1.2023480894359916E-3</v>
      </c>
      <c r="GL73" s="4">
        <v>1.2799643585377299E-3</v>
      </c>
      <c r="GM73" s="4">
        <v>1.3641925132463623E-3</v>
      </c>
      <c r="GN73" s="4">
        <v>1.4558683847415313E-3</v>
      </c>
      <c r="GO73" s="4">
        <v>1.5559665739618761E-3</v>
      </c>
      <c r="GP73" s="4">
        <v>1.665629936351999E-3</v>
      </c>
      <c r="GQ73" s="4">
        <v>1.7862067730004011E-3</v>
      </c>
      <c r="GR73" s="4">
        <v>1.9192981629225898E-3</v>
      </c>
      <c r="GS73" s="4">
        <v>2.0668187848666519E-3</v>
      </c>
      <c r="GT73" s="4">
        <v>2.2310758932879726E-3</v>
      </c>
      <c r="GU73" s="4">
        <v>2.4148730389679297E-3</v>
      </c>
      <c r="GV73" s="4">
        <v>2.6216479891473109E-3</v>
      </c>
      <c r="GW73" s="4">
        <v>2.8556586411145083E-3</v>
      </c>
      <c r="GX73" s="4">
        <v>3.1222374283203513E-3</v>
      </c>
      <c r="GY73" s="4">
        <v>3.4281453109590242E-3</v>
      </c>
      <c r="GZ73" s="4">
        <v>3.7820735926181511E-3</v>
      </c>
      <c r="HA73" s="4">
        <v>4.195370339592823E-3</v>
      </c>
      <c r="HB73" s="4">
        <v>4.6831171422131238E-3</v>
      </c>
      <c r="HC73" s="4">
        <v>5.2657689519207277E-3</v>
      </c>
      <c r="HD73" s="4">
        <v>5.9717305801207559E-3</v>
      </c>
      <c r="HE73" s="4">
        <v>6.8415548643303518E-3</v>
      </c>
      <c r="HF73" s="4">
        <v>7.9350837819111043E-3</v>
      </c>
      <c r="HG73" s="4">
        <v>9.3442387622926157E-3</v>
      </c>
      <c r="HH73" s="4">
        <v>1.1217431912514375E-2</v>
      </c>
      <c r="HI73" s="4">
        <v>1.3809863115754694E-2</v>
      </c>
      <c r="HJ73" s="4">
        <v>1.7600636750790218E-2</v>
      </c>
      <c r="HK73" s="4">
        <v>2.3565862241506867E-2</v>
      </c>
      <c r="HL73" s="4">
        <v>3.4641943218054368E-2</v>
      </c>
      <c r="HM73" s="4">
        <v>5.1662102675393541E-2</v>
      </c>
      <c r="HN73" s="4">
        <v>0.241987335436332</v>
      </c>
      <c r="HO73" s="4">
        <v>-0.25408735914898206</v>
      </c>
      <c r="HP73" s="4">
        <v>-6.3743794472309392E-2</v>
      </c>
      <c r="HQ73" s="4">
        <v>-4.6581823588804604E-2</v>
      </c>
      <c r="HR73" s="4">
        <v>-3.4630996651844367E-2</v>
      </c>
      <c r="HS73" s="4">
        <v>-2.8058403063494986E-2</v>
      </c>
      <c r="HT73" s="4">
        <v>3.7441290813906486E-2</v>
      </c>
      <c r="HU73" s="4">
        <v>-0.21867205286705341</v>
      </c>
    </row>
    <row r="74" spans="4:229" x14ac:dyDescent="0.25">
      <c r="D74" s="10">
        <v>65</v>
      </c>
      <c r="E74" s="5">
        <f>'N70'!E81-'N70'!E80</f>
        <v>1.4285714285714235E-2</v>
      </c>
      <c r="F74" s="5">
        <f>'N70'!H80-'N70'!$E$16</f>
        <v>0.92142857142857137</v>
      </c>
      <c r="G74" s="5">
        <f>'N70'!H80-'N70'!$E$17</f>
        <v>0.90714285714285714</v>
      </c>
      <c r="H74" s="5">
        <f>'N70'!H80-'N70'!$E$18</f>
        <v>0.89285714285714279</v>
      </c>
      <c r="I74" s="5">
        <f>'N70'!H80-'N70'!$E$19</f>
        <v>0.87857142857142856</v>
      </c>
      <c r="J74" s="5">
        <f>'N70'!H80-'N70'!$E$20</f>
        <v>0.86428571428571421</v>
      </c>
      <c r="K74" s="5">
        <f>'N70'!H80-'N70'!$E$21</f>
        <v>0.85</v>
      </c>
      <c r="L74" s="5">
        <f>'N70'!H80-'N70'!$E$22</f>
        <v>0.83571428571428563</v>
      </c>
      <c r="M74" s="5">
        <f>'N70'!H80-'N70'!$E$23</f>
        <v>0.8214285714285714</v>
      </c>
      <c r="N74" s="5">
        <f>'N70'!H80-'N70'!$E$24</f>
        <v>0.80714285714285705</v>
      </c>
      <c r="O74" s="5">
        <f>'N70'!H80-'N70'!$E$25</f>
        <v>0.79285714285714282</v>
      </c>
      <c r="P74" s="5">
        <f>'N70'!H80-'N70'!$E$26</f>
        <v>0.77857142857142847</v>
      </c>
      <c r="Q74" s="5">
        <f>'N70'!H80-'N70'!$E$27</f>
        <v>0.76428571428571423</v>
      </c>
      <c r="R74" s="5">
        <f>'N70'!H80-'N70'!$E$28</f>
        <v>0.75</v>
      </c>
      <c r="S74" s="5">
        <f>'N70'!H80-'N70'!$E$29</f>
        <v>0.73571428571428565</v>
      </c>
      <c r="T74" s="5">
        <f>'N70'!H80-'N70'!$E$30</f>
        <v>0.72142857142857142</v>
      </c>
      <c r="U74" s="5">
        <f>'N70'!H80-'N70'!$E$31</f>
        <v>0.70714285714285707</v>
      </c>
      <c r="V74" s="5">
        <f>'N70'!H80-'N70'!$E$32</f>
        <v>0.69285714285714284</v>
      </c>
      <c r="W74" s="5">
        <f>'N70'!H80-'N70'!$E$33</f>
        <v>0.67857142857142849</v>
      </c>
      <c r="X74" s="5">
        <f>'N70'!H80-'N70'!$E$34</f>
        <v>0.66428571428571426</v>
      </c>
      <c r="Y74" s="5">
        <f>'N70'!H80-'N70'!$E$35</f>
        <v>0.64999999999999991</v>
      </c>
      <c r="Z74" s="5">
        <f>'N70'!H80-'N70'!$E$36</f>
        <v>0.63571428571428568</v>
      </c>
      <c r="AA74" s="5">
        <f>'N70'!H80-'N70'!$E$37</f>
        <v>0.62142857142857144</v>
      </c>
      <c r="AB74" s="5">
        <f>'N70'!H80-'N70'!$E$38</f>
        <v>0.6071428571428571</v>
      </c>
      <c r="AC74" s="5">
        <f>'N70'!H80-'N70'!$E$39</f>
        <v>0.59285714285714275</v>
      </c>
      <c r="AD74" s="5">
        <f>'N70'!H80-'N70'!$E$40</f>
        <v>0.57857142857142851</v>
      </c>
      <c r="AE74" s="5">
        <f>'N70'!H80-'N70'!$E$41</f>
        <v>0.56428571428571428</v>
      </c>
      <c r="AF74" s="5">
        <f>'N70'!H80-'N70'!$E$42</f>
        <v>0.54999999999999993</v>
      </c>
      <c r="AG74" s="5">
        <f>'N70'!H80-'N70'!$E$43</f>
        <v>0.5357142857142857</v>
      </c>
      <c r="AH74" s="5">
        <f>'N70'!H80-'N70'!$E$44</f>
        <v>0.52142857142857135</v>
      </c>
      <c r="AI74" s="5">
        <f>'N70'!H80-'N70'!$E$45</f>
        <v>0.50714285714285712</v>
      </c>
      <c r="AJ74" s="5">
        <f>'N70'!H80-'N70'!$E$46</f>
        <v>0.49285714285714283</v>
      </c>
      <c r="AK74" s="5">
        <f>'N70'!H80-'N70'!$E$47</f>
        <v>0.47857142857142854</v>
      </c>
      <c r="AL74" s="5">
        <f>'N70'!H80-'N70'!$E$48</f>
        <v>0.46428571428571425</v>
      </c>
      <c r="AM74" s="5">
        <f>'N70'!H80-'N70'!$E$49</f>
        <v>0.44999999999999996</v>
      </c>
      <c r="AN74" s="5">
        <f>'N70'!H80-'N70'!$E$50</f>
        <v>0.43571428571428567</v>
      </c>
      <c r="AO74" s="5">
        <f>'N70'!H80-'N70'!$E$51</f>
        <v>0.42142857142857137</v>
      </c>
      <c r="AP74" s="5">
        <f>'N70'!H80-'N70'!$E$52</f>
        <v>0.40714285714285714</v>
      </c>
      <c r="AQ74" s="5">
        <f>'N70'!H80-'N70'!$E$53</f>
        <v>0.39285714285714279</v>
      </c>
      <c r="AR74" s="5">
        <f>'N70'!H80-'N70'!$E$54</f>
        <v>0.37857142857142856</v>
      </c>
      <c r="AS74" s="5">
        <f>'N70'!H80-'N70'!$E$55</f>
        <v>0.36428571428571421</v>
      </c>
      <c r="AT74" s="5">
        <f>'N70'!H80-'N70'!$E$56</f>
        <v>0.35</v>
      </c>
      <c r="AU74" s="5">
        <f>'N70'!H80-'N70'!$E$57</f>
        <v>0.33571428571428563</v>
      </c>
      <c r="AV74" s="5">
        <f>'N70'!H80-'N70'!$E$58</f>
        <v>0.3214285714285714</v>
      </c>
      <c r="AW74" s="5">
        <f>'N70'!H80-'N70'!$E$59</f>
        <v>0.30714285714285716</v>
      </c>
      <c r="AX74" s="5">
        <f>'N70'!H80-'N70'!$E$60</f>
        <v>0.29285714285714282</v>
      </c>
      <c r="AY74" s="5">
        <f>'N70'!H80-'N70'!$E$61</f>
        <v>0.27857142857142858</v>
      </c>
      <c r="AZ74" s="5">
        <f>'N70'!H80-'N70'!$E$62</f>
        <v>0.26428571428571423</v>
      </c>
      <c r="BA74" s="5">
        <f>'N70'!H80-'N70'!$E$63</f>
        <v>0.25</v>
      </c>
      <c r="BB74" s="5">
        <f>'N70'!H80-'N70'!$E$64</f>
        <v>0.23571428571428565</v>
      </c>
      <c r="BC74" s="5">
        <f>'N70'!H80-'N70'!$E$65</f>
        <v>0.22142857142857142</v>
      </c>
      <c r="BD74" s="5">
        <f>'N70'!H80-'N70'!$E$66</f>
        <v>0.20714285714285707</v>
      </c>
      <c r="BE74" s="5">
        <f>'N70'!H80-'N70'!$E$67</f>
        <v>0.19285714285714284</v>
      </c>
      <c r="BF74" s="5">
        <f>'N70'!H80-'N70'!$E$68</f>
        <v>0.17857142857142849</v>
      </c>
      <c r="BG74" s="5">
        <f>'N70'!H80-'N70'!$E$69</f>
        <v>0.16428571428571426</v>
      </c>
      <c r="BH74" s="5">
        <f>'N70'!H80-'N70'!$E$70</f>
        <v>0.15000000000000002</v>
      </c>
      <c r="BI74" s="5">
        <f>'N70'!H80-'N70'!$E$71</f>
        <v>0.13571428571428568</v>
      </c>
      <c r="BJ74" s="5">
        <f>'N70'!H80-'N70'!$E$72</f>
        <v>0.12142857142857144</v>
      </c>
      <c r="BK74" s="5">
        <f>'N70'!H80-'N70'!$E$73</f>
        <v>0.1071428571428571</v>
      </c>
      <c r="BL74" s="5">
        <f>'N70'!H80-'N70'!$E$74</f>
        <v>9.285714285714286E-2</v>
      </c>
      <c r="BM74" s="5">
        <f>'N70'!H80-'N70'!$E$75</f>
        <v>7.8571428571428514E-2</v>
      </c>
      <c r="BN74" s="5">
        <f>'N70'!H80-'N70'!$E$76</f>
        <v>6.4285714285714279E-2</v>
      </c>
      <c r="BO74" s="5">
        <f>'N70'!H80-'N70'!$E$77</f>
        <v>4.9999999999999933E-2</v>
      </c>
      <c r="BP74" s="5">
        <f>'N70'!H80-'N70'!$E$78</f>
        <v>3.5714285714285698E-2</v>
      </c>
      <c r="BQ74" s="5">
        <f>'N70'!H80-'N70'!$E$79</f>
        <v>2.1428571428571352E-2</v>
      </c>
      <c r="BR74" s="5">
        <f>'N70'!H80-'N70'!$E$80</f>
        <v>7.1428571428571175E-3</v>
      </c>
      <c r="BS74" s="5">
        <f>'N70'!H80-'N70'!$E$81</f>
        <v>-7.1428571428571175E-3</v>
      </c>
      <c r="BT74" s="5">
        <f>'N70'!H80-'N70'!$E$82</f>
        <v>-2.1428571428571463E-2</v>
      </c>
      <c r="BU74" s="5">
        <f>'N70'!H80-'N70'!$E$83</f>
        <v>-3.5714285714285698E-2</v>
      </c>
      <c r="BV74" s="5">
        <f>'N70'!H80-'N70'!$E$84</f>
        <v>-5.0000000000000044E-2</v>
      </c>
      <c r="BW74" s="5">
        <f>'N70'!H80-'N70'!$E$85</f>
        <v>-6.4285714285714279E-2</v>
      </c>
      <c r="BX74" s="5">
        <v>-1</v>
      </c>
      <c r="BZ74">
        <v>65</v>
      </c>
      <c r="CA74" s="5">
        <f>N70_DESARROLLO!CE159+N70_DESARROLLO!H159</f>
        <v>-7.7922933102178016E-3</v>
      </c>
      <c r="CB74" s="5">
        <f>N70_DESARROLLO!CF159+N70_DESARROLLO!I159</f>
        <v>-1.5748682795542868E-2</v>
      </c>
      <c r="CC74" s="5">
        <f>N70_DESARROLLO!CG159+N70_DESARROLLO!J159</f>
        <v>-1.6000683056606513E-2</v>
      </c>
      <c r="CD74" s="5">
        <f>N70_DESARROLLO!CH159+N70_DESARROLLO!K159</f>
        <v>-1.6260879514510052E-2</v>
      </c>
      <c r="CE74" s="5">
        <f>N70_DESARROLLO!CI159+N70_DESARROLLO!L159</f>
        <v>-1.6529678664605085E-2</v>
      </c>
      <c r="CF74" s="5">
        <f>N70_DESARROLLO!CJ159+N70_DESARROLLO!M159</f>
        <v>-1.6807514335715812E-2</v>
      </c>
      <c r="CG74" s="5">
        <f>N70_DESARROLLO!CK159+N70_DESARROLLO!N159</f>
        <v>-1.7094850027315034E-2</v>
      </c>
      <c r="CH74" s="5">
        <f>N70_DESARROLLO!CL159+N70_DESARROLLO!O159</f>
        <v>-1.7392181490050618E-2</v>
      </c>
      <c r="CI74" s="5">
        <f>N70_DESARROLLO!CM159+N70_DESARROLLO!P159</f>
        <v>-1.7700039580951898E-2</v>
      </c>
      <c r="CJ74" s="5">
        <f>N70_DESARROLLO!CN159+N70_DESARROLLO!Q159</f>
        <v>-1.8018993426857532E-2</v>
      </c>
      <c r="CK74" s="5">
        <f>N70_DESARROLLO!CO159+N70_DESARROLLO!R159</f>
        <v>-1.834965393686272E-2</v>
      </c>
      <c r="CL74" s="5">
        <f>N70_DESARROLLO!CP159+N70_DESARROLLO!S159</f>
        <v>-1.8692677708201377E-2</v>
      </c>
      <c r="CM74" s="5">
        <f>N70_DESARROLLO!CQ159+N70_DESARROLLO!T159</f>
        <v>-1.9048771379235774E-2</v>
      </c>
      <c r="CN74" s="5">
        <f>N70_DESARROLLO!CR159+N70_DESARROLLO!U159</f>
        <v>-1.9418696489477361E-2</v>
      </c>
      <c r="CO74" s="5">
        <f>N70_DESARROLLO!CS159+N70_DESARROLLO!V159</f>
        <v>-1.9803274917291835E-2</v>
      </c>
      <c r="CP74" s="5">
        <f>N70_DESARROLLO!CT159+N70_DESARROLLO!W159</f>
        <v>-2.0203394977345357E-2</v>
      </c>
      <c r="CQ74" s="5">
        <f>N70_DESARROLLO!CU159+N70_DESARROLLO!X159</f>
        <v>-2.062001827215143E-2</v>
      </c>
      <c r="CR74" s="5">
        <f>N70_DESARROLLO!CV159+N70_DESARROLLO!Y159</f>
        <v>-2.1054187410176284E-2</v>
      </c>
      <c r="CS74" s="5">
        <f>N70_DESARROLLO!CW159+N70_DESARROLLO!Z159</f>
        <v>-2.1507034719698614E-2</v>
      </c>
      <c r="CT74" s="5">
        <f>N70_DESARROLLO!CX159+N70_DESARROLLO!AA159</f>
        <v>-2.1979792112873819E-2</v>
      </c>
      <c r="CU74" s="5">
        <f>N70_DESARROLLO!CY159+N70_DESARROLLO!AB159</f>
        <v>-2.2473802280097654E-2</v>
      </c>
      <c r="CV74" s="5">
        <f>N70_DESARROLLO!CZ159+N70_DESARROLLO!AC159</f>
        <v>-2.2990531429693095E-2</v>
      </c>
      <c r="CW74" s="5">
        <f>N70_DESARROLLO!DA159+N70_DESARROLLO!AD159</f>
        <v>-2.3531583826936764E-2</v>
      </c>
      <c r="CX74" s="5">
        <f>N70_DESARROLLO!DB159+N70_DESARROLLO!AE159</f>
        <v>-2.4098718436573519E-2</v>
      </c>
      <c r="CY74" s="5">
        <f>N70_DESARROLLO!DC159+N70_DESARROLLO!AF159</f>
        <v>-2.4693868032503286E-2</v>
      </c>
      <c r="CZ74" s="5">
        <f>N70_DESARROLLO!DD159+N70_DESARROLLO!AG159</f>
        <v>-2.5319161212273178E-2</v>
      </c>
      <c r="DA74" s="5">
        <f>N70_DESARROLLO!DE159+N70_DESARROLLO!AH159</f>
        <v>-2.5976947844882692E-2</v>
      </c>
      <c r="DB74" s="5">
        <f>N70_DESARROLLO!DF159+N70_DESARROLLO!AI159</f>
        <v>-2.6669828593211653E-2</v>
      </c>
      <c r="DC74" s="5">
        <f>N70_DESARROLLO!DG159+N70_DESARROLLO!AJ159</f>
        <v>-2.740068929380679E-2</v>
      </c>
      <c r="DD74" s="5">
        <f>N70_DESARROLLO!DH159+N70_DESARROLLO!AK159</f>
        <v>-2.8172741151781922E-2</v>
      </c>
      <c r="DE74" s="5">
        <f>N70_DESARROLLO!DI159+N70_DESARROLLO!AL159</f>
        <v>-2.8989567932952598E-2</v>
      </c>
      <c r="DF74" s="5">
        <f>N70_DESARROLLO!DJ159+N70_DESARROLLO!AM159</f>
        <v>-2.9855181616034066E-2</v>
      </c>
      <c r="DG74" s="5">
        <f>N70_DESARROLLO!DK159+N70_DESARROLLO!AN159</f>
        <v>-3.0774088329711402E-2</v>
      </c>
      <c r="DH74" s="5">
        <f>N70_DESARROLLO!DL159+N70_DESARROLLO!AO159</f>
        <v>-3.1751366862667441E-2</v>
      </c>
      <c r="DI74" s="5">
        <f>N70_DESARROLLO!DM159+N70_DESARROLLO!AP159</f>
        <v>-3.2792762635871164E-2</v>
      </c>
      <c r="DJ74" s="5">
        <f>N70_DESARROLLO!DN159+N70_DESARROLLO!AQ159</f>
        <v>-3.3904800811324631E-2</v>
      </c>
      <c r="DK74" s="5">
        <f>N70_DESARROLLO!DO159+N70_DESARROLLO!AR159</f>
        <v>-3.5094923244208154E-2</v>
      </c>
      <c r="DL74" s="5">
        <f>N70_DESARROLLO!DP159+N70_DESARROLLO!AS159</f>
        <v>-3.6371655357446464E-2</v>
      </c>
      <c r="DM74" s="5">
        <f>N70_DESARROLLO!DQ159+N70_DESARROLLO!AT159</f>
        <v>-3.7744810855687927E-2</v>
      </c>
      <c r="DN74" s="5">
        <f>N70_DESARROLLO!DR159+N70_DESARROLLO!AU159</f>
        <v>-3.922574468549056E-2</v>
      </c>
      <c r="DO74" s="5">
        <f>N70_DESARROLLO!DS159+N70_DESARROLLO!AV159</f>
        <v>-4.0827668052526023E-2</v>
      </c>
      <c r="DP74" s="5">
        <f>N70_DESARROLLO!DT159+N70_DESARROLLO!AW159</f>
        <v>-4.2566044021121519E-2</v>
      </c>
      <c r="DQ74" s="5">
        <f>N70_DESARROLLO!DU159+N70_DESARROLLO!AX159</f>
        <v>-4.4459088822760728E-2</v>
      </c>
      <c r="DR74" s="5">
        <f>N70_DESARROLLO!DV159+N70_DESARROLLO!AY159</f>
        <v>-4.6528413377880939E-2</v>
      </c>
      <c r="DS74" s="5">
        <f>N70_DESARROLLO!DW159+N70_DESARROLLO!AZ159</f>
        <v>-4.879985303908263E-2</v>
      </c>
      <c r="DT74" s="5">
        <f>N70_DESARROLLO!DX159+N70_DESARROLLO!BA159</f>
        <v>-5.1304553326333657E-2</v>
      </c>
      <c r="DU74" s="5">
        <f>N70_DESARROLLO!DY159+N70_DESARROLLO!BB159</f>
        <v>-5.408040883815779E-2</v>
      </c>
      <c r="DV74" s="5">
        <f>N70_DESARROLLO!DZ159+N70_DESARROLLO!BC159</f>
        <v>-5.7173997129068899E-2</v>
      </c>
      <c r="DW74" s="5">
        <f>N70_DESARROLLO!EA159+N70_DESARROLLO!BD159</f>
        <v>-6.0643218403530041E-2</v>
      </c>
      <c r="DX74" s="5">
        <f>N70_DESARROLLO!EB159+N70_DESARROLLO!BE159</f>
        <v>-6.456096125247579E-2</v>
      </c>
      <c r="DY74" s="5">
        <f>N70_DESARROLLO!EC159+N70_DESARROLLO!BF159</f>
        <v>-6.9020292350875811E-2</v>
      </c>
      <c r="DZ74" s="5">
        <f>N70_DESARROLLO!ED159+N70_DESARROLLO!BG159</f>
        <v>-7.4141965022329614E-2</v>
      </c>
      <c r="EA74" s="5">
        <f>N70_DESARROLLO!EE159+N70_DESARROLLO!BH159</f>
        <v>-8.0085554140364557E-2</v>
      </c>
      <c r="EB74" s="5">
        <f>N70_DESARROLLO!EF159+N70_DESARROLLO!BI159</f>
        <v>-8.7066442319335802E-2</v>
      </c>
      <c r="EC74" s="5">
        <f>N70_DESARROLLO!EG159+N70_DESARROLLO!BJ159</f>
        <v>-9.5382594982166724E-2</v>
      </c>
      <c r="ED74" s="5">
        <f>N70_DESARROLLO!EH159+N70_DESARROLLO!BK159</f>
        <v>-0.10545841852058602</v>
      </c>
      <c r="EE74" s="5">
        <f>N70_DESARROLLO!EI159+N70_DESARROLLO!BL159</f>
        <v>-0.11791996375047831</v>
      </c>
      <c r="EF74" s="5">
        <f>N70_DESARROLLO!EJ159+N70_DESARROLLO!BM159</f>
        <v>-0.13373123411930654</v>
      </c>
      <c r="EG74" s="5">
        <f>N70_DESARROLLO!EK159+N70_DESARROLLO!BN159</f>
        <v>-0.15445886474680592</v>
      </c>
      <c r="EH74" s="5">
        <f>N70_DESARROLLO!EL159+N70_DESARROLLO!BO159</f>
        <v>-0.18283342438757666</v>
      </c>
      <c r="EI74" s="5">
        <f>N70_DESARROLLO!EM159+N70_DESARROLLO!BP159</f>
        <v>-0.22408833054041921</v>
      </c>
      <c r="EJ74" s="5">
        <f>N70_DESARROLLO!EN159+N70_DESARROLLO!BQ159</f>
        <v>-0.28973434150574007</v>
      </c>
      <c r="EK74" s="5">
        <f>N70_DESARROLLO!EO159+N70_DESARROLLO!BR159</f>
        <v>-0.41141440075354019</v>
      </c>
      <c r="EL74" s="5">
        <f>N70_DESARROLLO!EP159+N70_DESARROLLO!BS159</f>
        <v>-0.72775792963608976</v>
      </c>
      <c r="EM74" s="5">
        <f>N70_DESARROLLO!EQ159+N70_DESARROLLO!BT159</f>
        <v>-1.6479184659605282</v>
      </c>
      <c r="EN74" s="5">
        <f>N70_DESARROLLO!ER159+N70_DESARROLLO!BU159</f>
        <v>1.6479184659605444</v>
      </c>
      <c r="EO74" s="5">
        <f>N70_DESARROLLO!ES159+N70_DESARROLLO!BV159</f>
        <v>0.72775792963607433</v>
      </c>
      <c r="EP74" s="5">
        <f>N70_DESARROLLO!ET159+N70_DESARROLLO!BW159</f>
        <v>0.41141440075355495</v>
      </c>
      <c r="EQ74" s="5">
        <f>N70_DESARROLLO!EU159+N70_DESARROLLO!BX159</f>
        <v>0.2897343415057243</v>
      </c>
      <c r="ER74" s="5">
        <f>N70_DESARROLLO!EV159+N70_DESARROLLO!BY159</f>
        <v>191.22965249472585</v>
      </c>
      <c r="FC74">
        <v>65</v>
      </c>
      <c r="FD74" s="4">
        <v>4.0479875280111224E-5</v>
      </c>
      <c r="FE74" s="4">
        <v>8.107550688008297E-5</v>
      </c>
      <c r="FF74" s="4">
        <v>1.0709124955520562E-4</v>
      </c>
      <c r="FG74" s="4">
        <v>1.2996193350754131E-4</v>
      </c>
      <c r="FH74" s="4">
        <v>1.5107683356507107E-4</v>
      </c>
      <c r="FI74" s="4">
        <v>1.7125061488948364E-4</v>
      </c>
      <c r="FJ74" s="4">
        <v>1.9093112180039722E-4</v>
      </c>
      <c r="FK74" s="4">
        <v>2.1040855963967912E-4</v>
      </c>
      <c r="FL74" s="4">
        <v>2.2988943580610553E-4</v>
      </c>
      <c r="FM74" s="4">
        <v>2.495324577968252E-4</v>
      </c>
      <c r="FN74" s="4">
        <v>2.6946759787175451E-4</v>
      </c>
      <c r="FO74" s="4">
        <v>2.8980716961884582E-4</v>
      </c>
      <c r="FP74" s="4">
        <v>3.1065274250524036E-4</v>
      </c>
      <c r="FQ74" s="4">
        <v>3.320997457513007E-4</v>
      </c>
      <c r="FR74" s="4">
        <v>3.5424072810111312E-4</v>
      </c>
      <c r="FS74" s="4">
        <v>3.7716781219024207E-4</v>
      </c>
      <c r="FT74" s="4">
        <v>4.0097466152265692E-4</v>
      </c>
      <c r="FU74" s="4">
        <v>4.2575815839055066E-4</v>
      </c>
      <c r="FV74" s="4">
        <v>4.5161992355838184E-4</v>
      </c>
      <c r="FW74" s="4">
        <v>4.7866776976705907E-4</v>
      </c>
      <c r="FX74" s="4">
        <v>5.0701715862541631E-4</v>
      </c>
      <c r="FY74" s="4">
        <v>5.3679271790810245E-4</v>
      </c>
      <c r="FZ74" s="4">
        <v>5.6812987034688973E-4</v>
      </c>
      <c r="GA74" s="4">
        <v>6.0117662340898419E-4</v>
      </c>
      <c r="GB74" s="4">
        <v>6.3609557152518941E-4</v>
      </c>
      <c r="GC74" s="4">
        <v>6.7306616735386205E-4</v>
      </c>
      <c r="GD74" s="4">
        <v>7.1228732670088621E-4</v>
      </c>
      <c r="GE74" s="4">
        <v>7.5398044309680124E-4</v>
      </c>
      <c r="GF74" s="4">
        <v>7.9839290317202099E-4</v>
      </c>
      <c r="GG74" s="4">
        <v>8.4580221391697364E-4</v>
      </c>
      <c r="GH74" s="4">
        <v>8.9652087853375794E-4</v>
      </c>
      <c r="GI74" s="4">
        <v>9.5090219109967352E-4</v>
      </c>
      <c r="GJ74" s="4">
        <v>1.0093471634774777E-3</v>
      </c>
      <c r="GK74" s="4">
        <v>1.0723128544628802E-3</v>
      </c>
      <c r="GL74" s="4">
        <v>1.1403224453159888E-3</v>
      </c>
      <c r="GM74" s="4">
        <v>1.2139775038942308E-3</v>
      </c>
      <c r="GN74" s="4">
        <v>1.2939730102654377E-3</v>
      </c>
      <c r="GO74" s="4">
        <v>1.3811158923512539E-3</v>
      </c>
      <c r="GP74" s="4">
        <v>1.4763480587051505E-3</v>
      </c>
      <c r="GQ74" s="4">
        <v>1.5807752426036227E-3</v>
      </c>
      <c r="GR74" s="4">
        <v>1.6957034253356586E-3</v>
      </c>
      <c r="GS74" s="4">
        <v>1.8226852434230691E-3</v>
      </c>
      <c r="GT74" s="4">
        <v>1.963579690031473E-3</v>
      </c>
      <c r="GU74" s="4">
        <v>2.1206297267576404E-3</v>
      </c>
      <c r="GV74" s="4">
        <v>2.2965643340261605E-3</v>
      </c>
      <c r="GW74" s="4">
        <v>2.4947343749279027E-3</v>
      </c>
      <c r="GX74" s="4">
        <v>2.7192959627940386E-3</v>
      </c>
      <c r="GY74" s="4">
        <v>2.9754616969150756E-3</v>
      </c>
      <c r="GZ74" s="4">
        <v>3.2698506829458318E-3</v>
      </c>
      <c r="HA74" s="4">
        <v>3.6109853506719383E-3</v>
      </c>
      <c r="HB74" s="4">
        <v>4.0100115478865755E-3</v>
      </c>
      <c r="HC74" s="4">
        <v>4.4817672645260428E-3</v>
      </c>
      <c r="HD74" s="4">
        <v>5.0464122312116064E-3</v>
      </c>
      <c r="HE74" s="4">
        <v>5.7319913766082035E-3</v>
      </c>
      <c r="HF74" s="4">
        <v>6.5786164637569138E-3</v>
      </c>
      <c r="HG74" s="4">
        <v>7.6455865431653116E-3</v>
      </c>
      <c r="HH74" s="4">
        <v>9.0241532604388476E-3</v>
      </c>
      <c r="HI74" s="4">
        <v>1.086190400296648E-2</v>
      </c>
      <c r="HJ74" s="4">
        <v>1.3413033381764061E-2</v>
      </c>
      <c r="HK74" s="4">
        <v>1.7155453994206322E-2</v>
      </c>
      <c r="HL74" s="4">
        <v>2.3063959759438188E-2</v>
      </c>
      <c r="HM74" s="4">
        <v>3.4073785340349098E-2</v>
      </c>
      <c r="HN74" s="4">
        <v>5.1018018377765567E-2</v>
      </c>
      <c r="HO74" s="4">
        <v>0.24126127831184332</v>
      </c>
      <c r="HP74" s="4">
        <v>-0.25488430929711775</v>
      </c>
      <c r="HQ74" s="4">
        <v>-6.4548956005459457E-2</v>
      </c>
      <c r="HR74" s="4">
        <v>-4.6909205131213022E-2</v>
      </c>
      <c r="HS74" s="4">
        <v>-3.5640274973348034E-2</v>
      </c>
      <c r="HT74" s="4">
        <v>2.7680802964985873E-2</v>
      </c>
      <c r="HU74" s="4">
        <v>-0.21684143134263628</v>
      </c>
    </row>
    <row r="75" spans="4:229" x14ac:dyDescent="0.25">
      <c r="D75" s="10">
        <v>66</v>
      </c>
      <c r="E75" s="5">
        <f>'N70'!E82-'N70'!E81</f>
        <v>1.4285714285714346E-2</v>
      </c>
      <c r="F75" s="5">
        <f>'N70'!H81-'N70'!$E$16</f>
        <v>0.93571428571428572</v>
      </c>
      <c r="G75" s="5">
        <f>'N70'!H81-'N70'!$E$17</f>
        <v>0.92142857142857149</v>
      </c>
      <c r="H75" s="5">
        <f>'N70'!H81-'N70'!$E$18</f>
        <v>0.90714285714285714</v>
      </c>
      <c r="I75" s="5">
        <f>'N70'!H81-'N70'!$E$19</f>
        <v>0.8928571428571429</v>
      </c>
      <c r="J75" s="5">
        <f>'N70'!H81-'N70'!$E$20</f>
        <v>0.87857142857142856</v>
      </c>
      <c r="K75" s="5">
        <f>'N70'!H81-'N70'!$E$21</f>
        <v>0.86428571428571432</v>
      </c>
      <c r="L75" s="5">
        <f>'N70'!H81-'N70'!$E$22</f>
        <v>0.85</v>
      </c>
      <c r="M75" s="5">
        <f>'N70'!H81-'N70'!$E$23</f>
        <v>0.83571428571428574</v>
      </c>
      <c r="N75" s="5">
        <f>'N70'!H81-'N70'!$E$24</f>
        <v>0.8214285714285714</v>
      </c>
      <c r="O75" s="5">
        <f>'N70'!H81-'N70'!$E$25</f>
        <v>0.80714285714285716</v>
      </c>
      <c r="P75" s="5">
        <f>'N70'!H81-'N70'!$E$26</f>
        <v>0.79285714285714293</v>
      </c>
      <c r="Q75" s="5">
        <f>'N70'!H81-'N70'!$E$27</f>
        <v>0.77857142857142858</v>
      </c>
      <c r="R75" s="5">
        <f>'N70'!H81-'N70'!$E$28</f>
        <v>0.76428571428571423</v>
      </c>
      <c r="S75" s="5">
        <f>'N70'!H81-'N70'!$E$29</f>
        <v>0.75</v>
      </c>
      <c r="T75" s="5">
        <f>'N70'!H81-'N70'!$E$30</f>
        <v>0.73571428571428577</v>
      </c>
      <c r="U75" s="5">
        <f>'N70'!H81-'N70'!$E$31</f>
        <v>0.72142857142857142</v>
      </c>
      <c r="V75" s="5">
        <f>'N70'!H81-'N70'!$E$32</f>
        <v>0.70714285714285718</v>
      </c>
      <c r="W75" s="5">
        <f>'N70'!H81-'N70'!$E$33</f>
        <v>0.69285714285714284</v>
      </c>
      <c r="X75" s="5">
        <f>'N70'!H81-'N70'!$E$34</f>
        <v>0.6785714285714286</v>
      </c>
      <c r="Y75" s="5">
        <f>'N70'!H81-'N70'!$E$35</f>
        <v>0.66428571428571437</v>
      </c>
      <c r="Z75" s="5">
        <f>'N70'!H81-'N70'!$E$36</f>
        <v>0.65</v>
      </c>
      <c r="AA75" s="5">
        <f>'N70'!H81-'N70'!$E$37</f>
        <v>0.63571428571428568</v>
      </c>
      <c r="AB75" s="5">
        <f>'N70'!H81-'N70'!$E$38</f>
        <v>0.62142857142857144</v>
      </c>
      <c r="AC75" s="5">
        <f>'N70'!H81-'N70'!$E$39</f>
        <v>0.60714285714285721</v>
      </c>
      <c r="AD75" s="5">
        <f>'N70'!H81-'N70'!$E$40</f>
        <v>0.59285714285714286</v>
      </c>
      <c r="AE75" s="5">
        <f>'N70'!H81-'N70'!$E$41</f>
        <v>0.57857142857142851</v>
      </c>
      <c r="AF75" s="5">
        <f>'N70'!H81-'N70'!$E$42</f>
        <v>0.56428571428571428</v>
      </c>
      <c r="AG75" s="5">
        <f>'N70'!H81-'N70'!$E$43</f>
        <v>0.55000000000000004</v>
      </c>
      <c r="AH75" s="5">
        <f>'N70'!H81-'N70'!$E$44</f>
        <v>0.53571428571428581</v>
      </c>
      <c r="AI75" s="5">
        <f>'N70'!H81-'N70'!$E$45</f>
        <v>0.52142857142857146</v>
      </c>
      <c r="AJ75" s="5">
        <f>'N70'!H81-'N70'!$E$46</f>
        <v>0.50714285714285712</v>
      </c>
      <c r="AK75" s="5">
        <f>'N70'!H81-'N70'!$E$47</f>
        <v>0.49285714285714288</v>
      </c>
      <c r="AL75" s="5">
        <f>'N70'!H81-'N70'!$E$48</f>
        <v>0.47857142857142859</v>
      </c>
      <c r="AM75" s="5">
        <f>'N70'!H81-'N70'!$E$49</f>
        <v>0.4642857142857143</v>
      </c>
      <c r="AN75" s="5">
        <f>'N70'!H81-'N70'!$E$50</f>
        <v>0.45</v>
      </c>
      <c r="AO75" s="5">
        <f>'N70'!H81-'N70'!$E$51</f>
        <v>0.43571428571428572</v>
      </c>
      <c r="AP75" s="5">
        <f>'N70'!H81-'N70'!$E$52</f>
        <v>0.42142857142857149</v>
      </c>
      <c r="AQ75" s="5">
        <f>'N70'!H81-'N70'!$E$53</f>
        <v>0.40714285714285714</v>
      </c>
      <c r="AR75" s="5">
        <f>'N70'!H81-'N70'!$E$54</f>
        <v>0.3928571428571429</v>
      </c>
      <c r="AS75" s="5">
        <f>'N70'!H81-'N70'!$E$55</f>
        <v>0.37857142857142856</v>
      </c>
      <c r="AT75" s="5">
        <f>'N70'!H81-'N70'!$E$56</f>
        <v>0.36428571428571432</v>
      </c>
      <c r="AU75" s="5">
        <f>'N70'!H81-'N70'!$E$57</f>
        <v>0.35</v>
      </c>
      <c r="AV75" s="5">
        <f>'N70'!H81-'N70'!$E$58</f>
        <v>0.33571428571428574</v>
      </c>
      <c r="AW75" s="5">
        <f>'N70'!H81-'N70'!$E$59</f>
        <v>0.32142857142857151</v>
      </c>
      <c r="AX75" s="5">
        <f>'N70'!H81-'N70'!$E$60</f>
        <v>0.30714285714285716</v>
      </c>
      <c r="AY75" s="5">
        <f>'N70'!H81-'N70'!$E$61</f>
        <v>0.29285714285714293</v>
      </c>
      <c r="AZ75" s="5">
        <f>'N70'!H81-'N70'!$E$62</f>
        <v>0.27857142857142858</v>
      </c>
      <c r="BA75" s="5">
        <f>'N70'!H81-'N70'!$E$63</f>
        <v>0.26428571428571435</v>
      </c>
      <c r="BB75" s="5">
        <f>'N70'!H81-'N70'!$E$64</f>
        <v>0.25</v>
      </c>
      <c r="BC75" s="5">
        <f>'N70'!H81-'N70'!$E$65</f>
        <v>0.23571428571428577</v>
      </c>
      <c r="BD75" s="5">
        <f>'N70'!H81-'N70'!$E$66</f>
        <v>0.22142857142857142</v>
      </c>
      <c r="BE75" s="5">
        <f>'N70'!H81-'N70'!$E$67</f>
        <v>0.20714285714285718</v>
      </c>
      <c r="BF75" s="5">
        <f>'N70'!H81-'N70'!$E$68</f>
        <v>0.19285714285714284</v>
      </c>
      <c r="BG75" s="5">
        <f>'N70'!H81-'N70'!$E$69</f>
        <v>0.1785714285714286</v>
      </c>
      <c r="BH75" s="5">
        <f>'N70'!H81-'N70'!$E$70</f>
        <v>0.16428571428571437</v>
      </c>
      <c r="BI75" s="5">
        <f>'N70'!H81-'N70'!$E$71</f>
        <v>0.15000000000000002</v>
      </c>
      <c r="BJ75" s="5">
        <f>'N70'!H81-'N70'!$E$72</f>
        <v>0.13571428571428579</v>
      </c>
      <c r="BK75" s="5">
        <f>'N70'!H81-'N70'!$E$73</f>
        <v>0.12142857142857144</v>
      </c>
      <c r="BL75" s="5">
        <f>'N70'!H81-'N70'!$E$74</f>
        <v>0.10714285714285721</v>
      </c>
      <c r="BM75" s="5">
        <f>'N70'!H81-'N70'!$E$75</f>
        <v>9.285714285714286E-2</v>
      </c>
      <c r="BN75" s="5">
        <f>'N70'!H81-'N70'!$E$76</f>
        <v>7.8571428571428625E-2</v>
      </c>
      <c r="BO75" s="5">
        <f>'N70'!H81-'N70'!$E$77</f>
        <v>6.4285714285714279E-2</v>
      </c>
      <c r="BP75" s="5">
        <f>'N70'!H81-'N70'!$E$78</f>
        <v>5.0000000000000044E-2</v>
      </c>
      <c r="BQ75" s="5">
        <f>'N70'!H81-'N70'!$E$79</f>
        <v>3.5714285714285698E-2</v>
      </c>
      <c r="BR75" s="5">
        <f>'N70'!H81-'N70'!$E$80</f>
        <v>2.1428571428571463E-2</v>
      </c>
      <c r="BS75" s="5">
        <f>'N70'!H81-'N70'!$E$81</f>
        <v>7.1428571428572285E-3</v>
      </c>
      <c r="BT75" s="5">
        <f>'N70'!H81-'N70'!$E$82</f>
        <v>-7.1428571428571175E-3</v>
      </c>
      <c r="BU75" s="5">
        <f>'N70'!H81-'N70'!$E$83</f>
        <v>-2.1428571428571352E-2</v>
      </c>
      <c r="BV75" s="5">
        <f>'N70'!H81-'N70'!$E$84</f>
        <v>-3.5714285714285698E-2</v>
      </c>
      <c r="BW75" s="5">
        <f>'N70'!H81-'N70'!$E$85</f>
        <v>-4.9999999999999933E-2</v>
      </c>
      <c r="BX75" s="5">
        <v>-1</v>
      </c>
      <c r="BZ75">
        <v>66</v>
      </c>
      <c r="CA75" s="5">
        <f>N70_DESARROLLO!CE160+N70_DESARROLLO!H160</f>
        <v>-7.6727150070365902E-3</v>
      </c>
      <c r="CB75" s="5">
        <f>N70_DESARROLLO!CF160+N70_DESARROLLO!I160</f>
        <v>-1.5504497450351762E-2</v>
      </c>
      <c r="CC75" s="5">
        <f>N70_DESARROLLO!CG160+N70_DESARROLLO!J160</f>
        <v>-1.5748682795557079E-2</v>
      </c>
      <c r="CD75" s="5">
        <f>N70_DESARROLLO!CH160+N70_DESARROLLO!K160</f>
        <v>-1.6000683056592413E-2</v>
      </c>
      <c r="CE75" s="5">
        <f>N70_DESARROLLO!CI160+N70_DESARROLLO!L160</f>
        <v>-1.6260879514524262E-2</v>
      </c>
      <c r="CF75" s="5">
        <f>N70_DESARROLLO!CJ160+N70_DESARROLLO!M160</f>
        <v>-1.652967866459143E-2</v>
      </c>
      <c r="CG75" s="5">
        <f>N70_DESARROLLO!CK160+N70_DESARROLLO!N160</f>
        <v>-1.6807514335729246E-2</v>
      </c>
      <c r="CH75" s="5">
        <f>N70_DESARROLLO!CL160+N70_DESARROLLO!O160</f>
        <v>-1.7094850027301711E-2</v>
      </c>
      <c r="CI75" s="5">
        <f>N70_DESARROLLO!CM160+N70_DESARROLLO!P160</f>
        <v>-1.7392181490069936E-2</v>
      </c>
      <c r="CJ75" s="5">
        <f>N70_DESARROLLO!CN160+N70_DESARROLLO!Q160</f>
        <v>-1.7700039580938465E-2</v>
      </c>
      <c r="CK75" s="5">
        <f>N70_DESARROLLO!CO160+N70_DESARROLLO!R160</f>
        <v>-1.8018993426857643E-2</v>
      </c>
      <c r="CL75" s="5">
        <f>N70_DESARROLLO!CP160+N70_DESARROLLO!S160</f>
        <v>-1.8349653936850618E-2</v>
      </c>
      <c r="CM75" s="5">
        <f>N70_DESARROLLO!CQ160+N70_DESARROLLO!T160</f>
        <v>-1.8692677708213812E-2</v>
      </c>
      <c r="CN75" s="5">
        <f>N70_DESARROLLO!CR160+N70_DESARROLLO!U160</f>
        <v>-1.9048771379241214E-2</v>
      </c>
      <c r="CO75" s="5">
        <f>N70_DESARROLLO!CS160+N70_DESARROLLO!V160</f>
        <v>-1.9418696489460152E-2</v>
      </c>
      <c r="CP75" s="5">
        <f>N70_DESARROLLO!CT160+N70_DESARROLLO!W160</f>
        <v>-1.9803274917314595E-2</v>
      </c>
      <c r="CQ75" s="5">
        <f>N70_DESARROLLO!CU160+N70_DESARROLLO!X160</f>
        <v>-2.0203394977323041E-2</v>
      </c>
      <c r="CR75" s="5">
        <f>N70_DESARROLLO!CV160+N70_DESARROLLO!Y160</f>
        <v>-2.0620018272167862E-2</v>
      </c>
      <c r="CS75" s="5">
        <f>N70_DESARROLLO!CW160+N70_DESARROLLO!Z160</f>
        <v>-2.1054187410170844E-2</v>
      </c>
      <c r="CT75" s="5">
        <f>N70_DESARROLLO!CX160+N70_DESARROLLO!AA160</f>
        <v>-2.1507034719698725E-2</v>
      </c>
      <c r="CU75" s="5">
        <f>N70_DESARROLLO!CY160+N70_DESARROLLO!AB160</f>
        <v>-2.1979792112864049E-2</v>
      </c>
      <c r="CV75" s="5">
        <f>N70_DESARROLLO!CZ160+N70_DESARROLLO!AC160</f>
        <v>-2.2473802280108091E-2</v>
      </c>
      <c r="CW75" s="5">
        <f>N70_DESARROLLO!DA160+N70_DESARROLLO!AD160</f>
        <v>-2.2990531429697869E-2</v>
      </c>
      <c r="CX75" s="5">
        <f>N70_DESARROLLO!DB160+N70_DESARROLLO!AE160</f>
        <v>-2.3531583826931546E-2</v>
      </c>
      <c r="CY75" s="5">
        <f>N70_DESARROLLO!DC160+N70_DESARROLLO!AF160</f>
        <v>-2.4098718436569078E-2</v>
      </c>
      <c r="CZ75" s="5">
        <f>N70_DESARROLLO!DD160+N70_DESARROLLO!AG160</f>
        <v>-2.4693868032508171E-2</v>
      </c>
      <c r="DA75" s="5">
        <f>N70_DESARROLLO!DE160+N70_DESARROLLO!AH160</f>
        <v>-2.5319161212281727E-2</v>
      </c>
      <c r="DB75" s="5">
        <f>N70_DESARROLLO!DF160+N70_DESARROLLO!AI160</f>
        <v>-2.5976947844873366E-2</v>
      </c>
      <c r="DC75" s="5">
        <f>N70_DESARROLLO!DG160+N70_DESARROLLO!AJ160</f>
        <v>-2.6669828593211653E-2</v>
      </c>
      <c r="DD75" s="5">
        <f>N70_DESARROLLO!DH160+N70_DESARROLLO!AK160</f>
        <v>-2.7400689293798908E-2</v>
      </c>
      <c r="DE75" s="5">
        <f>N70_DESARROLLO!DI160+N70_DESARROLLO!AL160</f>
        <v>-2.8172741151794245E-2</v>
      </c>
      <c r="DF75" s="5">
        <f>N70_DESARROLLO!DJ160+N70_DESARROLLO!AM160</f>
        <v>-2.8989567932948379E-2</v>
      </c>
      <c r="DG75" s="5">
        <f>N70_DESARROLLO!DK160+N70_DESARROLLO!AN160</f>
        <v>-2.9855181616033843E-2</v>
      </c>
      <c r="DH75" s="5">
        <f>N70_DESARROLLO!DL160+N70_DESARROLLO!AO160</f>
        <v>-3.0774088329711291E-2</v>
      </c>
      <c r="DI75" s="5">
        <f>N70_DESARROLLO!DM160+N70_DESARROLLO!AP160</f>
        <v>-3.1751366862667441E-2</v>
      </c>
      <c r="DJ75" s="5">
        <f>N70_DESARROLLO!DN160+N70_DESARROLLO!AQ160</f>
        <v>-3.2792762635874606E-2</v>
      </c>
      <c r="DK75" s="5">
        <f>N70_DESARROLLO!DO160+N70_DESARROLLO!AR160</f>
        <v>-3.3904800811314639E-2</v>
      </c>
      <c r="DL75" s="5">
        <f>N70_DESARROLLO!DP160+N70_DESARROLLO!AS160</f>
        <v>-3.5094923244221365E-2</v>
      </c>
      <c r="DM75" s="5">
        <f>N70_DESARROLLO!DQ160+N70_DESARROLLO!AT160</f>
        <v>-3.6371655357433585E-2</v>
      </c>
      <c r="DN75" s="5">
        <f>N70_DESARROLLO!DR160+N70_DESARROLLO!AU160</f>
        <v>-3.7744810855703137E-2</v>
      </c>
      <c r="DO75" s="5">
        <f>N70_DESARROLLO!DS160+N70_DESARROLLO!AV160</f>
        <v>-3.9225744685472907E-2</v>
      </c>
      <c r="DP75" s="5">
        <f>N70_DESARROLLO!DT160+N70_DESARROLLO!AW160</f>
        <v>-4.0827668052543231E-2</v>
      </c>
      <c r="DQ75" s="5">
        <f>N70_DESARROLLO!DU160+N70_DESARROLLO!AX160</f>
        <v>-4.2566044021112748E-2</v>
      </c>
      <c r="DR75" s="5">
        <f>N70_DESARROLLO!DV160+N70_DESARROLLO!AY160</f>
        <v>-4.4459088822753734E-2</v>
      </c>
      <c r="DS75" s="5">
        <f>N70_DESARROLLO!DW160+N70_DESARROLLO!AZ160</f>
        <v>-4.6528413377895705E-2</v>
      </c>
      <c r="DT75" s="5">
        <f>N70_DESARROLLO!DX160+N70_DESARROLLO!BA160</f>
        <v>-4.8799853039068419E-2</v>
      </c>
      <c r="DU75" s="5">
        <f>N70_DESARROLLO!DY160+N70_DESARROLLO!BB160</f>
        <v>-5.1304553326349422E-2</v>
      </c>
      <c r="DV75" s="5">
        <f>N70_DESARROLLO!DZ160+N70_DESARROLLO!BC160</f>
        <v>-5.408040883814047E-2</v>
      </c>
      <c r="DW75" s="5">
        <f>N70_DESARROLLO!EA160+N70_DESARROLLO!BD160</f>
        <v>-5.7173997129085441E-2</v>
      </c>
      <c r="DX75" s="5">
        <f>N70_DESARROLLO!EB160+N70_DESARROLLO!BE160</f>
        <v>-6.0643218403514498E-2</v>
      </c>
      <c r="DY75" s="5">
        <f>N70_DESARROLLO!EC160+N70_DESARROLLO!BF160</f>
        <v>-6.4560961252492111E-2</v>
      </c>
      <c r="DZ75" s="5">
        <f>N70_DESARROLLO!ED160+N70_DESARROLLO!BG160</f>
        <v>-6.9020292350860157E-2</v>
      </c>
      <c r="EA75" s="5">
        <f>N70_DESARROLLO!EE160+N70_DESARROLLO!BH160</f>
        <v>-7.4141965022344158E-2</v>
      </c>
      <c r="EB75" s="5">
        <f>N70_DESARROLLO!EF160+N70_DESARROLLO!BI160</f>
        <v>-8.0085554140355564E-2</v>
      </c>
      <c r="EC75" s="5">
        <f>N70_DESARROLLO!EG160+N70_DESARROLLO!BJ160</f>
        <v>-8.7066442319330251E-2</v>
      </c>
      <c r="ED75" s="5">
        <f>N70_DESARROLLO!EH160+N70_DESARROLLO!BK160</f>
        <v>-9.5382594982181823E-2</v>
      </c>
      <c r="EE75" s="5">
        <f>N70_DESARROLLO!EI160+N70_DESARROLLO!BL160</f>
        <v>-0.10545841852056981</v>
      </c>
      <c r="EF75" s="5">
        <f>N70_DESARROLLO!EJ160+N70_DESARROLLO!BM160</f>
        <v>-0.11791996375049385</v>
      </c>
      <c r="EG75" s="5">
        <f>N70_DESARROLLO!EK160+N70_DESARROLLO!BN160</f>
        <v>-0.13373123411929144</v>
      </c>
      <c r="EH75" s="5">
        <f>N70_DESARROLLO!EL160+N70_DESARROLLO!BO160</f>
        <v>-0.15445886474682136</v>
      </c>
      <c r="EI75" s="5">
        <f>N70_DESARROLLO!EM160+N70_DESARROLLO!BP160</f>
        <v>-0.18283342438756101</v>
      </c>
      <c r="EJ75" s="5">
        <f>N70_DESARROLLO!EN160+N70_DESARROLLO!BQ160</f>
        <v>-0.22408833054043442</v>
      </c>
      <c r="EK75" s="5">
        <f>N70_DESARROLLO!EO160+N70_DESARROLLO!BR160</f>
        <v>-0.28973434150572408</v>
      </c>
      <c r="EL75" s="5">
        <f>N70_DESARROLLO!EP160+N70_DESARROLLO!BS160</f>
        <v>-0.41141440075355473</v>
      </c>
      <c r="EM75" s="5">
        <f>N70_DESARROLLO!EQ160+N70_DESARROLLO!BT160</f>
        <v>-0.72775792963607377</v>
      </c>
      <c r="EN75" s="5">
        <f>N70_DESARROLLO!ER160+N70_DESARROLLO!BU160</f>
        <v>-1.6479184659605211</v>
      </c>
      <c r="EO75" s="5">
        <f>N70_DESARROLLO!ES160+N70_DESARROLLO!BV160</f>
        <v>1.6479184659605282</v>
      </c>
      <c r="EP75" s="5">
        <f>N70_DESARROLLO!ET160+N70_DESARROLLO!BW160</f>
        <v>0.72775792963608976</v>
      </c>
      <c r="EQ75" s="5">
        <f>N70_DESARROLLO!EU160+N70_DESARROLLO!BX160</f>
        <v>0.41141440075354063</v>
      </c>
      <c r="ER75" s="5">
        <f>N70_DESARROLLO!EV160+N70_DESARROLLO!BY160</f>
        <v>208.86008273442812</v>
      </c>
      <c r="FC75">
        <v>66</v>
      </c>
      <c r="FD75" s="4">
        <v>3.6100236097938607E-5</v>
      </c>
      <c r="FE75" s="4">
        <v>7.2289868659817076E-5</v>
      </c>
      <c r="FF75" s="4">
        <v>9.5464449590426729E-5</v>
      </c>
      <c r="FG75" s="4">
        <v>1.1582459871796408E-4</v>
      </c>
      <c r="FH75" s="4">
        <v>1.3460952583967467E-4</v>
      </c>
      <c r="FI75" s="4">
        <v>1.5254557866806835E-4</v>
      </c>
      <c r="FJ75" s="4">
        <v>1.7003169978563567E-4</v>
      </c>
      <c r="FK75" s="4">
        <v>1.8732605938096621E-4</v>
      </c>
      <c r="FL75" s="4">
        <v>2.0461202575420618E-4</v>
      </c>
      <c r="FM75" s="4">
        <v>2.2203018850852629E-4</v>
      </c>
      <c r="FN75" s="4">
        <v>2.3969535873461705E-4</v>
      </c>
      <c r="FO75" s="4">
        <v>2.5770643854071472E-4</v>
      </c>
      <c r="FP75" s="4">
        <v>2.7615257364402204E-4</v>
      </c>
      <c r="FQ75" s="4">
        <v>2.9511724073011224E-4</v>
      </c>
      <c r="FR75" s="4">
        <v>3.1468113169595273E-4</v>
      </c>
      <c r="FS75" s="4">
        <v>3.3492431480706112E-4</v>
      </c>
      <c r="FT75" s="4">
        <v>3.5592795597127558E-4</v>
      </c>
      <c r="FU75" s="4">
        <v>3.7777577615633165E-4</v>
      </c>
      <c r="FV75" s="4">
        <v>4.0055536063680761E-4</v>
      </c>
      <c r="FW75" s="4">
        <v>4.2435940092560637E-4</v>
      </c>
      <c r="FX75" s="4">
        <v>4.4928692982450192E-4</v>
      </c>
      <c r="FY75" s="4">
        <v>4.7544459847541701E-4</v>
      </c>
      <c r="FZ75" s="4">
        <v>5.0294803857173307E-4</v>
      </c>
      <c r="GA75" s="4">
        <v>5.3192335084417577E-4</v>
      </c>
      <c r="GB75" s="4">
        <v>5.6250876195640062E-4</v>
      </c>
      <c r="GC75" s="4">
        <v>5.9485649557356173E-4</v>
      </c>
      <c r="GD75" s="4">
        <v>6.2913490933683895E-4</v>
      </c>
      <c r="GE75" s="4">
        <v>6.6553095814040199E-4</v>
      </c>
      <c r="GF75" s="4">
        <v>7.0425305540798577E-4</v>
      </c>
      <c r="GG75" s="4">
        <v>7.455344195392619E-4</v>
      </c>
      <c r="GH75" s="4">
        <v>7.8963701180815183E-4</v>
      </c>
      <c r="GI75" s="4">
        <v>8.3685619756174439E-4</v>
      </c>
      <c r="GJ75" s="4">
        <v>8.8752629497371464E-4</v>
      </c>
      <c r="GK75" s="4">
        <v>9.4202721786331291E-4</v>
      </c>
      <c r="GL75" s="4">
        <v>1.0007924743523084E-3</v>
      </c>
      <c r="GM75" s="4">
        <v>1.064318855407352E-3</v>
      </c>
      <c r="GN75" s="4">
        <v>1.1331782431969271E-3</v>
      </c>
      <c r="GO75" s="4">
        <v>1.2080320968613559E-3</v>
      </c>
      <c r="GP75" s="4">
        <v>1.2896493453482636E-3</v>
      </c>
      <c r="GQ75" s="4">
        <v>1.378928650595791E-3</v>
      </c>
      <c r="GR75" s="4">
        <v>1.4769263252470948E-3</v>
      </c>
      <c r="GS75" s="4">
        <v>1.5848916346623916E-3</v>
      </c>
      <c r="GT75" s="4">
        <v>1.7043118391716538E-3</v>
      </c>
      <c r="GU75" s="4">
        <v>1.8369702240773583E-3</v>
      </c>
      <c r="GV75" s="4">
        <v>1.985021652138447E-3</v>
      </c>
      <c r="GW75" s="4">
        <v>2.1510920605175439E-3</v>
      </c>
      <c r="GX75" s="4">
        <v>2.3384111372628143E-3</v>
      </c>
      <c r="GY75" s="4">
        <v>2.550991682522603E-3</v>
      </c>
      <c r="GZ75" s="4">
        <v>2.7938757721193102E-3</v>
      </c>
      <c r="HA75" s="4">
        <v>3.0734783085706683E-3</v>
      </c>
      <c r="HB75" s="4">
        <v>3.3980755246671517E-3</v>
      </c>
      <c r="HC75" s="4">
        <v>3.7785143106762861E-3</v>
      </c>
      <c r="HD75" s="4">
        <v>4.229266892568237E-3</v>
      </c>
      <c r="HE75" s="4">
        <v>4.7700419817418276E-3</v>
      </c>
      <c r="HF75" s="4">
        <v>5.42832386736439E-3</v>
      </c>
      <c r="HG75" s="4">
        <v>6.2435217803870667E-3</v>
      </c>
      <c r="HH75" s="4">
        <v>7.27404769015586E-3</v>
      </c>
      <c r="HI75" s="4">
        <v>8.6100259093412831E-3</v>
      </c>
      <c r="HJ75" s="4">
        <v>1.0397605927846545E-2</v>
      </c>
      <c r="HK75" s="4">
        <v>1.2889152756185705E-2</v>
      </c>
      <c r="HL75" s="4">
        <v>1.6560288094869147E-2</v>
      </c>
      <c r="HM75" s="4">
        <v>2.2383077744669612E-2</v>
      </c>
      <c r="HN75" s="4">
        <v>3.3289988437918687E-2</v>
      </c>
      <c r="HO75" s="4">
        <v>5.0112972362379569E-2</v>
      </c>
      <c r="HP75" s="4">
        <v>0.24022428784202993</v>
      </c>
      <c r="HQ75" s="4">
        <v>-0.25603265249730917</v>
      </c>
      <c r="HR75" s="4">
        <v>-6.543567745678959E-2</v>
      </c>
      <c r="HS75" s="4">
        <v>-4.877527871309973E-2</v>
      </c>
      <c r="HT75" s="4">
        <v>1.3717763285241847E-2</v>
      </c>
      <c r="HU75" s="4">
        <v>-0.21411402321779283</v>
      </c>
    </row>
    <row r="76" spans="4:229" x14ac:dyDescent="0.25">
      <c r="D76" s="10">
        <v>67</v>
      </c>
      <c r="E76" s="5">
        <f>'N70'!E83-'N70'!E82</f>
        <v>1.4285714285714235E-2</v>
      </c>
      <c r="F76" s="5">
        <f>'N70'!H82-'N70'!$E$16</f>
        <v>0.95</v>
      </c>
      <c r="G76" s="5">
        <f>'N70'!H82-'N70'!$E$17</f>
        <v>0.93571428571428572</v>
      </c>
      <c r="H76" s="5">
        <f>'N70'!H82-'N70'!$E$18</f>
        <v>0.92142857142857137</v>
      </c>
      <c r="I76" s="5">
        <f>'N70'!H82-'N70'!$E$19</f>
        <v>0.90714285714285714</v>
      </c>
      <c r="J76" s="5">
        <f>'N70'!H82-'N70'!$E$20</f>
        <v>0.89285714285714279</v>
      </c>
      <c r="K76" s="5">
        <f>'N70'!H82-'N70'!$E$21</f>
        <v>0.87857142857142856</v>
      </c>
      <c r="L76" s="5">
        <f>'N70'!H82-'N70'!$E$22</f>
        <v>0.86428571428571421</v>
      </c>
      <c r="M76" s="5">
        <f>'N70'!H82-'N70'!$E$23</f>
        <v>0.85</v>
      </c>
      <c r="N76" s="5">
        <f>'N70'!H82-'N70'!$E$24</f>
        <v>0.83571428571428563</v>
      </c>
      <c r="O76" s="5">
        <f>'N70'!H82-'N70'!$E$25</f>
        <v>0.8214285714285714</v>
      </c>
      <c r="P76" s="5">
        <f>'N70'!H82-'N70'!$E$26</f>
        <v>0.80714285714285716</v>
      </c>
      <c r="Q76" s="5">
        <f>'N70'!H82-'N70'!$E$27</f>
        <v>0.79285714285714282</v>
      </c>
      <c r="R76" s="5">
        <f>'N70'!H82-'N70'!$E$28</f>
        <v>0.77857142857142847</v>
      </c>
      <c r="S76" s="5">
        <f>'N70'!H82-'N70'!$E$29</f>
        <v>0.76428571428571423</v>
      </c>
      <c r="T76" s="5">
        <f>'N70'!H82-'N70'!$E$30</f>
        <v>0.75</v>
      </c>
      <c r="U76" s="5">
        <f>'N70'!H82-'N70'!$E$31</f>
        <v>0.73571428571428565</v>
      </c>
      <c r="V76" s="5">
        <f>'N70'!H82-'N70'!$E$32</f>
        <v>0.72142857142857142</v>
      </c>
      <c r="W76" s="5">
        <f>'N70'!H82-'N70'!$E$33</f>
        <v>0.70714285714285707</v>
      </c>
      <c r="X76" s="5">
        <f>'N70'!H82-'N70'!$E$34</f>
        <v>0.69285714285714284</v>
      </c>
      <c r="Y76" s="5">
        <f>'N70'!H82-'N70'!$E$35</f>
        <v>0.6785714285714286</v>
      </c>
      <c r="Z76" s="5">
        <f>'N70'!H82-'N70'!$E$36</f>
        <v>0.66428571428571426</v>
      </c>
      <c r="AA76" s="5">
        <f>'N70'!H82-'N70'!$E$37</f>
        <v>0.64999999999999991</v>
      </c>
      <c r="AB76" s="5">
        <f>'N70'!H82-'N70'!$E$38</f>
        <v>0.63571428571428568</v>
      </c>
      <c r="AC76" s="5">
        <f>'N70'!H82-'N70'!$E$39</f>
        <v>0.62142857142857144</v>
      </c>
      <c r="AD76" s="5">
        <f>'N70'!H82-'N70'!$E$40</f>
        <v>0.6071428571428571</v>
      </c>
      <c r="AE76" s="5">
        <f>'N70'!H82-'N70'!$E$41</f>
        <v>0.59285714285714275</v>
      </c>
      <c r="AF76" s="5">
        <f>'N70'!H82-'N70'!$E$42</f>
        <v>0.57857142857142851</v>
      </c>
      <c r="AG76" s="5">
        <f>'N70'!H82-'N70'!$E$43</f>
        <v>0.56428571428571428</v>
      </c>
      <c r="AH76" s="5">
        <f>'N70'!H82-'N70'!$E$44</f>
        <v>0.55000000000000004</v>
      </c>
      <c r="AI76" s="5">
        <f>'N70'!H82-'N70'!$E$45</f>
        <v>0.5357142857142857</v>
      </c>
      <c r="AJ76" s="5">
        <f>'N70'!H82-'N70'!$E$46</f>
        <v>0.52142857142857135</v>
      </c>
      <c r="AK76" s="5">
        <f>'N70'!H82-'N70'!$E$47</f>
        <v>0.50714285714285712</v>
      </c>
      <c r="AL76" s="5">
        <f>'N70'!H82-'N70'!$E$48</f>
        <v>0.49285714285714283</v>
      </c>
      <c r="AM76" s="5">
        <f>'N70'!H82-'N70'!$E$49</f>
        <v>0.47857142857142854</v>
      </c>
      <c r="AN76" s="5">
        <f>'N70'!H82-'N70'!$E$50</f>
        <v>0.46428571428571425</v>
      </c>
      <c r="AO76" s="5">
        <f>'N70'!H82-'N70'!$E$51</f>
        <v>0.44999999999999996</v>
      </c>
      <c r="AP76" s="5">
        <f>'N70'!H82-'N70'!$E$52</f>
        <v>0.43571428571428572</v>
      </c>
      <c r="AQ76" s="5">
        <f>'N70'!H82-'N70'!$E$53</f>
        <v>0.42142857142857137</v>
      </c>
      <c r="AR76" s="5">
        <f>'N70'!H82-'N70'!$E$54</f>
        <v>0.40714285714285714</v>
      </c>
      <c r="AS76" s="5">
        <f>'N70'!H82-'N70'!$E$55</f>
        <v>0.39285714285714279</v>
      </c>
      <c r="AT76" s="5">
        <f>'N70'!H82-'N70'!$E$56</f>
        <v>0.37857142857142856</v>
      </c>
      <c r="AU76" s="5">
        <f>'N70'!H82-'N70'!$E$57</f>
        <v>0.36428571428571421</v>
      </c>
      <c r="AV76" s="5">
        <f>'N70'!H82-'N70'!$E$58</f>
        <v>0.35</v>
      </c>
      <c r="AW76" s="5">
        <f>'N70'!H82-'N70'!$E$59</f>
        <v>0.33571428571428574</v>
      </c>
      <c r="AX76" s="5">
        <f>'N70'!H82-'N70'!$E$60</f>
        <v>0.3214285714285714</v>
      </c>
      <c r="AY76" s="5">
        <f>'N70'!H82-'N70'!$E$61</f>
        <v>0.30714285714285716</v>
      </c>
      <c r="AZ76" s="5">
        <f>'N70'!H82-'N70'!$E$62</f>
        <v>0.29285714285714282</v>
      </c>
      <c r="BA76" s="5">
        <f>'N70'!H82-'N70'!$E$63</f>
        <v>0.27857142857142858</v>
      </c>
      <c r="BB76" s="5">
        <f>'N70'!H82-'N70'!$E$64</f>
        <v>0.26428571428571423</v>
      </c>
      <c r="BC76" s="5">
        <f>'N70'!H82-'N70'!$E$65</f>
        <v>0.25</v>
      </c>
      <c r="BD76" s="5">
        <f>'N70'!H82-'N70'!$E$66</f>
        <v>0.23571428571428565</v>
      </c>
      <c r="BE76" s="5">
        <f>'N70'!H82-'N70'!$E$67</f>
        <v>0.22142857142857142</v>
      </c>
      <c r="BF76" s="5">
        <f>'N70'!H82-'N70'!$E$68</f>
        <v>0.20714285714285707</v>
      </c>
      <c r="BG76" s="5">
        <f>'N70'!H82-'N70'!$E$69</f>
        <v>0.19285714285714284</v>
      </c>
      <c r="BH76" s="5">
        <f>'N70'!H82-'N70'!$E$70</f>
        <v>0.1785714285714286</v>
      </c>
      <c r="BI76" s="5">
        <f>'N70'!H82-'N70'!$E$71</f>
        <v>0.16428571428571426</v>
      </c>
      <c r="BJ76" s="5">
        <f>'N70'!H82-'N70'!$E$72</f>
        <v>0.15000000000000002</v>
      </c>
      <c r="BK76" s="5">
        <f>'N70'!H82-'N70'!$E$73</f>
        <v>0.13571428571428568</v>
      </c>
      <c r="BL76" s="5">
        <f>'N70'!H82-'N70'!$E$74</f>
        <v>0.12142857142857144</v>
      </c>
      <c r="BM76" s="5">
        <f>'N70'!H82-'N70'!$E$75</f>
        <v>0.1071428571428571</v>
      </c>
      <c r="BN76" s="5">
        <f>'N70'!H82-'N70'!$E$76</f>
        <v>9.285714285714286E-2</v>
      </c>
      <c r="BO76" s="5">
        <f>'N70'!H82-'N70'!$E$77</f>
        <v>7.8571428571428514E-2</v>
      </c>
      <c r="BP76" s="5">
        <f>'N70'!H82-'N70'!$E$78</f>
        <v>6.4285714285714279E-2</v>
      </c>
      <c r="BQ76" s="5">
        <f>'N70'!H82-'N70'!$E$79</f>
        <v>4.9999999999999933E-2</v>
      </c>
      <c r="BR76" s="5">
        <f>'N70'!H82-'N70'!$E$80</f>
        <v>3.5714285714285698E-2</v>
      </c>
      <c r="BS76" s="5">
        <f>'N70'!H82-'N70'!$E$81</f>
        <v>2.1428571428571463E-2</v>
      </c>
      <c r="BT76" s="5">
        <f>'N70'!H82-'N70'!$E$82</f>
        <v>7.1428571428571175E-3</v>
      </c>
      <c r="BU76" s="5">
        <f>'N70'!H82-'N70'!$E$83</f>
        <v>-7.1428571428571175E-3</v>
      </c>
      <c r="BV76" s="5">
        <f>'N70'!H82-'N70'!$E$84</f>
        <v>-2.1428571428571463E-2</v>
      </c>
      <c r="BW76" s="5">
        <f>'N70'!H82-'N70'!$E$85</f>
        <v>-3.5714285714285698E-2</v>
      </c>
      <c r="BX76" s="5">
        <v>-1</v>
      </c>
      <c r="BZ76">
        <v>67</v>
      </c>
      <c r="CA76" s="5">
        <f>N70_DESARROLLO!CE161+N70_DESARROLLO!H161</f>
        <v>-7.5567513016895349E-3</v>
      </c>
      <c r="CB76" s="5">
        <f>N70_DESARROLLO!CF161+N70_DESARROLLO!I161</f>
        <v>-1.5267769028978084E-2</v>
      </c>
      <c r="CC76" s="5">
        <f>N70_DESARROLLO!CG161+N70_DESARROLLO!J161</f>
        <v>-1.5504497450366306E-2</v>
      </c>
      <c r="CD76" s="5">
        <f>N70_DESARROLLO!CH161+N70_DESARROLLO!K161</f>
        <v>-1.5748682795542868E-2</v>
      </c>
      <c r="CE76" s="5">
        <f>N70_DESARROLLO!CI161+N70_DESARROLLO!L161</f>
        <v>-1.6000683056606513E-2</v>
      </c>
      <c r="CF76" s="5">
        <f>N70_DESARROLLO!CJ161+N70_DESARROLLO!M161</f>
        <v>-1.6260879514510052E-2</v>
      </c>
      <c r="CG76" s="5">
        <f>N70_DESARROLLO!CK161+N70_DESARROLLO!N161</f>
        <v>-1.6529678664605085E-2</v>
      </c>
      <c r="CH76" s="5">
        <f>N70_DESARROLLO!CL161+N70_DESARROLLO!O161</f>
        <v>-1.6807514335715812E-2</v>
      </c>
      <c r="CI76" s="5">
        <f>N70_DESARROLLO!CM161+N70_DESARROLLO!P161</f>
        <v>-1.7094850027315034E-2</v>
      </c>
      <c r="CJ76" s="5">
        <f>N70_DESARROLLO!CN161+N70_DESARROLLO!Q161</f>
        <v>-1.7392181490063496E-2</v>
      </c>
      <c r="CK76" s="5">
        <f>N70_DESARROLLO!CO161+N70_DESARROLLO!R161</f>
        <v>-1.7700039580932247E-2</v>
      </c>
      <c r="CL76" s="5">
        <f>N70_DESARROLLO!CP161+N70_DESARROLLO!S161</f>
        <v>-1.8018993426864194E-2</v>
      </c>
      <c r="CM76" s="5">
        <f>N70_DESARROLLO!CQ161+N70_DESARROLLO!T161</f>
        <v>-1.834965393686272E-2</v>
      </c>
      <c r="CN76" s="5">
        <f>N70_DESARROLLO!CR161+N70_DESARROLLO!U161</f>
        <v>-1.8692677708201377E-2</v>
      </c>
      <c r="CO76" s="5">
        <f>N70_DESARROLLO!CS161+N70_DESARROLLO!V161</f>
        <v>-1.9048771379235774E-2</v>
      </c>
      <c r="CP76" s="5">
        <f>N70_DESARROLLO!CT161+N70_DESARROLLO!W161</f>
        <v>-1.9418696489477361E-2</v>
      </c>
      <c r="CQ76" s="5">
        <f>N70_DESARROLLO!CU161+N70_DESARROLLO!X161</f>
        <v>-1.9803274917291835E-2</v>
      </c>
      <c r="CR76" s="5">
        <f>N70_DESARROLLO!CV161+N70_DESARROLLO!Y161</f>
        <v>-2.0203394977345357E-2</v>
      </c>
      <c r="CS76" s="5">
        <f>N70_DESARROLLO!CW161+N70_DESARROLLO!Z161</f>
        <v>-2.0620018272156537E-2</v>
      </c>
      <c r="CT76" s="5">
        <f>N70_DESARROLLO!CX161+N70_DESARROLLO!AA161</f>
        <v>-2.1054187410165626E-2</v>
      </c>
      <c r="CU76" s="5">
        <f>N70_DESARROLLO!CY161+N70_DESARROLLO!AB161</f>
        <v>-2.1507034719704166E-2</v>
      </c>
      <c r="CV76" s="5">
        <f>N70_DESARROLLO!CZ161+N70_DESARROLLO!AC161</f>
        <v>-2.1979792112873819E-2</v>
      </c>
      <c r="CW76" s="5">
        <f>N70_DESARROLLO!DA161+N70_DESARROLLO!AD161</f>
        <v>-2.2473802280097654E-2</v>
      </c>
      <c r="CX76" s="5">
        <f>N70_DESARROLLO!DB161+N70_DESARROLLO!AE161</f>
        <v>-2.2990531429693095E-2</v>
      </c>
      <c r="CY76" s="5">
        <f>N70_DESARROLLO!DC161+N70_DESARROLLO!AF161</f>
        <v>-2.3531583826936764E-2</v>
      </c>
      <c r="CZ76" s="5">
        <f>N70_DESARROLLO!DD161+N70_DESARROLLO!AG161</f>
        <v>-2.4098718436573519E-2</v>
      </c>
      <c r="DA76" s="5">
        <f>N70_DESARROLLO!DE161+N70_DESARROLLO!AH161</f>
        <v>-2.4693868032503286E-2</v>
      </c>
      <c r="DB76" s="5">
        <f>N70_DESARROLLO!DF161+N70_DESARROLLO!AI161</f>
        <v>-2.5319161212281727E-2</v>
      </c>
      <c r="DC76" s="5">
        <f>N70_DESARROLLO!DG161+N70_DESARROLLO!AJ161</f>
        <v>-2.5976947844864928E-2</v>
      </c>
      <c r="DD76" s="5">
        <f>N70_DESARROLLO!DH161+N70_DESARROLLO!AK161</f>
        <v>-2.6669828593220757E-2</v>
      </c>
      <c r="DE76" s="5">
        <f>N70_DESARROLLO!DI161+N70_DESARROLLO!AL161</f>
        <v>-2.740068929380679E-2</v>
      </c>
      <c r="DF76" s="5">
        <f>N70_DESARROLLO!DJ161+N70_DESARROLLO!AM161</f>
        <v>-2.8172741151781922E-2</v>
      </c>
      <c r="DG76" s="5">
        <f>N70_DESARROLLO!DK161+N70_DESARROLLO!AN161</f>
        <v>-2.8989567932952598E-2</v>
      </c>
      <c r="DH76" s="5">
        <f>N70_DESARROLLO!DL161+N70_DESARROLLO!AO161</f>
        <v>-2.9855181616034066E-2</v>
      </c>
      <c r="DI76" s="5">
        <f>N70_DESARROLLO!DM161+N70_DESARROLLO!AP161</f>
        <v>-3.0774088329711402E-2</v>
      </c>
      <c r="DJ76" s="5">
        <f>N70_DESARROLLO!DN161+N70_DESARROLLO!AQ161</f>
        <v>-3.1751366862670549E-2</v>
      </c>
      <c r="DK76" s="5">
        <f>N70_DESARROLLO!DO161+N70_DESARROLLO!AR161</f>
        <v>-3.2792762635864614E-2</v>
      </c>
      <c r="DL76" s="5">
        <f>N70_DESARROLLO!DP161+N70_DESARROLLO!AS161</f>
        <v>-3.3904800811328184E-2</v>
      </c>
      <c r="DM76" s="5">
        <f>N70_DESARROLLO!DQ161+N70_DESARROLLO!AT161</f>
        <v>-3.5094923244208154E-2</v>
      </c>
      <c r="DN76" s="5">
        <f>N70_DESARROLLO!DR161+N70_DESARROLLO!AU161</f>
        <v>-3.6371655357446464E-2</v>
      </c>
      <c r="DO76" s="5">
        <f>N70_DESARROLLO!DS161+N70_DESARROLLO!AV161</f>
        <v>-3.7744810855687927E-2</v>
      </c>
      <c r="DP76" s="5">
        <f>N70_DESARROLLO!DT161+N70_DESARROLLO!AW161</f>
        <v>-3.922574468549056E-2</v>
      </c>
      <c r="DQ76" s="5">
        <f>N70_DESARROLLO!DU161+N70_DESARROLLO!AX161</f>
        <v>-4.0827668052533905E-2</v>
      </c>
      <c r="DR76" s="5">
        <f>N70_DESARROLLO!DV161+N70_DESARROLLO!AY161</f>
        <v>-4.2566044021105198E-2</v>
      </c>
      <c r="DS76" s="5">
        <f>N70_DESARROLLO!DW161+N70_DESARROLLO!AZ161</f>
        <v>-4.4459088822769166E-2</v>
      </c>
      <c r="DT76" s="5">
        <f>N70_DESARROLLO!DX161+N70_DESARROLLO!BA161</f>
        <v>-4.6528413377880939E-2</v>
      </c>
      <c r="DU76" s="5">
        <f>N70_DESARROLLO!DY161+N70_DESARROLLO!BB161</f>
        <v>-4.879985303908263E-2</v>
      </c>
      <c r="DV76" s="5">
        <f>N70_DESARROLLO!DZ161+N70_DESARROLLO!BC161</f>
        <v>-5.1304553326333657E-2</v>
      </c>
      <c r="DW76" s="5">
        <f>N70_DESARROLLO!EA161+N70_DESARROLLO!BD161</f>
        <v>-5.408040883815779E-2</v>
      </c>
      <c r="DX76" s="5">
        <f>N70_DESARROLLO!EB161+N70_DESARROLLO!BE161</f>
        <v>-5.7173997129068899E-2</v>
      </c>
      <c r="DY76" s="5">
        <f>N70_DESARROLLO!EC161+N70_DESARROLLO!BF161</f>
        <v>-6.0643218403530041E-2</v>
      </c>
      <c r="DZ76" s="5">
        <f>N70_DESARROLLO!ED161+N70_DESARROLLO!BG161</f>
        <v>-6.456096125247579E-2</v>
      </c>
      <c r="EA76" s="5">
        <f>N70_DESARROLLO!EE161+N70_DESARROLLO!BH161</f>
        <v>-6.9020292350875811E-2</v>
      </c>
      <c r="EB76" s="5">
        <f>N70_DESARROLLO!EF161+N70_DESARROLLO!BI161</f>
        <v>-7.4141965022336609E-2</v>
      </c>
      <c r="EC76" s="5">
        <f>N70_DESARROLLO!EG161+N70_DESARROLLO!BJ161</f>
        <v>-8.0085554140349235E-2</v>
      </c>
      <c r="ED76" s="5">
        <f>N70_DESARROLLO!EH161+N70_DESARROLLO!BK161</f>
        <v>-8.7066442319344017E-2</v>
      </c>
      <c r="EE76" s="5">
        <f>N70_DESARROLLO!EI161+N70_DESARROLLO!BL161</f>
        <v>-9.5382594982166724E-2</v>
      </c>
      <c r="EF76" s="5">
        <f>N70_DESARROLLO!EJ161+N70_DESARROLLO!BM161</f>
        <v>-0.10545841852058602</v>
      </c>
      <c r="EG76" s="5">
        <f>N70_DESARROLLO!EK161+N70_DESARROLLO!BN161</f>
        <v>-0.11791996375047831</v>
      </c>
      <c r="EH76" s="5">
        <f>N70_DESARROLLO!EL161+N70_DESARROLLO!BO161</f>
        <v>-0.13373123411930654</v>
      </c>
      <c r="EI76" s="5">
        <f>N70_DESARROLLO!EM161+N70_DESARROLLO!BP161</f>
        <v>-0.15445886474680592</v>
      </c>
      <c r="EJ76" s="5">
        <f>N70_DESARROLLO!EN161+N70_DESARROLLO!BQ161</f>
        <v>-0.18283342438757666</v>
      </c>
      <c r="EK76" s="5">
        <f>N70_DESARROLLO!EO161+N70_DESARROLLO!BR161</f>
        <v>-0.22408833054041921</v>
      </c>
      <c r="EL76" s="5">
        <f>N70_DESARROLLO!EP161+N70_DESARROLLO!BS161</f>
        <v>-0.28973434150574007</v>
      </c>
      <c r="EM76" s="5">
        <f>N70_DESARROLLO!EQ161+N70_DESARROLLO!BT161</f>
        <v>-0.41141440075354385</v>
      </c>
      <c r="EN76" s="5">
        <f>N70_DESARROLLO!ER161+N70_DESARROLLO!BU161</f>
        <v>-0.72775792963607455</v>
      </c>
      <c r="EO76" s="5">
        <f>N70_DESARROLLO!ES161+N70_DESARROLLO!BV161</f>
        <v>-1.6479184659605444</v>
      </c>
      <c r="EP76" s="5">
        <f>N70_DESARROLLO!ET161+N70_DESARROLLO!BW161</f>
        <v>1.6479184659605444</v>
      </c>
      <c r="EQ76" s="5">
        <f>N70_DESARROLLO!EU161+N70_DESARROLLO!BX161</f>
        <v>0.72775792963607433</v>
      </c>
      <c r="ER76" s="5">
        <f>N70_DESARROLLO!EV161+N70_DESARROLLO!BY161</f>
        <v>232.48808192637696</v>
      </c>
      <c r="FC76">
        <v>67</v>
      </c>
      <c r="FD76" s="4">
        <v>3.1380629036294808E-5</v>
      </c>
      <c r="FE76" s="4">
        <v>6.2827507459698313E-5</v>
      </c>
      <c r="FF76" s="4">
        <v>8.2950447129025886E-5</v>
      </c>
      <c r="FG76" s="4">
        <v>1.0061894273011765E-4</v>
      </c>
      <c r="FH76" s="4">
        <v>1.1691041049154584E-4</v>
      </c>
      <c r="FI76" s="4">
        <v>1.3245610652048794E-4</v>
      </c>
      <c r="FJ76" s="4">
        <v>1.4760246227433506E-4</v>
      </c>
      <c r="FK76" s="4">
        <v>1.6257338681529475E-4</v>
      </c>
      <c r="FL76" s="4">
        <v>1.7752763747541148E-4</v>
      </c>
      <c r="FM76" s="4">
        <v>1.9258666453896464E-4</v>
      </c>
      <c r="FN76" s="4">
        <v>2.0784938808265357E-4</v>
      </c>
      <c r="FO76" s="4">
        <v>2.234007708108046E-4</v>
      </c>
      <c r="FP76" s="4">
        <v>2.3931715574318353E-4</v>
      </c>
      <c r="FQ76" s="4">
        <v>2.5566980508875367E-4</v>
      </c>
      <c r="FR76" s="4">
        <v>2.7252738974070152E-4</v>
      </c>
      <c r="FS76" s="4">
        <v>2.8995784661006463E-4</v>
      </c>
      <c r="FT76" s="4">
        <v>3.0802984947726688E-4</v>
      </c>
      <c r="FU76" s="4">
        <v>3.2681404588262645E-4</v>
      </c>
      <c r="FV76" s="4">
        <v>3.4638415986097768E-4</v>
      </c>
      <c r="FW76" s="4">
        <v>3.6681802985976943E-4</v>
      </c>
      <c r="FX76" s="4">
        <v>3.8819863320530202E-4</v>
      </c>
      <c r="FY76" s="4">
        <v>4.1061513818476791E-4</v>
      </c>
      <c r="FZ76" s="4">
        <v>4.3416401945544915E-4</v>
      </c>
      <c r="GA76" s="4">
        <v>4.589502703036702E-4</v>
      </c>
      <c r="GB76" s="4">
        <v>4.8508874566218646E-4</v>
      </c>
      <c r="GC76" s="4">
        <v>5.1270567225219393E-4</v>
      </c>
      <c r="GD76" s="4">
        <v>5.4194036653501542E-4</v>
      </c>
      <c r="GE76" s="4">
        <v>5.7294720759961271E-4</v>
      </c>
      <c r="GF76" s="4">
        <v>6.0589792060746276E-4</v>
      </c>
      <c r="GG76" s="4">
        <v>6.4098423785664892E-4</v>
      </c>
      <c r="GH76" s="4">
        <v>6.7842101895794569E-4</v>
      </c>
      <c r="GI76" s="4">
        <v>7.1844993055906158E-4</v>
      </c>
      <c r="GJ76" s="4">
        <v>7.6134381008628228E-4</v>
      </c>
      <c r="GK76" s="4">
        <v>8.0741186927159195E-4</v>
      </c>
      <c r="GL76" s="4">
        <v>8.5700593363743308E-4</v>
      </c>
      <c r="GM76" s="4">
        <v>9.1052796701971772E-4</v>
      </c>
      <c r="GN76" s="4">
        <v>9.6843919959938192E-4</v>
      </c>
      <c r="GO76" s="4">
        <v>1.0312712698973363E-3</v>
      </c>
      <c r="GP76" s="4">
        <v>1.0996399140692696E-3</v>
      </c>
      <c r="GQ76" s="4">
        <v>1.1742619014151713E-3</v>
      </c>
      <c r="GR76" s="4">
        <v>1.2559761403943526E-3</v>
      </c>
      <c r="GS76" s="4">
        <v>1.345770189433451E-3</v>
      </c>
      <c r="GT76" s="4">
        <v>1.4448138379437891E-3</v>
      </c>
      <c r="GU76" s="4">
        <v>1.5545020299437748E-3</v>
      </c>
      <c r="GV76" s="4">
        <v>1.6765102683607128E-3</v>
      </c>
      <c r="GW76" s="4">
        <v>1.8128668903175541E-3</v>
      </c>
      <c r="GX76" s="4">
        <v>1.9660484430278E-3</v>
      </c>
      <c r="GY76" s="4">
        <v>2.1391071368163364E-3</v>
      </c>
      <c r="GZ76" s="4">
        <v>2.3358435297163071E-3</v>
      </c>
      <c r="HA76" s="4">
        <v>2.561044080461177E-3</v>
      </c>
      <c r="HB76" s="4">
        <v>2.8208134892928251E-3</v>
      </c>
      <c r="HC76" s="4">
        <v>3.1230484599005211E-3</v>
      </c>
      <c r="HD76" s="4">
        <v>3.4781274355702597E-3</v>
      </c>
      <c r="HE76" s="4">
        <v>3.899938952604078E-3</v>
      </c>
      <c r="HF76" s="4">
        <v>4.4074570117253464E-3</v>
      </c>
      <c r="HG76" s="4">
        <v>5.0272309821686534E-3</v>
      </c>
      <c r="HH76" s="4">
        <v>5.797466591318778E-3</v>
      </c>
      <c r="HI76" s="4">
        <v>6.775007767852584E-3</v>
      </c>
      <c r="HJ76" s="4">
        <v>8.0479107997017806E-3</v>
      </c>
      <c r="HK76" s="4">
        <v>9.7595664560874516E-3</v>
      </c>
      <c r="HL76" s="4">
        <v>1.2158627776003106E-2</v>
      </c>
      <c r="HM76" s="4">
        <v>1.5715716408939318E-2</v>
      </c>
      <c r="HN76" s="4">
        <v>2.1396293455595492E-2</v>
      </c>
      <c r="HO76" s="4">
        <v>3.212475139324935E-2</v>
      </c>
      <c r="HP76" s="4">
        <v>4.8726848169791025E-2</v>
      </c>
      <c r="HQ76" s="4">
        <v>0.23857650377556519</v>
      </c>
      <c r="HR76" s="4">
        <v>-0.25773399411459685</v>
      </c>
      <c r="HS76" s="4">
        <v>-6.854971054353616E-2</v>
      </c>
      <c r="HT76" s="4">
        <v>-8.7341824042695571E-3</v>
      </c>
      <c r="HU76" s="4">
        <v>-0.20980025013093606</v>
      </c>
    </row>
    <row r="77" spans="4:229" x14ac:dyDescent="0.25">
      <c r="D77" s="10">
        <v>68</v>
      </c>
      <c r="E77" s="5">
        <f>'N70'!E84-'N70'!E83</f>
        <v>1.4285714285714346E-2</v>
      </c>
      <c r="F77" s="5">
        <f>'N70'!H83-'N70'!$E$16</f>
        <v>0.96428571428571419</v>
      </c>
      <c r="G77" s="5">
        <f>'N70'!H83-'N70'!$E$17</f>
        <v>0.95</v>
      </c>
      <c r="H77" s="5">
        <f>'N70'!H83-'N70'!$E$18</f>
        <v>0.93571428571428561</v>
      </c>
      <c r="I77" s="5">
        <f>'N70'!H83-'N70'!$E$19</f>
        <v>0.92142857142857137</v>
      </c>
      <c r="J77" s="5">
        <f>'N70'!H83-'N70'!$E$20</f>
        <v>0.90714285714285703</v>
      </c>
      <c r="K77" s="5">
        <f>'N70'!H83-'N70'!$E$21</f>
        <v>0.89285714285714279</v>
      </c>
      <c r="L77" s="5">
        <f>'N70'!H83-'N70'!$E$22</f>
        <v>0.87857142857142845</v>
      </c>
      <c r="M77" s="5">
        <f>'N70'!H83-'N70'!$E$23</f>
        <v>0.86428571428571421</v>
      </c>
      <c r="N77" s="5">
        <f>'N70'!H83-'N70'!$E$24</f>
        <v>0.84999999999999987</v>
      </c>
      <c r="O77" s="5">
        <f>'N70'!H83-'N70'!$E$25</f>
        <v>0.83571428571428563</v>
      </c>
      <c r="P77" s="5">
        <f>'N70'!H83-'N70'!$E$26</f>
        <v>0.8214285714285714</v>
      </c>
      <c r="Q77" s="5">
        <f>'N70'!H83-'N70'!$E$27</f>
        <v>0.80714285714285705</v>
      </c>
      <c r="R77" s="5">
        <f>'N70'!H83-'N70'!$E$28</f>
        <v>0.7928571428571427</v>
      </c>
      <c r="S77" s="5">
        <f>'N70'!H83-'N70'!$E$29</f>
        <v>0.77857142857142847</v>
      </c>
      <c r="T77" s="5">
        <f>'N70'!H83-'N70'!$E$30</f>
        <v>0.76428571428571423</v>
      </c>
      <c r="U77" s="5">
        <f>'N70'!H83-'N70'!$E$31</f>
        <v>0.74999999999999989</v>
      </c>
      <c r="V77" s="5">
        <f>'N70'!H83-'N70'!$E$32</f>
        <v>0.73571428571428565</v>
      </c>
      <c r="W77" s="5">
        <f>'N70'!H83-'N70'!$E$33</f>
        <v>0.72142857142857131</v>
      </c>
      <c r="X77" s="5">
        <f>'N70'!H83-'N70'!$E$34</f>
        <v>0.70714285714285707</v>
      </c>
      <c r="Y77" s="5">
        <f>'N70'!H83-'N70'!$E$35</f>
        <v>0.69285714285714284</v>
      </c>
      <c r="Z77" s="5">
        <f>'N70'!H83-'N70'!$E$36</f>
        <v>0.67857142857142849</v>
      </c>
      <c r="AA77" s="5">
        <f>'N70'!H83-'N70'!$E$37</f>
        <v>0.66428571428571415</v>
      </c>
      <c r="AB77" s="5">
        <f>'N70'!H83-'N70'!$E$38</f>
        <v>0.64999999999999991</v>
      </c>
      <c r="AC77" s="5">
        <f>'N70'!H83-'N70'!$E$39</f>
        <v>0.63571428571428568</v>
      </c>
      <c r="AD77" s="5">
        <f>'N70'!H83-'N70'!$E$40</f>
        <v>0.62142857142857133</v>
      </c>
      <c r="AE77" s="5">
        <f>'N70'!H83-'N70'!$E$41</f>
        <v>0.60714285714285698</v>
      </c>
      <c r="AF77" s="5">
        <f>'N70'!H83-'N70'!$E$42</f>
        <v>0.59285714285714275</v>
      </c>
      <c r="AG77" s="5">
        <f>'N70'!H83-'N70'!$E$43</f>
        <v>0.57857142857142851</v>
      </c>
      <c r="AH77" s="5">
        <f>'N70'!H83-'N70'!$E$44</f>
        <v>0.56428571428571428</v>
      </c>
      <c r="AI77" s="5">
        <f>'N70'!H83-'N70'!$E$45</f>
        <v>0.54999999999999993</v>
      </c>
      <c r="AJ77" s="5">
        <f>'N70'!H83-'N70'!$E$46</f>
        <v>0.53571428571428559</v>
      </c>
      <c r="AK77" s="5">
        <f>'N70'!H83-'N70'!$E$47</f>
        <v>0.52142857142857135</v>
      </c>
      <c r="AL77" s="5">
        <f>'N70'!H83-'N70'!$E$48</f>
        <v>0.50714285714285712</v>
      </c>
      <c r="AM77" s="5">
        <f>'N70'!H83-'N70'!$E$49</f>
        <v>0.49285714285714277</v>
      </c>
      <c r="AN77" s="5">
        <f>'N70'!H83-'N70'!$E$50</f>
        <v>0.47857142857142848</v>
      </c>
      <c r="AO77" s="5">
        <f>'N70'!H83-'N70'!$E$51</f>
        <v>0.46428571428571419</v>
      </c>
      <c r="AP77" s="5">
        <f>'N70'!H83-'N70'!$E$52</f>
        <v>0.44999999999999996</v>
      </c>
      <c r="AQ77" s="5">
        <f>'N70'!H83-'N70'!$E$53</f>
        <v>0.43571428571428561</v>
      </c>
      <c r="AR77" s="5">
        <f>'N70'!H83-'N70'!$E$54</f>
        <v>0.42142857142857137</v>
      </c>
      <c r="AS77" s="5">
        <f>'N70'!H83-'N70'!$E$55</f>
        <v>0.40714285714285703</v>
      </c>
      <c r="AT77" s="5">
        <f>'N70'!H83-'N70'!$E$56</f>
        <v>0.39285714285714279</v>
      </c>
      <c r="AU77" s="5">
        <f>'N70'!H83-'N70'!$E$57</f>
        <v>0.37857142857142845</v>
      </c>
      <c r="AV77" s="5">
        <f>'N70'!H83-'N70'!$E$58</f>
        <v>0.36428571428571421</v>
      </c>
      <c r="AW77" s="5">
        <f>'N70'!H83-'N70'!$E$59</f>
        <v>0.35</v>
      </c>
      <c r="AX77" s="5">
        <f>'N70'!H83-'N70'!$E$60</f>
        <v>0.33571428571428563</v>
      </c>
      <c r="AY77" s="5">
        <f>'N70'!H83-'N70'!$E$61</f>
        <v>0.3214285714285714</v>
      </c>
      <c r="AZ77" s="5">
        <f>'N70'!H83-'N70'!$E$62</f>
        <v>0.30714285714285705</v>
      </c>
      <c r="BA77" s="5">
        <f>'N70'!H83-'N70'!$E$63</f>
        <v>0.29285714285714282</v>
      </c>
      <c r="BB77" s="5">
        <f>'N70'!H83-'N70'!$E$64</f>
        <v>0.27857142857142847</v>
      </c>
      <c r="BC77" s="5">
        <f>'N70'!H83-'N70'!$E$65</f>
        <v>0.26428571428571423</v>
      </c>
      <c r="BD77" s="5">
        <f>'N70'!H83-'N70'!$E$66</f>
        <v>0.24999999999999989</v>
      </c>
      <c r="BE77" s="5">
        <f>'N70'!H83-'N70'!$E$67</f>
        <v>0.23571428571428565</v>
      </c>
      <c r="BF77" s="5">
        <f>'N70'!H83-'N70'!$E$68</f>
        <v>0.22142857142857131</v>
      </c>
      <c r="BG77" s="5">
        <f>'N70'!H83-'N70'!$E$69</f>
        <v>0.20714285714285707</v>
      </c>
      <c r="BH77" s="5">
        <f>'N70'!H83-'N70'!$E$70</f>
        <v>0.19285714285714284</v>
      </c>
      <c r="BI77" s="5">
        <f>'N70'!H83-'N70'!$E$71</f>
        <v>0.17857142857142849</v>
      </c>
      <c r="BJ77" s="5">
        <f>'N70'!H83-'N70'!$E$72</f>
        <v>0.16428571428571426</v>
      </c>
      <c r="BK77" s="5">
        <f>'N70'!H83-'N70'!$E$73</f>
        <v>0.14999999999999991</v>
      </c>
      <c r="BL77" s="5">
        <f>'N70'!H83-'N70'!$E$74</f>
        <v>0.13571428571428568</v>
      </c>
      <c r="BM77" s="5">
        <f>'N70'!H83-'N70'!$E$75</f>
        <v>0.12142857142857133</v>
      </c>
      <c r="BN77" s="5">
        <f>'N70'!H83-'N70'!$E$76</f>
        <v>0.1071428571428571</v>
      </c>
      <c r="BO77" s="5">
        <f>'N70'!H83-'N70'!$E$77</f>
        <v>9.2857142857142749E-2</v>
      </c>
      <c r="BP77" s="5">
        <f>'N70'!H83-'N70'!$E$78</f>
        <v>7.8571428571428514E-2</v>
      </c>
      <c r="BQ77" s="5">
        <f>'N70'!H83-'N70'!$E$79</f>
        <v>6.4285714285714168E-2</v>
      </c>
      <c r="BR77" s="5">
        <f>'N70'!H83-'N70'!$E$80</f>
        <v>4.9999999999999933E-2</v>
      </c>
      <c r="BS77" s="5">
        <f>'N70'!H83-'N70'!$E$81</f>
        <v>3.5714285714285698E-2</v>
      </c>
      <c r="BT77" s="5">
        <f>'N70'!H83-'N70'!$E$82</f>
        <v>2.1428571428571352E-2</v>
      </c>
      <c r="BU77" s="5">
        <f>'N70'!H83-'N70'!$E$83</f>
        <v>7.1428571428571175E-3</v>
      </c>
      <c r="BV77" s="5">
        <f>'N70'!H83-'N70'!$E$84</f>
        <v>-7.1428571428572285E-3</v>
      </c>
      <c r="BW77" s="5">
        <f>'N70'!H83-'N70'!$E$85</f>
        <v>-2.1428571428571463E-2</v>
      </c>
      <c r="BX77" s="5">
        <v>-1</v>
      </c>
      <c r="BZ77">
        <v>68</v>
      </c>
      <c r="CA77" s="5">
        <f>N70_DESARROLLO!CE162+N70_DESARROLLO!H162</f>
        <v>-7.4442407399578636E-3</v>
      </c>
      <c r="CB77" s="5">
        <f>N70_DESARROLLO!CF162+N70_DESARROLLO!I162</f>
        <v>-1.5038161076912804E-2</v>
      </c>
      <c r="CC77" s="5">
        <f>N70_DESARROLLO!CG162+N70_DESARROLLO!J162</f>
        <v>-1.526776902899285E-2</v>
      </c>
      <c r="CD77" s="5">
        <f>N70_DESARROLLO!CH162+N70_DESARROLLO!K162</f>
        <v>-1.5504497450351651E-2</v>
      </c>
      <c r="CE77" s="5">
        <f>N70_DESARROLLO!CI162+N70_DESARROLLO!L162</f>
        <v>-1.574868279555719E-2</v>
      </c>
      <c r="CF77" s="5">
        <f>N70_DESARROLLO!CJ162+N70_DESARROLLO!M162</f>
        <v>-1.6000683056592302E-2</v>
      </c>
      <c r="CG77" s="5">
        <f>N70_DESARROLLO!CK162+N70_DESARROLLO!N162</f>
        <v>-1.6260879514524151E-2</v>
      </c>
      <c r="CH77" s="5">
        <f>N70_DESARROLLO!CL162+N70_DESARROLLO!O162</f>
        <v>-1.6529678664591319E-2</v>
      </c>
      <c r="CI77" s="5">
        <f>N70_DESARROLLO!CM162+N70_DESARROLLO!P162</f>
        <v>-1.6807514335729357E-2</v>
      </c>
      <c r="CJ77" s="5">
        <f>N70_DESARROLLO!CN162+N70_DESARROLLO!Q162</f>
        <v>-1.7094850027307928E-2</v>
      </c>
      <c r="CK77" s="5">
        <f>N70_DESARROLLO!CO162+N70_DESARROLLO!R162</f>
        <v>-1.7392181490050618E-2</v>
      </c>
      <c r="CL77" s="5">
        <f>N70_DESARROLLO!CP162+N70_DESARROLLO!S162</f>
        <v>-1.7700039580945681E-2</v>
      </c>
      <c r="CM77" s="5">
        <f>N70_DESARROLLO!CQ162+N70_DESARROLLO!T162</f>
        <v>-1.8018993426870189E-2</v>
      </c>
      <c r="CN77" s="5">
        <f>N70_DESARROLLO!CR162+N70_DESARROLLO!U162</f>
        <v>-1.8349653936856281E-2</v>
      </c>
      <c r="CO77" s="5">
        <f>N70_DESARROLLO!CS162+N70_DESARROLLO!V162</f>
        <v>-1.869267770818972E-2</v>
      </c>
      <c r="CP77" s="5">
        <f>N70_DESARROLLO!CT162+N70_DESARROLLO!W162</f>
        <v>-1.9048771379253426E-2</v>
      </c>
      <c r="CQ77" s="5">
        <f>N70_DESARROLLO!CU162+N70_DESARROLLO!X162</f>
        <v>-1.9418696489460041E-2</v>
      </c>
      <c r="CR77" s="5">
        <f>N70_DESARROLLO!CV162+N70_DESARROLLO!Y162</f>
        <v>-1.9803274917314484E-2</v>
      </c>
      <c r="CS77" s="5">
        <f>N70_DESARROLLO!CW162+N70_DESARROLLO!Z162</f>
        <v>-2.0203394977333811E-2</v>
      </c>
      <c r="CT77" s="5">
        <f>N70_DESARROLLO!CX162+N70_DESARROLLO!AA162</f>
        <v>-2.062001827215143E-2</v>
      </c>
      <c r="CU77" s="5">
        <f>N70_DESARROLLO!CY162+N70_DESARROLLO!AB162</f>
        <v>-2.1054187410171177E-2</v>
      </c>
      <c r="CV77" s="5">
        <f>N70_DESARROLLO!CZ162+N70_DESARROLLO!AC162</f>
        <v>-2.1507034719709384E-2</v>
      </c>
      <c r="CW77" s="5">
        <f>N70_DESARROLLO!DA162+N70_DESARROLLO!AD162</f>
        <v>-2.197979211286849E-2</v>
      </c>
      <c r="CX77" s="5">
        <f>N70_DESARROLLO!DB162+N70_DESARROLLO!AE162</f>
        <v>-2.2473802280093103E-2</v>
      </c>
      <c r="CY77" s="5">
        <f>N70_DESARROLLO!DC162+N70_DESARROLLO!AF162</f>
        <v>-2.2990531429698202E-2</v>
      </c>
      <c r="CZ77" s="5">
        <f>N70_DESARROLLO!DD162+N70_DESARROLLO!AG162</f>
        <v>-2.3531583826945646E-2</v>
      </c>
      <c r="DA77" s="5">
        <f>N70_DESARROLLO!DE162+N70_DESARROLLO!AH162</f>
        <v>-2.4098718436563749E-2</v>
      </c>
      <c r="DB77" s="5">
        <f>N70_DESARROLLO!DF162+N70_DESARROLLO!AI162</f>
        <v>-2.4693868032503286E-2</v>
      </c>
      <c r="DC77" s="5">
        <f>N70_DESARROLLO!DG162+N70_DESARROLLO!AJ162</f>
        <v>-2.5319161212273178E-2</v>
      </c>
      <c r="DD77" s="5">
        <f>N70_DESARROLLO!DH162+N70_DESARROLLO!AK162</f>
        <v>-2.5976947844874254E-2</v>
      </c>
      <c r="DE77" s="5">
        <f>N70_DESARROLLO!DI162+N70_DESARROLLO!AL162</f>
        <v>-2.6669828593224643E-2</v>
      </c>
      <c r="DF77" s="5">
        <f>N70_DESARROLLO!DJ162+N70_DESARROLLO!AM162</f>
        <v>-2.7400689293802127E-2</v>
      </c>
      <c r="DG77" s="5">
        <f>N70_DESARROLLO!DK162+N70_DESARROLLO!AN162</f>
        <v>-2.8172741151778147E-2</v>
      </c>
      <c r="DH77" s="5">
        <f>N70_DESARROLLO!DL162+N70_DESARROLLO!AO162</f>
        <v>-2.8989567932956817E-2</v>
      </c>
      <c r="DI77" s="5">
        <f>N70_DESARROLLO!DM162+N70_DESARROLLO!AP162</f>
        <v>-2.9855181616034066E-2</v>
      </c>
      <c r="DJ77" s="5">
        <f>N70_DESARROLLO!DN162+N70_DESARROLLO!AQ162</f>
        <v>-3.0774088329714844E-2</v>
      </c>
      <c r="DK77" s="5">
        <f>N70_DESARROLLO!DO162+N70_DESARROLLO!AR162</f>
        <v>-3.1751366862660002E-2</v>
      </c>
      <c r="DL77" s="5">
        <f>N70_DESARROLLO!DP162+N70_DESARROLLO!AS162</f>
        <v>-3.2792762635878492E-2</v>
      </c>
      <c r="DM77" s="5">
        <f>N70_DESARROLLO!DQ162+N70_DESARROLLO!AT162</f>
        <v>-3.3904800811314417E-2</v>
      </c>
      <c r="DN77" s="5">
        <f>N70_DESARROLLO!DR162+N70_DESARROLLO!AU162</f>
        <v>-3.5094923244221365E-2</v>
      </c>
      <c r="DO77" s="5">
        <f>N70_DESARROLLO!DS162+N70_DESARROLLO!AV162</f>
        <v>-3.6371655357433696E-2</v>
      </c>
      <c r="DP77" s="5">
        <f>N70_DESARROLLO!DT162+N70_DESARROLLO!AW162</f>
        <v>-3.7744810855703026E-2</v>
      </c>
      <c r="DQ77" s="5">
        <f>N70_DESARROLLO!DU162+N70_DESARROLLO!AX162</f>
        <v>-3.9225744685481012E-2</v>
      </c>
      <c r="DR77" s="5">
        <f>N70_DESARROLLO!DV162+N70_DESARROLLO!AY162</f>
        <v>-4.0827668052526023E-2</v>
      </c>
      <c r="DS77" s="5">
        <f>N70_DESARROLLO!DW162+N70_DESARROLLO!AZ162</f>
        <v>-4.2566044021121519E-2</v>
      </c>
      <c r="DT77" s="5">
        <f>N70_DESARROLLO!DX162+N70_DESARROLLO!BA162</f>
        <v>-4.4459088822753623E-2</v>
      </c>
      <c r="DU77" s="5">
        <f>N70_DESARROLLO!DY162+N70_DESARROLLO!BB162</f>
        <v>-4.6528413377895816E-2</v>
      </c>
      <c r="DV77" s="5">
        <f>N70_DESARROLLO!DZ162+N70_DESARROLLO!BC162</f>
        <v>-4.8799853039066088E-2</v>
      </c>
      <c r="DW77" s="5">
        <f>N70_DESARROLLO!EA162+N70_DESARROLLO!BD162</f>
        <v>-5.1304553326351976E-2</v>
      </c>
      <c r="DX77" s="5">
        <f>N70_DESARROLLO!EB162+N70_DESARROLLO!BE162</f>
        <v>-5.408040883814047E-2</v>
      </c>
      <c r="DY77" s="5">
        <f>N70_DESARROLLO!EC162+N70_DESARROLLO!BF162</f>
        <v>-5.717399712908533E-2</v>
      </c>
      <c r="DZ77" s="5">
        <f>N70_DESARROLLO!ED162+N70_DESARROLLO!BG162</f>
        <v>-6.0643218403514609E-2</v>
      </c>
      <c r="EA77" s="5">
        <f>N70_DESARROLLO!EE162+N70_DESARROLLO!BH162</f>
        <v>-6.4560961252490667E-2</v>
      </c>
      <c r="EB77" s="5">
        <f>N70_DESARROLLO!EF162+N70_DESARROLLO!BI162</f>
        <v>-6.9020292350867818E-2</v>
      </c>
      <c r="EC77" s="5">
        <f>N70_DESARROLLO!EG162+N70_DESARROLLO!BJ162</f>
        <v>-7.4141965022329614E-2</v>
      </c>
      <c r="ED77" s="5">
        <f>N70_DESARROLLO!EH162+N70_DESARROLLO!BK162</f>
        <v>-8.0085554140364557E-2</v>
      </c>
      <c r="EE77" s="5">
        <f>N70_DESARROLLO!EI162+N70_DESARROLLO!BL162</f>
        <v>-8.7066442319328918E-2</v>
      </c>
      <c r="EF77" s="5">
        <f>N70_DESARROLLO!EJ162+N70_DESARROLLO!BM162</f>
        <v>-9.5382594982182156E-2</v>
      </c>
      <c r="EG77" s="5">
        <f>N70_DESARROLLO!EK162+N70_DESARROLLO!BN162</f>
        <v>-0.10545841852057092</v>
      </c>
      <c r="EH77" s="5">
        <f>N70_DESARROLLO!EL162+N70_DESARROLLO!BO162</f>
        <v>-0.11791996375049318</v>
      </c>
      <c r="EI77" s="5">
        <f>N70_DESARROLLO!EM162+N70_DESARROLLO!BP162</f>
        <v>-0.13373123411929144</v>
      </c>
      <c r="EJ77" s="5">
        <f>N70_DESARROLLO!EN162+N70_DESARROLLO!BQ162</f>
        <v>-0.15445886474682102</v>
      </c>
      <c r="EK77" s="5">
        <f>N70_DESARROLLO!EO162+N70_DESARROLLO!BR162</f>
        <v>-0.18283342438756112</v>
      </c>
      <c r="EL77" s="5">
        <f>N70_DESARROLLO!EP162+N70_DESARROLLO!BS162</f>
        <v>-0.22408833054043509</v>
      </c>
      <c r="EM77" s="5">
        <f>N70_DESARROLLO!EQ162+N70_DESARROLLO!BT162</f>
        <v>-0.2897343415057303</v>
      </c>
      <c r="EN77" s="5">
        <f>N70_DESARROLLO!ER162+N70_DESARROLLO!BU162</f>
        <v>-0.41141440075354019</v>
      </c>
      <c r="EO77" s="5">
        <f>N70_DESARROLLO!ES162+N70_DESARROLLO!BV162</f>
        <v>-0.72775792963608976</v>
      </c>
      <c r="EP77" s="5">
        <f>N70_DESARROLLO!ET162+N70_DESARROLLO!BW162</f>
        <v>-1.6479184659605282</v>
      </c>
      <c r="EQ77" s="5">
        <f>N70_DESARROLLO!EU162+N70_DESARROLLO!BX162</f>
        <v>1.6479184659605211</v>
      </c>
      <c r="ER77" s="5">
        <f>N70_DESARROLLO!EV162+N70_DESARROLLO!BY162</f>
        <v>268.46280860080566</v>
      </c>
      <c r="FC77">
        <v>68</v>
      </c>
      <c r="FD77" s="4">
        <v>2.5987567992806496E-5</v>
      </c>
      <c r="FE77" s="4">
        <v>5.2021016957515601E-5</v>
      </c>
      <c r="FF77" s="4">
        <v>6.8668493384726792E-5</v>
      </c>
      <c r="FG77" s="4">
        <v>8.3277127871985064E-5</v>
      </c>
      <c r="FH77" s="4">
        <v>9.6739351605230306E-5</v>
      </c>
      <c r="FI77" s="4">
        <v>1.0957784090529258E-4</v>
      </c>
      <c r="FJ77" s="4">
        <v>1.2207922361856191E-4</v>
      </c>
      <c r="FK77" s="4">
        <v>1.3442854285743212E-4</v>
      </c>
      <c r="FL77" s="4">
        <v>1.4675678784316674E-4</v>
      </c>
      <c r="FM77" s="4">
        <v>1.5916395998908281E-4</v>
      </c>
      <c r="FN77" s="4">
        <v>1.7173131005555794E-4</v>
      </c>
      <c r="FO77" s="4">
        <v>1.8452843321573964E-4</v>
      </c>
      <c r="FP77" s="4">
        <v>1.9761768181841206E-4</v>
      </c>
      <c r="FQ77" s="4">
        <v>2.110570857796993E-4</v>
      </c>
      <c r="FR77" s="4">
        <v>2.2490240133583376E-4</v>
      </c>
      <c r="FS77" s="4">
        <v>2.3920863359456701E-4</v>
      </c>
      <c r="FT77" s="4">
        <v>2.5403123605017419E-4</v>
      </c>
      <c r="FU77" s="4">
        <v>2.6942711300457714E-4</v>
      </c>
      <c r="FV77" s="4">
        <v>2.8545550702377236E-4</v>
      </c>
      <c r="FW77" s="4">
        <v>3.0217882818248104E-4</v>
      </c>
      <c r="FX77" s="4">
        <v>3.1966346682504762E-4</v>
      </c>
      <c r="FY77" s="4">
        <v>3.3798062284274042E-4</v>
      </c>
      <c r="FZ77" s="4">
        <v>3.5720717978572652E-4</v>
      </c>
      <c r="GA77" s="4">
        <v>3.7742665002876089E-4</v>
      </c>
      <c r="GB77" s="4">
        <v>3.9873021718913297E-4</v>
      </c>
      <c r="GC77" s="4">
        <v>4.2121790352877718E-4</v>
      </c>
      <c r="GD77" s="4">
        <v>4.4499989311581076E-4</v>
      </c>
      <c r="GE77" s="4">
        <v>4.7019804608342919E-4</v>
      </c>
      <c r="GF77" s="4">
        <v>4.9694764542181883E-4</v>
      </c>
      <c r="GG77" s="4">
        <v>5.2539942601386282E-4</v>
      </c>
      <c r="GH77" s="4">
        <v>5.5572194596106221E-4</v>
      </c>
      <c r="GI77" s="4">
        <v>5.8810437387058954E-4</v>
      </c>
      <c r="GJ77" s="4">
        <v>6.2275978297655606E-4</v>
      </c>
      <c r="GK77" s="4">
        <v>6.5992906525784044E-4</v>
      </c>
      <c r="GL77" s="4">
        <v>6.9988560735872009E-4</v>
      </c>
      <c r="GM77" s="4">
        <v>7.4294090745612542E-4</v>
      </c>
      <c r="GN77" s="4">
        <v>7.8945136089404071E-4</v>
      </c>
      <c r="GO77" s="4">
        <v>8.398265064861525E-4</v>
      </c>
      <c r="GP77" s="4">
        <v>8.9453911053659265E-4</v>
      </c>
      <c r="GQ77" s="4">
        <v>9.5413757942004632E-4</v>
      </c>
      <c r="GR77" s="4">
        <v>1.019261345350835E-3</v>
      </c>
      <c r="GS77" s="4">
        <v>1.0906600797176774E-3</v>
      </c>
      <c r="GT77" s="4">
        <v>1.1692178774540775E-3</v>
      </c>
      <c r="GU77" s="4">
        <v>1.2559839589930519E-3</v>
      </c>
      <c r="GV77" s="4">
        <v>1.3522120051969839E-3</v>
      </c>
      <c r="GW77" s="4">
        <v>1.4594110540523896E-3</v>
      </c>
      <c r="GX77" s="4">
        <v>1.5794120677016796E-3</v>
      </c>
      <c r="GY77" s="4">
        <v>1.714456016087584E-3</v>
      </c>
      <c r="GZ77" s="4">
        <v>1.867311926375903E-3</v>
      </c>
      <c r="HA77" s="4">
        <v>2.0414373180924982E-3</v>
      </c>
      <c r="HB77" s="4">
        <v>2.2411996247454153E-3</v>
      </c>
      <c r="HC77" s="4">
        <v>2.4721870391494136E-3</v>
      </c>
      <c r="HD77" s="4">
        <v>2.7416532637257506E-3</v>
      </c>
      <c r="HE77" s="4">
        <v>3.0591675431927813E-3</v>
      </c>
      <c r="HF77" s="4">
        <v>3.4375878551685824E-3</v>
      </c>
      <c r="HG77" s="4">
        <v>3.8945583677818451E-3</v>
      </c>
      <c r="HH77" s="4">
        <v>4.4548873048788611E-3</v>
      </c>
      <c r="HI77" s="4">
        <v>5.1544636573331425E-3</v>
      </c>
      <c r="HJ77" s="4">
        <v>6.0469930405701649E-3</v>
      </c>
      <c r="HK77" s="4">
        <v>7.2161952326836613E-3</v>
      </c>
      <c r="HL77" s="4">
        <v>8.7993364489447005E-3</v>
      </c>
      <c r="HM77" s="4">
        <v>1.1036213749188879E-2</v>
      </c>
      <c r="HN77" s="4">
        <v>1.4384334663396635E-2</v>
      </c>
      <c r="HO77" s="4">
        <v>1.9789318787678707E-2</v>
      </c>
      <c r="HP77" s="4">
        <v>3.014591846749928E-2</v>
      </c>
      <c r="HQ77" s="4">
        <v>4.6231360626692378E-2</v>
      </c>
      <c r="HR77" s="4">
        <v>0.23549340963222165</v>
      </c>
      <c r="HS77" s="4">
        <v>-0.26296593825679643</v>
      </c>
      <c r="HT77" s="4">
        <v>-4.4237831107065695E-2</v>
      </c>
      <c r="HU77" s="4">
        <v>-0.20159791687299897</v>
      </c>
    </row>
    <row r="78" spans="4:229" x14ac:dyDescent="0.25">
      <c r="D78" s="10">
        <v>69</v>
      </c>
      <c r="E78" s="5">
        <f>'N70'!E85-'N70'!E84</f>
        <v>1.4285714285714235E-2</v>
      </c>
      <c r="F78" s="5">
        <f>'N70'!H84-'N70'!$E$16</f>
        <v>0.97857142857142854</v>
      </c>
      <c r="G78" s="5">
        <f>'N70'!H84-'N70'!$E$17</f>
        <v>0.9642857142857143</v>
      </c>
      <c r="H78" s="5">
        <f>'N70'!H84-'N70'!$E$18</f>
        <v>0.95</v>
      </c>
      <c r="I78" s="5">
        <f>'N70'!H84-'N70'!$E$19</f>
        <v>0.93571428571428572</v>
      </c>
      <c r="J78" s="5">
        <f>'N70'!H84-'N70'!$E$20</f>
        <v>0.92142857142857137</v>
      </c>
      <c r="K78" s="5">
        <f>'N70'!H84-'N70'!$E$21</f>
        <v>0.90714285714285714</v>
      </c>
      <c r="L78" s="5">
        <f>'N70'!H84-'N70'!$E$22</f>
        <v>0.89285714285714279</v>
      </c>
      <c r="M78" s="5">
        <f>'N70'!H84-'N70'!$E$23</f>
        <v>0.87857142857142856</v>
      </c>
      <c r="N78" s="5">
        <f>'N70'!H84-'N70'!$E$24</f>
        <v>0.86428571428571421</v>
      </c>
      <c r="O78" s="5">
        <f>'N70'!H84-'N70'!$E$25</f>
        <v>0.85</v>
      </c>
      <c r="P78" s="5">
        <f>'N70'!H84-'N70'!$E$26</f>
        <v>0.83571428571428563</v>
      </c>
      <c r="Q78" s="5">
        <f>'N70'!H84-'N70'!$E$27</f>
        <v>0.8214285714285714</v>
      </c>
      <c r="R78" s="5">
        <f>'N70'!H84-'N70'!$E$28</f>
        <v>0.80714285714285716</v>
      </c>
      <c r="S78" s="5">
        <f>'N70'!H84-'N70'!$E$29</f>
        <v>0.79285714285714282</v>
      </c>
      <c r="T78" s="5">
        <f>'N70'!H84-'N70'!$E$30</f>
        <v>0.77857142857142858</v>
      </c>
      <c r="U78" s="5">
        <f>'N70'!H84-'N70'!$E$31</f>
        <v>0.76428571428571423</v>
      </c>
      <c r="V78" s="5">
        <f>'N70'!H84-'N70'!$E$32</f>
        <v>0.75</v>
      </c>
      <c r="W78" s="5">
        <f>'N70'!H84-'N70'!$E$33</f>
        <v>0.73571428571428565</v>
      </c>
      <c r="X78" s="5">
        <f>'N70'!H84-'N70'!$E$34</f>
        <v>0.72142857142857142</v>
      </c>
      <c r="Y78" s="5">
        <f>'N70'!H84-'N70'!$E$35</f>
        <v>0.70714285714285707</v>
      </c>
      <c r="Z78" s="5">
        <f>'N70'!H84-'N70'!$E$36</f>
        <v>0.69285714285714284</v>
      </c>
      <c r="AA78" s="5">
        <f>'N70'!H84-'N70'!$E$37</f>
        <v>0.6785714285714286</v>
      </c>
      <c r="AB78" s="5">
        <f>'N70'!H84-'N70'!$E$38</f>
        <v>0.66428571428571426</v>
      </c>
      <c r="AC78" s="5">
        <f>'N70'!H84-'N70'!$E$39</f>
        <v>0.64999999999999991</v>
      </c>
      <c r="AD78" s="5">
        <f>'N70'!H84-'N70'!$E$40</f>
        <v>0.63571428571428568</v>
      </c>
      <c r="AE78" s="5">
        <f>'N70'!H84-'N70'!$E$41</f>
        <v>0.62142857142857144</v>
      </c>
      <c r="AF78" s="5">
        <f>'N70'!H84-'N70'!$E$42</f>
        <v>0.6071428571428571</v>
      </c>
      <c r="AG78" s="5">
        <f>'N70'!H84-'N70'!$E$43</f>
        <v>0.59285714285714286</v>
      </c>
      <c r="AH78" s="5">
        <f>'N70'!H84-'N70'!$E$44</f>
        <v>0.57857142857142851</v>
      </c>
      <c r="AI78" s="5">
        <f>'N70'!H84-'N70'!$E$45</f>
        <v>0.56428571428571428</v>
      </c>
      <c r="AJ78" s="5">
        <f>'N70'!H84-'N70'!$E$46</f>
        <v>0.55000000000000004</v>
      </c>
      <c r="AK78" s="5">
        <f>'N70'!H84-'N70'!$E$47</f>
        <v>0.5357142857142857</v>
      </c>
      <c r="AL78" s="5">
        <f>'N70'!H84-'N70'!$E$48</f>
        <v>0.52142857142857135</v>
      </c>
      <c r="AM78" s="5">
        <f>'N70'!H84-'N70'!$E$49</f>
        <v>0.50714285714285712</v>
      </c>
      <c r="AN78" s="5">
        <f>'N70'!H84-'N70'!$E$50</f>
        <v>0.49285714285714283</v>
      </c>
      <c r="AO78" s="5">
        <f>'N70'!H84-'N70'!$E$51</f>
        <v>0.47857142857142854</v>
      </c>
      <c r="AP78" s="5">
        <f>'N70'!H84-'N70'!$E$52</f>
        <v>0.4642857142857143</v>
      </c>
      <c r="AQ78" s="5">
        <f>'N70'!H84-'N70'!$E$53</f>
        <v>0.44999999999999996</v>
      </c>
      <c r="AR78" s="5">
        <f>'N70'!H84-'N70'!$E$54</f>
        <v>0.43571428571428572</v>
      </c>
      <c r="AS78" s="5">
        <f>'N70'!H84-'N70'!$E$55</f>
        <v>0.42142857142857137</v>
      </c>
      <c r="AT78" s="5">
        <f>'N70'!H84-'N70'!$E$56</f>
        <v>0.40714285714285714</v>
      </c>
      <c r="AU78" s="5">
        <f>'N70'!H84-'N70'!$E$57</f>
        <v>0.39285714285714279</v>
      </c>
      <c r="AV78" s="5">
        <f>'N70'!H84-'N70'!$E$58</f>
        <v>0.37857142857142856</v>
      </c>
      <c r="AW78" s="5">
        <f>'N70'!H84-'N70'!$E$59</f>
        <v>0.36428571428571432</v>
      </c>
      <c r="AX78" s="5">
        <f>'N70'!H84-'N70'!$E$60</f>
        <v>0.35</v>
      </c>
      <c r="AY78" s="5">
        <f>'N70'!H84-'N70'!$E$61</f>
        <v>0.33571428571428574</v>
      </c>
      <c r="AZ78" s="5">
        <f>'N70'!H84-'N70'!$E$62</f>
        <v>0.3214285714285714</v>
      </c>
      <c r="BA78" s="5">
        <f>'N70'!H84-'N70'!$E$63</f>
        <v>0.30714285714285716</v>
      </c>
      <c r="BB78" s="5">
        <f>'N70'!H84-'N70'!$E$64</f>
        <v>0.29285714285714282</v>
      </c>
      <c r="BC78" s="5">
        <f>'N70'!H84-'N70'!$E$65</f>
        <v>0.27857142857142858</v>
      </c>
      <c r="BD78" s="5">
        <f>'N70'!H84-'N70'!$E$66</f>
        <v>0.26428571428571423</v>
      </c>
      <c r="BE78" s="5">
        <f>'N70'!H84-'N70'!$E$67</f>
        <v>0.25</v>
      </c>
      <c r="BF78" s="5">
        <f>'N70'!H84-'N70'!$E$68</f>
        <v>0.23571428571428565</v>
      </c>
      <c r="BG78" s="5">
        <f>'N70'!H84-'N70'!$E$69</f>
        <v>0.22142857142857142</v>
      </c>
      <c r="BH78" s="5">
        <f>'N70'!H84-'N70'!$E$70</f>
        <v>0.20714285714285718</v>
      </c>
      <c r="BI78" s="5">
        <f>'N70'!H84-'N70'!$E$71</f>
        <v>0.19285714285714284</v>
      </c>
      <c r="BJ78" s="5">
        <f>'N70'!H84-'N70'!$E$72</f>
        <v>0.1785714285714286</v>
      </c>
      <c r="BK78" s="5">
        <f>'N70'!H84-'N70'!$E$73</f>
        <v>0.16428571428571426</v>
      </c>
      <c r="BL78" s="5">
        <f>'N70'!H84-'N70'!$E$74</f>
        <v>0.15000000000000002</v>
      </c>
      <c r="BM78" s="5">
        <f>'N70'!H84-'N70'!$E$75</f>
        <v>0.13571428571428568</v>
      </c>
      <c r="BN78" s="5">
        <f>'N70'!H84-'N70'!$E$76</f>
        <v>0.12142857142857144</v>
      </c>
      <c r="BO78" s="5">
        <f>'N70'!H84-'N70'!$E$77</f>
        <v>0.1071428571428571</v>
      </c>
      <c r="BP78" s="5">
        <f>'N70'!H84-'N70'!$E$78</f>
        <v>9.285714285714286E-2</v>
      </c>
      <c r="BQ78" s="5">
        <f>'N70'!H84-'N70'!$E$79</f>
        <v>7.8571428571428514E-2</v>
      </c>
      <c r="BR78" s="5">
        <f>'N70'!H84-'N70'!$E$80</f>
        <v>6.4285714285714279E-2</v>
      </c>
      <c r="BS78" s="5">
        <f>'N70'!H84-'N70'!$E$81</f>
        <v>5.0000000000000044E-2</v>
      </c>
      <c r="BT78" s="5">
        <f>'N70'!H84-'N70'!$E$82</f>
        <v>3.5714285714285698E-2</v>
      </c>
      <c r="BU78" s="5">
        <f>'N70'!H84-'N70'!$E$83</f>
        <v>2.1428571428571463E-2</v>
      </c>
      <c r="BV78" s="5">
        <f>'N70'!H84-'N70'!$E$84</f>
        <v>7.1428571428571175E-3</v>
      </c>
      <c r="BW78" s="5">
        <f>'N70'!H84-'N70'!$E$85</f>
        <v>-7.1428571428571175E-3</v>
      </c>
      <c r="BX78" s="5">
        <v>-1</v>
      </c>
      <c r="BZ78">
        <v>69</v>
      </c>
      <c r="CA78" s="5">
        <f>N70_DESARROLLO!CE163+N70_DESARROLLO!H163</f>
        <v>-7.3350313422577695E-3</v>
      </c>
      <c r="CB78" s="5">
        <f>N70_DESARROLLO!CF163+N70_DESARROLLO!I163</f>
        <v>-1.4815357081510716E-2</v>
      </c>
      <c r="CC78" s="5">
        <f>N70_DESARROLLO!CG163+N70_DESARROLLO!J163</f>
        <v>-1.5038161076928014E-2</v>
      </c>
      <c r="CD78" s="5">
        <f>N70_DESARROLLO!CH163+N70_DESARROLLO!K163</f>
        <v>-1.5267769028978084E-2</v>
      </c>
      <c r="CE78" s="5">
        <f>N70_DESARROLLO!CI163+N70_DESARROLLO!L163</f>
        <v>-1.5504497450366306E-2</v>
      </c>
      <c r="CF78" s="5">
        <f>N70_DESARROLLO!CJ163+N70_DESARROLLO!M163</f>
        <v>-1.5748682795542868E-2</v>
      </c>
      <c r="CG78" s="5">
        <f>N70_DESARROLLO!CK163+N70_DESARROLLO!N163</f>
        <v>-1.6000683056606513E-2</v>
      </c>
      <c r="CH78" s="5">
        <f>N70_DESARROLLO!CL163+N70_DESARROLLO!O163</f>
        <v>-1.6260879514510052E-2</v>
      </c>
      <c r="CI78" s="5">
        <f>N70_DESARROLLO!CM163+N70_DESARROLLO!P163</f>
        <v>-1.6529678664605085E-2</v>
      </c>
      <c r="CJ78" s="5">
        <f>N70_DESARROLLO!CN163+N70_DESARROLLO!Q163</f>
        <v>-1.6807514335715812E-2</v>
      </c>
      <c r="CK78" s="5">
        <f>N70_DESARROLLO!CO163+N70_DESARROLLO!R163</f>
        <v>-1.7094850027315034E-2</v>
      </c>
      <c r="CL78" s="5">
        <f>N70_DESARROLLO!CP163+N70_DESARROLLO!S163</f>
        <v>-1.7392181490063496E-2</v>
      </c>
      <c r="CM78" s="5">
        <f>N70_DESARROLLO!CQ163+N70_DESARROLLO!T163</f>
        <v>-1.7700039580932247E-2</v>
      </c>
      <c r="CN78" s="5">
        <f>N70_DESARROLLO!CR163+N70_DESARROLLO!U163</f>
        <v>-1.80189934268703E-2</v>
      </c>
      <c r="CO78" s="5">
        <f>N70_DESARROLLO!CS163+N70_DESARROLLO!V163</f>
        <v>-1.8349653936844179E-2</v>
      </c>
      <c r="CP78" s="5">
        <f>N70_DESARROLLO!CT163+N70_DESARROLLO!W163</f>
        <v>-1.8692677708213812E-2</v>
      </c>
      <c r="CQ78" s="5">
        <f>N70_DESARROLLO!CU163+N70_DESARROLLO!X163</f>
        <v>-1.9048771379235774E-2</v>
      </c>
      <c r="CR78" s="5">
        <f>N70_DESARROLLO!CV163+N70_DESARROLLO!Y163</f>
        <v>-1.9418696489477361E-2</v>
      </c>
      <c r="CS78" s="5">
        <f>N70_DESARROLLO!CW163+N70_DESARROLLO!Z163</f>
        <v>-1.9803274917291835E-2</v>
      </c>
      <c r="CT78" s="5">
        <f>N70_DESARROLLO!CX163+N70_DESARROLLO!AA163</f>
        <v>-2.0203394977345357E-2</v>
      </c>
      <c r="CU78" s="5">
        <f>N70_DESARROLLO!CY163+N70_DESARROLLO!AB163</f>
        <v>-2.0620018272156537E-2</v>
      </c>
      <c r="CV78" s="5">
        <f>N70_DESARROLLO!CZ163+N70_DESARROLLO!AC163</f>
        <v>-2.1054187410165626E-2</v>
      </c>
      <c r="CW78" s="5">
        <f>N70_DESARROLLO!DA163+N70_DESARROLLO!AD163</f>
        <v>-2.1507034719704166E-2</v>
      </c>
      <c r="CX78" s="5">
        <f>N70_DESARROLLO!DB163+N70_DESARROLLO!AE163</f>
        <v>-2.1979792112873819E-2</v>
      </c>
      <c r="CY78" s="5">
        <f>N70_DESARROLLO!DC163+N70_DESARROLLO!AF163</f>
        <v>-2.2473802280097654E-2</v>
      </c>
      <c r="CZ78" s="5">
        <f>N70_DESARROLLO!DD163+N70_DESARROLLO!AG163</f>
        <v>-2.2990531429693095E-2</v>
      </c>
      <c r="DA78" s="5">
        <f>N70_DESARROLLO!DE163+N70_DESARROLLO!AH163</f>
        <v>-2.3531583826945979E-2</v>
      </c>
      <c r="DB78" s="5">
        <f>N70_DESARROLLO!DF163+N70_DESARROLLO!AI163</f>
        <v>-2.4098718436559308E-2</v>
      </c>
      <c r="DC78" s="5">
        <f>N70_DESARROLLO!DG163+N70_DESARROLLO!AJ163</f>
        <v>-2.4693868032508171E-2</v>
      </c>
      <c r="DD78" s="5">
        <f>N70_DESARROLLO!DH163+N70_DESARROLLO!AK163</f>
        <v>-2.5319161212281727E-2</v>
      </c>
      <c r="DE78" s="5">
        <f>N70_DESARROLLO!DI163+N70_DESARROLLO!AL163</f>
        <v>-2.5976947844864928E-2</v>
      </c>
      <c r="DF78" s="5">
        <f>N70_DESARROLLO!DJ163+N70_DESARROLLO!AM163</f>
        <v>-2.6669828593220757E-2</v>
      </c>
      <c r="DG78" s="5">
        <f>N70_DESARROLLO!DK163+N70_DESARROLLO!AN163</f>
        <v>-2.740068929380679E-2</v>
      </c>
      <c r="DH78" s="5">
        <f>N70_DESARROLLO!DL163+N70_DESARROLLO!AO163</f>
        <v>-2.8172741151781922E-2</v>
      </c>
      <c r="DI78" s="5">
        <f>N70_DESARROLLO!DM163+N70_DESARROLLO!AP163</f>
        <v>-2.8989567932952598E-2</v>
      </c>
      <c r="DJ78" s="5">
        <f>N70_DESARROLLO!DN163+N70_DESARROLLO!AQ163</f>
        <v>-2.9855181616037618E-2</v>
      </c>
      <c r="DK78" s="5">
        <f>N70_DESARROLLO!DO163+N70_DESARROLLO!AR163</f>
        <v>-3.0774088329704075E-2</v>
      </c>
      <c r="DL78" s="5">
        <f>N70_DESARROLLO!DP163+N70_DESARROLLO!AS163</f>
        <v>-3.1751366862674324E-2</v>
      </c>
      <c r="DM78" s="5">
        <f>N70_DESARROLLO!DQ163+N70_DESARROLLO!AT163</f>
        <v>-3.2792762635864614E-2</v>
      </c>
      <c r="DN78" s="5">
        <f>N70_DESARROLLO!DR163+N70_DESARROLLO!AU163</f>
        <v>-3.3904800811328184E-2</v>
      </c>
      <c r="DO78" s="5">
        <f>N70_DESARROLLO!DS163+N70_DESARROLLO!AV163</f>
        <v>-3.5094923244208154E-2</v>
      </c>
      <c r="DP78" s="5">
        <f>N70_DESARROLLO!DT163+N70_DESARROLLO!AW163</f>
        <v>-3.6371655357446464E-2</v>
      </c>
      <c r="DQ78" s="5">
        <f>N70_DESARROLLO!DU163+N70_DESARROLLO!AX163</f>
        <v>-3.7744810855696254E-2</v>
      </c>
      <c r="DR78" s="5">
        <f>N70_DESARROLLO!DV163+N70_DESARROLLO!AY163</f>
        <v>-3.9225744685472907E-2</v>
      </c>
      <c r="DS78" s="5">
        <f>N70_DESARROLLO!DW163+N70_DESARROLLO!AZ163</f>
        <v>-4.0827668052543231E-2</v>
      </c>
      <c r="DT78" s="5">
        <f>N70_DESARROLLO!DX163+N70_DESARROLLO!BA163</f>
        <v>-4.2566044021105198E-2</v>
      </c>
      <c r="DU78" s="5">
        <f>N70_DESARROLLO!DY163+N70_DESARROLLO!BB163</f>
        <v>-4.4459088822769166E-2</v>
      </c>
      <c r="DV78" s="5">
        <f>N70_DESARROLLO!DZ163+N70_DESARROLLO!BC163</f>
        <v>-4.6528413377880939E-2</v>
      </c>
      <c r="DW78" s="5">
        <f>N70_DESARROLLO!EA163+N70_DESARROLLO!BD163</f>
        <v>-4.879985303908263E-2</v>
      </c>
      <c r="DX78" s="5">
        <f>N70_DESARROLLO!EB163+N70_DESARROLLO!BE163</f>
        <v>-5.1304553326333657E-2</v>
      </c>
      <c r="DY78" s="5">
        <f>N70_DESARROLLO!EC163+N70_DESARROLLO!BF163</f>
        <v>-5.408040883815779E-2</v>
      </c>
      <c r="DZ78" s="5">
        <f>N70_DESARROLLO!ED163+N70_DESARROLLO!BG163</f>
        <v>-5.7173997129068899E-2</v>
      </c>
      <c r="EA78" s="5">
        <f>N70_DESARROLLO!EE163+N70_DESARROLLO!BH163</f>
        <v>-6.0643218403530041E-2</v>
      </c>
      <c r="EB78" s="5">
        <f>N70_DESARROLLO!EF163+N70_DESARROLLO!BI163</f>
        <v>-6.4560961252483895E-2</v>
      </c>
      <c r="EC78" s="5">
        <f>N70_DESARROLLO!EG163+N70_DESARROLLO!BJ163</f>
        <v>-6.9020292350860157E-2</v>
      </c>
      <c r="ED78" s="5">
        <f>N70_DESARROLLO!EH163+N70_DESARROLLO!BK163</f>
        <v>-7.4141965022344158E-2</v>
      </c>
      <c r="EE78" s="5">
        <f>N70_DESARROLLO!EI163+N70_DESARROLLO!BL163</f>
        <v>-8.0085554140349235E-2</v>
      </c>
      <c r="EF78" s="5">
        <f>N70_DESARROLLO!EJ163+N70_DESARROLLO!BM163</f>
        <v>-8.7066442319344017E-2</v>
      </c>
      <c r="EG78" s="5">
        <f>N70_DESARROLLO!EK163+N70_DESARROLLO!BN163</f>
        <v>-9.5382594982166724E-2</v>
      </c>
      <c r="EH78" s="5">
        <f>N70_DESARROLLO!EL163+N70_DESARROLLO!BO163</f>
        <v>-0.10545841852058602</v>
      </c>
      <c r="EI78" s="5">
        <f>N70_DESARROLLO!EM163+N70_DESARROLLO!BP163</f>
        <v>-0.11791996375047831</v>
      </c>
      <c r="EJ78" s="5">
        <f>N70_DESARROLLO!EN163+N70_DESARROLLO!BQ163</f>
        <v>-0.13373123411930654</v>
      </c>
      <c r="EK78" s="5">
        <f>N70_DESARROLLO!EO163+N70_DESARROLLO!BR163</f>
        <v>-0.15445886474680592</v>
      </c>
      <c r="EL78" s="5">
        <f>N70_DESARROLLO!EP163+N70_DESARROLLO!BS163</f>
        <v>-0.18283342438757666</v>
      </c>
      <c r="EM78" s="5">
        <f>N70_DESARROLLO!EQ163+N70_DESARROLLO!BT163</f>
        <v>-0.22408833054042532</v>
      </c>
      <c r="EN78" s="5">
        <f>N70_DESARROLLO!ER163+N70_DESARROLLO!BU163</f>
        <v>-0.28973434150572408</v>
      </c>
      <c r="EO78" s="5">
        <f>N70_DESARROLLO!ES163+N70_DESARROLLO!BV163</f>
        <v>-0.41141440075355473</v>
      </c>
      <c r="EP78" s="5">
        <f>N70_DESARROLLO!ET163+N70_DESARROLLO!BW163</f>
        <v>-0.72775792963607455</v>
      </c>
      <c r="EQ78" s="5">
        <f>N70_DESARROLLO!EU163+N70_DESARROLLO!BX163</f>
        <v>-1.6479184659605444</v>
      </c>
      <c r="ER78" s="5">
        <f>N70_DESARROLLO!EV163+N70_DESARROLLO!BY163</f>
        <v>345.91497650095113</v>
      </c>
      <c r="FC78">
        <v>69</v>
      </c>
      <c r="FD78" s="4">
        <v>1.968042969248309E-5</v>
      </c>
      <c r="FE78" s="4">
        <v>3.9388960427748368E-5</v>
      </c>
      <c r="FF78" s="4">
        <v>5.1983449644578359E-5</v>
      </c>
      <c r="FG78" s="4">
        <v>6.3029337797764094E-5</v>
      </c>
      <c r="FH78" s="4">
        <v>7.32026045309385E-5</v>
      </c>
      <c r="FI78" s="4">
        <v>8.289901317801927E-5</v>
      </c>
      <c r="FJ78" s="4">
        <v>9.2335439694202613E-5</v>
      </c>
      <c r="FK78" s="4">
        <v>1.0165174296369346E-4</v>
      </c>
      <c r="FL78" s="4">
        <v>1.1094677502520472E-4</v>
      </c>
      <c r="FM78" s="4">
        <v>1.202958543468744E-4</v>
      </c>
      <c r="FN78" s="4">
        <v>1.297600333029886E-4</v>
      </c>
      <c r="FO78" s="4">
        <v>1.3939146837472455E-4</v>
      </c>
      <c r="FP78" s="4">
        <v>1.4923675682441343E-4</v>
      </c>
      <c r="FQ78" s="4">
        <v>1.5933914123606236E-4</v>
      </c>
      <c r="FR78" s="4">
        <v>1.6974005216463837E-4</v>
      </c>
      <c r="FS78" s="4">
        <v>1.8048025042461879E-4</v>
      </c>
      <c r="FT78" s="4">
        <v>1.9160072270099483E-4</v>
      </c>
      <c r="FU78" s="4">
        <v>2.0314342561271196E-4</v>
      </c>
      <c r="FV78" s="4">
        <v>2.151519400732172E-4</v>
      </c>
      <c r="FW78" s="4">
        <v>2.2767207851905313E-4</v>
      </c>
      <c r="FX78" s="4">
        <v>2.4075247600565774E-4</v>
      </c>
      <c r="FY78" s="4">
        <v>2.544451895792058E-4</v>
      </c>
      <c r="FZ78" s="4">
        <v>2.688063264664549E-4</v>
      </c>
      <c r="GA78" s="4">
        <v>2.8389671997806009E-4</v>
      </c>
      <c r="GB78" s="4">
        <v>2.9978267168844733E-4</v>
      </c>
      <c r="GC78" s="4">
        <v>3.1653677939589404E-4</v>
      </c>
      <c r="GD78" s="4">
        <v>3.3423887222367815E-4</v>
      </c>
      <c r="GE78" s="4">
        <v>3.5297707723275077E-4</v>
      </c>
      <c r="GF78" s="4">
        <v>3.7284904603522508E-4</v>
      </c>
      <c r="GG78" s="4">
        <v>3.9396337516589661E-4</v>
      </c>
      <c r="GH78" s="4">
        <v>4.1644126110575283E-4</v>
      </c>
      <c r="GI78" s="4">
        <v>4.4041843960076653E-4</v>
      </c>
      <c r="GJ78" s="4">
        <v>4.6604747044062345E-4</v>
      </c>
      <c r="GK78" s="4">
        <v>4.9350044344726861E-4</v>
      </c>
      <c r="GL78" s="4">
        <v>5.2297220022192944E-4</v>
      </c>
      <c r="GM78" s="4">
        <v>5.5468419044920031E-4</v>
      </c>
      <c r="GN78" s="4">
        <v>5.8888911323435385E-4</v>
      </c>
      <c r="GO78" s="4">
        <v>6.2587653520366452E-4</v>
      </c>
      <c r="GP78" s="4">
        <v>6.6597973171377651E-4</v>
      </c>
      <c r="GQ78" s="4">
        <v>7.0958407005039276E-4</v>
      </c>
      <c r="GR78" s="4">
        <v>7.5713735080026878E-4</v>
      </c>
      <c r="GS78" s="4">
        <v>8.0916265541233117E-4</v>
      </c>
      <c r="GT78" s="4">
        <v>8.6627442819734834E-4</v>
      </c>
      <c r="GU78" s="4">
        <v>9.2919877024375951E-4</v>
      </c>
      <c r="GV78" s="4">
        <v>9.9879927124577246E-4</v>
      </c>
      <c r="GW78" s="4">
        <v>1.0761101987016206E-3</v>
      </c>
      <c r="GX78" s="4">
        <v>1.1623795720322814E-3</v>
      </c>
      <c r="GY78" s="4">
        <v>1.2591256798937227E-3</v>
      </c>
      <c r="GZ78" s="4">
        <v>1.3682121231386084E-3</v>
      </c>
      <c r="HA78" s="4">
        <v>1.4919487581783687E-3</v>
      </c>
      <c r="HB78" s="4">
        <v>1.6332294279448505E-3</v>
      </c>
      <c r="HC78" s="4">
        <v>1.79572286035129E-3</v>
      </c>
      <c r="HD78" s="4">
        <v>1.9841418990188819E-3</v>
      </c>
      <c r="HE78" s="4">
        <v>2.2046306354914641E-3</v>
      </c>
      <c r="HF78" s="4">
        <v>2.4653332963447514E-3</v>
      </c>
      <c r="HG78" s="4">
        <v>2.777250974404157E-3</v>
      </c>
      <c r="HH78" s="4">
        <v>3.1555683855915618E-3</v>
      </c>
      <c r="HI78" s="4">
        <v>3.621775542214635E-3</v>
      </c>
      <c r="HJ78" s="4">
        <v>4.2071895599391854E-3</v>
      </c>
      <c r="HK78" s="4">
        <v>4.9590630315722983E-3</v>
      </c>
      <c r="HL78" s="4">
        <v>5.9517492671170708E-3</v>
      </c>
      <c r="HM78" s="4">
        <v>7.3084668356588316E-3</v>
      </c>
      <c r="HN78" s="4">
        <v>9.2471141583909088E-3</v>
      </c>
      <c r="HO78" s="4">
        <v>1.218943486474724E-2</v>
      </c>
      <c r="HP78" s="4">
        <v>1.7019575170540754E-2</v>
      </c>
      <c r="HQ78" s="4">
        <v>2.6515444628710985E-2</v>
      </c>
      <c r="HR78" s="4">
        <v>4.1287244471717006E-2</v>
      </c>
      <c r="HS78" s="4">
        <v>0.22741424318904299</v>
      </c>
      <c r="HT78" s="4">
        <v>-0.26049237389693952</v>
      </c>
      <c r="HU78" s="4">
        <v>-0.19295267130154392</v>
      </c>
    </row>
    <row r="79" spans="4:229" x14ac:dyDescent="0.25">
      <c r="D79" s="10">
        <v>70</v>
      </c>
      <c r="E79" s="5">
        <f>'N70'!E86-'N70'!E85</f>
        <v>1.4285714285714346E-2</v>
      </c>
      <c r="F79" s="5">
        <f>'N70'!H85-'N70'!$E$16</f>
        <v>0.99285714285714288</v>
      </c>
      <c r="G79" s="5">
        <f>'N70'!H85-'N70'!$E$17</f>
        <v>0.97857142857142865</v>
      </c>
      <c r="H79" s="5">
        <f>'N70'!H85-'N70'!$E$18</f>
        <v>0.9642857142857143</v>
      </c>
      <c r="I79" s="5">
        <f>'N70'!H85-'N70'!$E$19</f>
        <v>0.95000000000000007</v>
      </c>
      <c r="J79" s="5">
        <f>'N70'!H85-'N70'!$E$20</f>
        <v>0.93571428571428572</v>
      </c>
      <c r="K79" s="5">
        <f>'N70'!H85-'N70'!$E$21</f>
        <v>0.92142857142857149</v>
      </c>
      <c r="L79" s="5">
        <f>'N70'!H85-'N70'!$E$22</f>
        <v>0.90714285714285714</v>
      </c>
      <c r="M79" s="5">
        <f>'N70'!H85-'N70'!$E$23</f>
        <v>0.8928571428571429</v>
      </c>
      <c r="N79" s="5">
        <f>'N70'!H85-'N70'!$E$24</f>
        <v>0.87857142857142856</v>
      </c>
      <c r="O79" s="5">
        <f>'N70'!H85-'N70'!$E$25</f>
        <v>0.86428571428571432</v>
      </c>
      <c r="P79" s="5">
        <f>'N70'!H85-'N70'!$E$26</f>
        <v>0.85000000000000009</v>
      </c>
      <c r="Q79" s="5">
        <f>'N70'!H85-'N70'!$E$27</f>
        <v>0.83571428571428574</v>
      </c>
      <c r="R79" s="5">
        <f>'N70'!H85-'N70'!$E$28</f>
        <v>0.8214285714285714</v>
      </c>
      <c r="S79" s="5">
        <f>'N70'!H85-'N70'!$E$29</f>
        <v>0.80714285714285716</v>
      </c>
      <c r="T79" s="5">
        <f>'N70'!H85-'N70'!$E$30</f>
        <v>0.79285714285714293</v>
      </c>
      <c r="U79" s="5">
        <f>'N70'!H85-'N70'!$E$31</f>
        <v>0.77857142857142858</v>
      </c>
      <c r="V79" s="5">
        <f>'N70'!H85-'N70'!$E$32</f>
        <v>0.76428571428571435</v>
      </c>
      <c r="W79" s="5">
        <f>'N70'!H85-'N70'!$E$33</f>
        <v>0.75</v>
      </c>
      <c r="X79" s="5">
        <f>'N70'!H85-'N70'!$E$34</f>
        <v>0.73571428571428577</v>
      </c>
      <c r="Y79" s="5">
        <f>'N70'!H85-'N70'!$E$35</f>
        <v>0.72142857142857153</v>
      </c>
      <c r="Z79" s="5">
        <f>'N70'!H85-'N70'!$E$36</f>
        <v>0.70714285714285718</v>
      </c>
      <c r="AA79" s="5">
        <f>'N70'!H85-'N70'!$E$37</f>
        <v>0.69285714285714284</v>
      </c>
      <c r="AB79" s="5">
        <f>'N70'!H85-'N70'!$E$38</f>
        <v>0.6785714285714286</v>
      </c>
      <c r="AC79" s="5">
        <f>'N70'!H85-'N70'!$E$39</f>
        <v>0.66428571428571437</v>
      </c>
      <c r="AD79" s="5">
        <f>'N70'!H85-'N70'!$E$40</f>
        <v>0.65</v>
      </c>
      <c r="AE79" s="5">
        <f>'N70'!H85-'N70'!$E$41</f>
        <v>0.63571428571428568</v>
      </c>
      <c r="AF79" s="5">
        <f>'N70'!H85-'N70'!$E$42</f>
        <v>0.62142857142857144</v>
      </c>
      <c r="AG79" s="5">
        <f>'N70'!H85-'N70'!$E$43</f>
        <v>0.60714285714285721</v>
      </c>
      <c r="AH79" s="5">
        <f>'N70'!H85-'N70'!$E$44</f>
        <v>0.59285714285714297</v>
      </c>
      <c r="AI79" s="5">
        <f>'N70'!H85-'N70'!$E$45</f>
        <v>0.57857142857142863</v>
      </c>
      <c r="AJ79" s="5">
        <f>'N70'!H85-'N70'!$E$46</f>
        <v>0.56428571428571428</v>
      </c>
      <c r="AK79" s="5">
        <f>'N70'!H85-'N70'!$E$47</f>
        <v>0.55000000000000004</v>
      </c>
      <c r="AL79" s="5">
        <f>'N70'!H85-'N70'!$E$48</f>
        <v>0.53571428571428581</v>
      </c>
      <c r="AM79" s="5">
        <f>'N70'!H85-'N70'!$E$49</f>
        <v>0.52142857142857146</v>
      </c>
      <c r="AN79" s="5">
        <f>'N70'!H85-'N70'!$E$50</f>
        <v>0.50714285714285712</v>
      </c>
      <c r="AO79" s="5">
        <f>'N70'!H85-'N70'!$E$51</f>
        <v>0.49285714285714288</v>
      </c>
      <c r="AP79" s="5">
        <f>'N70'!H85-'N70'!$E$52</f>
        <v>0.47857142857142865</v>
      </c>
      <c r="AQ79" s="5">
        <f>'N70'!H85-'N70'!$E$53</f>
        <v>0.4642857142857143</v>
      </c>
      <c r="AR79" s="5">
        <f>'N70'!H85-'N70'!$E$54</f>
        <v>0.45000000000000007</v>
      </c>
      <c r="AS79" s="5">
        <f>'N70'!H85-'N70'!$E$55</f>
        <v>0.43571428571428572</v>
      </c>
      <c r="AT79" s="5">
        <f>'N70'!H85-'N70'!$E$56</f>
        <v>0.42142857142857149</v>
      </c>
      <c r="AU79" s="5">
        <f>'N70'!H85-'N70'!$E$57</f>
        <v>0.40714285714285714</v>
      </c>
      <c r="AV79" s="5">
        <f>'N70'!H85-'N70'!$E$58</f>
        <v>0.3928571428571429</v>
      </c>
      <c r="AW79" s="5">
        <f>'N70'!H85-'N70'!$E$59</f>
        <v>0.37857142857142867</v>
      </c>
      <c r="AX79" s="5">
        <f>'N70'!H85-'N70'!$E$60</f>
        <v>0.36428571428571432</v>
      </c>
      <c r="AY79" s="5">
        <f>'N70'!H85-'N70'!$E$61</f>
        <v>0.35000000000000009</v>
      </c>
      <c r="AZ79" s="5">
        <f>'N70'!H85-'N70'!$E$62</f>
        <v>0.33571428571428574</v>
      </c>
      <c r="BA79" s="5">
        <f>'N70'!H85-'N70'!$E$63</f>
        <v>0.32142857142857151</v>
      </c>
      <c r="BB79" s="5">
        <f>'N70'!H85-'N70'!$E$64</f>
        <v>0.30714285714285716</v>
      </c>
      <c r="BC79" s="5">
        <f>'N70'!H85-'N70'!$E$65</f>
        <v>0.29285714285714293</v>
      </c>
      <c r="BD79" s="5">
        <f>'N70'!H85-'N70'!$E$66</f>
        <v>0.27857142857142858</v>
      </c>
      <c r="BE79" s="5">
        <f>'N70'!H85-'N70'!$E$67</f>
        <v>0.26428571428571435</v>
      </c>
      <c r="BF79" s="5">
        <f>'N70'!H85-'N70'!$E$68</f>
        <v>0.25</v>
      </c>
      <c r="BG79" s="5">
        <f>'N70'!H85-'N70'!$E$69</f>
        <v>0.23571428571428577</v>
      </c>
      <c r="BH79" s="5">
        <f>'N70'!H85-'N70'!$E$70</f>
        <v>0.22142857142857153</v>
      </c>
      <c r="BI79" s="5">
        <f>'N70'!H85-'N70'!$E$71</f>
        <v>0.20714285714285718</v>
      </c>
      <c r="BJ79" s="5">
        <f>'N70'!H85-'N70'!$E$72</f>
        <v>0.19285714285714295</v>
      </c>
      <c r="BK79" s="5">
        <f>'N70'!H85-'N70'!$E$73</f>
        <v>0.1785714285714286</v>
      </c>
      <c r="BL79" s="5">
        <f>'N70'!H85-'N70'!$E$74</f>
        <v>0.16428571428571437</v>
      </c>
      <c r="BM79" s="5">
        <f>'N70'!H85-'N70'!$E$75</f>
        <v>0.15000000000000002</v>
      </c>
      <c r="BN79" s="5">
        <f>'N70'!H85-'N70'!$E$76</f>
        <v>0.13571428571428579</v>
      </c>
      <c r="BO79" s="5">
        <f>'N70'!H85-'N70'!$E$77</f>
        <v>0.12142857142857144</v>
      </c>
      <c r="BP79" s="5">
        <f>'N70'!H85-'N70'!$E$78</f>
        <v>0.10714285714285721</v>
      </c>
      <c r="BQ79" s="5">
        <f>'N70'!H85-'N70'!$E$79</f>
        <v>9.285714285714286E-2</v>
      </c>
      <c r="BR79" s="5">
        <f>'N70'!H85-'N70'!$E$80</f>
        <v>7.8571428571428625E-2</v>
      </c>
      <c r="BS79" s="5">
        <f>'N70'!H85-'N70'!$E$81</f>
        <v>6.428571428571439E-2</v>
      </c>
      <c r="BT79" s="5">
        <f>'N70'!H85-'N70'!$E$82</f>
        <v>5.0000000000000044E-2</v>
      </c>
      <c r="BU79" s="5">
        <f>'N70'!H85-'N70'!$E$83</f>
        <v>3.5714285714285809E-2</v>
      </c>
      <c r="BV79" s="5">
        <f>'N70'!H85-'N70'!$E$84</f>
        <v>2.1428571428571463E-2</v>
      </c>
      <c r="BW79" s="5">
        <f>'N70'!H85-'N70'!$E$85</f>
        <v>7.1428571428572285E-3</v>
      </c>
      <c r="BX79" s="5">
        <v>-1</v>
      </c>
      <c r="BZ79">
        <v>70</v>
      </c>
      <c r="CA79" s="5">
        <f>N70_DESARROLLO!CE164+N70_DESARROLLO!H164</f>
        <v>-7.2289799187570392E-3</v>
      </c>
      <c r="CB79" s="5">
        <f>N70_DESARROLLO!CF164+N70_DESARROLLO!I164</f>
        <v>-1.4599059015920068E-2</v>
      </c>
      <c r="CC79" s="5">
        <f>N70_DESARROLLO!CG164+N70_DESARROLLO!J164</f>
        <v>-1.4815357081526259E-2</v>
      </c>
      <c r="CD79" s="5">
        <f>N70_DESARROLLO!CH164+N70_DESARROLLO!K164</f>
        <v>-1.5038161076912804E-2</v>
      </c>
      <c r="CE79" s="5">
        <f>N70_DESARROLLO!CI164+N70_DESARROLLO!L164</f>
        <v>-1.526776902899285E-2</v>
      </c>
      <c r="CF79" s="5">
        <f>N70_DESARROLLO!CJ164+N70_DESARROLLO!M164</f>
        <v>-1.5504497450351762E-2</v>
      </c>
      <c r="CG79" s="5">
        <f>N70_DESARROLLO!CK164+N70_DESARROLLO!N164</f>
        <v>-1.5748682795557079E-2</v>
      </c>
      <c r="CH79" s="5">
        <f>N70_DESARROLLO!CL164+N70_DESARROLLO!O164</f>
        <v>-1.6000683056592413E-2</v>
      </c>
      <c r="CI79" s="5">
        <f>N70_DESARROLLO!CM164+N70_DESARROLLO!P164</f>
        <v>-1.6260879514524262E-2</v>
      </c>
      <c r="CJ79" s="5">
        <f>N70_DESARROLLO!CN164+N70_DESARROLLO!Q164</f>
        <v>-1.652967866459798E-2</v>
      </c>
      <c r="CK79" s="5">
        <f>N70_DESARROLLO!CO164+N70_DESARROLLO!R164</f>
        <v>-1.6807514335715701E-2</v>
      </c>
      <c r="CL79" s="5">
        <f>N70_DESARROLLO!CP164+N70_DESARROLLO!S164</f>
        <v>-1.7094850027308817E-2</v>
      </c>
      <c r="CM79" s="5">
        <f>N70_DESARROLLO!CQ164+N70_DESARROLLO!T164</f>
        <v>-1.7392181490069936E-2</v>
      </c>
      <c r="CN79" s="5">
        <f>N70_DESARROLLO!CR164+N70_DESARROLLO!U164</f>
        <v>-1.7700039580938465E-2</v>
      </c>
      <c r="CO79" s="5">
        <f>N70_DESARROLLO!CS164+N70_DESARROLLO!V164</f>
        <v>-1.8018993426857643E-2</v>
      </c>
      <c r="CP79" s="5">
        <f>N70_DESARROLLO!CT164+N70_DESARROLLO!W164</f>
        <v>-1.8349653936862609E-2</v>
      </c>
      <c r="CQ79" s="5">
        <f>N70_DESARROLLO!CU164+N70_DESARROLLO!X164</f>
        <v>-1.869267770818972E-2</v>
      </c>
      <c r="CR79" s="5">
        <f>N70_DESARROLLO!CV164+N70_DESARROLLO!Y164</f>
        <v>-1.9048771379253426E-2</v>
      </c>
      <c r="CS79" s="5">
        <f>N70_DESARROLLO!CW164+N70_DESARROLLO!Z164</f>
        <v>-1.9418696489471365E-2</v>
      </c>
      <c r="CT79" s="5">
        <f>N70_DESARROLLO!CX164+N70_DESARROLLO!AA164</f>
        <v>-1.9803274917291835E-2</v>
      </c>
      <c r="CU79" s="5">
        <f>N70_DESARROLLO!CY164+N70_DESARROLLO!AB164</f>
        <v>-2.0203394977334588E-2</v>
      </c>
      <c r="CV79" s="5">
        <f>N70_DESARROLLO!CZ164+N70_DESARROLLO!AC164</f>
        <v>-2.0620018272167862E-2</v>
      </c>
      <c r="CW79" s="5">
        <f>N70_DESARROLLO!DA164+N70_DESARROLLO!AD164</f>
        <v>-2.1054187410170844E-2</v>
      </c>
      <c r="CX79" s="5">
        <f>N70_DESARROLLO!DB164+N70_DESARROLLO!AE164</f>
        <v>-2.1507034719698725E-2</v>
      </c>
      <c r="CY79" s="5">
        <f>N70_DESARROLLO!DC164+N70_DESARROLLO!AF164</f>
        <v>-2.1979792112864049E-2</v>
      </c>
      <c r="CZ79" s="5">
        <f>N70_DESARROLLO!DD164+N70_DESARROLLO!AG164</f>
        <v>-2.2473802280108091E-2</v>
      </c>
      <c r="DA79" s="5">
        <f>N70_DESARROLLO!DE164+N70_DESARROLLO!AH164</f>
        <v>-2.2990531429697869E-2</v>
      </c>
      <c r="DB79" s="5">
        <f>N70_DESARROLLO!DF164+N70_DESARROLLO!AI164</f>
        <v>-2.353158382694065E-2</v>
      </c>
      <c r="DC79" s="5">
        <f>N70_DESARROLLO!DG164+N70_DESARROLLO!AJ164</f>
        <v>-2.4098718436559197E-2</v>
      </c>
      <c r="DD79" s="5">
        <f>N70_DESARROLLO!DH164+N70_DESARROLLO!AK164</f>
        <v>-2.46938680324994E-2</v>
      </c>
      <c r="DE79" s="5">
        <f>N70_DESARROLLO!DI164+N70_DESARROLLO!AL164</f>
        <v>-2.5319161212291275E-2</v>
      </c>
      <c r="DF79" s="5">
        <f>N70_DESARROLLO!DJ164+N70_DESARROLLO!AM164</f>
        <v>-2.5976947844873366E-2</v>
      </c>
      <c r="DG79" s="5">
        <f>N70_DESARROLLO!DK164+N70_DESARROLLO!AN164</f>
        <v>-2.6669828593211653E-2</v>
      </c>
      <c r="DH79" s="5">
        <f>N70_DESARROLLO!DL164+N70_DESARROLLO!AO164</f>
        <v>-2.7400689293798908E-2</v>
      </c>
      <c r="DI79" s="5">
        <f>N70_DESARROLLO!DM164+N70_DESARROLLO!AP164</f>
        <v>-2.8172741151794245E-2</v>
      </c>
      <c r="DJ79" s="5">
        <f>N70_DESARROLLO!DN164+N70_DESARROLLO!AQ164</f>
        <v>-2.8989567932952043E-2</v>
      </c>
      <c r="DK79" s="5">
        <f>N70_DESARROLLO!DO164+N70_DESARROLLO!AR164</f>
        <v>-2.9855181616026183E-2</v>
      </c>
      <c r="DL79" s="5">
        <f>N70_DESARROLLO!DP164+N70_DESARROLLO!AS164</f>
        <v>-3.0774088329718841E-2</v>
      </c>
      <c r="DM79" s="5">
        <f>N70_DESARROLLO!DQ164+N70_DESARROLLO!AT164</f>
        <v>-3.1751366862660113E-2</v>
      </c>
      <c r="DN79" s="5">
        <f>N70_DESARROLLO!DR164+N70_DESARROLLO!AU164</f>
        <v>-3.2792762635878381E-2</v>
      </c>
      <c r="DO79" s="5">
        <f>N70_DESARROLLO!DS164+N70_DESARROLLO!AV164</f>
        <v>-3.3904800811314639E-2</v>
      </c>
      <c r="DP79" s="5">
        <f>N70_DESARROLLO!DT164+N70_DESARROLLO!AW164</f>
        <v>-3.5094923244221365E-2</v>
      </c>
      <c r="DQ79" s="5">
        <f>N70_DESARROLLO!DU164+N70_DESARROLLO!AX164</f>
        <v>-3.6371655357439581E-2</v>
      </c>
      <c r="DR79" s="5">
        <f>N70_DESARROLLO!DV164+N70_DESARROLLO!AY164</f>
        <v>-3.7744810855690702E-2</v>
      </c>
      <c r="DS79" s="5">
        <f>N70_DESARROLLO!DW164+N70_DESARROLLO!AZ164</f>
        <v>-3.9225744685487562E-2</v>
      </c>
      <c r="DT79" s="5">
        <f>N70_DESARROLLO!DX164+N70_DESARROLLO!BA164</f>
        <v>-4.0827668052526134E-2</v>
      </c>
      <c r="DU79" s="5">
        <f>N70_DESARROLLO!DY164+N70_DESARROLLO!BB164</f>
        <v>-4.2566044021121408E-2</v>
      </c>
      <c r="DV79" s="5">
        <f>N70_DESARROLLO!DZ164+N70_DESARROLLO!BC164</f>
        <v>-4.4459088822753734E-2</v>
      </c>
      <c r="DW79" s="5">
        <f>N70_DESARROLLO!EA164+N70_DESARROLLO!BD164</f>
        <v>-4.6528413377895705E-2</v>
      </c>
      <c r="DX79" s="5">
        <f>N70_DESARROLLO!EB164+N70_DESARROLLO!BE164</f>
        <v>-4.8799853039068419E-2</v>
      </c>
      <c r="DY79" s="5">
        <f>N70_DESARROLLO!EC164+N70_DESARROLLO!BF164</f>
        <v>-5.1304553326349422E-2</v>
      </c>
      <c r="DZ79" s="5">
        <f>N70_DESARROLLO!ED164+N70_DESARROLLO!BG164</f>
        <v>-5.408040883814047E-2</v>
      </c>
      <c r="EA79" s="5">
        <f>N70_DESARROLLO!EE164+N70_DESARROLLO!BH164</f>
        <v>-5.7173997129085441E-2</v>
      </c>
      <c r="EB79" s="5">
        <f>N70_DESARROLLO!EF164+N70_DESARROLLO!BI164</f>
        <v>-6.0643218403523269E-2</v>
      </c>
      <c r="EC79" s="5">
        <f>N70_DESARROLLO!EG164+N70_DESARROLLO!BJ164</f>
        <v>-6.4560961252473681E-2</v>
      </c>
      <c r="ED79" s="5">
        <f>N70_DESARROLLO!EH164+N70_DESARROLLO!BK164</f>
        <v>-6.9020292350877255E-2</v>
      </c>
      <c r="EE79" s="5">
        <f>N70_DESARROLLO!EI164+N70_DESARROLLO!BL164</f>
        <v>-7.4141965022327838E-2</v>
      </c>
      <c r="EF79" s="5">
        <f>N70_DESARROLLO!EJ164+N70_DESARROLLO!BM164</f>
        <v>-8.0085554140364446E-2</v>
      </c>
      <c r="EG79" s="5">
        <f>N70_DESARROLLO!EK164+N70_DESARROLLO!BN164</f>
        <v>-8.7066442319330251E-2</v>
      </c>
      <c r="EH79" s="5">
        <f>N70_DESARROLLO!EL164+N70_DESARROLLO!BO164</f>
        <v>-9.5382594982181823E-2</v>
      </c>
      <c r="EI79" s="5">
        <f>N70_DESARROLLO!EM164+N70_DESARROLLO!BP164</f>
        <v>-0.10545841852056981</v>
      </c>
      <c r="EJ79" s="5">
        <f>N70_DESARROLLO!EN164+N70_DESARROLLO!BQ164</f>
        <v>-0.11791996375049385</v>
      </c>
      <c r="EK79" s="5">
        <f>N70_DESARROLLO!EO164+N70_DESARROLLO!BR164</f>
        <v>-0.13373123411929144</v>
      </c>
      <c r="EL79" s="5">
        <f>N70_DESARROLLO!EP164+N70_DESARROLLO!BS164</f>
        <v>-0.15445886474682136</v>
      </c>
      <c r="EM79" s="5">
        <f>N70_DESARROLLO!EQ164+N70_DESARROLLO!BT164</f>
        <v>-0.18283342438756678</v>
      </c>
      <c r="EN79" s="5">
        <f>N70_DESARROLLO!ER164+N70_DESARROLLO!BU164</f>
        <v>-0.22408833054041954</v>
      </c>
      <c r="EO79" s="5">
        <f>N70_DESARROLLO!ES164+N70_DESARROLLO!BV164</f>
        <v>-0.28973434150573907</v>
      </c>
      <c r="EP79" s="5">
        <f>N70_DESARROLLO!ET164+N70_DESARROLLO!BW164</f>
        <v>-0.41141440075353952</v>
      </c>
      <c r="EQ79" s="5">
        <f>N70_DESARROLLO!EU164+N70_DESARROLLO!BX164</f>
        <v>-0.72775792963608488</v>
      </c>
      <c r="ER79" s="5">
        <f>N70_DESARROLLO!EV164+N70_DESARROLLO!BY164</f>
        <v>-1.6479184659605211</v>
      </c>
      <c r="FC79">
        <v>70</v>
      </c>
      <c r="FD79" s="4">
        <v>1.3093776699216196E-7</v>
      </c>
      <c r="FE79" s="4">
        <v>2.6201389350092008E-7</v>
      </c>
      <c r="FF79" s="4">
        <v>3.4571487220255579E-7</v>
      </c>
      <c r="FG79" s="4">
        <v>4.1907931216413694E-7</v>
      </c>
      <c r="FH79" s="4">
        <v>4.8660571931740699E-7</v>
      </c>
      <c r="FI79" s="4">
        <v>5.5092680464171568E-7</v>
      </c>
      <c r="FJ79" s="4">
        <v>6.1348418094112246E-7</v>
      </c>
      <c r="FK79" s="4">
        <v>6.7520642624319441E-7</v>
      </c>
      <c r="FL79" s="4">
        <v>7.3674877845525902E-7</v>
      </c>
      <c r="FM79" s="4">
        <v>7.9860943001833008E-7</v>
      </c>
      <c r="FN79" s="4">
        <v>8.6119119016675646E-7</v>
      </c>
      <c r="FO79" s="4">
        <v>9.248371962142347E-7</v>
      </c>
      <c r="FP79" s="4">
        <v>9.8985307859989635E-7</v>
      </c>
      <c r="FQ79" s="4">
        <v>1.0565215805248262E-6</v>
      </c>
      <c r="FR79" s="4">
        <v>1.1251127616474354E-6</v>
      </c>
      <c r="FS79" s="4">
        <v>1.1958915246936266E-6</v>
      </c>
      <c r="FT79" s="4">
        <v>1.2691234876095455E-6</v>
      </c>
      <c r="FU79" s="4">
        <v>1.3450798316974654E-6</v>
      </c>
      <c r="FV79" s="4">
        <v>1.4240415354597793E-6</v>
      </c>
      <c r="FW79" s="4">
        <v>1.5063032740611038E-6</v>
      </c>
      <c r="FX79" s="4">
        <v>1.5921771881822724E-6</v>
      </c>
      <c r="FY79" s="4">
        <v>1.681996678612142E-6</v>
      </c>
      <c r="FZ79" s="4">
        <v>1.7761203595644539E-6</v>
      </c>
      <c r="GA79" s="4">
        <v>1.8749362891443821E-6</v>
      </c>
      <c r="GB79" s="4">
        <v>1.9788665924972305E-6</v>
      </c>
      <c r="GC79" s="4">
        <v>2.0883725974925956E-6</v>
      </c>
      <c r="GD79" s="4">
        <v>2.2039606130282754E-6</v>
      </c>
      <c r="GE79" s="4">
        <v>2.3261884973494591E-6</v>
      </c>
      <c r="GF79" s="4">
        <v>2.4556731858005771E-6</v>
      </c>
      <c r="GG79" s="4">
        <v>2.5930993809298983E-6</v>
      </c>
      <c r="GH79" s="4">
        <v>2.7392296453632681E-6</v>
      </c>
      <c r="GI79" s="4">
        <v>2.8949161915336608E-6</v>
      </c>
      <c r="GJ79" s="4">
        <v>3.0611147269984732E-6</v>
      </c>
      <c r="GK79" s="4">
        <v>3.2389007978402396E-6</v>
      </c>
      <c r="GL79" s="4">
        <v>3.4294891804518447E-6</v>
      </c>
      <c r="GM79" s="4">
        <v>3.634257009993348E-6</v>
      </c>
      <c r="GN79" s="4">
        <v>3.8547715129210305E-6</v>
      </c>
      <c r="GO79" s="4">
        <v>4.0928234428256209E-6</v>
      </c>
      <c r="GP79" s="4">
        <v>4.3504676258722219E-6</v>
      </c>
      <c r="GQ79" s="4">
        <v>4.6300724245196715E-6</v>
      </c>
      <c r="GR79" s="4">
        <v>4.9343804672606127E-6</v>
      </c>
      <c r="GS79" s="4">
        <v>5.2665837156709246E-6</v>
      </c>
      <c r="GT79" s="4">
        <v>5.6304169229161293E-6</v>
      </c>
      <c r="GU79" s="4">
        <v>6.0302748859307418E-6</v>
      </c>
      <c r="GV79" s="4">
        <v>6.4713607623856882E-6</v>
      </c>
      <c r="GW79" s="4">
        <v>6.9598753462159767E-6</v>
      </c>
      <c r="GX79" s="4">
        <v>7.5032609204506591E-6</v>
      </c>
      <c r="GY79" s="4">
        <v>8.1105186714591014E-6</v>
      </c>
      <c r="GZ79" s="4">
        <v>8.792626488612879E-6</v>
      </c>
      <c r="HA79" s="4">
        <v>9.5630956145659183E-6</v>
      </c>
      <c r="HB79" s="4">
        <v>1.0438722198258567E-5</v>
      </c>
      <c r="HC79" s="4">
        <v>1.1440616880213122E-5</v>
      </c>
      <c r="HD79" s="4">
        <v>1.2595638104404962E-5</v>
      </c>
      <c r="HE79" s="4">
        <v>1.3938423313413973E-5</v>
      </c>
      <c r="HF79" s="4">
        <v>1.551432513372597E-5</v>
      </c>
      <c r="HG79" s="4">
        <v>1.7383751362027354E-5</v>
      </c>
      <c r="HH79" s="4">
        <v>1.9628743449580421E-5</v>
      </c>
      <c r="HI79" s="4">
        <v>2.2363238254633513E-5</v>
      </c>
      <c r="HJ79" s="4">
        <v>2.5749612350945734E-5</v>
      </c>
      <c r="HK79" s="4">
        <v>3.0026398850500076E-5</v>
      </c>
      <c r="HL79" s="4">
        <v>3.5556869703880788E-5</v>
      </c>
      <c r="HM79" s="4">
        <v>4.2918919691573608E-5</v>
      </c>
      <c r="HN79" s="4">
        <v>5.3082785894729323E-5</v>
      </c>
      <c r="HO79" s="4">
        <v>6.7791127871559548E-5</v>
      </c>
      <c r="HP79" s="4">
        <v>9.048725198584044E-5</v>
      </c>
      <c r="HQ79" s="4">
        <v>1.2849901287033958E-4</v>
      </c>
      <c r="HR79" s="4">
        <v>2.0666713324497097E-4</v>
      </c>
      <c r="HS79" s="4">
        <v>3.1835268720301313E-4</v>
      </c>
      <c r="HT79" s="4">
        <v>2.1802245338257216E-3</v>
      </c>
      <c r="HU79" s="4">
        <v>-3.8222754136861036E-3</v>
      </c>
    </row>
    <row r="80" spans="4:229" x14ac:dyDescent="0.25"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</row>
    <row r="84" spans="5:155" x14ac:dyDescent="0.25">
      <c r="AR84" s="13" t="s">
        <v>51</v>
      </c>
      <c r="AS84" s="13"/>
    </row>
    <row r="85" spans="5:155" x14ac:dyDescent="0.25">
      <c r="AR85" s="13"/>
      <c r="AS85" s="13"/>
    </row>
    <row r="86" spans="5:155" x14ac:dyDescent="0.25">
      <c r="AR86" s="13" t="s">
        <v>52</v>
      </c>
      <c r="AS86" s="13"/>
    </row>
    <row r="87" spans="5:155" x14ac:dyDescent="0.25">
      <c r="AR87" s="13" t="s">
        <v>53</v>
      </c>
      <c r="AS87" s="13"/>
    </row>
    <row r="91" spans="5:155" x14ac:dyDescent="0.25">
      <c r="BZ91" s="10"/>
      <c r="CA91" s="10"/>
      <c r="CB91" s="10"/>
      <c r="CC91" s="10"/>
    </row>
    <row r="92" spans="5:155" x14ac:dyDescent="0.25">
      <c r="BZ92" s="10"/>
      <c r="CA92" s="10"/>
      <c r="CB92" s="10"/>
      <c r="CC92" s="10"/>
    </row>
    <row r="93" spans="5:155" x14ac:dyDescent="0.25">
      <c r="G93" s="3" t="s">
        <v>21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 t="s">
        <v>56</v>
      </c>
      <c r="BZ93" s="10"/>
      <c r="CA93" s="10"/>
      <c r="CB93" s="10"/>
      <c r="CC93" s="10"/>
      <c r="CE93" s="1" t="s">
        <v>36</v>
      </c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0"/>
      <c r="EY93" s="10"/>
    </row>
    <row r="94" spans="5:155" x14ac:dyDescent="0.25">
      <c r="G94" s="3"/>
      <c r="H94" s="3">
        <v>1</v>
      </c>
      <c r="I94" s="3">
        <v>2</v>
      </c>
      <c r="J94" s="3">
        <v>3</v>
      </c>
      <c r="K94" s="3">
        <v>4</v>
      </c>
      <c r="L94" s="3">
        <v>5</v>
      </c>
      <c r="M94" s="3">
        <v>6</v>
      </c>
      <c r="N94" s="3">
        <v>7</v>
      </c>
      <c r="O94" s="3">
        <v>8</v>
      </c>
      <c r="P94" s="3">
        <v>9</v>
      </c>
      <c r="Q94" s="3">
        <v>10</v>
      </c>
      <c r="R94" s="3">
        <v>11</v>
      </c>
      <c r="S94" s="3">
        <v>12</v>
      </c>
      <c r="T94" s="3">
        <v>13</v>
      </c>
      <c r="U94" s="3">
        <v>14</v>
      </c>
      <c r="V94" s="3">
        <v>15</v>
      </c>
      <c r="W94" s="3">
        <v>16</v>
      </c>
      <c r="X94" s="3">
        <v>17</v>
      </c>
      <c r="Y94" s="3">
        <v>18</v>
      </c>
      <c r="Z94" s="3">
        <v>19</v>
      </c>
      <c r="AA94" s="3">
        <v>20</v>
      </c>
      <c r="AB94" s="3">
        <v>21</v>
      </c>
      <c r="AC94" s="3">
        <v>22</v>
      </c>
      <c r="AD94" s="3">
        <v>23</v>
      </c>
      <c r="AE94" s="3">
        <v>24</v>
      </c>
      <c r="AF94" s="3">
        <v>25</v>
      </c>
      <c r="AG94" s="3">
        <v>26</v>
      </c>
      <c r="AH94" s="3">
        <v>27</v>
      </c>
      <c r="AI94" s="3">
        <v>28</v>
      </c>
      <c r="AJ94" s="3">
        <v>29</v>
      </c>
      <c r="AK94" s="3">
        <v>30</v>
      </c>
      <c r="AL94" s="3">
        <v>31</v>
      </c>
      <c r="AM94" s="3">
        <v>32</v>
      </c>
      <c r="AN94" s="3">
        <v>33</v>
      </c>
      <c r="AO94" s="3">
        <v>34</v>
      </c>
      <c r="AP94" s="3">
        <v>35</v>
      </c>
      <c r="AQ94" s="3">
        <v>36</v>
      </c>
      <c r="AR94" s="3">
        <v>37</v>
      </c>
      <c r="AS94" s="3">
        <v>38</v>
      </c>
      <c r="AT94" s="3">
        <v>39</v>
      </c>
      <c r="AU94" s="3">
        <v>40</v>
      </c>
      <c r="AV94" s="3">
        <v>41</v>
      </c>
      <c r="AW94" s="3">
        <v>42</v>
      </c>
      <c r="AX94" s="3">
        <v>43</v>
      </c>
      <c r="AY94" s="3">
        <v>44</v>
      </c>
      <c r="AZ94" s="3">
        <v>45</v>
      </c>
      <c r="BA94" s="3">
        <v>46</v>
      </c>
      <c r="BB94" s="3">
        <v>47</v>
      </c>
      <c r="BC94" s="3">
        <v>48</v>
      </c>
      <c r="BD94" s="3">
        <v>49</v>
      </c>
      <c r="BE94" s="3">
        <v>50</v>
      </c>
      <c r="BF94" s="3">
        <v>51</v>
      </c>
      <c r="BG94" s="3">
        <v>52</v>
      </c>
      <c r="BH94" s="3">
        <v>53</v>
      </c>
      <c r="BI94" s="3">
        <v>54</v>
      </c>
      <c r="BJ94" s="3">
        <v>55</v>
      </c>
      <c r="BK94" s="3">
        <v>56</v>
      </c>
      <c r="BL94" s="3">
        <v>57</v>
      </c>
      <c r="BM94" s="3">
        <v>58</v>
      </c>
      <c r="BN94" s="3">
        <v>59</v>
      </c>
      <c r="BO94" s="3">
        <v>60</v>
      </c>
      <c r="BP94" s="3">
        <v>61</v>
      </c>
      <c r="BQ94" s="3">
        <v>62</v>
      </c>
      <c r="BR94" s="3">
        <v>63</v>
      </c>
      <c r="BS94" s="3">
        <v>64</v>
      </c>
      <c r="BT94" s="3">
        <v>65</v>
      </c>
      <c r="BU94" s="3">
        <v>66</v>
      </c>
      <c r="BV94" s="3">
        <v>67</v>
      </c>
      <c r="BW94" s="3">
        <v>68</v>
      </c>
      <c r="BX94" s="3">
        <v>69</v>
      </c>
      <c r="BY94" s="3">
        <v>70</v>
      </c>
      <c r="BZ94" s="10"/>
      <c r="CA94" s="10"/>
      <c r="CB94" s="10"/>
      <c r="CC94" s="10"/>
      <c r="CE94" s="1">
        <v>0</v>
      </c>
      <c r="CF94" s="1">
        <v>1</v>
      </c>
      <c r="CG94" s="1">
        <v>2</v>
      </c>
      <c r="CH94" s="1">
        <v>3</v>
      </c>
      <c r="CI94" s="1">
        <v>4</v>
      </c>
      <c r="CJ94" s="1">
        <v>5</v>
      </c>
      <c r="CK94" s="1">
        <v>6</v>
      </c>
      <c r="CL94" s="1">
        <v>7</v>
      </c>
      <c r="CM94" s="1">
        <v>8</v>
      </c>
      <c r="CN94" s="1">
        <v>9</v>
      </c>
      <c r="CO94" s="1">
        <v>10</v>
      </c>
      <c r="CP94" s="1">
        <v>11</v>
      </c>
      <c r="CQ94" s="1">
        <v>12</v>
      </c>
      <c r="CR94" s="1">
        <v>13</v>
      </c>
      <c r="CS94" s="1">
        <v>14</v>
      </c>
      <c r="CT94" s="1">
        <v>15</v>
      </c>
      <c r="CU94" s="1">
        <v>16</v>
      </c>
      <c r="CV94" s="1">
        <v>17</v>
      </c>
      <c r="CW94" s="1">
        <v>18</v>
      </c>
      <c r="CX94" s="1">
        <v>19</v>
      </c>
      <c r="CY94" s="1">
        <v>20</v>
      </c>
      <c r="CZ94" s="1">
        <v>21</v>
      </c>
      <c r="DA94" s="1">
        <v>22</v>
      </c>
      <c r="DB94" s="1">
        <v>23</v>
      </c>
      <c r="DC94" s="1">
        <v>24</v>
      </c>
      <c r="DD94" s="1">
        <v>25</v>
      </c>
      <c r="DE94" s="1">
        <v>26</v>
      </c>
      <c r="DF94" s="1">
        <v>27</v>
      </c>
      <c r="DG94" s="1">
        <v>28</v>
      </c>
      <c r="DH94" s="1">
        <v>29</v>
      </c>
      <c r="DI94" s="1">
        <v>30</v>
      </c>
      <c r="DJ94" s="1">
        <v>31</v>
      </c>
      <c r="DK94" s="1">
        <v>32</v>
      </c>
      <c r="DL94" s="1">
        <v>33</v>
      </c>
      <c r="DM94" s="1">
        <v>34</v>
      </c>
      <c r="DN94" s="1">
        <v>35</v>
      </c>
      <c r="DO94" s="1">
        <v>36</v>
      </c>
      <c r="DP94" s="1">
        <v>37</v>
      </c>
      <c r="DQ94" s="1">
        <v>38</v>
      </c>
      <c r="DR94" s="1">
        <v>39</v>
      </c>
      <c r="DS94" s="1">
        <v>40</v>
      </c>
      <c r="DT94" s="1">
        <v>41</v>
      </c>
      <c r="DU94" s="1">
        <v>42</v>
      </c>
      <c r="DV94" s="1">
        <v>43</v>
      </c>
      <c r="DW94" s="1">
        <v>44</v>
      </c>
      <c r="DX94" s="1">
        <v>45</v>
      </c>
      <c r="DY94" s="1">
        <v>46</v>
      </c>
      <c r="DZ94" s="1">
        <v>47</v>
      </c>
      <c r="EA94" s="1">
        <v>48</v>
      </c>
      <c r="EB94" s="1">
        <v>49</v>
      </c>
      <c r="EC94" s="1">
        <v>50</v>
      </c>
      <c r="ED94" s="1">
        <v>51</v>
      </c>
      <c r="EE94" s="1">
        <v>52</v>
      </c>
      <c r="EF94" s="1">
        <v>53</v>
      </c>
      <c r="EG94" s="1">
        <v>54</v>
      </c>
      <c r="EH94" s="1">
        <v>55</v>
      </c>
      <c r="EI94" s="1">
        <v>56</v>
      </c>
      <c r="EJ94" s="1">
        <v>57</v>
      </c>
      <c r="EK94" s="1">
        <v>58</v>
      </c>
      <c r="EL94" s="1">
        <v>59</v>
      </c>
      <c r="EM94" s="1">
        <v>60</v>
      </c>
      <c r="EN94" s="1">
        <v>61</v>
      </c>
      <c r="EO94" s="1">
        <v>62</v>
      </c>
      <c r="EP94" s="1">
        <v>63</v>
      </c>
      <c r="EQ94" s="1">
        <v>64</v>
      </c>
      <c r="ER94" s="1">
        <v>65</v>
      </c>
      <c r="ES94" s="1">
        <v>66</v>
      </c>
      <c r="ET94" s="1">
        <v>67</v>
      </c>
      <c r="EU94" s="1">
        <v>68</v>
      </c>
      <c r="EV94" s="1">
        <v>69</v>
      </c>
      <c r="EW94" s="1">
        <v>70</v>
      </c>
      <c r="EX94" s="10"/>
      <c r="EY94" s="10"/>
    </row>
    <row r="95" spans="5:155" x14ac:dyDescent="0.25">
      <c r="E95" s="6" t="s">
        <v>22</v>
      </c>
      <c r="F95" s="12"/>
      <c r="G95" s="3">
        <v>1</v>
      </c>
      <c r="H95" s="3">
        <v>-1</v>
      </c>
      <c r="I95" s="3">
        <f>-(N70_DESARROLLO!H10/0.014285714)*LN(N70_DESARROLLO!H10/N70_DESARROLLO!G10)-1</f>
        <v>0.64791846596053415</v>
      </c>
      <c r="J95" s="3">
        <f>-(N70_DESARROLLO!I10/0.014285714)*LN(N70_DESARROLLO!I10/N70_DESARROLLO!H10)-1</f>
        <v>0.27706408495625823</v>
      </c>
      <c r="K95" s="3">
        <f>-(N70_DESARROLLO!J10/0.014285714)*LN(N70_DESARROLLO!J10/N70_DESARROLLO!I10)-1</f>
        <v>0.17765285172730216</v>
      </c>
      <c r="L95" s="3">
        <f>-(N70_DESARROLLO!K10/0.014285714)*LN(N70_DESARROLLO!K10/N70_DESARROLLO!J10)-1</f>
        <v>0.13091494988237584</v>
      </c>
      <c r="M95" s="3">
        <f>-(N70_DESARROLLO!L10/0.014285714)*LN(N70_DESARROLLO!L10/N70_DESARROLLO!K10)-1</f>
        <v>0.10368884711560877</v>
      </c>
      <c r="N95" s="3">
        <f>-(N70_DESARROLLO!M10/0.014285714)*LN(N70_DESARROLLO!M10/N70_DESARROLLO!L10)-1</f>
        <v>8.5851572027610734E-2</v>
      </c>
      <c r="O95" s="3">
        <f>-(N70_DESARROLLO!N10/0.014285714)*LN(N70_DESARROLLO!N10/N70_DESARROLLO!M10)-1</f>
        <v>7.3256348770177615E-2</v>
      </c>
      <c r="P95" s="3">
        <f>-(N70_DESARROLLO!O10/0.014285714)*LN(N70_DESARROLLO!O10/N70_DESARROLLO!N10)-1</f>
        <v>6.3886736386785659E-2</v>
      </c>
      <c r="Q95" s="3">
        <f>-(N70_DESARROLLO!P10/0.014285714)*LN(N70_DESARROLLO!P10/N70_DESARROLLO!O10)-1</f>
        <v>5.6643554680002817E-2</v>
      </c>
      <c r="R95" s="3">
        <f>-(N70_DESARROLLO!Q10/0.014285714)*LN(N70_DESARROLLO!Q10/N70_DESARROLLO!P10)-1</f>
        <v>5.0876335865844169E-2</v>
      </c>
      <c r="S95" s="3">
        <f>-(N70_DESARROLLO!R10/0.014285714)*LN(N70_DESARROLLO!R10/N70_DESARROLLO!Q10)-1</f>
        <v>4.6175470289367526E-2</v>
      </c>
      <c r="T95" s="3">
        <f>-(N70_DESARROLLO!S10/0.014285714)*LN(N70_DESARROLLO!S10/N70_DESARROLLO!R10)-1</f>
        <v>4.2270132583540176E-2</v>
      </c>
      <c r="U95" s="3">
        <f>-(N70_DESARROLLO!T10/0.014285714)*LN(N70_DESARROLLO!T10/N70_DESARROLLO!S10)-1</f>
        <v>3.8974076117211931E-2</v>
      </c>
      <c r="V95" s="3">
        <f>-(N70_DESARROLLO!U10/0.014285714)*LN(N70_DESARROLLO!U10/N70_DESARROLLO!T10)-1</f>
        <v>3.6154998464203114E-2</v>
      </c>
      <c r="W95" s="3">
        <f>-(N70_DESARROLLO!V10/0.014285714)*LN(N70_DESARROLLO!V10/N70_DESARROLLO!U10)-1</f>
        <v>3.3716325403748026E-2</v>
      </c>
      <c r="X95" s="3">
        <f>-(N70_DESARROLLO!W10/0.014285714)*LN(N70_DESARROLLO!W10/N70_DESARROLLO!V10)-1</f>
        <v>3.158591082372797E-2</v>
      </c>
      <c r="Y95" s="3">
        <f>-(N70_DESARROLLO!X10/0.014285714)*LN(N70_DESARROLLO!X10/N70_DESARROLLO!W10)-1</f>
        <v>2.9708770995509726E-2</v>
      </c>
      <c r="Z95" s="3">
        <f>-(N70_DESARROLLO!Y10/0.014285714)*LN(N70_DESARROLLO!Y10/N70_DESARROLLO!X10)-1</f>
        <v>2.8042266924848791E-2</v>
      </c>
      <c r="AA95" s="3">
        <f>-(N70_DESARROLLO!Z10/0.014285714)*LN(N70_DESARROLLO!Z10/N70_DESARROLLO!Y10)-1</f>
        <v>2.6552823496787115E-2</v>
      </c>
      <c r="AB95" s="3">
        <f>-(N70_DESARROLLO!AA10/0.014285714)*LN(N70_DESARROLLO!AA10/N70_DESARROLLO!Z10)-1</f>
        <v>2.5213642284831916E-2</v>
      </c>
      <c r="AC95" s="3">
        <f>-(N70_DESARROLLO!AB10/0.014285714)*LN(N70_DESARROLLO!AB10/N70_DESARROLLO!AA10)-1</f>
        <v>2.4003073749036874E-2</v>
      </c>
      <c r="AD95" s="3">
        <f>-(N70_DESARROLLO!AC10/0.014285714)*LN(N70_DESARROLLO!AC10/N70_DESARROLLO!AB10)-1</f>
        <v>2.2903437185110676E-2</v>
      </c>
      <c r="AE95" s="3">
        <f>-(N70_DESARROLLO!AD10/0.014285714)*LN(N70_DESARROLLO!AD10/N70_DESARROLLO!AC10)-1</f>
        <v>2.1900151021867043E-2</v>
      </c>
      <c r="AF95" s="3">
        <f>-(N70_DESARROLLO!AE10/0.014285714)*LN(N70_DESARROLLO!AE10/N70_DESARROLLO!AD10)-1</f>
        <v>2.0981082233539672E-2</v>
      </c>
      <c r="AG95" s="3">
        <f>-(N70_DESARROLLO!AF10/0.014285714)*LN(N70_DESARROLLO!AF10/N70_DESARROLLO!AE10)-1</f>
        <v>2.0136053052050906E-2</v>
      </c>
      <c r="AH95" s="3">
        <f>-(N70_DESARROLLO!AG10/0.014285714)*LN(N70_DESARROLLO!AG10/N70_DESARROLLO!AF10)-1</f>
        <v>1.9356462323721457E-2</v>
      </c>
      <c r="AI95" s="3">
        <f>-(N70_DESARROLLO!AH10/0.014285714)*LN(N70_DESARROLLO!AH10/N70_DESARROLLO!AG10)-1</f>
        <v>1.8634991582299421E-2</v>
      </c>
      <c r="AJ95" s="3">
        <f>-(N70_DESARROLLO!AI10/0.014285714)*LN(N70_DESARROLLO!AI10/N70_DESARROLLO!AH10)-1</f>
        <v>1.7965374518565946E-2</v>
      </c>
      <c r="AK95" s="3">
        <f>-(N70_DESARROLLO!AJ10/0.014285714)*LN(N70_DESARROLLO!AJ10/N70_DESARROLLO!AI10)-1</f>
        <v>1.7342214446341764E-2</v>
      </c>
      <c r="AL95" s="3">
        <f>-(N70_DESARROLLO!AK10/0.014285714)*LN(N70_DESARROLLO!AK10/N70_DESARROLLO!AJ10)-1</f>
        <v>1.676083849676413E-2</v>
      </c>
      <c r="AM95" s="3">
        <f>-(N70_DESARROLLO!AL10/0.014285714)*LN(N70_DESARROLLO!AL10/N70_DESARROLLO!AK10)-1</f>
        <v>1.6217180198320191E-2</v>
      </c>
      <c r="AN95" s="3">
        <f>-(N70_DESARROLLO!AM10/0.014285714)*LN(N70_DESARROLLO!AM10/N70_DESARROLLO!AL10)-1</f>
        <v>1.5707684197550975E-2</v>
      </c>
      <c r="AO95" s="3">
        <f>-(N70_DESARROLLO!AN10/0.014285714)*LN(N70_DESARROLLO!AN10/N70_DESARROLLO!AM10)-1</f>
        <v>1.5229228398107919E-2</v>
      </c>
      <c r="AP95" s="3">
        <f>-(N70_DESARROLLO!AO10/0.014285714)*LN(N70_DESARROLLO!AO10/N70_DESARROLLO!AN10)-1</f>
        <v>1.4779059912703785E-2</v>
      </c>
      <c r="AQ95" s="3">
        <f>-(N70_DESARROLLO!AP10/0.014285714)*LN(N70_DESARROLLO!AP10/N70_DESARROLLO!AO10)-1</f>
        <v>1.4354742051081004E-2</v>
      </c>
      <c r="AR95" s="3">
        <f>-(N70_DESARROLLO!AQ10/0.014285714)*LN(N70_DESARROLLO!AQ10/N70_DESARROLLO!AP10)-1</f>
        <v>1.3954110187352153E-2</v>
      </c>
      <c r="AS95" s="3">
        <f>-(N70_DESARROLLO!AR10/0.014285714)*LN(N70_DESARROLLO!AR10/N70_DESARROLLO!AQ10)-1</f>
        <v>1.3575234818474557E-2</v>
      </c>
      <c r="AT95" s="3">
        <f>-(N70_DESARROLLO!AS10/0.014285714)*LN(N70_DESARROLLO!AS10/N70_DESARROLLO!AR10)-1</f>
        <v>1.3216390483210549E-2</v>
      </c>
      <c r="AU95" s="3">
        <f>-(N70_DESARROLLO!AT10/0.014285714)*LN(N70_DESARROLLO!AT10/N70_DESARROLLO!AS10)-1</f>
        <v>1.2876029484357954E-2</v>
      </c>
      <c r="AV95" s="3">
        <f>-(N70_DESARROLLO!AU10/0.014285714)*LN(N70_DESARROLLO!AU10/N70_DESARROLLO!AT10)-1</f>
        <v>1.2552759570459981E-2</v>
      </c>
      <c r="AW95" s="3">
        <f>-(N70_DESARROLLO!AV10/0.014285714)*LN(N70_DESARROLLO!AV10/N70_DESARROLLO!AU10)-1</f>
        <v>1.224532489750696E-2</v>
      </c>
      <c r="AX95" s="3">
        <f>-(N70_DESARROLLO!AW10/0.014285714)*LN(N70_DESARROLLO!AW10/N70_DESARROLLO!AV10)-1</f>
        <v>1.1952589722083351E-2</v>
      </c>
      <c r="AY95" s="3">
        <f>-(N70_DESARROLLO!AX10/0.014285714)*LN(N70_DESARROLLO!AX10/N70_DESARROLLO!AW10)-1</f>
        <v>1.1673524379102407E-2</v>
      </c>
      <c r="AZ95" s="3">
        <f>-(N70_DESARROLLO!AY10/0.014285714)*LN(N70_DESARROLLO!AY10/N70_DESARROLLO!AX10)-1</f>
        <v>1.1407193179389985E-2</v>
      </c>
      <c r="BA95" s="3">
        <f>-(N70_DESARROLLO!AZ10/0.014285714)*LN(N70_DESARROLLO!AZ10/N70_DESARROLLO!AY10)-1</f>
        <v>1.1152743927371533E-2</v>
      </c>
      <c r="BB95" s="3">
        <f>-(N70_DESARROLLO!BA10/0.014285714)*LN(N70_DESARROLLO!BA10/N70_DESARROLLO!AZ10)-1</f>
        <v>1.0909398811058679E-2</v>
      </c>
      <c r="BC95" s="3">
        <f>-(N70_DESARROLLO!BB10/0.014285714)*LN(N70_DESARROLLO!BB10/N70_DESARROLLO!BA10)-1</f>
        <v>1.0676446459560784E-2</v>
      </c>
      <c r="BD95" s="3">
        <f>-(N70_DESARROLLO!BC10/0.014285714)*LN(N70_DESARROLLO!BC10/N70_DESARROLLO!BB10)-1</f>
        <v>1.0453234996893546E-2</v>
      </c>
      <c r="BE95" s="3">
        <f>-(N70_DESARROLLO!BD10/0.014285714)*LN(N70_DESARROLLO!BD10/N70_DESARROLLO!BC10)-1</f>
        <v>1.0239165949542439E-2</v>
      </c>
      <c r="BF95" s="3">
        <f>-(N70_DESARROLLO!BE10/0.014285714)*LN(N70_DESARROLLO!BE10/N70_DESARROLLO!BD10)-1</f>
        <v>1.003368888748013E-2</v>
      </c>
      <c r="BG95" s="3">
        <f>-(N70_DESARROLLO!BF10/0.014285714)*LN(N70_DESARROLLO!BF10/N70_DESARROLLO!BE10)-1</f>
        <v>9.8362966981073718E-3</v>
      </c>
      <c r="BH95" s="3">
        <f>-(N70_DESARROLLO!BG10/0.014285714)*LN(N70_DESARROLLO!BG10/N70_DESARROLLO!BF10)-1</f>
        <v>9.6465214070291516E-3</v>
      </c>
      <c r="BI95" s="3">
        <f>-(N70_DESARROLLO!BH10/0.014285714)*LN(N70_DESARROLLO!BH10/N70_DESARROLLO!BG10)-1</f>
        <v>9.4639304737549335E-3</v>
      </c>
      <c r="BJ95" s="3">
        <f>-(N70_DESARROLLO!BI10/0.014285714)*LN(N70_DESARROLLO!BI10/N70_DESARROLLO!BH10)-1</f>
        <v>9.2881235002080231E-3</v>
      </c>
      <c r="BK95" s="3">
        <f>-(N70_DESARROLLO!BJ10/0.014285714)*LN(N70_DESARROLLO!BJ10/N70_DESARROLLO!BI10)-1</f>
        <v>9.118729299437689E-3</v>
      </c>
      <c r="BL95" s="3">
        <f>-(N70_DESARROLLO!BK10/0.014285714)*LN(N70_DESARROLLO!BK10/N70_DESARROLLO!BJ10)-1</f>
        <v>8.9554032794736393E-3</v>
      </c>
      <c r="BM95" s="3">
        <f>-(N70_DESARROLLO!BL10/0.014285714)*LN(N70_DESARROLLO!BL10/N70_DESARROLLO!BK10)-1</f>
        <v>8.7978251032541088E-3</v>
      </c>
      <c r="BN95" s="3">
        <f>-(N70_DESARROLLO!BM10/0.014285714)*LN(N70_DESARROLLO!BM10/N70_DESARROLLO!BL10)-1</f>
        <v>8.6456965915251427E-3</v>
      </c>
      <c r="BO95" s="3">
        <f>-(N70_DESARROLLO!BN10/0.014285714)*LN(N70_DESARROLLO!BN10/N70_DESARROLLO!BM10)-1</f>
        <v>8.4987398394804625E-3</v>
      </c>
      <c r="BP95" s="3">
        <f>-(N70_DESARROLLO!BO10/0.014285714)*LN(N70_DESARROLLO!BO10/N70_DESARROLLO!BN10)-1</f>
        <v>8.3566955224516626E-3</v>
      </c>
      <c r="BQ95" s="3">
        <f>-(N70_DESARROLLO!BP10/0.014285714)*LN(N70_DESARROLLO!BP10/N70_DESARROLLO!BO10)-1</f>
        <v>8.2193213684820243E-3</v>
      </c>
      <c r="BR95" s="3">
        <f>-(N70_DESARROLLO!BQ10/0.014285714)*LN(N70_DESARROLLO!BQ10/N70_DESARROLLO!BP10)-1</f>
        <v>8.0863907794601619E-3</v>
      </c>
      <c r="BS95" s="3">
        <f>-(N70_DESARROLLO!BR10/0.014285714)*LN(N70_DESARROLLO!BR10/N70_DESARROLLO!BQ10)-1</f>
        <v>7.957691583579285E-3</v>
      </c>
      <c r="BT95" s="3">
        <f>-(N70_DESARROLLO!BS10/0.014285714)*LN(N70_DESARROLLO!BS10/N70_DESARROLLO!BR10)-1</f>
        <v>7.8330249053730761E-3</v>
      </c>
      <c r="BU95" s="3">
        <f>-(N70_DESARROLLO!BT10/0.014285714)*LN(N70_DESARROLLO!BT10/N70_DESARROLLO!BS10)-1</f>
        <v>7.7122041401485042E-3</v>
      </c>
      <c r="BV95" s="3">
        <f>-(N70_DESARROLLO!BU10/0.014285714)*LN(N70_DESARROLLO!BU10/N70_DESARROLLO!BT10)-1</f>
        <v>7.595054021950487E-3</v>
      </c>
      <c r="BW95" s="3">
        <f>-(N70_DESARROLLO!BV10/0.014285714)*LN(N70_DESARROLLO!BV10/N70_DESARROLLO!BU10)-1</f>
        <v>7.4814097752442521E-3</v>
      </c>
      <c r="BX95" s="3">
        <f>-(N70_DESARROLLO!BW10/0.014285714)*LN(N70_DESARROLLO!BW10/N70_DESARROLLO!BV10)-1</f>
        <v>7.3711163415630665E-3</v>
      </c>
      <c r="BY95" s="3">
        <f>-(N70_DESARROLLO!BX10/0.014285714)*LN(N70_DESARROLLO!BX10/N70_DESARROLLO!BW10)-1</f>
        <v>0.51630480500865894</v>
      </c>
      <c r="BZ95" s="10"/>
      <c r="CA95" s="10"/>
      <c r="CB95" s="10"/>
      <c r="CC95" s="10"/>
      <c r="CD95">
        <v>1</v>
      </c>
      <c r="CE95" s="1">
        <v>0</v>
      </c>
      <c r="CF95" s="1">
        <v>1</v>
      </c>
      <c r="CG95" s="1">
        <f>(1+(N70_DESARROLLO!G10/0.014285714)*LN(N70_DESARROLLO!H10/N70_DESARROLLO!G10))</f>
        <v>0.4506938446798221</v>
      </c>
      <c r="CH95" s="1">
        <f>(1+(N70_DESARROLLO!H10/0.014285714)*LN(N70_DESARROLLO!I10/N70_DESARROLLO!H10))</f>
        <v>0.23376154902624502</v>
      </c>
      <c r="CI95" s="1">
        <f>(1+(N70_DESARROLLO!I10/0.014285714)*LN(N70_DESARROLLO!J10/N70_DESARROLLO!I10))</f>
        <v>0.15881939162335557</v>
      </c>
      <c r="CJ95" s="1">
        <f>(1+(N70_DESARROLLO!J10/0.014285714)*LN(N70_DESARROLLO!K10/N70_DESARROLLO!J10))</f>
        <v>0.12039948342481865</v>
      </c>
      <c r="CK95" s="1">
        <f>(1+(N70_DESARROLLO!K10/0.014285714)*LN(N70_DESARROLLO!L10/N70_DESARROLLO!K10))</f>
        <v>9.69818523599566E-2</v>
      </c>
      <c r="CL95" s="1">
        <f>(1+(N70_DESARROLLO!L10/0.014285714)*LN(N70_DESARROLLO!M10/N70_DESARROLLO!L10))</f>
        <v>8.1202515976636969E-2</v>
      </c>
      <c r="CM95" s="1">
        <f>(1+(N70_DESARROLLO!M10/0.014285714)*LN(N70_DESARROLLO!N10/N70_DESARROLLO!M10))</f>
        <v>6.9844497732512667E-2</v>
      </c>
      <c r="CN95" s="1">
        <f>(1+(N70_DESARROLLO!N10/0.014285714)*LN(N70_DESARROLLO!O10/N70_DESARROLLO!N10))</f>
        <v>6.1276409070483262E-2</v>
      </c>
      <c r="CO95" s="1">
        <f>(1+(N70_DESARROLLO!O10/0.014285714)*LN(N70_DESARROLLO!P10/N70_DESARROLLO!O10))</f>
        <v>5.4582082654734188E-2</v>
      </c>
      <c r="CP95" s="1">
        <f>(1+(N70_DESARROLLO!P10/0.014285714)*LN(N70_DESARROLLO!Q10/N70_DESARROLLO!P10))</f>
        <v>4.9207124692807636E-2</v>
      </c>
      <c r="CQ95" s="1">
        <f>(1+(N70_DESARROLLO!Q10/0.014285714)*LN(N70_DESARROLLO!R10/N70_DESARROLLO!Q10))</f>
        <v>4.479630973579507E-2</v>
      </c>
      <c r="CR95" s="1">
        <f>(1+(N70_DESARROLLO!R10/0.014285714)*LN(N70_DESARROLLO!S10/N70_DESARROLLO!R10))</f>
        <v>4.1111478023143078E-2</v>
      </c>
      <c r="CS95" s="1">
        <f>(1+(N70_DESARROLLO!S10/0.014285714)*LN(N70_DESARROLLO!T10/N70_DESARROLLO!S10))</f>
        <v>3.7986966558137047E-2</v>
      </c>
      <c r="CT95" s="1">
        <f>(1+(N70_DESARROLLO!T10/0.014285714)*LN(N70_DESARROLLO!U10/N70_DESARROLLO!T10))</f>
        <v>3.5303966947121235E-2</v>
      </c>
      <c r="CU95" s="1">
        <f>(1+(N70_DESARROLLO!U10/0.014285714)*LN(N70_DESARROLLO!V10/N70_DESARROLLO!U10))</f>
        <v>3.297505042875204E-2</v>
      </c>
      <c r="CV95" s="1">
        <f>(1+(N70_DESARROLLO!V10/0.014285714)*LN(N70_DESARROLLO!W10/N70_DESARROLLO!V10))</f>
        <v>3.0934447408012988E-2</v>
      </c>
      <c r="CW95" s="1">
        <f>(1+(N70_DESARROLLO!W10/0.014285714)*LN(N70_DESARROLLO!X10/N70_DESARROLLO!W10))</f>
        <v>2.9131730204233652E-2</v>
      </c>
      <c r="CX95" s="1">
        <f>(1+(N70_DESARROLLO!X10/0.014285714)*LN(N70_DESARROLLO!Y10/N70_DESARROLLO!X10))</f>
        <v>2.7527585341359462E-2</v>
      </c>
      <c r="CY95" s="1">
        <f>(1+(N70_DESARROLLO!Y10/0.014285714)*LN(N70_DESARROLLO!Z10/N70_DESARROLLO!Y10))</f>
        <v>2.6090911041509512E-2</v>
      </c>
      <c r="CZ95" s="1">
        <f>(1+(N70_DESARROLLO!Z10/0.014285714)*LN(N70_DESARROLLO!AA10/N70_DESARROLLO!Z10))</f>
        <v>2.4796779290037985E-2</v>
      </c>
      <c r="DA95" s="1">
        <f>(1+(N70_DESARROLLO!AA10/0.014285714)*LN(N70_DESARROLLO!AB10/N70_DESARROLLO!AA10))</f>
        <v>2.3624976192778924E-2</v>
      </c>
      <c r="DB95" s="1">
        <f>(1+(N70_DESARROLLO!AB10/0.014285714)*LN(N70_DESARROLLO!AC10/N70_DESARROLLO!AB10))</f>
        <v>2.2558937800894241E-2</v>
      </c>
      <c r="DC95" s="1">
        <f>(1+(N70_DESARROLLO!AC10/0.014285714)*LN(N70_DESARROLLO!AD10/N70_DESARROLLO!AC10))</f>
        <v>2.1584961787574075E-2</v>
      </c>
      <c r="DD95" s="1">
        <f>(1+(N70_DESARROLLO!AD10/0.014285714)*LN(N70_DESARROLLO!AE10/N70_DESARROLLO!AD10))</f>
        <v>2.0691615000482333E-2</v>
      </c>
      <c r="DE95" s="1">
        <f>(1+(N70_DESARROLLO!AE10/0.014285714)*LN(N70_DESARROLLO!AF10/N70_DESARROLLO!AE10))</f>
        <v>1.9869282361755003E-2</v>
      </c>
      <c r="DF95" s="1">
        <f>(1+(N70_DESARROLLO!AF10/0.014285714)*LN(N70_DESARROLLO!AG10/N70_DESARROLLO!AF10))</f>
        <v>1.9109819273400053E-2</v>
      </c>
      <c r="DG95" s="1">
        <f>(1+(N70_DESARROLLO!AG10/0.014285714)*LN(N70_DESARROLLO!AH10/N70_DESARROLLO!AG10))</f>
        <v>1.8406280838875078E-2</v>
      </c>
      <c r="DH95" s="1">
        <f>(1+(N70_DESARROLLO!AH10/0.014285714)*LN(N70_DESARROLLO!AI10/N70_DESARROLLO!AH10))</f>
        <v>1.7752708797874939E-2</v>
      </c>
      <c r="DI95" s="1">
        <f>(1+(N70_DESARROLLO!AI10/0.014285714)*LN(N70_DESARROLLO!AJ10/N70_DESARROLLO!AI10))</f>
        <v>1.7143962314551175E-2</v>
      </c>
      <c r="DJ95" s="1">
        <f>(1+(N70_DESARROLLO!AJ10/0.014285714)*LN(N70_DESARROLLO!AK10/N70_DESARROLLO!AJ10))</f>
        <v>1.657558243755608E-2</v>
      </c>
      <c r="DK95" s="1">
        <f>(1+(N70_DESARROLLO!AK10/0.014285714)*LN(N70_DESARROLLO!AL10/N70_DESARROLLO!AK10))</f>
        <v>1.6043682665118575E-2</v>
      </c>
      <c r="DL95" s="1">
        <f>(1+(N70_DESARROLLO!AL10/0.014285714)*LN(N70_DESARROLLO!AM10/N70_DESARROLLO!AL10))</f>
        <v>1.5544859931604482E-2</v>
      </c>
      <c r="DM95" s="1">
        <f>(1+(N70_DESARROLLO!AM10/0.014285714)*LN(N70_DESARROLLO!AN10/N70_DESARROLLO!AM10))</f>
        <v>1.5076121703327949E-2</v>
      </c>
      <c r="DN95" s="1">
        <f>(1+(N70_DESARROLLO!AN10/0.014285714)*LN(N70_DESARROLLO!AO10/N70_DESARROLLO!AN10))</f>
        <v>1.4634825881867375E-2</v>
      </c>
      <c r="DO95" s="1">
        <f>(1+(N70_DESARROLLO!AO10/0.014285714)*LN(N70_DESARROLLO!AP10/N70_DESARROLLO!AO10))</f>
        <v>1.4218630964442425E-2</v>
      </c>
      <c r="DP95" s="1">
        <f>(1+(N70_DESARROLLO!AP10/0.014285714)*LN(N70_DESARROLLO!AQ10/N70_DESARROLLO!AP10))</f>
        <v>1.3825454475315135E-2</v>
      </c>
      <c r="DQ95" s="1">
        <f>(1+(N70_DESARROLLO!AQ10/0.014285714)*LN(N70_DESARROLLO!AR10/N70_DESARROLLO!AQ10))</f>
        <v>1.3453438110017868E-2</v>
      </c>
      <c r="DR95" s="1">
        <f>(1+(N70_DESARROLLO!AR10/0.014285714)*LN(N70_DESARROLLO!AS10/N70_DESARROLLO!AR10))</f>
        <v>1.3100918360509306E-2</v>
      </c>
      <c r="DS95" s="1">
        <f>(1+(N70_DESARROLLO!AS10/0.014285714)*LN(N70_DESARROLLO!AT10/N70_DESARROLLO!AS10))</f>
        <v>1.2766401641828296E-2</v>
      </c>
      <c r="DT95" s="1">
        <f>(1+(N70_DESARROLLO!AT10/0.014285714)*LN(N70_DESARROLLO!AU10/N70_DESARROLLO!AT10))</f>
        <v>1.2448543134983558E-2</v>
      </c>
      <c r="DU95" s="1">
        <f>(1+(N70_DESARROLLO!AU10/0.014285714)*LN(N70_DESARROLLO!AV10/N70_DESARROLLO!AU10))</f>
        <v>1.2146128714481064E-2</v>
      </c>
      <c r="DV95" s="1">
        <f>(1+(N70_DESARROLLO!AV10/0.014285714)*LN(N70_DESARROLLO!AW10/N70_DESARROLLO!AV10))</f>
        <v>1.1858059447847902E-2</v>
      </c>
      <c r="DW95" s="1">
        <f>(1+(N70_DESARROLLO!AW10/0.014285714)*LN(N70_DESARROLLO!AX10/N70_DESARROLLO!AW10))</f>
        <v>1.1583338250302444E-2</v>
      </c>
      <c r="DX95" s="1">
        <f>(1+(N70_DESARROLLO!AX10/0.014285714)*LN(N70_DESARROLLO!AY10/N70_DESARROLLO!AX10))</f>
        <v>1.1321058352731117E-2</v>
      </c>
      <c r="DY95" s="1">
        <f>(1+(N70_DESARROLLO!AY10/0.014285714)*LN(N70_DESARROLLO!AZ10/N70_DESARROLLO!AY10))</f>
        <v>1.1070393301801484E-2</v>
      </c>
      <c r="DZ95" s="1">
        <f>(1+(N70_DESARROLLO!AZ10/0.014285714)*LN(N70_DESARROLLO!BA10/N70_DESARROLLO!AZ10))</f>
        <v>1.0830588260146934E-2</v>
      </c>
      <c r="EA95" s="1">
        <f>(1+(N70_DESARROLLO!BA10/0.014285714)*LN(N70_DESARROLLO!BB10/N70_DESARROLLO!BA10))</f>
        <v>1.0600952413272191E-2</v>
      </c>
      <c r="EB95" s="1">
        <f>(1+(N70_DESARROLLO!BB10/0.014285714)*LN(N70_DESARROLLO!BC10/N70_DESARROLLO!BB10))</f>
        <v>1.0380852322629863E-2</v>
      </c>
      <c r="EC95" s="1">
        <f>(1+(N70_DESARROLLO!BC10/0.014285714)*LN(N70_DESARROLLO!BD10/N70_DESARROLLO!BC10))</f>
        <v>1.0169706089842467E-2</v>
      </c>
      <c r="ED95" s="1">
        <f>(1+(N70_DESARROLLO!BD10/0.014285714)*LN(N70_DESARROLLO!BE10/N70_DESARROLLO!BD10))</f>
        <v>9.9669782192024492E-3</v>
      </c>
      <c r="EE95" s="1">
        <f>(1+(N70_DESARROLLO!BE10/0.014285714)*LN(N70_DESARROLLO!BF10/N70_DESARROLLO!BE10))</f>
        <v>9.77217508243855E-3</v>
      </c>
      <c r="EF95" s="1">
        <f>(1+(N70_DESARROLLO!BF10/0.014285714)*LN(N70_DESARROLLO!BG10/N70_DESARROLLO!BF10))</f>
        <v>9.5848409054857253E-3</v>
      </c>
      <c r="EG95" s="1">
        <f>(1+(N70_DESARROLLO!BG10/0.014285714)*LN(N70_DESARROLLO!BH10/N70_DESARROLLO!BG10))</f>
        <v>9.404554207997462E-3</v>
      </c>
      <c r="EH95" s="1">
        <f>(1+(N70_DESARROLLO!BH10/0.014285714)*LN(N70_DESARROLLO!BI10/N70_DESARROLLO!BH10))</f>
        <v>9.230924637410709E-3</v>
      </c>
      <c r="EI95" s="1">
        <f>(1+(N70_DESARROLLO!BI10/0.014285714)*LN(N70_DESARROLLO!BJ10/N70_DESARROLLO!BI10))</f>
        <v>9.0635901473987701E-3</v>
      </c>
      <c r="EJ95" s="1">
        <f>(1+(N70_DESARROLLO!BJ10/0.014285714)*LN(N70_DESARROLLO!BK10/N70_DESARROLLO!BJ10))</f>
        <v>8.9022144776851331E-3</v>
      </c>
      <c r="EK95" s="1">
        <f>(1+(N70_DESARROLLO!BK10/0.014285714)*LN(N70_DESARROLLO!BL10/N70_DESARROLLO!BK10))</f>
        <v>8.7464848985415733E-3</v>
      </c>
      <c r="EL95" s="1">
        <f>(1+(N70_DESARROLLO!BL10/0.014285714)*LN(N70_DESARROLLO!BM10/N70_DESARROLLO!BL10))</f>
        <v>8.5961101878172519E-3</v>
      </c>
      <c r="EM95" s="1">
        <f>(1+(N70_DESARROLLO!BM10/0.014285714)*LN(N70_DESARROLLO!BN10/N70_DESARROLLO!BM10))</f>
        <v>8.4508188132838002E-3</v>
      </c>
      <c r="EN95" s="1">
        <f>(1+(N70_DESARROLLO!BN10/0.014285714)*LN(N70_DESARROLLO!BO10/N70_DESARROLLO!BN10))</f>
        <v>8.3103572961014116E-3</v>
      </c>
      <c r="EO95" s="1">
        <f>(1+(N70_DESARROLLO!BO10/0.014285714)*LN(N70_DESARROLLO!BP10/N70_DESARROLLO!BO10))</f>
        <v>8.1744887350704287E-3</v>
      </c>
      <c r="EP95" s="1">
        <f>(1+(N70_DESARROLLO!BP10/0.014285714)*LN(N70_DESARROLLO!BQ10/N70_DESARROLLO!BP10))</f>
        <v>8.0429914730112406E-3</v>
      </c>
      <c r="EQ95" s="1">
        <f>(1+(N70_DESARROLLO!BQ10/0.014285714)*LN(N70_DESARROLLO!BR10/N70_DESARROLLO!BQ10))</f>
        <v>7.9156578901777852E-3</v>
      </c>
      <c r="ER95" s="1">
        <f>(1+(N70_DESARROLLO!BR10/0.014285714)*LN(N70_DESARROLLO!BS10/N70_DESARROLLO!BR10))</f>
        <v>7.7922933102141378E-3</v>
      </c>
      <c r="ES95" s="1">
        <f>(1+(N70_DESARROLLO!BS10/0.014285714)*LN(N70_DESARROLLO!BT10/N70_DESARROLLO!BS10))</f>
        <v>7.6727150070293737E-3</v>
      </c>
      <c r="ET95" s="1">
        <f>(1+(N70_DESARROLLO!BT10/0.014285714)*LN(N70_DESARROLLO!BU10/N70_DESARROLLO!BT10))</f>
        <v>7.5567513016878696E-3</v>
      </c>
      <c r="EU95" s="1">
        <f>(1+(N70_DESARROLLO!BU10/0.014285714)*LN(N70_DESARROLLO!BV10/N70_DESARROLLO!BU10))</f>
        <v>7.4442407399445409E-3</v>
      </c>
      <c r="EV95" s="1">
        <f>(1+(N70_DESARROLLO!BV10/0.014285714)*LN(N70_DESARROLLO!BW10/N70_DESARROLLO!BV10))</f>
        <v>7.335031342255216E-3</v>
      </c>
      <c r="EW95" s="1">
        <f>(1+(N70_DESARROLLO!BW10/0.014285714)*LN(N70_DESARROLLO!BX10/N70_DESARROLLO!BW10))</f>
        <v>-0.48381255918704458</v>
      </c>
      <c r="EX95" s="10"/>
      <c r="EY95" s="10"/>
    </row>
    <row r="96" spans="5:155" x14ac:dyDescent="0.25">
      <c r="E96" s="6" t="s">
        <v>23</v>
      </c>
      <c r="F96" s="12"/>
      <c r="G96" s="3">
        <v>2</v>
      </c>
      <c r="H96" s="3">
        <f>-(N70_DESARROLLO!G11/0.014285714)*LN(N70_DESARROLLO!G11/N70_DESARROLLO!F11)-1</f>
        <v>-0.45069384467982199</v>
      </c>
      <c r="I96" s="3">
        <v>-1</v>
      </c>
      <c r="J96" s="3">
        <f>-(N70_DESARROLLO!I11/0.014285714)*LN(N70_DESARROLLO!I11/N70_DESARROLLO!H11)-1</f>
        <v>0.64791846596053415</v>
      </c>
      <c r="K96" s="3">
        <f>-(N70_DESARROLLO!J11/0.014285714)*LN(N70_DESARROLLO!J11/N70_DESARROLLO!I11)-1</f>
        <v>0.27706408495625823</v>
      </c>
      <c r="L96" s="3">
        <f>-(N70_DESARROLLO!K11/0.014285714)*LN(N70_DESARROLLO!K11/N70_DESARROLLO!J11)-1</f>
        <v>0.17765285172730216</v>
      </c>
      <c r="M96" s="3">
        <f>-(N70_DESARROLLO!L11/0.014285714)*LN(N70_DESARROLLO!L11/N70_DESARROLLO!K11)-1</f>
        <v>0.13091494988237584</v>
      </c>
      <c r="N96" s="3">
        <f>-(N70_DESARROLLO!M11/0.014285714)*LN(N70_DESARROLLO!M11/N70_DESARROLLO!L11)-1</f>
        <v>0.10368884711560877</v>
      </c>
      <c r="O96" s="3">
        <f>-(N70_DESARROLLO!N11/0.014285714)*LN(N70_DESARROLLO!N11/N70_DESARROLLO!M11)-1</f>
        <v>8.5851572027612066E-2</v>
      </c>
      <c r="P96" s="3">
        <f>-(N70_DESARROLLO!O11/0.014285714)*LN(N70_DESARROLLO!O11/N70_DESARROLLO!N11)-1</f>
        <v>7.3256348770174728E-2</v>
      </c>
      <c r="Q96" s="3">
        <f>-(N70_DESARROLLO!P11/0.014285714)*LN(N70_DESARROLLO!P11/N70_DESARROLLO!O11)-1</f>
        <v>6.3886736386785659E-2</v>
      </c>
      <c r="R96" s="3">
        <f>-(N70_DESARROLLO!Q11/0.014285714)*LN(N70_DESARROLLO!Q11/N70_DESARROLLO!P11)-1</f>
        <v>5.6643554680002817E-2</v>
      </c>
      <c r="S96" s="3">
        <f>-(N70_DESARROLLO!R11/0.014285714)*LN(N70_DESARROLLO!R11/N70_DESARROLLO!Q11)-1</f>
        <v>5.0876335865844169E-2</v>
      </c>
      <c r="T96" s="3">
        <f>-(N70_DESARROLLO!S11/0.014285714)*LN(N70_DESARROLLO!S11/N70_DESARROLLO!R11)-1</f>
        <v>4.6175470289367526E-2</v>
      </c>
      <c r="U96" s="3">
        <f>-(N70_DESARROLLO!T11/0.014285714)*LN(N70_DESARROLLO!T11/N70_DESARROLLO!S11)-1</f>
        <v>4.2270132583539954E-2</v>
      </c>
      <c r="V96" s="3">
        <f>-(N70_DESARROLLO!U11/0.014285714)*LN(N70_DESARROLLO!U11/N70_DESARROLLO!T11)-1</f>
        <v>3.8974076117214818E-2</v>
      </c>
      <c r="W96" s="3">
        <f>-(N70_DESARROLLO!V11/0.014285714)*LN(N70_DESARROLLO!V11/N70_DESARROLLO!U11)-1</f>
        <v>3.6154998464203114E-2</v>
      </c>
      <c r="X96" s="3">
        <f>-(N70_DESARROLLO!W11/0.014285714)*LN(N70_DESARROLLO!W11/N70_DESARROLLO!V11)-1</f>
        <v>3.3716325403748026E-2</v>
      </c>
      <c r="Y96" s="3">
        <f>-(N70_DESARROLLO!X11/0.014285714)*LN(N70_DESARROLLO!X11/N70_DESARROLLO!W11)-1</f>
        <v>3.158591082372797E-2</v>
      </c>
      <c r="Z96" s="3">
        <f>-(N70_DESARROLLO!Y11/0.014285714)*LN(N70_DESARROLLO!Y11/N70_DESARROLLO!X11)-1</f>
        <v>2.9708770995509726E-2</v>
      </c>
      <c r="AA96" s="3">
        <f>-(N70_DESARROLLO!Z11/0.014285714)*LN(N70_DESARROLLO!Z11/N70_DESARROLLO!Y11)-1</f>
        <v>2.8042266924848791E-2</v>
      </c>
      <c r="AB96" s="3">
        <f>-(N70_DESARROLLO!AA11/0.014285714)*LN(N70_DESARROLLO!AA11/N70_DESARROLLO!Z11)-1</f>
        <v>2.6552823496787115E-2</v>
      </c>
      <c r="AC96" s="3">
        <f>-(N70_DESARROLLO!AB11/0.014285714)*LN(N70_DESARROLLO!AB11/N70_DESARROLLO!AA11)-1</f>
        <v>2.5213642284831916E-2</v>
      </c>
      <c r="AD96" s="3">
        <f>-(N70_DESARROLLO!AC11/0.014285714)*LN(N70_DESARROLLO!AC11/N70_DESARROLLO!AB11)-1</f>
        <v>2.4003073749036874E-2</v>
      </c>
      <c r="AE96" s="3">
        <f>-(N70_DESARROLLO!AD11/0.014285714)*LN(N70_DESARROLLO!AD11/N70_DESARROLLO!AC11)-1</f>
        <v>2.2903437185110676E-2</v>
      </c>
      <c r="AF96" s="3">
        <f>-(N70_DESARROLLO!AE11/0.014285714)*LN(N70_DESARROLLO!AE11/N70_DESARROLLO!AD11)-1</f>
        <v>2.1900151021867043E-2</v>
      </c>
      <c r="AG96" s="3">
        <f>-(N70_DESARROLLO!AF11/0.014285714)*LN(N70_DESARROLLO!AF11/N70_DESARROLLO!AE11)-1</f>
        <v>2.0981082233539672E-2</v>
      </c>
      <c r="AH96" s="3">
        <f>-(N70_DESARROLLO!AG11/0.014285714)*LN(N70_DESARROLLO!AG11/N70_DESARROLLO!AF11)-1</f>
        <v>2.0136053052045355E-2</v>
      </c>
      <c r="AI96" s="3">
        <f>-(N70_DESARROLLO!AH11/0.014285714)*LN(N70_DESARROLLO!AH11/N70_DESARROLLO!AG11)-1</f>
        <v>1.9356462323727008E-2</v>
      </c>
      <c r="AJ96" s="3">
        <f>-(N70_DESARROLLO!AI11/0.014285714)*LN(N70_DESARROLLO!AI11/N70_DESARROLLO!AH11)-1</f>
        <v>1.8634991582299421E-2</v>
      </c>
      <c r="AK96" s="3">
        <f>-(N70_DESARROLLO!AJ11/0.014285714)*LN(N70_DESARROLLO!AJ11/N70_DESARROLLO!AI11)-1</f>
        <v>1.7965374518565946E-2</v>
      </c>
      <c r="AL96" s="3">
        <f>-(N70_DESARROLLO!AK11/0.014285714)*LN(N70_DESARROLLO!AK11/N70_DESARROLLO!AJ11)-1</f>
        <v>1.7342214446341764E-2</v>
      </c>
      <c r="AM96" s="3">
        <f>-(N70_DESARROLLO!AL11/0.014285714)*LN(N70_DESARROLLO!AL11/N70_DESARROLLO!AK11)-1</f>
        <v>1.676083849676413E-2</v>
      </c>
      <c r="AN96" s="3">
        <f>-(N70_DESARROLLO!AM11/0.014285714)*LN(N70_DESARROLLO!AM11/N70_DESARROLLO!AL11)-1</f>
        <v>1.6217180198320191E-2</v>
      </c>
      <c r="AO96" s="3">
        <f>-(N70_DESARROLLO!AN11/0.014285714)*LN(N70_DESARROLLO!AN11/N70_DESARROLLO!AM11)-1</f>
        <v>1.5707684197550975E-2</v>
      </c>
      <c r="AP96" s="3">
        <f>-(N70_DESARROLLO!AO11/0.014285714)*LN(N70_DESARROLLO!AO11/N70_DESARROLLO!AN11)-1</f>
        <v>1.5229228398107919E-2</v>
      </c>
      <c r="AQ96" s="3">
        <f>-(N70_DESARROLLO!AP11/0.014285714)*LN(N70_DESARROLLO!AP11/N70_DESARROLLO!AO11)-1</f>
        <v>1.4779059912696235E-2</v>
      </c>
      <c r="AR96" s="3">
        <f>-(N70_DESARROLLO!AQ11/0.014285714)*LN(N70_DESARROLLO!AQ11/N70_DESARROLLO!AP11)-1</f>
        <v>1.4354742051081004E-2</v>
      </c>
      <c r="AS96" s="3">
        <f>-(N70_DESARROLLO!AR11/0.014285714)*LN(N70_DESARROLLO!AR11/N70_DESARROLLO!AQ11)-1</f>
        <v>1.395411018734416E-2</v>
      </c>
      <c r="AT96" s="3">
        <f>-(N70_DESARROLLO!AS11/0.014285714)*LN(N70_DESARROLLO!AS11/N70_DESARROLLO!AR11)-1</f>
        <v>1.3575234818482773E-2</v>
      </c>
      <c r="AU96" s="3">
        <f>-(N70_DESARROLLO!AT11/0.014285714)*LN(N70_DESARROLLO!AT11/N70_DESARROLLO!AS11)-1</f>
        <v>1.3216390483202112E-2</v>
      </c>
      <c r="AV96" s="3">
        <f>-(N70_DESARROLLO!AU11/0.014285714)*LN(N70_DESARROLLO!AU11/N70_DESARROLLO!AT11)-1</f>
        <v>1.2876029484357954E-2</v>
      </c>
      <c r="AW96" s="3">
        <f>-(N70_DESARROLLO!AV11/0.014285714)*LN(N70_DESARROLLO!AV11/N70_DESARROLLO!AU11)-1</f>
        <v>1.25527595704511E-2</v>
      </c>
      <c r="AX96" s="3">
        <f>-(N70_DESARROLLO!AW11/0.014285714)*LN(N70_DESARROLLO!AW11/N70_DESARROLLO!AV11)-1</f>
        <v>1.224532489750696E-2</v>
      </c>
      <c r="AY96" s="3">
        <f>-(N70_DESARROLLO!AX11/0.014285714)*LN(N70_DESARROLLO!AX11/N70_DESARROLLO!AW11)-1</f>
        <v>1.1952589722092455E-2</v>
      </c>
      <c r="AZ96" s="3">
        <f>-(N70_DESARROLLO!AY11/0.014285714)*LN(N70_DESARROLLO!AY11/N70_DESARROLLO!AX11)-1</f>
        <v>1.1673524379092637E-2</v>
      </c>
      <c r="BA96" s="3">
        <f>-(N70_DESARROLLO!AZ11/0.014285714)*LN(N70_DESARROLLO!AZ11/N70_DESARROLLO!AY11)-1</f>
        <v>1.1407193179399533E-2</v>
      </c>
      <c r="BB96" s="3">
        <f>-(N70_DESARROLLO!BA11/0.014285714)*LN(N70_DESARROLLO!BA11/N70_DESARROLLO!AZ11)-1</f>
        <v>1.1152743927361541E-2</v>
      </c>
      <c r="BC96" s="3">
        <f>-(N70_DESARROLLO!BB11/0.014285714)*LN(N70_DESARROLLO!BB11/N70_DESARROLLO!BA11)-1</f>
        <v>1.0909398811068893E-2</v>
      </c>
      <c r="BD96" s="3">
        <f>-(N70_DESARROLLO!BC11/0.014285714)*LN(N70_DESARROLLO!BC11/N70_DESARROLLO!BB11)-1</f>
        <v>1.0676446459560562E-2</v>
      </c>
      <c r="BE96" s="3">
        <f>-(N70_DESARROLLO!BD11/0.014285714)*LN(N70_DESARROLLO!BD11/N70_DESARROLLO!BC11)-1</f>
        <v>1.0453234996904204E-2</v>
      </c>
      <c r="BF96" s="3">
        <f>-(N70_DESARROLLO!BE11/0.014285714)*LN(N70_DESARROLLO!BE11/N70_DESARROLLO!BD11)-1</f>
        <v>1.0239165949531337E-2</v>
      </c>
      <c r="BG96" s="3">
        <f>-(N70_DESARROLLO!BF11/0.014285714)*LN(N70_DESARROLLO!BF11/N70_DESARROLLO!BE11)-1</f>
        <v>1.003368888749101E-2</v>
      </c>
      <c r="BH96" s="3">
        <f>-(N70_DESARROLLO!BG11/0.014285714)*LN(N70_DESARROLLO!BG11/N70_DESARROLLO!BF11)-1</f>
        <v>9.8362966981071498E-3</v>
      </c>
      <c r="BI96" s="3">
        <f>-(N70_DESARROLLO!BH11/0.014285714)*LN(N70_DESARROLLO!BH11/N70_DESARROLLO!BG11)-1</f>
        <v>9.6465214070289296E-3</v>
      </c>
      <c r="BJ96" s="3">
        <f>-(N70_DESARROLLO!BI11/0.014285714)*LN(N70_DESARROLLO!BI11/N70_DESARROLLO!BH11)-1</f>
        <v>9.4639304737664798E-3</v>
      </c>
      <c r="BK96" s="3">
        <f>-(N70_DESARROLLO!BJ11/0.014285714)*LN(N70_DESARROLLO!BJ11/N70_DESARROLLO!BI11)-1</f>
        <v>9.2881235002078011E-3</v>
      </c>
      <c r="BL96" s="3">
        <f>-(N70_DESARROLLO!BK11/0.014285714)*LN(N70_DESARROLLO!BK11/N70_DESARROLLO!BJ11)-1</f>
        <v>9.1187292994499014E-3</v>
      </c>
      <c r="BM96" s="3">
        <f>-(N70_DESARROLLO!BL11/0.014285714)*LN(N70_DESARROLLO!BL11/N70_DESARROLLO!BK11)-1</f>
        <v>8.9554032794736393E-3</v>
      </c>
      <c r="BN96" s="3">
        <f>-(N70_DESARROLLO!BM11/0.014285714)*LN(N70_DESARROLLO!BM11/N70_DESARROLLO!BL11)-1</f>
        <v>8.7978251032541088E-3</v>
      </c>
      <c r="BO96" s="3">
        <f>-(N70_DESARROLLO!BN11/0.014285714)*LN(N70_DESARROLLO!BN11/N70_DESARROLLO!BM11)-1</f>
        <v>8.6456965915122641E-3</v>
      </c>
      <c r="BP96" s="3">
        <f>-(N70_DESARROLLO!BO11/0.014285714)*LN(N70_DESARROLLO!BO11/N70_DESARROLLO!BN11)-1</f>
        <v>8.4987398394935632E-3</v>
      </c>
      <c r="BQ96" s="3">
        <f>-(N70_DESARROLLO!BP11/0.014285714)*LN(N70_DESARROLLO!BP11/N70_DESARROLLO!BO11)-1</f>
        <v>8.3566955224383399E-3</v>
      </c>
      <c r="BR96" s="3">
        <f>-(N70_DESARROLLO!BQ11/0.014285714)*LN(N70_DESARROLLO!BQ11/N70_DESARROLLO!BP11)-1</f>
        <v>8.219321368495569E-3</v>
      </c>
      <c r="BS96" s="3">
        <f>-(N70_DESARROLLO!BR11/0.014285714)*LN(N70_DESARROLLO!BR11/N70_DESARROLLO!BQ11)-1</f>
        <v>8.0863907794463952E-3</v>
      </c>
      <c r="BT96" s="3">
        <f>-(N70_DESARROLLO!BS11/0.014285714)*LN(N70_DESARROLLO!BS11/N70_DESARROLLO!BR11)-1</f>
        <v>7.9576915835790629E-3</v>
      </c>
      <c r="BU96" s="3">
        <f>-(N70_DESARROLLO!BT11/0.014285714)*LN(N70_DESARROLLO!BT11/N70_DESARROLLO!BS11)-1</f>
        <v>7.8330249053730761E-3</v>
      </c>
      <c r="BV96" s="3">
        <f>-(N70_DESARROLLO!BU11/0.014285714)*LN(N70_DESARROLLO!BU11/N70_DESARROLLO!BT11)-1</f>
        <v>7.7122041401482821E-3</v>
      </c>
      <c r="BW96" s="3">
        <f>-(N70_DESARROLLO!BV11/0.014285714)*LN(N70_DESARROLLO!BV11/N70_DESARROLLO!BU11)-1</f>
        <v>7.595054021950487E-3</v>
      </c>
      <c r="BX96" s="3">
        <f>-(N70_DESARROLLO!BW11/0.014285714)*LN(N70_DESARROLLO!BW11/N70_DESARROLLO!BV11)-1</f>
        <v>7.4814097752293751E-3</v>
      </c>
      <c r="BY96" s="3">
        <f>-(N70_DESARROLLO!BX11/0.014285714)*LN(N70_DESARROLLO!BX11/N70_DESARROLLO!BW11)-1</f>
        <v>1.5457351428759534</v>
      </c>
      <c r="BZ96" s="10"/>
      <c r="CA96" s="10"/>
      <c r="CB96" s="10"/>
      <c r="CC96" s="10"/>
      <c r="CD96" s="1">
        <v>2</v>
      </c>
      <c r="CE96" s="1">
        <v>0</v>
      </c>
      <c r="CF96" s="1">
        <f>(1+(N70_DESARROLLO!F11/0.014285714)*LN(N70_DESARROLLO!G11/N70_DESARROLLO!F11))</f>
        <v>-0.64791846596053371</v>
      </c>
      <c r="CG96" s="1">
        <v>1</v>
      </c>
      <c r="CH96" s="1">
        <f>(1+(N70_DESARROLLO!H11/0.014285714)*LN(N70_DESARROLLO!I11/N70_DESARROLLO!H11))</f>
        <v>0.4506938446798221</v>
      </c>
      <c r="CI96" s="1">
        <f>(1+(N70_DESARROLLO!I11/0.014285714)*LN(N70_DESARROLLO!J11/N70_DESARROLLO!I11))</f>
        <v>0.23376154902624502</v>
      </c>
      <c r="CJ96" s="1">
        <f>(1+(N70_DESARROLLO!J11/0.014285714)*LN(N70_DESARROLLO!K11/N70_DESARROLLO!J11))</f>
        <v>0.15881939162335557</v>
      </c>
      <c r="CK96" s="1">
        <f>(1+(N70_DESARROLLO!K11/0.014285714)*LN(N70_DESARROLLO!L11/N70_DESARROLLO!K11))</f>
        <v>0.12039948342481865</v>
      </c>
      <c r="CL96" s="1">
        <f>(1+(N70_DESARROLLO!L11/0.014285714)*LN(N70_DESARROLLO!M11/N70_DESARROLLO!L11))</f>
        <v>9.69818523599566E-2</v>
      </c>
      <c r="CM96" s="1">
        <f>(1+(N70_DESARROLLO!M11/0.014285714)*LN(N70_DESARROLLO!N11/N70_DESARROLLO!M11))</f>
        <v>8.120251597663608E-2</v>
      </c>
      <c r="CN96" s="1">
        <f>(1+(N70_DESARROLLO!N11/0.014285714)*LN(N70_DESARROLLO!O11/N70_DESARROLLO!N11))</f>
        <v>6.984449773251511E-2</v>
      </c>
      <c r="CO96" s="1">
        <f>(1+(N70_DESARROLLO!O11/0.014285714)*LN(N70_DESARROLLO!P11/N70_DESARROLLO!O11))</f>
        <v>6.1276409070483373E-2</v>
      </c>
      <c r="CP96" s="1">
        <f>(1+(N70_DESARROLLO!P11/0.014285714)*LN(N70_DESARROLLO!Q11/N70_DESARROLLO!P11))</f>
        <v>5.4582082654734188E-2</v>
      </c>
      <c r="CQ96" s="1">
        <f>(1+(N70_DESARROLLO!Q11/0.014285714)*LN(N70_DESARROLLO!R11/N70_DESARROLLO!Q11))</f>
        <v>4.9207124692807636E-2</v>
      </c>
      <c r="CR96" s="1">
        <f>(1+(N70_DESARROLLO!R11/0.014285714)*LN(N70_DESARROLLO!S11/N70_DESARROLLO!R11))</f>
        <v>4.479630973579507E-2</v>
      </c>
      <c r="CS96" s="1">
        <f>(1+(N70_DESARROLLO!S11/0.014285714)*LN(N70_DESARROLLO!T11/N70_DESARROLLO!S11))</f>
        <v>4.1111478023143078E-2</v>
      </c>
      <c r="CT96" s="1">
        <f>(1+(N70_DESARROLLO!T11/0.014285714)*LN(N70_DESARROLLO!U11/N70_DESARROLLO!T11))</f>
        <v>3.7986966558134605E-2</v>
      </c>
      <c r="CU96" s="1">
        <f>(1+(N70_DESARROLLO!U11/0.014285714)*LN(N70_DESARROLLO!V11/N70_DESARROLLO!U11))</f>
        <v>3.5303966947121235E-2</v>
      </c>
      <c r="CV96" s="1">
        <f>(1+(N70_DESARROLLO!V11/0.014285714)*LN(N70_DESARROLLO!W11/N70_DESARROLLO!V11))</f>
        <v>3.297505042875204E-2</v>
      </c>
      <c r="CW96" s="1">
        <f>(1+(N70_DESARROLLO!W11/0.014285714)*LN(N70_DESARROLLO!X11/N70_DESARROLLO!W11))</f>
        <v>3.0934447408012988E-2</v>
      </c>
      <c r="CX96" s="1">
        <f>(1+(N70_DESARROLLO!X11/0.014285714)*LN(N70_DESARROLLO!Y11/N70_DESARROLLO!X11))</f>
        <v>2.9131730204233652E-2</v>
      </c>
      <c r="CY96" s="1">
        <f>(1+(N70_DESARROLLO!Y11/0.014285714)*LN(N70_DESARROLLO!Z11/N70_DESARROLLO!Y11))</f>
        <v>2.7527585341359462E-2</v>
      </c>
      <c r="CZ96" s="1">
        <f>(1+(N70_DESARROLLO!Z11/0.014285714)*LN(N70_DESARROLLO!AA11/N70_DESARROLLO!Z11))</f>
        <v>2.6090911041509512E-2</v>
      </c>
      <c r="DA96" s="1">
        <f>(1+(N70_DESARROLLO!AA11/0.014285714)*LN(N70_DESARROLLO!AB11/N70_DESARROLLO!AA11))</f>
        <v>2.4796779290037985E-2</v>
      </c>
      <c r="DB96" s="1">
        <f>(1+(N70_DESARROLLO!AB11/0.014285714)*LN(N70_DESARROLLO!AC11/N70_DESARROLLO!AB11))</f>
        <v>2.3624976192778924E-2</v>
      </c>
      <c r="DC96" s="1">
        <f>(1+(N70_DESARROLLO!AC11/0.014285714)*LN(N70_DESARROLLO!AD11/N70_DESARROLLO!AC11))</f>
        <v>2.2558937800894241E-2</v>
      </c>
      <c r="DD96" s="1">
        <f>(1+(N70_DESARROLLO!AD11/0.014285714)*LN(N70_DESARROLLO!AE11/N70_DESARROLLO!AD11))</f>
        <v>2.1584961787574075E-2</v>
      </c>
      <c r="DE96" s="1">
        <f>(1+(N70_DESARROLLO!AE11/0.014285714)*LN(N70_DESARROLLO!AF11/N70_DESARROLLO!AE11))</f>
        <v>2.0691615000482333E-2</v>
      </c>
      <c r="DF96" s="1">
        <f>(1+(N70_DESARROLLO!AF11/0.014285714)*LN(N70_DESARROLLO!AG11/N70_DESARROLLO!AF11))</f>
        <v>1.9869282361760221E-2</v>
      </c>
      <c r="DG96" s="1">
        <f>(1+(N70_DESARROLLO!AG11/0.014285714)*LN(N70_DESARROLLO!AH11/N70_DESARROLLO!AG11))</f>
        <v>1.9109819273394724E-2</v>
      </c>
      <c r="DH96" s="1">
        <f>(1+(N70_DESARROLLO!AH11/0.014285714)*LN(N70_DESARROLLO!AI11/N70_DESARROLLO!AH11))</f>
        <v>1.8406280838875078E-2</v>
      </c>
      <c r="DI96" s="1">
        <f>(1+(N70_DESARROLLO!AI11/0.014285714)*LN(N70_DESARROLLO!AJ11/N70_DESARROLLO!AI11))</f>
        <v>1.7752708797874939E-2</v>
      </c>
      <c r="DJ96" s="1">
        <f>(1+(N70_DESARROLLO!AJ11/0.014285714)*LN(N70_DESARROLLO!AK11/N70_DESARROLLO!AJ11))</f>
        <v>1.7143962314551175E-2</v>
      </c>
      <c r="DK96" s="1">
        <f>(1+(N70_DESARROLLO!AK11/0.014285714)*LN(N70_DESARROLLO!AL11/N70_DESARROLLO!AK11))</f>
        <v>1.657558243755608E-2</v>
      </c>
      <c r="DL96" s="1">
        <f>(1+(N70_DESARROLLO!AL11/0.014285714)*LN(N70_DESARROLLO!AM11/N70_DESARROLLO!AL11))</f>
        <v>1.6043682665118575E-2</v>
      </c>
      <c r="DM96" s="1">
        <f>(1+(N70_DESARROLLO!AM11/0.014285714)*LN(N70_DESARROLLO!AN11/N70_DESARROLLO!AM11))</f>
        <v>1.5544859931604482E-2</v>
      </c>
      <c r="DN96" s="1">
        <f>(1+(N70_DESARROLLO!AN11/0.014285714)*LN(N70_DESARROLLO!AO11/N70_DESARROLLO!AN11))</f>
        <v>1.5076121703327949E-2</v>
      </c>
      <c r="DO96" s="1">
        <f>(1+(N70_DESARROLLO!AO11/0.014285714)*LN(N70_DESARROLLO!AP11/N70_DESARROLLO!AO11))</f>
        <v>1.4634825881874591E-2</v>
      </c>
      <c r="DP96" s="1">
        <f>(1+(N70_DESARROLLO!AP11/0.014285714)*LN(N70_DESARROLLO!AQ11/N70_DESARROLLO!AP11))</f>
        <v>1.4218630964442425E-2</v>
      </c>
      <c r="DQ96" s="1">
        <f>(1+(N70_DESARROLLO!AQ11/0.014285714)*LN(N70_DESARROLLO!AR11/N70_DESARROLLO!AQ11))</f>
        <v>1.3825454475322685E-2</v>
      </c>
      <c r="DR96" s="1">
        <f>(1+(N70_DESARROLLO!AR11/0.014285714)*LN(N70_DESARROLLO!AS11/N70_DESARROLLO!AR11))</f>
        <v>1.3453438110010096E-2</v>
      </c>
      <c r="DS96" s="1">
        <f>(1+(N70_DESARROLLO!AS11/0.014285714)*LN(N70_DESARROLLO!AT11/N70_DESARROLLO!AS11))</f>
        <v>1.3100918360517522E-2</v>
      </c>
      <c r="DT96" s="1">
        <f>(1+(N70_DESARROLLO!AT11/0.014285714)*LN(N70_DESARROLLO!AU11/N70_DESARROLLO!AT11))</f>
        <v>1.2766401641828407E-2</v>
      </c>
      <c r="DU96" s="1">
        <f>(1+(N70_DESARROLLO!AU11/0.014285714)*LN(N70_DESARROLLO!AV11/N70_DESARROLLO!AU11))</f>
        <v>1.2448543134991996E-2</v>
      </c>
      <c r="DV96" s="1">
        <f>(1+(N70_DESARROLLO!AV11/0.014285714)*LN(N70_DESARROLLO!AW11/N70_DESARROLLO!AV11))</f>
        <v>1.2146128714481286E-2</v>
      </c>
      <c r="DW96" s="1">
        <f>(1+(N70_DESARROLLO!AW11/0.014285714)*LN(N70_DESARROLLO!AX11/N70_DESARROLLO!AW11))</f>
        <v>1.1858059447839131E-2</v>
      </c>
      <c r="DX96" s="1">
        <f>(1+(N70_DESARROLLO!AX11/0.014285714)*LN(N70_DESARROLLO!AY11/N70_DESARROLLO!AX11))</f>
        <v>1.1583338250311548E-2</v>
      </c>
      <c r="DY96" s="1">
        <f>(1+(N70_DESARROLLO!AY11/0.014285714)*LN(N70_DESARROLLO!AZ11/N70_DESARROLLO!AY11))</f>
        <v>1.1321058352721902E-2</v>
      </c>
      <c r="DZ96" s="1">
        <f>(1+(N70_DESARROLLO!AZ11/0.014285714)*LN(N70_DESARROLLO!BA11/N70_DESARROLLO!AZ11))</f>
        <v>1.1070393301811032E-2</v>
      </c>
      <c r="EA96" s="1">
        <f>(1+(N70_DESARROLLO!BA11/0.014285714)*LN(N70_DESARROLLO!BB11/N70_DESARROLLO!BA11))</f>
        <v>1.0830588260137164E-2</v>
      </c>
      <c r="EB96" s="1">
        <f>(1+(N70_DESARROLLO!BB11/0.014285714)*LN(N70_DESARROLLO!BC11/N70_DESARROLLO!BB11))</f>
        <v>1.0600952413272191E-2</v>
      </c>
      <c r="EC96" s="1">
        <f>(1+(N70_DESARROLLO!BC11/0.014285714)*LN(N70_DESARROLLO!BD11/N70_DESARROLLO!BC11))</f>
        <v>1.0380852322619649E-2</v>
      </c>
      <c r="ED96" s="1">
        <f>(1+(N70_DESARROLLO!BD11/0.014285714)*LN(N70_DESARROLLO!BE11/N70_DESARROLLO!BD11))</f>
        <v>1.0169706089853126E-2</v>
      </c>
      <c r="EE96" s="1">
        <f>(1+(N70_DESARROLLO!BE11/0.014285714)*LN(N70_DESARROLLO!BF11/N70_DESARROLLO!BE11))</f>
        <v>9.9669782191919021E-3</v>
      </c>
      <c r="EF96" s="1">
        <f>(1+(N70_DESARROLLO!BF11/0.014285714)*LN(N70_DESARROLLO!BG11/N70_DESARROLLO!BF11))</f>
        <v>9.77217508243855E-3</v>
      </c>
      <c r="EG96" s="1">
        <f>(1+(N70_DESARROLLO!BG11/0.014285714)*LN(N70_DESARROLLO!BH11/N70_DESARROLLO!BG11))</f>
        <v>9.5848409054859474E-3</v>
      </c>
      <c r="EH96" s="1">
        <f>(1+(N70_DESARROLLO!BH11/0.014285714)*LN(N70_DESARROLLO!BI11/N70_DESARROLLO!BH11))</f>
        <v>9.4045542079861377E-3</v>
      </c>
      <c r="EI96" s="1">
        <f>(1+(N70_DESARROLLO!BI11/0.014285714)*LN(N70_DESARROLLO!BJ11/N70_DESARROLLO!BI11))</f>
        <v>9.230924637410709E-3</v>
      </c>
      <c r="EJ96" s="1">
        <f>(1+(N70_DESARROLLO!BJ11/0.014285714)*LN(N70_DESARROLLO!BK11/N70_DESARROLLO!BJ11))</f>
        <v>9.0635901473870017E-3</v>
      </c>
      <c r="EK96" s="1">
        <f>(1+(N70_DESARROLLO!BK11/0.014285714)*LN(N70_DESARROLLO!BL11/N70_DESARROLLO!BK11))</f>
        <v>8.9022144776851331E-3</v>
      </c>
      <c r="EL96" s="1">
        <f>(1+(N70_DESARROLLO!BL11/0.014285714)*LN(N70_DESARROLLO!BM11/N70_DESARROLLO!BL11))</f>
        <v>8.7464848985416843E-3</v>
      </c>
      <c r="EM96" s="1">
        <f>(1+(N70_DESARROLLO!BM11/0.014285714)*LN(N70_DESARROLLO!BN11/N70_DESARROLLO!BM11))</f>
        <v>8.5961101878297974E-3</v>
      </c>
      <c r="EN96" s="1">
        <f>(1+(N70_DESARROLLO!BN11/0.014285714)*LN(N70_DESARROLLO!BO11/N70_DESARROLLO!BN11))</f>
        <v>8.4508188132711437E-3</v>
      </c>
      <c r="EO96" s="1">
        <f>(1+(N70_DESARROLLO!BO11/0.014285714)*LN(N70_DESARROLLO!BP11/N70_DESARROLLO!BO11))</f>
        <v>8.3103572961144012E-3</v>
      </c>
      <c r="EP96" s="1">
        <f>(1+(N70_DESARROLLO!BP11/0.014285714)*LN(N70_DESARROLLO!BQ11/N70_DESARROLLO!BP11))</f>
        <v>8.1744887350573281E-3</v>
      </c>
      <c r="EQ96" s="1">
        <f>(1+(N70_DESARROLLO!BQ11/0.014285714)*LN(N70_DESARROLLO!BR11/N70_DESARROLLO!BQ11))</f>
        <v>8.0429914730246743E-3</v>
      </c>
      <c r="ER96" s="1">
        <f>(1+(N70_DESARROLLO!BR11/0.014285714)*LN(N70_DESARROLLO!BS11/N70_DESARROLLO!BR11))</f>
        <v>7.9156578901778962E-3</v>
      </c>
      <c r="ES96" s="1">
        <f>(1+(N70_DESARROLLO!BS11/0.014285714)*LN(N70_DESARROLLO!BT11/N70_DESARROLLO!BS11))</f>
        <v>7.7922933102142489E-3</v>
      </c>
      <c r="ET96" s="1">
        <f>(1+(N70_DESARROLLO!BT11/0.014285714)*LN(N70_DESARROLLO!BU11/N70_DESARROLLO!BT11))</f>
        <v>7.6727150070293737E-3</v>
      </c>
      <c r="EU96" s="1">
        <f>(1+(N70_DESARROLLO!BU11/0.014285714)*LN(N70_DESARROLLO!BV11/N70_DESARROLLO!BU11))</f>
        <v>7.5567513016880916E-3</v>
      </c>
      <c r="EV96" s="1">
        <f>(1+(N70_DESARROLLO!BV11/0.014285714)*LN(N70_DESARROLLO!BW11/N70_DESARROLLO!BV11))</f>
        <v>7.4442407399590849E-3</v>
      </c>
      <c r="EW96" s="1">
        <f>(1+(N70_DESARROLLO!BW11/0.014285714)*LN(N70_DESARROLLO!BX11/N70_DESARROLLO!BW11))</f>
        <v>-1.4548160306303832</v>
      </c>
      <c r="EX96" s="10"/>
      <c r="EY96" s="10"/>
    </row>
    <row r="97" spans="5:155" x14ac:dyDescent="0.25">
      <c r="E97" s="6" t="s">
        <v>24</v>
      </c>
      <c r="F97" s="12"/>
      <c r="G97" s="3">
        <v>3</v>
      </c>
      <c r="H97" s="3">
        <f>-(N70_DESARROLLO!G12/0.014285714)*LN(N70_DESARROLLO!G12/N70_DESARROLLO!F12)-1</f>
        <v>-0.23376154902624513</v>
      </c>
      <c r="I97" s="3">
        <f>-(N70_DESARROLLO!H12/0.014285714)*LN(N70_DESARROLLO!H12/N70_DESARROLLO!G12)-1</f>
        <v>-0.45069384467982199</v>
      </c>
      <c r="J97" s="3">
        <v>-1</v>
      </c>
      <c r="K97" s="3">
        <f>-(N70_DESARROLLO!J12/0.014285714)*LN(N70_DESARROLLO!J12/N70_DESARROLLO!I12)-1</f>
        <v>0.64791846596053349</v>
      </c>
      <c r="L97" s="3">
        <f>-(N70_DESARROLLO!K12/0.014285714)*LN(N70_DESARROLLO!K12/N70_DESARROLLO!J12)-1</f>
        <v>0.27706408495625823</v>
      </c>
      <c r="M97" s="3">
        <f>-(N70_DESARROLLO!L12/0.014285714)*LN(N70_DESARROLLO!L12/N70_DESARROLLO!K12)-1</f>
        <v>0.17765285172730261</v>
      </c>
      <c r="N97" s="3">
        <f>-(N70_DESARROLLO!M12/0.014285714)*LN(N70_DESARROLLO!M12/N70_DESARROLLO!L12)-1</f>
        <v>0.13091494988237584</v>
      </c>
      <c r="O97" s="3">
        <f>-(N70_DESARROLLO!N12/0.014285714)*LN(N70_DESARROLLO!N12/N70_DESARROLLO!M12)-1</f>
        <v>0.10368884711560877</v>
      </c>
      <c r="P97" s="3">
        <f>-(N70_DESARROLLO!O12/0.014285714)*LN(N70_DESARROLLO!O12/N70_DESARROLLO!N12)-1</f>
        <v>8.5851572027610734E-2</v>
      </c>
      <c r="Q97" s="3">
        <f>-(N70_DESARROLLO!P12/0.014285714)*LN(N70_DESARROLLO!P12/N70_DESARROLLO!O12)-1</f>
        <v>7.3256348770177615E-2</v>
      </c>
      <c r="R97" s="3">
        <f>-(N70_DESARROLLO!Q12/0.014285714)*LN(N70_DESARROLLO!Q12/N70_DESARROLLO!P12)-1</f>
        <v>6.3886736386785659E-2</v>
      </c>
      <c r="S97" s="3">
        <f>-(N70_DESARROLLO!R12/0.014285714)*LN(N70_DESARROLLO!R12/N70_DESARROLLO!Q12)-1</f>
        <v>5.6643554680004815E-2</v>
      </c>
      <c r="T97" s="3">
        <f>-(N70_DESARROLLO!S12/0.014285714)*LN(N70_DESARROLLO!S12/N70_DESARROLLO!R12)-1</f>
        <v>5.0876335865844613E-2</v>
      </c>
      <c r="U97" s="3">
        <f>-(N70_DESARROLLO!T12/0.014285714)*LN(N70_DESARROLLO!T12/N70_DESARROLLO!S12)-1</f>
        <v>4.6175470289362641E-2</v>
      </c>
      <c r="V97" s="3">
        <f>-(N70_DESARROLLO!U12/0.014285714)*LN(N70_DESARROLLO!U12/N70_DESARROLLO!T12)-1</f>
        <v>4.2270132583539954E-2</v>
      </c>
      <c r="W97" s="3">
        <f>-(N70_DESARROLLO!V12/0.014285714)*LN(N70_DESARROLLO!V12/N70_DESARROLLO!U12)-1</f>
        <v>3.8974076117214818E-2</v>
      </c>
      <c r="X97" s="3">
        <f>-(N70_DESARROLLO!W12/0.014285714)*LN(N70_DESARROLLO!W12/N70_DESARROLLO!V12)-1</f>
        <v>3.6154998464203114E-2</v>
      </c>
      <c r="Y97" s="3">
        <f>-(N70_DESARROLLO!X12/0.014285714)*LN(N70_DESARROLLO!X12/N70_DESARROLLO!W12)-1</f>
        <v>3.3716325403748026E-2</v>
      </c>
      <c r="Z97" s="3">
        <f>-(N70_DESARROLLO!Y12/0.014285714)*LN(N70_DESARROLLO!Y12/N70_DESARROLLO!X12)-1</f>
        <v>3.158591082372797E-2</v>
      </c>
      <c r="AA97" s="3">
        <f>-(N70_DESARROLLO!Z12/0.014285714)*LN(N70_DESARROLLO!Z12/N70_DESARROLLO!Y12)-1</f>
        <v>2.9708770995509948E-2</v>
      </c>
      <c r="AB97" s="3">
        <f>-(N70_DESARROLLO!AA12/0.014285714)*LN(N70_DESARROLLO!AA12/N70_DESARROLLO!Z12)-1</f>
        <v>2.8042266924845016E-2</v>
      </c>
      <c r="AC97" s="3">
        <f>-(N70_DESARROLLO!AB12/0.014285714)*LN(N70_DESARROLLO!AB12/N70_DESARROLLO!AA12)-1</f>
        <v>2.6552823496787115E-2</v>
      </c>
      <c r="AD97" s="3">
        <f>-(N70_DESARROLLO!AC12/0.014285714)*LN(N70_DESARROLLO!AC12/N70_DESARROLLO!AB12)-1</f>
        <v>2.5213642284831916E-2</v>
      </c>
      <c r="AE97" s="3">
        <f>-(N70_DESARROLLO!AD12/0.014285714)*LN(N70_DESARROLLO!AD12/N70_DESARROLLO!AC12)-1</f>
        <v>2.4003073749036874E-2</v>
      </c>
      <c r="AF97" s="3">
        <f>-(N70_DESARROLLO!AE12/0.014285714)*LN(N70_DESARROLLO!AE12/N70_DESARROLLO!AD12)-1</f>
        <v>2.2903437185110676E-2</v>
      </c>
      <c r="AG97" s="3">
        <f>-(N70_DESARROLLO!AF12/0.014285714)*LN(N70_DESARROLLO!AF12/N70_DESARROLLO!AE12)-1</f>
        <v>2.1900151021867043E-2</v>
      </c>
      <c r="AH97" s="3">
        <f>-(N70_DESARROLLO!AG12/0.014285714)*LN(N70_DESARROLLO!AG12/N70_DESARROLLO!AF12)-1</f>
        <v>2.0981082233534565E-2</v>
      </c>
      <c r="AI97" s="3">
        <f>-(N70_DESARROLLO!AH12/0.014285714)*LN(N70_DESARROLLO!AH12/N70_DESARROLLO!AG12)-1</f>
        <v>2.0136053052050906E-2</v>
      </c>
      <c r="AJ97" s="3">
        <f>-(N70_DESARROLLO!AI12/0.014285714)*LN(N70_DESARROLLO!AI12/N70_DESARROLLO!AH12)-1</f>
        <v>1.9356462323727008E-2</v>
      </c>
      <c r="AK97" s="3">
        <f>-(N70_DESARROLLO!AJ12/0.014285714)*LN(N70_DESARROLLO!AJ12/N70_DESARROLLO!AI12)-1</f>
        <v>1.8634991582299421E-2</v>
      </c>
      <c r="AL97" s="3">
        <f>-(N70_DESARROLLO!AK12/0.014285714)*LN(N70_DESARROLLO!AK12/N70_DESARROLLO!AJ12)-1</f>
        <v>1.7965374518565946E-2</v>
      </c>
      <c r="AM97" s="3">
        <f>-(N70_DESARROLLO!AL12/0.014285714)*LN(N70_DESARROLLO!AL12/N70_DESARROLLO!AK12)-1</f>
        <v>1.7342214446341764E-2</v>
      </c>
      <c r="AN97" s="3">
        <f>-(N70_DESARROLLO!AM12/0.014285714)*LN(N70_DESARROLLO!AM12/N70_DESARROLLO!AL12)-1</f>
        <v>1.676083849676413E-2</v>
      </c>
      <c r="AO97" s="3">
        <f>-(N70_DESARROLLO!AN12/0.014285714)*LN(N70_DESARROLLO!AN12/N70_DESARROLLO!AM12)-1</f>
        <v>1.6217180198320191E-2</v>
      </c>
      <c r="AP97" s="3">
        <f>-(N70_DESARROLLO!AO12/0.014285714)*LN(N70_DESARROLLO!AO12/N70_DESARROLLO!AN12)-1</f>
        <v>1.5707684197550975E-2</v>
      </c>
      <c r="AQ97" s="3">
        <f>-(N70_DESARROLLO!AP12/0.014285714)*LN(N70_DESARROLLO!AP12/N70_DESARROLLO!AO12)-1</f>
        <v>1.5229228398100814E-2</v>
      </c>
      <c r="AR97" s="3">
        <f>-(N70_DESARROLLO!AQ12/0.014285714)*LN(N70_DESARROLLO!AQ12/N70_DESARROLLO!AP12)-1</f>
        <v>1.4779059912703785E-2</v>
      </c>
      <c r="AS97" s="3">
        <f>-(N70_DESARROLLO!AR12/0.014285714)*LN(N70_DESARROLLO!AR12/N70_DESARROLLO!AQ12)-1</f>
        <v>1.4354742051081004E-2</v>
      </c>
      <c r="AT97" s="3">
        <f>-(N70_DESARROLLO!AS12/0.014285714)*LN(N70_DESARROLLO!AS12/N70_DESARROLLO!AR12)-1</f>
        <v>1.3954110187352153E-2</v>
      </c>
      <c r="AU97" s="3">
        <f>-(N70_DESARROLLO!AT12/0.014285714)*LN(N70_DESARROLLO!AT12/N70_DESARROLLO!AS12)-1</f>
        <v>1.3575234818474557E-2</v>
      </c>
      <c r="AV97" s="3">
        <f>-(N70_DESARROLLO!AU12/0.014285714)*LN(N70_DESARROLLO!AU12/N70_DESARROLLO!AT12)-1</f>
        <v>1.3216390483210549E-2</v>
      </c>
      <c r="AW97" s="3">
        <f>-(N70_DESARROLLO!AV12/0.014285714)*LN(N70_DESARROLLO!AV12/N70_DESARROLLO!AU12)-1</f>
        <v>1.2876029484357954E-2</v>
      </c>
      <c r="AX97" s="3">
        <f>-(N70_DESARROLLO!AW12/0.014285714)*LN(N70_DESARROLLO!AW12/N70_DESARROLLO!AV12)-1</f>
        <v>1.25527595704511E-2</v>
      </c>
      <c r="AY97" s="3">
        <f>-(N70_DESARROLLO!AX12/0.014285714)*LN(N70_DESARROLLO!AX12/N70_DESARROLLO!AW12)-1</f>
        <v>1.2245324897516063E-2</v>
      </c>
      <c r="AZ97" s="3">
        <f>-(N70_DESARROLLO!AY12/0.014285714)*LN(N70_DESARROLLO!AY12/N70_DESARROLLO!AX12)-1</f>
        <v>1.1952589722083351E-2</v>
      </c>
      <c r="BA97" s="3">
        <f>-(N70_DESARROLLO!AZ12/0.014285714)*LN(N70_DESARROLLO!AZ12/N70_DESARROLLO!AY12)-1</f>
        <v>1.1673524379102407E-2</v>
      </c>
      <c r="BB97" s="3">
        <f>-(N70_DESARROLLO!BA12/0.014285714)*LN(N70_DESARROLLO!BA12/N70_DESARROLLO!AZ12)-1</f>
        <v>1.1407193179389985E-2</v>
      </c>
      <c r="BC97" s="3">
        <f>-(N70_DESARROLLO!BB12/0.014285714)*LN(N70_DESARROLLO!BB12/N70_DESARROLLO!BA12)-1</f>
        <v>1.1152743927371533E-2</v>
      </c>
      <c r="BD97" s="3">
        <f>-(N70_DESARROLLO!BC12/0.014285714)*LN(N70_DESARROLLO!BC12/N70_DESARROLLO!BB12)-1</f>
        <v>1.0909398811058679E-2</v>
      </c>
      <c r="BE97" s="3">
        <f>-(N70_DESARROLLO!BD12/0.014285714)*LN(N70_DESARROLLO!BD12/N70_DESARROLLO!BC12)-1</f>
        <v>1.0676446459560784E-2</v>
      </c>
      <c r="BF97" s="3">
        <f>-(N70_DESARROLLO!BE12/0.014285714)*LN(N70_DESARROLLO!BE12/N70_DESARROLLO!BD12)-1</f>
        <v>1.0453234996893546E-2</v>
      </c>
      <c r="BG97" s="3">
        <f>-(N70_DESARROLLO!BF12/0.014285714)*LN(N70_DESARROLLO!BF12/N70_DESARROLLO!BE12)-1</f>
        <v>1.0239165949542439E-2</v>
      </c>
      <c r="BH97" s="3">
        <f>-(N70_DESARROLLO!BG12/0.014285714)*LN(N70_DESARROLLO!BG12/N70_DESARROLLO!BF12)-1</f>
        <v>1.003368888748013E-2</v>
      </c>
      <c r="BI97" s="3">
        <f>-(N70_DESARROLLO!BH12/0.014285714)*LN(N70_DESARROLLO!BH12/N70_DESARROLLO!BG12)-1</f>
        <v>9.8362966981071498E-3</v>
      </c>
      <c r="BJ97" s="3">
        <f>-(N70_DESARROLLO!BI12/0.014285714)*LN(N70_DESARROLLO!BI12/N70_DESARROLLO!BH12)-1</f>
        <v>9.6465214070291516E-3</v>
      </c>
      <c r="BK97" s="3">
        <f>-(N70_DESARROLLO!BJ12/0.014285714)*LN(N70_DESARROLLO!BJ12/N70_DESARROLLO!BI12)-1</f>
        <v>9.4639304737549335E-3</v>
      </c>
      <c r="BL97" s="3">
        <f>-(N70_DESARROLLO!BK12/0.014285714)*LN(N70_DESARROLLO!BK12/N70_DESARROLLO!BJ12)-1</f>
        <v>9.2881235002080231E-3</v>
      </c>
      <c r="BM97" s="3">
        <f>-(N70_DESARROLLO!BL12/0.014285714)*LN(N70_DESARROLLO!BL12/N70_DESARROLLO!BK12)-1</f>
        <v>9.118729299437689E-3</v>
      </c>
      <c r="BN97" s="3">
        <f>-(N70_DESARROLLO!BM12/0.014285714)*LN(N70_DESARROLLO!BM12/N70_DESARROLLO!BL12)-1</f>
        <v>8.9554032794736393E-3</v>
      </c>
      <c r="BO97" s="3">
        <f>-(N70_DESARROLLO!BN12/0.014285714)*LN(N70_DESARROLLO!BN12/N70_DESARROLLO!BM12)-1</f>
        <v>8.7978251032541088E-3</v>
      </c>
      <c r="BP97" s="3">
        <f>-(N70_DESARROLLO!BO12/0.014285714)*LN(N70_DESARROLLO!BO12/N70_DESARROLLO!BN12)-1</f>
        <v>8.6456965915251427E-3</v>
      </c>
      <c r="BQ97" s="3">
        <f>-(N70_DESARROLLO!BP12/0.014285714)*LN(N70_DESARROLLO!BP12/N70_DESARROLLO!BO12)-1</f>
        <v>8.4987398394804625E-3</v>
      </c>
      <c r="BR97" s="3">
        <f>-(N70_DESARROLLO!BQ12/0.014285714)*LN(N70_DESARROLLO!BQ12/N70_DESARROLLO!BP12)-1</f>
        <v>8.3566955224516626E-3</v>
      </c>
      <c r="BS97" s="3">
        <f>-(N70_DESARROLLO!BR12/0.014285714)*LN(N70_DESARROLLO!BR12/N70_DESARROLLO!BQ12)-1</f>
        <v>8.2193213684820243E-3</v>
      </c>
      <c r="BT97" s="3">
        <f>-(N70_DESARROLLO!BS12/0.014285714)*LN(N70_DESARROLLO!BS12/N70_DESARROLLO!BR12)-1</f>
        <v>8.0863907794463952E-3</v>
      </c>
      <c r="BU97" s="3">
        <f>-(N70_DESARROLLO!BT12/0.014285714)*LN(N70_DESARROLLO!BT12/N70_DESARROLLO!BS12)-1</f>
        <v>7.957691583579285E-3</v>
      </c>
      <c r="BV97" s="3">
        <f>-(N70_DESARROLLO!BU12/0.014285714)*LN(N70_DESARROLLO!BU12/N70_DESARROLLO!BT12)-1</f>
        <v>7.8330249053730761E-3</v>
      </c>
      <c r="BW97" s="3">
        <f>-(N70_DESARROLLO!BV12/0.014285714)*LN(N70_DESARROLLO!BV12/N70_DESARROLLO!BU12)-1</f>
        <v>7.7122041401485042E-3</v>
      </c>
      <c r="BX97" s="3">
        <f>-(N70_DESARROLLO!BW12/0.014285714)*LN(N70_DESARROLLO!BW12/N70_DESARROLLO!BV12)-1</f>
        <v>7.595054021950487E-3</v>
      </c>
      <c r="BY97" s="3">
        <f>-(N70_DESARROLLO!BX12/0.014285714)*LN(N70_DESARROLLO!BX12/N70_DESARROLLO!BW12)-1</f>
        <v>2.5905306789391473</v>
      </c>
      <c r="BZ97" s="10"/>
      <c r="CA97" s="10"/>
      <c r="CB97" s="10"/>
      <c r="CC97" s="10"/>
      <c r="CD97">
        <v>3</v>
      </c>
      <c r="CE97" s="1">
        <v>0</v>
      </c>
      <c r="CF97" s="1">
        <f>(1+(N70_DESARROLLO!F12/0.014285714)*LN(N70_DESARROLLO!G12/N70_DESARROLLO!F12))</f>
        <v>-0.27706408495625801</v>
      </c>
      <c r="CG97" s="1">
        <f>(1+(N70_DESARROLLO!G12/0.014285714)*LN(N70_DESARROLLO!H12/N70_DESARROLLO!G12))</f>
        <v>-0.64791846596053437</v>
      </c>
      <c r="CH97" s="1">
        <v>1</v>
      </c>
      <c r="CI97" s="1">
        <f>(1+(N70_DESARROLLO!I12/0.014285714)*LN(N70_DESARROLLO!J12/N70_DESARROLLO!I12))</f>
        <v>0.45069384467982199</v>
      </c>
      <c r="CJ97" s="1">
        <f>(1+(N70_DESARROLLO!J12/0.014285714)*LN(N70_DESARROLLO!K12/N70_DESARROLLO!J12))</f>
        <v>0.23376154902624502</v>
      </c>
      <c r="CK97" s="1">
        <f>(1+(N70_DESARROLLO!K12/0.014285714)*LN(N70_DESARROLLO!L12/N70_DESARROLLO!K12))</f>
        <v>0.15881939162335534</v>
      </c>
      <c r="CL97" s="1">
        <f>(1+(N70_DESARROLLO!L12/0.014285714)*LN(N70_DESARROLLO!M12/N70_DESARROLLO!L12))</f>
        <v>0.12039948342481854</v>
      </c>
      <c r="CM97" s="1">
        <f>(1+(N70_DESARROLLO!M12/0.014285714)*LN(N70_DESARROLLO!N12/N70_DESARROLLO!M12))</f>
        <v>9.69818523599566E-2</v>
      </c>
      <c r="CN97" s="1">
        <f>(1+(N70_DESARROLLO!N12/0.014285714)*LN(N70_DESARROLLO!O12/N70_DESARROLLO!N12))</f>
        <v>8.1202515976636969E-2</v>
      </c>
      <c r="CO97" s="1">
        <f>(1+(N70_DESARROLLO!O12/0.014285714)*LN(N70_DESARROLLO!P12/N70_DESARROLLO!O12))</f>
        <v>6.9844497732512667E-2</v>
      </c>
      <c r="CP97" s="1">
        <f>(1+(N70_DESARROLLO!P12/0.014285714)*LN(N70_DESARROLLO!Q12/N70_DESARROLLO!P12))</f>
        <v>6.1276409070483262E-2</v>
      </c>
      <c r="CQ97" s="1">
        <f>(1+(N70_DESARROLLO!Q12/0.014285714)*LN(N70_DESARROLLO!R12/N70_DESARROLLO!Q12))</f>
        <v>5.4582082654732633E-2</v>
      </c>
      <c r="CR97" s="1">
        <f>(1+(N70_DESARROLLO!R12/0.014285714)*LN(N70_DESARROLLO!S12/N70_DESARROLLO!R12))</f>
        <v>4.9207124692807414E-2</v>
      </c>
      <c r="CS97" s="1">
        <f>(1+(N70_DESARROLLO!S12/0.014285714)*LN(N70_DESARROLLO!T12/N70_DESARROLLO!S12))</f>
        <v>4.4796309735798956E-2</v>
      </c>
      <c r="CT97" s="1">
        <f>(1+(N70_DESARROLLO!T12/0.014285714)*LN(N70_DESARROLLO!U12/N70_DESARROLLO!T12))</f>
        <v>4.1111478023143189E-2</v>
      </c>
      <c r="CU97" s="1">
        <f>(1+(N70_DESARROLLO!U12/0.014285714)*LN(N70_DESARROLLO!V12/N70_DESARROLLO!U12))</f>
        <v>3.7986966558134605E-2</v>
      </c>
      <c r="CV97" s="1">
        <f>(1+(N70_DESARROLLO!V12/0.014285714)*LN(N70_DESARROLLO!W12/N70_DESARROLLO!V12))</f>
        <v>3.5303966947121235E-2</v>
      </c>
      <c r="CW97" s="1">
        <f>(1+(N70_DESARROLLO!W12/0.014285714)*LN(N70_DESARROLLO!X12/N70_DESARROLLO!W12))</f>
        <v>3.297505042875204E-2</v>
      </c>
      <c r="CX97" s="1">
        <f>(1+(N70_DESARROLLO!X12/0.014285714)*LN(N70_DESARROLLO!Y12/N70_DESARROLLO!X12))</f>
        <v>3.0934447408012988E-2</v>
      </c>
      <c r="CY97" s="1">
        <f>(1+(N70_DESARROLLO!Y12/0.014285714)*LN(N70_DESARROLLO!Z12/N70_DESARROLLO!Y12))</f>
        <v>2.9131730204233652E-2</v>
      </c>
      <c r="CZ97" s="1">
        <f>(1+(N70_DESARROLLO!Z12/0.014285714)*LN(N70_DESARROLLO!AA12/N70_DESARROLLO!Z12))</f>
        <v>2.7527585341362903E-2</v>
      </c>
      <c r="DA97" s="1">
        <f>(1+(N70_DESARROLLO!AA12/0.014285714)*LN(N70_DESARROLLO!AB12/N70_DESARROLLO!AA12))</f>
        <v>2.6090911041509512E-2</v>
      </c>
      <c r="DB97" s="1">
        <f>(1+(N70_DESARROLLO!AB12/0.014285714)*LN(N70_DESARROLLO!AC12/N70_DESARROLLO!AB12))</f>
        <v>2.4796779290037985E-2</v>
      </c>
      <c r="DC97" s="1">
        <f>(1+(N70_DESARROLLO!AC12/0.014285714)*LN(N70_DESARROLLO!AD12/N70_DESARROLLO!AC12))</f>
        <v>2.3624976192778924E-2</v>
      </c>
      <c r="DD97" s="1">
        <f>(1+(N70_DESARROLLO!AD12/0.014285714)*LN(N70_DESARROLLO!AE12/N70_DESARROLLO!AD12))</f>
        <v>2.2558937800894241E-2</v>
      </c>
      <c r="DE97" s="1">
        <f>(1+(N70_DESARROLLO!AE12/0.014285714)*LN(N70_DESARROLLO!AF12/N70_DESARROLLO!AE12))</f>
        <v>2.1584961787574075E-2</v>
      </c>
      <c r="DF97" s="1">
        <f>(1+(N70_DESARROLLO!AF12/0.014285714)*LN(N70_DESARROLLO!AG12/N70_DESARROLLO!AF12))</f>
        <v>2.0691615000487218E-2</v>
      </c>
      <c r="DG97" s="1">
        <f>(1+(N70_DESARROLLO!AG12/0.014285714)*LN(N70_DESARROLLO!AH12/N70_DESARROLLO!AG12))</f>
        <v>1.9869282361755114E-2</v>
      </c>
      <c r="DH97" s="1">
        <f>(1+(N70_DESARROLLO!AH12/0.014285714)*LN(N70_DESARROLLO!AI12/N70_DESARROLLO!AH12))</f>
        <v>1.9109819273394724E-2</v>
      </c>
      <c r="DI97" s="1">
        <f>(1+(N70_DESARROLLO!AI12/0.014285714)*LN(N70_DESARROLLO!AJ12/N70_DESARROLLO!AI12))</f>
        <v>1.8406280838875078E-2</v>
      </c>
      <c r="DJ97" s="1">
        <f>(1+(N70_DESARROLLO!AJ12/0.014285714)*LN(N70_DESARROLLO!AK12/N70_DESARROLLO!AJ12))</f>
        <v>1.7752708797874939E-2</v>
      </c>
      <c r="DK97" s="1">
        <f>(1+(N70_DESARROLLO!AK12/0.014285714)*LN(N70_DESARROLLO!AL12/N70_DESARROLLO!AK12))</f>
        <v>1.7143962314551175E-2</v>
      </c>
      <c r="DL97" s="1">
        <f>(1+(N70_DESARROLLO!AL12/0.014285714)*LN(N70_DESARROLLO!AM12/N70_DESARROLLO!AL12))</f>
        <v>1.657558243755608E-2</v>
      </c>
      <c r="DM97" s="1">
        <f>(1+(N70_DESARROLLO!AM12/0.014285714)*LN(N70_DESARROLLO!AN12/N70_DESARROLLO!AM12))</f>
        <v>1.6043682665118575E-2</v>
      </c>
      <c r="DN97" s="1">
        <f>(1+(N70_DESARROLLO!AN12/0.014285714)*LN(N70_DESARROLLO!AO12/N70_DESARROLLO!AN12))</f>
        <v>1.5544859931604482E-2</v>
      </c>
      <c r="DO97" s="1">
        <f>(1+(N70_DESARROLLO!AO12/0.014285714)*LN(N70_DESARROLLO!AP12/N70_DESARROLLO!AO12))</f>
        <v>1.5076121703334833E-2</v>
      </c>
      <c r="DP97" s="1">
        <f>(1+(N70_DESARROLLO!AP12/0.014285714)*LN(N70_DESARROLLO!AQ12/N70_DESARROLLO!AP12))</f>
        <v>1.4634825881867375E-2</v>
      </c>
      <c r="DQ97" s="1">
        <f>(1+(N70_DESARROLLO!AQ12/0.014285714)*LN(N70_DESARROLLO!AR12/N70_DESARROLLO!AQ12))</f>
        <v>1.4218630964442425E-2</v>
      </c>
      <c r="DR97" s="1">
        <f>(1+(N70_DESARROLLO!AR12/0.014285714)*LN(N70_DESARROLLO!AS12/N70_DESARROLLO!AR12))</f>
        <v>1.3825454475315135E-2</v>
      </c>
      <c r="DS97" s="1">
        <f>(1+(N70_DESARROLLO!AS12/0.014285714)*LN(N70_DESARROLLO!AT12/N70_DESARROLLO!AS12))</f>
        <v>1.3453438110017868E-2</v>
      </c>
      <c r="DT97" s="1">
        <f>(1+(N70_DESARROLLO!AT12/0.014285714)*LN(N70_DESARROLLO!AU12/N70_DESARROLLO!AT12))</f>
        <v>1.3100918360509306E-2</v>
      </c>
      <c r="DU97" s="1">
        <f>(1+(N70_DESARROLLO!AU12/0.014285714)*LN(N70_DESARROLLO!AV12/N70_DESARROLLO!AU12))</f>
        <v>1.2766401641828296E-2</v>
      </c>
      <c r="DV97" s="1">
        <f>(1+(N70_DESARROLLO!AV12/0.014285714)*LN(N70_DESARROLLO!AW12/N70_DESARROLLO!AV12))</f>
        <v>1.2448543134991996E-2</v>
      </c>
      <c r="DW97" s="1">
        <f>(1+(N70_DESARROLLO!AW12/0.014285714)*LN(N70_DESARROLLO!AX12/N70_DESARROLLO!AW12))</f>
        <v>1.2146128714472515E-2</v>
      </c>
      <c r="DX97" s="1">
        <f>(1+(N70_DESARROLLO!AX12/0.014285714)*LN(N70_DESARROLLO!AY12/N70_DESARROLLO!AX12))</f>
        <v>1.1858059447847902E-2</v>
      </c>
      <c r="DY97" s="1">
        <f>(1+(N70_DESARROLLO!AY12/0.014285714)*LN(N70_DESARROLLO!AZ12/N70_DESARROLLO!AY12))</f>
        <v>1.1583338250302444E-2</v>
      </c>
      <c r="DZ97" s="1">
        <f>(1+(N70_DESARROLLO!AZ12/0.014285714)*LN(N70_DESARROLLO!BA12/N70_DESARROLLO!AZ12))</f>
        <v>1.1321058352731117E-2</v>
      </c>
      <c r="EA97" s="1">
        <f>(1+(N70_DESARROLLO!BA12/0.014285714)*LN(N70_DESARROLLO!BB12/N70_DESARROLLO!BA12))</f>
        <v>1.1070393301801484E-2</v>
      </c>
      <c r="EB97" s="1">
        <f>(1+(N70_DESARROLLO!BB12/0.014285714)*LN(N70_DESARROLLO!BC12/N70_DESARROLLO!BB12))</f>
        <v>1.0830588260146934E-2</v>
      </c>
      <c r="EC97" s="1">
        <f>(1+(N70_DESARROLLO!BC12/0.014285714)*LN(N70_DESARROLLO!BD12/N70_DESARROLLO!BC12))</f>
        <v>1.0600952413272191E-2</v>
      </c>
      <c r="ED97" s="1">
        <f>(1+(N70_DESARROLLO!BD12/0.014285714)*LN(N70_DESARROLLO!BE12/N70_DESARROLLO!BD12))</f>
        <v>1.0380852322629863E-2</v>
      </c>
      <c r="EE97" s="1">
        <f>(1+(N70_DESARROLLO!BE12/0.014285714)*LN(N70_DESARROLLO!BF12/N70_DESARROLLO!BE12))</f>
        <v>1.0169706089842467E-2</v>
      </c>
      <c r="EF97" s="1">
        <f>(1+(N70_DESARROLLO!BF12/0.014285714)*LN(N70_DESARROLLO!BG12/N70_DESARROLLO!BF12))</f>
        <v>9.9669782192024492E-3</v>
      </c>
      <c r="EG97" s="1">
        <f>(1+(N70_DESARROLLO!BG12/0.014285714)*LN(N70_DESARROLLO!BH12/N70_DESARROLLO!BG12))</f>
        <v>9.77217508243855E-3</v>
      </c>
      <c r="EH97" s="1">
        <f>(1+(N70_DESARROLLO!BH12/0.014285714)*LN(N70_DESARROLLO!BI12/N70_DESARROLLO!BH12))</f>
        <v>9.5848409054859474E-3</v>
      </c>
      <c r="EI97" s="1">
        <f>(1+(N70_DESARROLLO!BI12/0.014285714)*LN(N70_DESARROLLO!BJ12/N70_DESARROLLO!BI12))</f>
        <v>9.404554207997462E-3</v>
      </c>
      <c r="EJ97" s="1">
        <f>(1+(N70_DESARROLLO!BJ12/0.014285714)*LN(N70_DESARROLLO!BK12/N70_DESARROLLO!BJ12))</f>
        <v>9.230924637410709E-3</v>
      </c>
      <c r="EK97" s="1">
        <f>(1+(N70_DESARROLLO!BK12/0.014285714)*LN(N70_DESARROLLO!BL12/N70_DESARROLLO!BK12))</f>
        <v>9.0635901473987701E-3</v>
      </c>
      <c r="EL97" s="1">
        <f>(1+(N70_DESARROLLO!BL12/0.014285714)*LN(N70_DESARROLLO!BM12/N70_DESARROLLO!BL12))</f>
        <v>8.9022144776851331E-3</v>
      </c>
      <c r="EM97" s="1">
        <f>(1+(N70_DESARROLLO!BM12/0.014285714)*LN(N70_DESARROLLO!BN12/N70_DESARROLLO!BM12))</f>
        <v>8.7464848985415733E-3</v>
      </c>
      <c r="EN97" s="1">
        <f>(1+(N70_DESARROLLO!BN12/0.014285714)*LN(N70_DESARROLLO!BO12/N70_DESARROLLO!BN12))</f>
        <v>8.5961101878172519E-3</v>
      </c>
      <c r="EO97" s="1">
        <f>(1+(N70_DESARROLLO!BO12/0.014285714)*LN(N70_DESARROLLO!BP12/N70_DESARROLLO!BO12))</f>
        <v>8.4508188132838002E-3</v>
      </c>
      <c r="EP97" s="1">
        <f>(1+(N70_DESARROLLO!BP12/0.014285714)*LN(N70_DESARROLLO!BQ12/N70_DESARROLLO!BP12))</f>
        <v>8.3103572961014116E-3</v>
      </c>
      <c r="EQ97" s="1">
        <f>(1+(N70_DESARROLLO!BQ12/0.014285714)*LN(N70_DESARROLLO!BR12/N70_DESARROLLO!BQ12))</f>
        <v>8.1744887350704287E-3</v>
      </c>
      <c r="ER97" s="1">
        <f>(1+(N70_DESARROLLO!BR12/0.014285714)*LN(N70_DESARROLLO!BS12/N70_DESARROLLO!BR12))</f>
        <v>8.0429914730246743E-3</v>
      </c>
      <c r="ES97" s="1">
        <f>(1+(N70_DESARROLLO!BS12/0.014285714)*LN(N70_DESARROLLO!BT12/N70_DESARROLLO!BS12))</f>
        <v>7.9156578901778962E-3</v>
      </c>
      <c r="ET97" s="1">
        <f>(1+(N70_DESARROLLO!BT12/0.014285714)*LN(N70_DESARROLLO!BU12/N70_DESARROLLO!BT12))</f>
        <v>7.7922933102141378E-3</v>
      </c>
      <c r="EU97" s="1">
        <f>(1+(N70_DESARROLLO!BU12/0.014285714)*LN(N70_DESARROLLO!BV12/N70_DESARROLLO!BU12))</f>
        <v>7.6727150070293737E-3</v>
      </c>
      <c r="EV97" s="1">
        <f>(1+(N70_DESARROLLO!BV12/0.014285714)*LN(N70_DESARROLLO!BW12/N70_DESARROLLO!BV12))</f>
        <v>7.5567513016878696E-3</v>
      </c>
      <c r="EW97" s="1">
        <f>(1+(N70_DESARROLLO!BW12/0.014285714)*LN(N70_DESARROLLO!BX12/N70_DESARROLLO!BW12))</f>
        <v>-2.41100414499219</v>
      </c>
      <c r="EX97" s="10"/>
      <c r="EY97" s="10"/>
    </row>
    <row r="98" spans="5:155" x14ac:dyDescent="0.25">
      <c r="G98" s="3">
        <v>4</v>
      </c>
      <c r="H98" s="3">
        <f>-(N70_DESARROLLO!G13/0.014285714)*LN(N70_DESARROLLO!G13/N70_DESARROLLO!F13)-1</f>
        <v>-0.15881939162335545</v>
      </c>
      <c r="I98" s="3">
        <f>-(N70_DESARROLLO!H13/0.014285714)*LN(N70_DESARROLLO!H13/N70_DESARROLLO!G13)-1</f>
        <v>-0.23376154902624469</v>
      </c>
      <c r="J98" s="3">
        <f>-(N70_DESARROLLO!I13/0.014285714)*LN(N70_DESARROLLO!I13/N70_DESARROLLO!H13)-1</f>
        <v>-0.45069384467982188</v>
      </c>
      <c r="K98" s="3">
        <v>-1</v>
      </c>
      <c r="L98" s="3">
        <f>-(N70_DESARROLLO!K13/0.014285714)*LN(N70_DESARROLLO!K13/N70_DESARROLLO!J13)-1</f>
        <v>0.64791846596053393</v>
      </c>
      <c r="M98" s="3">
        <f>-(N70_DESARROLLO!L13/0.014285714)*LN(N70_DESARROLLO!L13/N70_DESARROLLO!K13)-1</f>
        <v>0.27706408495625912</v>
      </c>
      <c r="N98" s="3">
        <f>-(N70_DESARROLLO!M13/0.014285714)*LN(N70_DESARROLLO!M13/N70_DESARROLLO!L13)-1</f>
        <v>0.1776528517273015</v>
      </c>
      <c r="O98" s="3">
        <f>-(N70_DESARROLLO!N13/0.014285714)*LN(N70_DESARROLLO!N13/N70_DESARROLLO!M13)-1</f>
        <v>0.13091494988237651</v>
      </c>
      <c r="P98" s="3">
        <f>-(N70_DESARROLLO!O13/0.014285714)*LN(N70_DESARROLLO!O13/N70_DESARROLLO!N13)-1</f>
        <v>0.10368884711560744</v>
      </c>
      <c r="Q98" s="3">
        <f>-(N70_DESARROLLO!P13/0.014285714)*LN(N70_DESARROLLO!P13/N70_DESARROLLO!O13)-1</f>
        <v>8.5851572027611844E-2</v>
      </c>
      <c r="R98" s="3">
        <f>-(N70_DESARROLLO!Q13/0.014285714)*LN(N70_DESARROLLO!Q13/N70_DESARROLLO!P13)-1</f>
        <v>7.3256348770177615E-2</v>
      </c>
      <c r="S98" s="3">
        <f>-(N70_DESARROLLO!R13/0.014285714)*LN(N70_DESARROLLO!R13/N70_DESARROLLO!Q13)-1</f>
        <v>6.3886736386785659E-2</v>
      </c>
      <c r="T98" s="3">
        <f>-(N70_DESARROLLO!S13/0.014285714)*LN(N70_DESARROLLO!S13/N70_DESARROLLO!R13)-1</f>
        <v>5.6643554680004815E-2</v>
      </c>
      <c r="U98" s="3">
        <f>-(N70_DESARROLLO!T13/0.014285714)*LN(N70_DESARROLLO!T13/N70_DESARROLLO!S13)-1</f>
        <v>5.0876335865839728E-2</v>
      </c>
      <c r="V98" s="3">
        <f>-(N70_DESARROLLO!U13/0.014285714)*LN(N70_DESARROLLO!U13/N70_DESARROLLO!T13)-1</f>
        <v>4.6175470289367304E-2</v>
      </c>
      <c r="W98" s="3">
        <f>-(N70_DESARROLLO!V13/0.014285714)*LN(N70_DESARROLLO!V13/N70_DESARROLLO!U13)-1</f>
        <v>4.2270132583539954E-2</v>
      </c>
      <c r="X98" s="3">
        <f>-(N70_DESARROLLO!W13/0.014285714)*LN(N70_DESARROLLO!W13/N70_DESARROLLO!V13)-1</f>
        <v>3.8974076117214818E-2</v>
      </c>
      <c r="Y98" s="3">
        <f>-(N70_DESARROLLO!X13/0.014285714)*LN(N70_DESARROLLO!X13/N70_DESARROLLO!W13)-1</f>
        <v>3.6154998464203114E-2</v>
      </c>
      <c r="Z98" s="3">
        <f>-(N70_DESARROLLO!Y13/0.014285714)*LN(N70_DESARROLLO!Y13/N70_DESARROLLO!X13)-1</f>
        <v>3.3716325403748026E-2</v>
      </c>
      <c r="AA98" s="3">
        <f>-(N70_DESARROLLO!Z13/0.014285714)*LN(N70_DESARROLLO!Z13/N70_DESARROLLO!Y13)-1</f>
        <v>3.158591082372797E-2</v>
      </c>
      <c r="AB98" s="3">
        <f>-(N70_DESARROLLO!AA13/0.014285714)*LN(N70_DESARROLLO!AA13/N70_DESARROLLO!Z13)-1</f>
        <v>2.9708770995509948E-2</v>
      </c>
      <c r="AC98" s="3">
        <f>-(N70_DESARROLLO!AB13/0.014285714)*LN(N70_DESARROLLO!AB13/N70_DESARROLLO!AA13)-1</f>
        <v>2.8042266924845016E-2</v>
      </c>
      <c r="AD98" s="3">
        <f>-(N70_DESARROLLO!AC13/0.014285714)*LN(N70_DESARROLLO!AC13/N70_DESARROLLO!AB13)-1</f>
        <v>2.6552823496787115E-2</v>
      </c>
      <c r="AE98" s="3">
        <f>-(N70_DESARROLLO!AD13/0.014285714)*LN(N70_DESARROLLO!AD13/N70_DESARROLLO!AC13)-1</f>
        <v>2.5213642284831916E-2</v>
      </c>
      <c r="AF98" s="3">
        <f>-(N70_DESARROLLO!AE13/0.014285714)*LN(N70_DESARROLLO!AE13/N70_DESARROLLO!AD13)-1</f>
        <v>2.4003073749036874E-2</v>
      </c>
      <c r="AG98" s="3">
        <f>-(N70_DESARROLLO!AF13/0.014285714)*LN(N70_DESARROLLO!AF13/N70_DESARROLLO!AE13)-1</f>
        <v>2.2903437185110676E-2</v>
      </c>
      <c r="AH98" s="3">
        <f>-(N70_DESARROLLO!AG13/0.014285714)*LN(N70_DESARROLLO!AG13/N70_DESARROLLO!AF13)-1</f>
        <v>2.1900151021861713E-2</v>
      </c>
      <c r="AI98" s="3">
        <f>-(N70_DESARROLLO!AH13/0.014285714)*LN(N70_DESARROLLO!AH13/N70_DESARROLLO!AG13)-1</f>
        <v>2.0981082233539672E-2</v>
      </c>
      <c r="AJ98" s="3">
        <f>-(N70_DESARROLLO!AI13/0.014285714)*LN(N70_DESARROLLO!AI13/N70_DESARROLLO!AH13)-1</f>
        <v>2.0136053052050906E-2</v>
      </c>
      <c r="AK98" s="3">
        <f>-(N70_DESARROLLO!AJ13/0.014285714)*LN(N70_DESARROLLO!AJ13/N70_DESARROLLO!AI13)-1</f>
        <v>1.9356462323727008E-2</v>
      </c>
      <c r="AL98" s="3">
        <f>-(N70_DESARROLLO!AK13/0.014285714)*LN(N70_DESARROLLO!AK13/N70_DESARROLLO!AJ13)-1</f>
        <v>1.8634991582299421E-2</v>
      </c>
      <c r="AM98" s="3">
        <f>-(N70_DESARROLLO!AL13/0.014285714)*LN(N70_DESARROLLO!AL13/N70_DESARROLLO!AK13)-1</f>
        <v>1.7965374518565946E-2</v>
      </c>
      <c r="AN98" s="3">
        <f>-(N70_DESARROLLO!AM13/0.014285714)*LN(N70_DESARROLLO!AM13/N70_DESARROLLO!AL13)-1</f>
        <v>1.7342214446341764E-2</v>
      </c>
      <c r="AO98" s="3">
        <f>-(N70_DESARROLLO!AN13/0.014285714)*LN(N70_DESARROLLO!AN13/N70_DESARROLLO!AM13)-1</f>
        <v>1.676083849676413E-2</v>
      </c>
      <c r="AP98" s="3">
        <f>-(N70_DESARROLLO!AO13/0.014285714)*LN(N70_DESARROLLO!AO13/N70_DESARROLLO!AN13)-1</f>
        <v>1.6217180198320191E-2</v>
      </c>
      <c r="AQ98" s="3">
        <f>-(N70_DESARROLLO!AP13/0.014285714)*LN(N70_DESARROLLO!AP13/N70_DESARROLLO!AO13)-1</f>
        <v>1.570768419754387E-2</v>
      </c>
      <c r="AR98" s="3">
        <f>-(N70_DESARROLLO!AQ13/0.014285714)*LN(N70_DESARROLLO!AQ13/N70_DESARROLLO!AP13)-1</f>
        <v>1.5229228398107919E-2</v>
      </c>
      <c r="AS98" s="3">
        <f>-(N70_DESARROLLO!AR13/0.014285714)*LN(N70_DESARROLLO!AR13/N70_DESARROLLO!AQ13)-1</f>
        <v>1.4779059912696235E-2</v>
      </c>
      <c r="AT98" s="3">
        <f>-(N70_DESARROLLO!AS13/0.014285714)*LN(N70_DESARROLLO!AS13/N70_DESARROLLO!AR13)-1</f>
        <v>1.4354742051081004E-2</v>
      </c>
      <c r="AU98" s="3">
        <f>-(N70_DESARROLLO!AT13/0.014285714)*LN(N70_DESARROLLO!AT13/N70_DESARROLLO!AS13)-1</f>
        <v>1.395411018734416E-2</v>
      </c>
      <c r="AV98" s="3">
        <f>-(N70_DESARROLLO!AU13/0.014285714)*LN(N70_DESARROLLO!AU13/N70_DESARROLLO!AT13)-1</f>
        <v>1.3575234818482773E-2</v>
      </c>
      <c r="AW98" s="3">
        <f>-(N70_DESARROLLO!AV13/0.014285714)*LN(N70_DESARROLLO!AV13/N70_DESARROLLO!AU13)-1</f>
        <v>1.3216390483202112E-2</v>
      </c>
      <c r="AX98" s="3">
        <f>-(N70_DESARROLLO!AW13/0.014285714)*LN(N70_DESARROLLO!AW13/N70_DESARROLLO!AV13)-1</f>
        <v>1.2876029484357732E-2</v>
      </c>
      <c r="AY98" s="3">
        <f>-(N70_DESARROLLO!AX13/0.014285714)*LN(N70_DESARROLLO!AX13/N70_DESARROLLO!AW13)-1</f>
        <v>1.2552759570459759E-2</v>
      </c>
      <c r="AZ98" s="3">
        <f>-(N70_DESARROLLO!AY13/0.014285714)*LN(N70_DESARROLLO!AY13/N70_DESARROLLO!AX13)-1</f>
        <v>1.224532489750696E-2</v>
      </c>
      <c r="BA98" s="3">
        <f>-(N70_DESARROLLO!AZ13/0.014285714)*LN(N70_DESARROLLO!AZ13/N70_DESARROLLO!AY13)-1</f>
        <v>1.1952589722092455E-2</v>
      </c>
      <c r="BB98" s="3">
        <f>-(N70_DESARROLLO!BA13/0.014285714)*LN(N70_DESARROLLO!BA13/N70_DESARROLLO!AZ13)-1</f>
        <v>1.1673524379092637E-2</v>
      </c>
      <c r="BC98" s="3">
        <f>-(N70_DESARROLLO!BB13/0.014285714)*LN(N70_DESARROLLO!BB13/N70_DESARROLLO!BA13)-1</f>
        <v>1.1407193179399533E-2</v>
      </c>
      <c r="BD98" s="3">
        <f>-(N70_DESARROLLO!BC13/0.014285714)*LN(N70_DESARROLLO!BC13/N70_DESARROLLO!BB13)-1</f>
        <v>1.1152743927361541E-2</v>
      </c>
      <c r="BE98" s="3">
        <f>-(N70_DESARROLLO!BD13/0.014285714)*LN(N70_DESARROLLO!BD13/N70_DESARROLLO!BC13)-1</f>
        <v>1.0909398811068893E-2</v>
      </c>
      <c r="BF98" s="3">
        <f>-(N70_DESARROLLO!BE13/0.014285714)*LN(N70_DESARROLLO!BE13/N70_DESARROLLO!BD13)-1</f>
        <v>1.0676446459560562E-2</v>
      </c>
      <c r="BG98" s="3">
        <f>-(N70_DESARROLLO!BF13/0.014285714)*LN(N70_DESARROLLO!BF13/N70_DESARROLLO!BE13)-1</f>
        <v>1.0453234996904204E-2</v>
      </c>
      <c r="BH98" s="3">
        <f>-(N70_DESARROLLO!BG13/0.014285714)*LN(N70_DESARROLLO!BG13/N70_DESARROLLO!BF13)-1</f>
        <v>1.0239165949531337E-2</v>
      </c>
      <c r="BI98" s="3">
        <f>-(N70_DESARROLLO!BH13/0.014285714)*LN(N70_DESARROLLO!BH13/N70_DESARROLLO!BG13)-1</f>
        <v>1.003368888748013E-2</v>
      </c>
      <c r="BJ98" s="3">
        <f>-(N70_DESARROLLO!BI13/0.014285714)*LN(N70_DESARROLLO!BI13/N70_DESARROLLO!BH13)-1</f>
        <v>9.8362966981071498E-3</v>
      </c>
      <c r="BK98" s="3">
        <f>-(N70_DESARROLLO!BJ13/0.014285714)*LN(N70_DESARROLLO!BJ13/N70_DESARROLLO!BI13)-1</f>
        <v>9.6465214070289296E-3</v>
      </c>
      <c r="BL98" s="3">
        <f>-(N70_DESARROLLO!BK13/0.014285714)*LN(N70_DESARROLLO!BK13/N70_DESARROLLO!BJ13)-1</f>
        <v>9.4639304737664798E-3</v>
      </c>
      <c r="BM98" s="3">
        <f>-(N70_DESARROLLO!BL13/0.014285714)*LN(N70_DESARROLLO!BL13/N70_DESARROLLO!BK13)-1</f>
        <v>9.2881235002078011E-3</v>
      </c>
      <c r="BN98" s="3">
        <f>-(N70_DESARROLLO!BM13/0.014285714)*LN(N70_DESARROLLO!BM13/N70_DESARROLLO!BL13)-1</f>
        <v>9.1187292994499014E-3</v>
      </c>
      <c r="BO98" s="3">
        <f>-(N70_DESARROLLO!BN13/0.014285714)*LN(N70_DESARROLLO!BN13/N70_DESARROLLO!BM13)-1</f>
        <v>8.9554032794736393E-3</v>
      </c>
      <c r="BP98" s="3">
        <f>-(N70_DESARROLLO!BO13/0.014285714)*LN(N70_DESARROLLO!BO13/N70_DESARROLLO!BN13)-1</f>
        <v>8.7978251032541088E-3</v>
      </c>
      <c r="BQ98" s="3">
        <f>-(N70_DESARROLLO!BP13/0.014285714)*LN(N70_DESARROLLO!BP13/N70_DESARROLLO!BO13)-1</f>
        <v>8.6456965915122641E-3</v>
      </c>
      <c r="BR98" s="3">
        <f>-(N70_DESARROLLO!BQ13/0.014285714)*LN(N70_DESARROLLO!BQ13/N70_DESARROLLO!BP13)-1</f>
        <v>8.4987398394935632E-3</v>
      </c>
      <c r="BS98" s="3">
        <f>-(N70_DESARROLLO!BR13/0.014285714)*LN(N70_DESARROLLO!BR13/N70_DESARROLLO!BQ13)-1</f>
        <v>8.3566955224383399E-3</v>
      </c>
      <c r="BT98" s="3">
        <f>-(N70_DESARROLLO!BS13/0.014285714)*LN(N70_DESARROLLO!BS13/N70_DESARROLLO!BR13)-1</f>
        <v>8.2193213684820243E-3</v>
      </c>
      <c r="BU98" s="3">
        <f>-(N70_DESARROLLO!BT13/0.014285714)*LN(N70_DESARROLLO!BT13/N70_DESARROLLO!BS13)-1</f>
        <v>8.0863907794601619E-3</v>
      </c>
      <c r="BV98" s="3">
        <f>-(N70_DESARROLLO!BU13/0.014285714)*LN(N70_DESARROLLO!BU13/N70_DESARROLLO!BT13)-1</f>
        <v>7.9576915835790629E-3</v>
      </c>
      <c r="BW98" s="3">
        <f>-(N70_DESARROLLO!BV13/0.014285714)*LN(N70_DESARROLLO!BV13/N70_DESARROLLO!BU13)-1</f>
        <v>7.8330249053730761E-3</v>
      </c>
      <c r="BX98" s="3">
        <f>-(N70_DESARROLLO!BW13/0.014285714)*LN(N70_DESARROLLO!BW13/N70_DESARROLLO!BV13)-1</f>
        <v>7.7122041401482821E-3</v>
      </c>
      <c r="BY98" s="3">
        <f>-(N70_DESARROLLO!BX13/0.014285714)*LN(N70_DESARROLLO!BX13/N70_DESARROLLO!BW13)-1</f>
        <v>3.6511570515938487</v>
      </c>
      <c r="BZ98" s="10"/>
      <c r="CA98" s="10"/>
      <c r="CB98" s="10"/>
      <c r="CC98" s="10"/>
      <c r="CD98" s="1">
        <v>4</v>
      </c>
      <c r="CE98" s="1">
        <v>0</v>
      </c>
      <c r="CF98" s="1">
        <f>(1+(N70_DESARROLLO!F13/0.014285714)*LN(N70_DESARROLLO!G13/N70_DESARROLLO!F13))</f>
        <v>-0.17765285172730239</v>
      </c>
      <c r="CG98" s="1">
        <f>(1+(N70_DESARROLLO!G13/0.014285714)*LN(N70_DESARROLLO!H13/N70_DESARROLLO!G13))</f>
        <v>-0.27706408495625867</v>
      </c>
      <c r="CH98" s="1">
        <f>(1+(N70_DESARROLLO!H13/0.014285714)*LN(N70_DESARROLLO!I13/N70_DESARROLLO!H13))</f>
        <v>-0.64791846596053393</v>
      </c>
      <c r="CI98" s="1">
        <v>1</v>
      </c>
      <c r="CJ98" s="1">
        <f>(1+(N70_DESARROLLO!J13/0.014285714)*LN(N70_DESARROLLO!K13/N70_DESARROLLO!J13))</f>
        <v>0.45069384467982221</v>
      </c>
      <c r="CK98" s="1">
        <f>(1+(N70_DESARROLLO!K13/0.014285714)*LN(N70_DESARROLLO!L13/N70_DESARROLLO!K13))</f>
        <v>0.23376154902624469</v>
      </c>
      <c r="CL98" s="1">
        <f>(1+(N70_DESARROLLO!L13/0.014285714)*LN(N70_DESARROLLO!M13/N70_DESARROLLO!L13))</f>
        <v>0.15881939162335601</v>
      </c>
      <c r="CM98" s="1">
        <f>(1+(N70_DESARROLLO!M13/0.014285714)*LN(N70_DESARROLLO!N13/N70_DESARROLLO!M13))</f>
        <v>0.12039948342481821</v>
      </c>
      <c r="CN98" s="1">
        <f>(1+(N70_DESARROLLO!N13/0.014285714)*LN(N70_DESARROLLO!O13/N70_DESARROLLO!N13))</f>
        <v>9.6981852359957488E-2</v>
      </c>
      <c r="CO98" s="1">
        <f>(1+(N70_DESARROLLO!O13/0.014285714)*LN(N70_DESARROLLO!P13/N70_DESARROLLO!O13))</f>
        <v>8.1202515976636191E-2</v>
      </c>
      <c r="CP98" s="1">
        <f>(1+(N70_DESARROLLO!P13/0.014285714)*LN(N70_DESARROLLO!Q13/N70_DESARROLLO!P13))</f>
        <v>6.9844497732512667E-2</v>
      </c>
      <c r="CQ98" s="1">
        <f>(1+(N70_DESARROLLO!Q13/0.014285714)*LN(N70_DESARROLLO!R13/N70_DESARROLLO!Q13))</f>
        <v>6.1276409070483262E-2</v>
      </c>
      <c r="CR98" s="1">
        <f>(1+(N70_DESARROLLO!R13/0.014285714)*LN(N70_DESARROLLO!S13/N70_DESARROLLO!R13))</f>
        <v>5.4582082654732633E-2</v>
      </c>
      <c r="CS98" s="1">
        <f>(1+(N70_DESARROLLO!S13/0.014285714)*LN(N70_DESARROLLO!T13/N70_DESARROLLO!S13))</f>
        <v>4.9207124692811188E-2</v>
      </c>
      <c r="CT98" s="1">
        <f>(1+(N70_DESARROLLO!T13/0.014285714)*LN(N70_DESARROLLO!U13/N70_DESARROLLO!T13))</f>
        <v>4.4796309735795181E-2</v>
      </c>
      <c r="CU98" s="1">
        <f>(1+(N70_DESARROLLO!U13/0.014285714)*LN(N70_DESARROLLO!V13/N70_DESARROLLO!U13))</f>
        <v>4.1111478023143189E-2</v>
      </c>
      <c r="CV98" s="1">
        <f>(1+(N70_DESARROLLO!V13/0.014285714)*LN(N70_DESARROLLO!W13/N70_DESARROLLO!V13))</f>
        <v>3.7986966558134605E-2</v>
      </c>
      <c r="CW98" s="1">
        <f>(1+(N70_DESARROLLO!W13/0.014285714)*LN(N70_DESARROLLO!X13/N70_DESARROLLO!W13))</f>
        <v>3.5303966947121235E-2</v>
      </c>
      <c r="CX98" s="1">
        <f>(1+(N70_DESARROLLO!X13/0.014285714)*LN(N70_DESARROLLO!Y13/N70_DESARROLLO!X13))</f>
        <v>3.297505042875204E-2</v>
      </c>
      <c r="CY98" s="1">
        <f>(1+(N70_DESARROLLO!Y13/0.014285714)*LN(N70_DESARROLLO!Z13/N70_DESARROLLO!Y13))</f>
        <v>3.0934447408012988E-2</v>
      </c>
      <c r="CZ98" s="1">
        <f>(1+(N70_DESARROLLO!Z13/0.014285714)*LN(N70_DESARROLLO!AA13/N70_DESARROLLO!Z13))</f>
        <v>2.9131730204233652E-2</v>
      </c>
      <c r="DA98" s="1">
        <f>(1+(N70_DESARROLLO!AA13/0.014285714)*LN(N70_DESARROLLO!AB13/N70_DESARROLLO!AA13))</f>
        <v>2.7527585341362903E-2</v>
      </c>
      <c r="DB98" s="1">
        <f>(1+(N70_DESARROLLO!AB13/0.014285714)*LN(N70_DESARROLLO!AC13/N70_DESARROLLO!AB13))</f>
        <v>2.6090911041509512E-2</v>
      </c>
      <c r="DC98" s="1">
        <f>(1+(N70_DESARROLLO!AC13/0.014285714)*LN(N70_DESARROLLO!AD13/N70_DESARROLLO!AC13))</f>
        <v>2.4796779290037985E-2</v>
      </c>
      <c r="DD98" s="1">
        <f>(1+(N70_DESARROLLO!AD13/0.014285714)*LN(N70_DESARROLLO!AE13/N70_DESARROLLO!AD13))</f>
        <v>2.3624976192778924E-2</v>
      </c>
      <c r="DE98" s="1">
        <f>(1+(N70_DESARROLLO!AE13/0.014285714)*LN(N70_DESARROLLO!AF13/N70_DESARROLLO!AE13))</f>
        <v>2.2558937800894241E-2</v>
      </c>
      <c r="DF98" s="1">
        <f>(1+(N70_DESARROLLO!AF13/0.014285714)*LN(N70_DESARROLLO!AG13/N70_DESARROLLO!AF13))</f>
        <v>2.1584961787578849E-2</v>
      </c>
      <c r="DG98" s="1">
        <f>(1+(N70_DESARROLLO!AG13/0.014285714)*LN(N70_DESARROLLO!AH13/N70_DESARROLLO!AG13))</f>
        <v>2.0691615000482555E-2</v>
      </c>
      <c r="DH98" s="1">
        <f>(1+(N70_DESARROLLO!AH13/0.014285714)*LN(N70_DESARROLLO!AI13/N70_DESARROLLO!AH13))</f>
        <v>1.9869282361755114E-2</v>
      </c>
      <c r="DI98" s="1">
        <f>(1+(N70_DESARROLLO!AI13/0.014285714)*LN(N70_DESARROLLO!AJ13/N70_DESARROLLO!AI13))</f>
        <v>1.9109819273394724E-2</v>
      </c>
      <c r="DJ98" s="1">
        <f>(1+(N70_DESARROLLO!AJ13/0.014285714)*LN(N70_DESARROLLO!AK13/N70_DESARROLLO!AJ13))</f>
        <v>1.8406280838875078E-2</v>
      </c>
      <c r="DK98" s="1">
        <f>(1+(N70_DESARROLLO!AK13/0.014285714)*LN(N70_DESARROLLO!AL13/N70_DESARROLLO!AK13))</f>
        <v>1.7752708797874939E-2</v>
      </c>
      <c r="DL98" s="1">
        <f>(1+(N70_DESARROLLO!AL13/0.014285714)*LN(N70_DESARROLLO!AM13/N70_DESARROLLO!AL13))</f>
        <v>1.7143962314551175E-2</v>
      </c>
      <c r="DM98" s="1">
        <f>(1+(N70_DESARROLLO!AM13/0.014285714)*LN(N70_DESARROLLO!AN13/N70_DESARROLLO!AM13))</f>
        <v>1.657558243755608E-2</v>
      </c>
      <c r="DN98" s="1">
        <f>(1+(N70_DESARROLLO!AN13/0.014285714)*LN(N70_DESARROLLO!AO13/N70_DESARROLLO!AN13))</f>
        <v>1.6043682665118575E-2</v>
      </c>
      <c r="DO98" s="1">
        <f>(1+(N70_DESARROLLO!AO13/0.014285714)*LN(N70_DESARROLLO!AP13/N70_DESARROLLO!AO13))</f>
        <v>1.5544859931611255E-2</v>
      </c>
      <c r="DP98" s="1">
        <f>(1+(N70_DESARROLLO!AP13/0.014285714)*LN(N70_DESARROLLO!AQ13/N70_DESARROLLO!AP13))</f>
        <v>1.507612170332806E-2</v>
      </c>
      <c r="DQ98" s="1">
        <f>(1+(N70_DESARROLLO!AQ13/0.014285714)*LN(N70_DESARROLLO!AR13/N70_DESARROLLO!AQ13))</f>
        <v>1.4634825881874591E-2</v>
      </c>
      <c r="DR98" s="1">
        <f>(1+(N70_DESARROLLO!AR13/0.014285714)*LN(N70_DESARROLLO!AS13/N70_DESARROLLO!AR13))</f>
        <v>1.4218630964442425E-2</v>
      </c>
      <c r="DS98" s="1">
        <f>(1+(N70_DESARROLLO!AS13/0.014285714)*LN(N70_DESARROLLO!AT13/N70_DESARROLLO!AS13))</f>
        <v>1.3825454475322685E-2</v>
      </c>
      <c r="DT98" s="1">
        <f>(1+(N70_DESARROLLO!AT13/0.014285714)*LN(N70_DESARROLLO!AU13/N70_DESARROLLO!AT13))</f>
        <v>1.3453438110010096E-2</v>
      </c>
      <c r="DU98" s="1">
        <f>(1+(N70_DESARROLLO!AU13/0.014285714)*LN(N70_DESARROLLO!AV13/N70_DESARROLLO!AU13))</f>
        <v>1.3100918360517522E-2</v>
      </c>
      <c r="DV98" s="1">
        <f>(1+(N70_DESARROLLO!AV13/0.014285714)*LN(N70_DESARROLLO!AW13/N70_DESARROLLO!AV13))</f>
        <v>1.2766401641828407E-2</v>
      </c>
      <c r="DW98" s="1">
        <f>(1+(N70_DESARROLLO!AW13/0.014285714)*LN(N70_DESARROLLO!AX13/N70_DESARROLLO!AW13))</f>
        <v>1.2448543134983669E-2</v>
      </c>
      <c r="DX98" s="1">
        <f>(1+(N70_DESARROLLO!AX13/0.014285714)*LN(N70_DESARROLLO!AY13/N70_DESARROLLO!AX13))</f>
        <v>1.2146128714481286E-2</v>
      </c>
      <c r="DY98" s="1">
        <f>(1+(N70_DESARROLLO!AY13/0.014285714)*LN(N70_DESARROLLO!AZ13/N70_DESARROLLO!AY13))</f>
        <v>1.1858059447839131E-2</v>
      </c>
      <c r="DZ98" s="1">
        <f>(1+(N70_DESARROLLO!AZ13/0.014285714)*LN(N70_DESARROLLO!BA13/N70_DESARROLLO!AZ13))</f>
        <v>1.1583338250311548E-2</v>
      </c>
      <c r="EA98" s="1">
        <f>(1+(N70_DESARROLLO!BA13/0.014285714)*LN(N70_DESARROLLO!BB13/N70_DESARROLLO!BA13))</f>
        <v>1.1321058352721902E-2</v>
      </c>
      <c r="EB98" s="1">
        <f>(1+(N70_DESARROLLO!BB13/0.014285714)*LN(N70_DESARROLLO!BC13/N70_DESARROLLO!BB13))</f>
        <v>1.1070393301811032E-2</v>
      </c>
      <c r="EC98" s="1">
        <f>(1+(N70_DESARROLLO!BC13/0.014285714)*LN(N70_DESARROLLO!BD13/N70_DESARROLLO!BC13))</f>
        <v>1.0830588260137164E-2</v>
      </c>
      <c r="ED98" s="1">
        <f>(1+(N70_DESARROLLO!BD13/0.014285714)*LN(N70_DESARROLLO!BE13/N70_DESARROLLO!BD13))</f>
        <v>1.0600952413272191E-2</v>
      </c>
      <c r="EE98" s="1">
        <f>(1+(N70_DESARROLLO!BE13/0.014285714)*LN(N70_DESARROLLO!BF13/N70_DESARROLLO!BE13))</f>
        <v>1.0380852322619649E-2</v>
      </c>
      <c r="EF98" s="1">
        <f>(1+(N70_DESARROLLO!BF13/0.014285714)*LN(N70_DESARROLLO!BG13/N70_DESARROLLO!BF13))</f>
        <v>1.0169706089853126E-2</v>
      </c>
      <c r="EG98" s="1">
        <f>(1+(N70_DESARROLLO!BG13/0.014285714)*LN(N70_DESARROLLO!BH13/N70_DESARROLLO!BG13))</f>
        <v>9.9669782192025602E-3</v>
      </c>
      <c r="EH98" s="1">
        <f>(1+(N70_DESARROLLO!BH13/0.014285714)*LN(N70_DESARROLLO!BI13/N70_DESARROLLO!BH13))</f>
        <v>9.7721750824386611E-3</v>
      </c>
      <c r="EI98" s="1">
        <f>(1+(N70_DESARROLLO!BI13/0.014285714)*LN(N70_DESARROLLO!BJ13/N70_DESARROLLO!BI13))</f>
        <v>9.5848409054859474E-3</v>
      </c>
      <c r="EJ98" s="1">
        <f>(1+(N70_DESARROLLO!BJ13/0.014285714)*LN(N70_DESARROLLO!BK13/N70_DESARROLLO!BJ13))</f>
        <v>9.4045542079861377E-3</v>
      </c>
      <c r="EK98" s="1">
        <f>(1+(N70_DESARROLLO!BK13/0.014285714)*LN(N70_DESARROLLO!BL13/N70_DESARROLLO!BK13))</f>
        <v>9.230924637410709E-3</v>
      </c>
      <c r="EL98" s="1">
        <f>(1+(N70_DESARROLLO!BL13/0.014285714)*LN(N70_DESARROLLO!BM13/N70_DESARROLLO!BL13))</f>
        <v>9.0635901473870017E-3</v>
      </c>
      <c r="EM98" s="1">
        <f>(1+(N70_DESARROLLO!BM13/0.014285714)*LN(N70_DESARROLLO!BN13/N70_DESARROLLO!BM13))</f>
        <v>8.9022144776851331E-3</v>
      </c>
      <c r="EN98" s="1">
        <f>(1+(N70_DESARROLLO!BN13/0.014285714)*LN(N70_DESARROLLO!BO13/N70_DESARROLLO!BN13))</f>
        <v>8.7464848985416843E-3</v>
      </c>
      <c r="EO98" s="1">
        <f>(1+(N70_DESARROLLO!BO13/0.014285714)*LN(N70_DESARROLLO!BP13/N70_DESARROLLO!BO13))</f>
        <v>8.5961101878297974E-3</v>
      </c>
      <c r="EP98" s="1">
        <f>(1+(N70_DESARROLLO!BP13/0.014285714)*LN(N70_DESARROLLO!BQ13/N70_DESARROLLO!BP13))</f>
        <v>8.4508188132711437E-3</v>
      </c>
      <c r="EQ98" s="1">
        <f>(1+(N70_DESARROLLO!BQ13/0.014285714)*LN(N70_DESARROLLO!BR13/N70_DESARROLLO!BQ13))</f>
        <v>8.3103572961144012E-3</v>
      </c>
      <c r="ER98" s="1">
        <f>(1+(N70_DESARROLLO!BR13/0.014285714)*LN(N70_DESARROLLO!BS13/N70_DESARROLLO!BR13))</f>
        <v>8.1744887350705397E-3</v>
      </c>
      <c r="ES98" s="1">
        <f>(1+(N70_DESARROLLO!BS13/0.014285714)*LN(N70_DESARROLLO!BT13/N70_DESARROLLO!BS13))</f>
        <v>8.0429914730113516E-3</v>
      </c>
      <c r="ET98" s="1">
        <f>(1+(N70_DESARROLLO!BT13/0.014285714)*LN(N70_DESARROLLO!BU13/N70_DESARROLLO!BT13))</f>
        <v>7.9156578901778962E-3</v>
      </c>
      <c r="EU98" s="1">
        <f>(1+(N70_DESARROLLO!BU13/0.014285714)*LN(N70_DESARROLLO!BV13/N70_DESARROLLO!BU13))</f>
        <v>7.7922933102142489E-3</v>
      </c>
      <c r="EV98" s="1">
        <f>(1+(N70_DESARROLLO!BV13/0.014285714)*LN(N70_DESARROLLO!BW13/N70_DESARROLLO!BV13))</f>
        <v>7.6727150070293737E-3</v>
      </c>
      <c r="EW98" s="1">
        <f>(1+(N70_DESARROLLO!BW13/0.014285714)*LN(N70_DESARROLLO!BX13/N70_DESARROLLO!BW13))</f>
        <v>-3.3521540982771008</v>
      </c>
      <c r="EX98" s="10"/>
      <c r="EY98" s="10"/>
    </row>
    <row r="99" spans="5:155" x14ac:dyDescent="0.25">
      <c r="G99" s="3">
        <v>5</v>
      </c>
      <c r="H99" s="3">
        <f>-(N70_DESARROLLO!G14/0.014285714)*LN(N70_DESARROLLO!G14/N70_DESARROLLO!F14)-1</f>
        <v>-0.12039948342481854</v>
      </c>
      <c r="I99" s="3">
        <f>-(N70_DESARROLLO!H14/0.014285714)*LN(N70_DESARROLLO!H14/N70_DESARROLLO!G14)-1</f>
        <v>-0.15881939162335557</v>
      </c>
      <c r="J99" s="3">
        <f>-(N70_DESARROLLO!I14/0.014285714)*LN(N70_DESARROLLO!I14/N70_DESARROLLO!H14)-1</f>
        <v>-0.23376154902624469</v>
      </c>
      <c r="K99" s="3">
        <f>-(N70_DESARROLLO!J14/0.014285714)*LN(N70_DESARROLLO!J14/N70_DESARROLLO!I14)-1</f>
        <v>-0.45069384467982221</v>
      </c>
      <c r="L99" s="3">
        <v>-1</v>
      </c>
      <c r="M99" s="3">
        <f>-(N70_DESARROLLO!L14/0.014285714)*LN(N70_DESARROLLO!L14/N70_DESARROLLO!K14)-1</f>
        <v>0.6479184659605346</v>
      </c>
      <c r="N99" s="3">
        <f>-(N70_DESARROLLO!M14/0.014285714)*LN(N70_DESARROLLO!M14/N70_DESARROLLO!L14)-1</f>
        <v>0.27706408495625734</v>
      </c>
      <c r="O99" s="3">
        <f>-(N70_DESARROLLO!N14/0.014285714)*LN(N70_DESARROLLO!N14/N70_DESARROLLO!M14)-1</f>
        <v>0.17765285172730261</v>
      </c>
      <c r="P99" s="3">
        <f>-(N70_DESARROLLO!O14/0.014285714)*LN(N70_DESARROLLO!O14/N70_DESARROLLO!N14)-1</f>
        <v>0.13091494988237584</v>
      </c>
      <c r="Q99" s="3">
        <f>-(N70_DESARROLLO!P14/0.014285714)*LN(N70_DESARROLLO!P14/N70_DESARROLLO!O14)-1</f>
        <v>0.10368884711560877</v>
      </c>
      <c r="R99" s="3">
        <f>-(N70_DESARROLLO!Q14/0.014285714)*LN(N70_DESARROLLO!Q14/N70_DESARROLLO!P14)-1</f>
        <v>8.5851572027612066E-2</v>
      </c>
      <c r="S99" s="3">
        <f>-(N70_DESARROLLO!R14/0.014285714)*LN(N70_DESARROLLO!R14/N70_DESARROLLO!Q14)-1</f>
        <v>7.3256348770177837E-2</v>
      </c>
      <c r="T99" s="3">
        <f>-(N70_DESARROLLO!S14/0.014285714)*LN(N70_DESARROLLO!S14/N70_DESARROLLO!R14)-1</f>
        <v>6.3886736386785881E-2</v>
      </c>
      <c r="U99" s="3">
        <f>-(N70_DESARROLLO!T14/0.014285714)*LN(N70_DESARROLLO!T14/N70_DESARROLLO!S14)-1</f>
        <v>5.664355468000104E-2</v>
      </c>
      <c r="V99" s="3">
        <f>-(N70_DESARROLLO!U14/0.014285714)*LN(N70_DESARROLLO!U14/N70_DESARROLLO!T14)-1</f>
        <v>5.0876335865844169E-2</v>
      </c>
      <c r="W99" s="3">
        <f>-(N70_DESARROLLO!V14/0.014285714)*LN(N70_DESARROLLO!V14/N70_DESARROLLO!U14)-1</f>
        <v>4.6175470289367526E-2</v>
      </c>
      <c r="X99" s="3">
        <f>-(N70_DESARROLLO!W14/0.014285714)*LN(N70_DESARROLLO!W14/N70_DESARROLLO!V14)-1</f>
        <v>4.2270132583540176E-2</v>
      </c>
      <c r="Y99" s="3">
        <f>-(N70_DESARROLLO!X14/0.014285714)*LN(N70_DESARROLLO!X14/N70_DESARROLLO!W14)-1</f>
        <v>3.8974076117211931E-2</v>
      </c>
      <c r="Z99" s="3">
        <f>-(N70_DESARROLLO!Y14/0.014285714)*LN(N70_DESARROLLO!Y14/N70_DESARROLLO!X14)-1</f>
        <v>3.6154998464203114E-2</v>
      </c>
      <c r="AA99" s="3">
        <f>-(N70_DESARROLLO!Z14/0.014285714)*LN(N70_DESARROLLO!Z14/N70_DESARROLLO!Y14)-1</f>
        <v>3.3716325403748026E-2</v>
      </c>
      <c r="AB99" s="3">
        <f>-(N70_DESARROLLO!AA14/0.014285714)*LN(N70_DESARROLLO!AA14/N70_DESARROLLO!Z14)-1</f>
        <v>3.158591082372797E-2</v>
      </c>
      <c r="AC99" s="3">
        <f>-(N70_DESARROLLO!AB14/0.014285714)*LN(N70_DESARROLLO!AB14/N70_DESARROLLO!AA14)-1</f>
        <v>2.9708770995509948E-2</v>
      </c>
      <c r="AD99" s="3">
        <f>-(N70_DESARROLLO!AC14/0.014285714)*LN(N70_DESARROLLO!AC14/N70_DESARROLLO!AB14)-1</f>
        <v>2.8042266924845016E-2</v>
      </c>
      <c r="AE99" s="3">
        <f>-(N70_DESARROLLO!AD14/0.014285714)*LN(N70_DESARROLLO!AD14/N70_DESARROLLO!AC14)-1</f>
        <v>2.6552823496787115E-2</v>
      </c>
      <c r="AF99" s="3">
        <f>-(N70_DESARROLLO!AE14/0.014285714)*LN(N70_DESARROLLO!AE14/N70_DESARROLLO!AD14)-1</f>
        <v>2.5213642284831916E-2</v>
      </c>
      <c r="AG99" s="3">
        <f>-(N70_DESARROLLO!AF14/0.014285714)*LN(N70_DESARROLLO!AF14/N70_DESARROLLO!AE14)-1</f>
        <v>2.4003073749036874E-2</v>
      </c>
      <c r="AH99" s="3">
        <f>-(N70_DESARROLLO!AG14/0.014285714)*LN(N70_DESARROLLO!AG14/N70_DESARROLLO!AF14)-1</f>
        <v>2.2903437185105791E-2</v>
      </c>
      <c r="AI99" s="3">
        <f>-(N70_DESARROLLO!AH14/0.014285714)*LN(N70_DESARROLLO!AH14/N70_DESARROLLO!AG14)-1</f>
        <v>2.190015102186682E-2</v>
      </c>
      <c r="AJ99" s="3">
        <f>-(N70_DESARROLLO!AI14/0.014285714)*LN(N70_DESARROLLO!AI14/N70_DESARROLLO!AH14)-1</f>
        <v>2.0981082233539672E-2</v>
      </c>
      <c r="AK99" s="3">
        <f>-(N70_DESARROLLO!AJ14/0.014285714)*LN(N70_DESARROLLO!AJ14/N70_DESARROLLO!AI14)-1</f>
        <v>2.0136053052050906E-2</v>
      </c>
      <c r="AL99" s="3">
        <f>-(N70_DESARROLLO!AK14/0.014285714)*LN(N70_DESARROLLO!AK14/N70_DESARROLLO!AJ14)-1</f>
        <v>1.9356462323727008E-2</v>
      </c>
      <c r="AM99" s="3">
        <f>-(N70_DESARROLLO!AL14/0.014285714)*LN(N70_DESARROLLO!AL14/N70_DESARROLLO!AK14)-1</f>
        <v>1.8634991582299421E-2</v>
      </c>
      <c r="AN99" s="3">
        <f>-(N70_DESARROLLO!AM14/0.014285714)*LN(N70_DESARROLLO!AM14/N70_DESARROLLO!AL14)-1</f>
        <v>1.7965374518565946E-2</v>
      </c>
      <c r="AO99" s="3">
        <f>-(N70_DESARROLLO!AN14/0.014285714)*LN(N70_DESARROLLO!AN14/N70_DESARROLLO!AM14)-1</f>
        <v>1.7342214446341764E-2</v>
      </c>
      <c r="AP99" s="3">
        <f>-(N70_DESARROLLO!AO14/0.014285714)*LN(N70_DESARROLLO!AO14/N70_DESARROLLO!AN14)-1</f>
        <v>1.676083849676413E-2</v>
      </c>
      <c r="AQ99" s="3">
        <f>-(N70_DESARROLLO!AP14/0.014285714)*LN(N70_DESARROLLO!AP14/N70_DESARROLLO!AO14)-1</f>
        <v>1.6217180198313308E-2</v>
      </c>
      <c r="AR99" s="3">
        <f>-(N70_DESARROLLO!AQ14/0.014285714)*LN(N70_DESARROLLO!AQ14/N70_DESARROLLO!AP14)-1</f>
        <v>1.5707684197550975E-2</v>
      </c>
      <c r="AS99" s="3">
        <f>-(N70_DESARROLLO!AR14/0.014285714)*LN(N70_DESARROLLO!AR14/N70_DESARROLLO!AQ14)-1</f>
        <v>1.5229228398100814E-2</v>
      </c>
      <c r="AT99" s="3">
        <f>-(N70_DESARROLLO!AS14/0.014285714)*LN(N70_DESARROLLO!AS14/N70_DESARROLLO!AR14)-1</f>
        <v>1.4779059912703785E-2</v>
      </c>
      <c r="AU99" s="3">
        <f>-(N70_DESARROLLO!AT14/0.014285714)*LN(N70_DESARROLLO!AT14/N70_DESARROLLO!AS14)-1</f>
        <v>1.4354742051081004E-2</v>
      </c>
      <c r="AV99" s="3">
        <f>-(N70_DESARROLLO!AU14/0.014285714)*LN(N70_DESARROLLO!AU14/N70_DESARROLLO!AT14)-1</f>
        <v>1.3954110187352153E-2</v>
      </c>
      <c r="AW99" s="3">
        <f>-(N70_DESARROLLO!AV14/0.014285714)*LN(N70_DESARROLLO!AV14/N70_DESARROLLO!AU14)-1</f>
        <v>1.3575234818474557E-2</v>
      </c>
      <c r="AX99" s="3">
        <f>-(N70_DESARROLLO!AW14/0.014285714)*LN(N70_DESARROLLO!AW14/N70_DESARROLLO!AV14)-1</f>
        <v>1.3216390483202112E-2</v>
      </c>
      <c r="AY99" s="3">
        <f>-(N70_DESARROLLO!AX14/0.014285714)*LN(N70_DESARROLLO!AX14/N70_DESARROLLO!AW14)-1</f>
        <v>1.2876029484357954E-2</v>
      </c>
      <c r="AZ99" s="3">
        <f>-(N70_DESARROLLO!AY14/0.014285714)*LN(N70_DESARROLLO!AY14/N70_DESARROLLO!AX14)-1</f>
        <v>1.25527595704511E-2</v>
      </c>
      <c r="BA99" s="3">
        <f>-(N70_DESARROLLO!AZ14/0.014285714)*LN(N70_DESARROLLO!AZ14/N70_DESARROLLO!AY14)-1</f>
        <v>1.2245324897516063E-2</v>
      </c>
      <c r="BB99" s="3">
        <f>-(N70_DESARROLLO!BA14/0.014285714)*LN(N70_DESARROLLO!BA14/N70_DESARROLLO!AZ14)-1</f>
        <v>1.1952589722083351E-2</v>
      </c>
      <c r="BC99" s="3">
        <f>-(N70_DESARROLLO!BB14/0.014285714)*LN(N70_DESARROLLO!BB14/N70_DESARROLLO!BA14)-1</f>
        <v>1.1673524379102407E-2</v>
      </c>
      <c r="BD99" s="3">
        <f>-(N70_DESARROLLO!BC14/0.014285714)*LN(N70_DESARROLLO!BC14/N70_DESARROLLO!BB14)-1</f>
        <v>1.1407193179389985E-2</v>
      </c>
      <c r="BE99" s="3">
        <f>-(N70_DESARROLLO!BD14/0.014285714)*LN(N70_DESARROLLO!BD14/N70_DESARROLLO!BC14)-1</f>
        <v>1.1152743927371533E-2</v>
      </c>
      <c r="BF99" s="3">
        <f>-(N70_DESARROLLO!BE14/0.014285714)*LN(N70_DESARROLLO!BE14/N70_DESARROLLO!BD14)-1</f>
        <v>1.0909398811058679E-2</v>
      </c>
      <c r="BG99" s="3">
        <f>-(N70_DESARROLLO!BF14/0.014285714)*LN(N70_DESARROLLO!BF14/N70_DESARROLLO!BE14)-1</f>
        <v>1.0676446459560784E-2</v>
      </c>
      <c r="BH99" s="3">
        <f>-(N70_DESARROLLO!BG14/0.014285714)*LN(N70_DESARROLLO!BG14/N70_DESARROLLO!BF14)-1</f>
        <v>1.0453234996893546E-2</v>
      </c>
      <c r="BI99" s="3">
        <f>-(N70_DESARROLLO!BH14/0.014285714)*LN(N70_DESARROLLO!BH14/N70_DESARROLLO!BG14)-1</f>
        <v>1.0239165949531337E-2</v>
      </c>
      <c r="BJ99" s="3">
        <f>-(N70_DESARROLLO!BI14/0.014285714)*LN(N70_DESARROLLO!BI14/N70_DESARROLLO!BH14)-1</f>
        <v>1.003368888749101E-2</v>
      </c>
      <c r="BK99" s="3">
        <f>-(N70_DESARROLLO!BJ14/0.014285714)*LN(N70_DESARROLLO!BJ14/N70_DESARROLLO!BI14)-1</f>
        <v>9.8362966981071498E-3</v>
      </c>
      <c r="BL99" s="3">
        <f>-(N70_DESARROLLO!BK14/0.014285714)*LN(N70_DESARROLLO!BK14/N70_DESARROLLO!BJ14)-1</f>
        <v>9.6465214070291516E-3</v>
      </c>
      <c r="BM99" s="3">
        <f>-(N70_DESARROLLO!BL14/0.014285714)*LN(N70_DESARROLLO!BL14/N70_DESARROLLO!BK14)-1</f>
        <v>9.4639304737549335E-3</v>
      </c>
      <c r="BN99" s="3">
        <f>-(N70_DESARROLLO!BM14/0.014285714)*LN(N70_DESARROLLO!BM14/N70_DESARROLLO!BL14)-1</f>
        <v>9.2881235002080231E-3</v>
      </c>
      <c r="BO99" s="3">
        <f>-(N70_DESARROLLO!BN14/0.014285714)*LN(N70_DESARROLLO!BN14/N70_DESARROLLO!BM14)-1</f>
        <v>9.118729299437689E-3</v>
      </c>
      <c r="BP99" s="3">
        <f>-(N70_DESARROLLO!BO14/0.014285714)*LN(N70_DESARROLLO!BO14/N70_DESARROLLO!BN14)-1</f>
        <v>8.9554032794736393E-3</v>
      </c>
      <c r="BQ99" s="3">
        <f>-(N70_DESARROLLO!BP14/0.014285714)*LN(N70_DESARROLLO!BP14/N70_DESARROLLO!BO14)-1</f>
        <v>8.7978251032541088E-3</v>
      </c>
      <c r="BR99" s="3">
        <f>-(N70_DESARROLLO!BQ14/0.014285714)*LN(N70_DESARROLLO!BQ14/N70_DESARROLLO!BP14)-1</f>
        <v>8.6456965915251427E-3</v>
      </c>
      <c r="BS99" s="3">
        <f>-(N70_DESARROLLO!BR14/0.014285714)*LN(N70_DESARROLLO!BR14/N70_DESARROLLO!BQ14)-1</f>
        <v>8.4987398394804625E-3</v>
      </c>
      <c r="BT99" s="3">
        <f>-(N70_DESARROLLO!BS14/0.014285714)*LN(N70_DESARROLLO!BS14/N70_DESARROLLO!BR14)-1</f>
        <v>8.3566955224383399E-3</v>
      </c>
      <c r="BU99" s="3">
        <f>-(N70_DESARROLLO!BT14/0.014285714)*LN(N70_DESARROLLO!BT14/N70_DESARROLLO!BS14)-1</f>
        <v>8.219321368495569E-3</v>
      </c>
      <c r="BV99" s="3">
        <f>-(N70_DESARROLLO!BU14/0.014285714)*LN(N70_DESARROLLO!BU14/N70_DESARROLLO!BT14)-1</f>
        <v>8.0863907794463952E-3</v>
      </c>
      <c r="BW99" s="3">
        <f>-(N70_DESARROLLO!BV14/0.014285714)*LN(N70_DESARROLLO!BV14/N70_DESARROLLO!BU14)-1</f>
        <v>7.957691583579285E-3</v>
      </c>
      <c r="BX99" s="3">
        <f>-(N70_DESARROLLO!BW14/0.014285714)*LN(N70_DESARROLLO!BW14/N70_DESARROLLO!BV14)-1</f>
        <v>7.8330249053730761E-3</v>
      </c>
      <c r="BY99" s="3">
        <f>-(N70_DESARROLLO!BX14/0.014285714)*LN(N70_DESARROLLO!BX14/N70_DESARROLLO!BW14)-1</f>
        <v>4.7281013918962902</v>
      </c>
      <c r="BZ99" s="10"/>
      <c r="CA99" s="10"/>
      <c r="CB99" s="10"/>
      <c r="CC99" s="10"/>
      <c r="CD99">
        <v>5</v>
      </c>
      <c r="CE99" s="1">
        <v>0</v>
      </c>
      <c r="CF99" s="1">
        <f>(1+(N70_DESARROLLO!F14/0.014285714)*LN(N70_DESARROLLO!G14/N70_DESARROLLO!F14))</f>
        <v>-0.13091494988237606</v>
      </c>
      <c r="CG99" s="1">
        <f>(1+(N70_DESARROLLO!G14/0.014285714)*LN(N70_DESARROLLO!H14/N70_DESARROLLO!G14))</f>
        <v>-0.17765285172730216</v>
      </c>
      <c r="CH99" s="1">
        <f>(1+(N70_DESARROLLO!H14/0.014285714)*LN(N70_DESARROLLO!I14/N70_DESARROLLO!H14))</f>
        <v>-0.27706408495625912</v>
      </c>
      <c r="CI99" s="1">
        <f>(1+(N70_DESARROLLO!I14/0.014285714)*LN(N70_DESARROLLO!J14/N70_DESARROLLO!I14))</f>
        <v>-0.64791846596053393</v>
      </c>
      <c r="CJ99" s="1">
        <v>1</v>
      </c>
      <c r="CK99" s="1">
        <f>(1+(N70_DESARROLLO!K14/0.014285714)*LN(N70_DESARROLLO!L14/N70_DESARROLLO!K14))</f>
        <v>0.45069384467982176</v>
      </c>
      <c r="CL99" s="1">
        <f>(1+(N70_DESARROLLO!L14/0.014285714)*LN(N70_DESARROLLO!M14/N70_DESARROLLO!L14))</f>
        <v>0.23376154902624524</v>
      </c>
      <c r="CM99" s="1">
        <f>(1+(N70_DESARROLLO!M14/0.014285714)*LN(N70_DESARROLLO!N14/N70_DESARROLLO!M14))</f>
        <v>0.15881939162335534</v>
      </c>
      <c r="CN99" s="1">
        <f>(1+(N70_DESARROLLO!N14/0.014285714)*LN(N70_DESARROLLO!O14/N70_DESARROLLO!N14))</f>
        <v>0.12039948342481854</v>
      </c>
      <c r="CO99" s="1">
        <f>(1+(N70_DESARROLLO!O14/0.014285714)*LN(N70_DESARROLLO!P14/N70_DESARROLLO!O14))</f>
        <v>9.69818523599566E-2</v>
      </c>
      <c r="CP99" s="1">
        <f>(1+(N70_DESARROLLO!P14/0.014285714)*LN(N70_DESARROLLO!Q14/N70_DESARROLLO!P14))</f>
        <v>8.120251597663608E-2</v>
      </c>
      <c r="CQ99" s="1">
        <f>(1+(N70_DESARROLLO!Q14/0.014285714)*LN(N70_DESARROLLO!R14/N70_DESARROLLO!Q14))</f>
        <v>6.9844497732512556E-2</v>
      </c>
      <c r="CR99" s="1">
        <f>(1+(N70_DESARROLLO!R14/0.014285714)*LN(N70_DESARROLLO!S14/N70_DESARROLLO!R14))</f>
        <v>6.1276409070483151E-2</v>
      </c>
      <c r="CS99" s="1">
        <f>(1+(N70_DESARROLLO!S14/0.014285714)*LN(N70_DESARROLLO!T14/N70_DESARROLLO!S14))</f>
        <v>5.4582082654735742E-2</v>
      </c>
      <c r="CT99" s="1">
        <f>(1+(N70_DESARROLLO!T14/0.014285714)*LN(N70_DESARROLLO!U14/N70_DESARROLLO!T14))</f>
        <v>4.9207124692807636E-2</v>
      </c>
      <c r="CU99" s="1">
        <f>(1+(N70_DESARROLLO!U14/0.014285714)*LN(N70_DESARROLLO!V14/N70_DESARROLLO!U14))</f>
        <v>4.479630973579507E-2</v>
      </c>
      <c r="CV99" s="1">
        <f>(1+(N70_DESARROLLO!V14/0.014285714)*LN(N70_DESARROLLO!W14/N70_DESARROLLO!V14))</f>
        <v>4.1111478023143078E-2</v>
      </c>
      <c r="CW99" s="1">
        <f>(1+(N70_DESARROLLO!W14/0.014285714)*LN(N70_DESARROLLO!X14/N70_DESARROLLO!W14))</f>
        <v>3.7986966558137047E-2</v>
      </c>
      <c r="CX99" s="1">
        <f>(1+(N70_DESARROLLO!X14/0.014285714)*LN(N70_DESARROLLO!Y14/N70_DESARROLLO!X14))</f>
        <v>3.5303966947121235E-2</v>
      </c>
      <c r="CY99" s="1">
        <f>(1+(N70_DESARROLLO!Y14/0.014285714)*LN(N70_DESARROLLO!Z14/N70_DESARROLLO!Y14))</f>
        <v>3.297505042875204E-2</v>
      </c>
      <c r="CZ99" s="1">
        <f>(1+(N70_DESARROLLO!Z14/0.014285714)*LN(N70_DESARROLLO!AA14/N70_DESARROLLO!Z14))</f>
        <v>3.0934447408012988E-2</v>
      </c>
      <c r="DA99" s="1">
        <f>(1+(N70_DESARROLLO!AA14/0.014285714)*LN(N70_DESARROLLO!AB14/N70_DESARROLLO!AA14))</f>
        <v>2.9131730204233652E-2</v>
      </c>
      <c r="DB99" s="1">
        <f>(1+(N70_DESARROLLO!AB14/0.014285714)*LN(N70_DESARROLLO!AC14/N70_DESARROLLO!AB14))</f>
        <v>2.7527585341362903E-2</v>
      </c>
      <c r="DC99" s="1">
        <f>(1+(N70_DESARROLLO!AC14/0.014285714)*LN(N70_DESARROLLO!AD14/N70_DESARROLLO!AC14))</f>
        <v>2.6090911041509512E-2</v>
      </c>
      <c r="DD99" s="1">
        <f>(1+(N70_DESARROLLO!AD14/0.014285714)*LN(N70_DESARROLLO!AE14/N70_DESARROLLO!AD14))</f>
        <v>2.4796779290037985E-2</v>
      </c>
      <c r="DE99" s="1">
        <f>(1+(N70_DESARROLLO!AE14/0.014285714)*LN(N70_DESARROLLO!AF14/N70_DESARROLLO!AE14))</f>
        <v>2.3624976192778924E-2</v>
      </c>
      <c r="DF99" s="1">
        <f>(1+(N70_DESARROLLO!AF14/0.014285714)*LN(N70_DESARROLLO!AG14/N70_DESARROLLO!AF14))</f>
        <v>2.2558937800898904E-2</v>
      </c>
      <c r="DG99" s="1">
        <f>(1+(N70_DESARROLLO!AG14/0.014285714)*LN(N70_DESARROLLO!AH14/N70_DESARROLLO!AG14))</f>
        <v>2.1584961787574186E-2</v>
      </c>
      <c r="DH99" s="1">
        <f>(1+(N70_DESARROLLO!AH14/0.014285714)*LN(N70_DESARROLLO!AI14/N70_DESARROLLO!AH14))</f>
        <v>2.0691615000482555E-2</v>
      </c>
      <c r="DI99" s="1">
        <f>(1+(N70_DESARROLLO!AI14/0.014285714)*LN(N70_DESARROLLO!AJ14/N70_DESARROLLO!AI14))</f>
        <v>1.9869282361755114E-2</v>
      </c>
      <c r="DJ99" s="1">
        <f>(1+(N70_DESARROLLO!AJ14/0.014285714)*LN(N70_DESARROLLO!AK14/N70_DESARROLLO!AJ14))</f>
        <v>1.9109819273394724E-2</v>
      </c>
      <c r="DK99" s="1">
        <f>(1+(N70_DESARROLLO!AK14/0.014285714)*LN(N70_DESARROLLO!AL14/N70_DESARROLLO!AK14))</f>
        <v>1.8406280838875078E-2</v>
      </c>
      <c r="DL99" s="1">
        <f>(1+(N70_DESARROLLO!AL14/0.014285714)*LN(N70_DESARROLLO!AM14/N70_DESARROLLO!AL14))</f>
        <v>1.7752708797874939E-2</v>
      </c>
      <c r="DM99" s="1">
        <f>(1+(N70_DESARROLLO!AM14/0.014285714)*LN(N70_DESARROLLO!AN14/N70_DESARROLLO!AM14))</f>
        <v>1.7143962314551175E-2</v>
      </c>
      <c r="DN99" s="1">
        <f>(1+(N70_DESARROLLO!AN14/0.014285714)*LN(N70_DESARROLLO!AO14/N70_DESARROLLO!AN14))</f>
        <v>1.657558243755608E-2</v>
      </c>
      <c r="DO99" s="1">
        <f>(1+(N70_DESARROLLO!AO14/0.014285714)*LN(N70_DESARROLLO!AP14/N70_DESARROLLO!AO14))</f>
        <v>1.6043682665125125E-2</v>
      </c>
      <c r="DP99" s="1">
        <f>(1+(N70_DESARROLLO!AP14/0.014285714)*LN(N70_DESARROLLO!AQ14/N70_DESARROLLO!AP14))</f>
        <v>1.5544859931604593E-2</v>
      </c>
      <c r="DQ99" s="1">
        <f>(1+(N70_DESARROLLO!AQ14/0.014285714)*LN(N70_DESARROLLO!AR14/N70_DESARROLLO!AQ14))</f>
        <v>1.5076121703334833E-2</v>
      </c>
      <c r="DR99" s="1">
        <f>(1+(N70_DESARROLLO!AR14/0.014285714)*LN(N70_DESARROLLO!AS14/N70_DESARROLLO!AR14))</f>
        <v>1.4634825881867375E-2</v>
      </c>
      <c r="DS99" s="1">
        <f>(1+(N70_DESARROLLO!AS14/0.014285714)*LN(N70_DESARROLLO!AT14/N70_DESARROLLO!AS14))</f>
        <v>1.4218630964442425E-2</v>
      </c>
      <c r="DT99" s="1">
        <f>(1+(N70_DESARROLLO!AT14/0.014285714)*LN(N70_DESARROLLO!AU14/N70_DESARROLLO!AT14))</f>
        <v>1.3825454475315135E-2</v>
      </c>
      <c r="DU99" s="1">
        <f>(1+(N70_DESARROLLO!AU14/0.014285714)*LN(N70_DESARROLLO!AV14/N70_DESARROLLO!AU14))</f>
        <v>1.3453438110017868E-2</v>
      </c>
      <c r="DV99" s="1">
        <f>(1+(N70_DESARROLLO!AV14/0.014285714)*LN(N70_DESARROLLO!AW14/N70_DESARROLLO!AV14))</f>
        <v>1.3100918360517522E-2</v>
      </c>
      <c r="DW99" s="1">
        <f>(1+(N70_DESARROLLO!AW14/0.014285714)*LN(N70_DESARROLLO!AX14/N70_DESARROLLO!AW14))</f>
        <v>1.2766401641828407E-2</v>
      </c>
      <c r="DX99" s="1">
        <f>(1+(N70_DESARROLLO!AX14/0.014285714)*LN(N70_DESARROLLO!AY14/N70_DESARROLLO!AX14))</f>
        <v>1.2448543134991996E-2</v>
      </c>
      <c r="DY99" s="1">
        <f>(1+(N70_DESARROLLO!AY14/0.014285714)*LN(N70_DESARROLLO!AZ14/N70_DESARROLLO!AY14))</f>
        <v>1.2146128714472515E-2</v>
      </c>
      <c r="DZ99" s="1">
        <f>(1+(N70_DESARROLLO!AZ14/0.014285714)*LN(N70_DESARROLLO!BA14/N70_DESARROLLO!AZ14))</f>
        <v>1.1858059447847902E-2</v>
      </c>
      <c r="EA99" s="1">
        <f>(1+(N70_DESARROLLO!BA14/0.014285714)*LN(N70_DESARROLLO!BB14/N70_DESARROLLO!BA14))</f>
        <v>1.1583338250302444E-2</v>
      </c>
      <c r="EB99" s="1">
        <f>(1+(N70_DESARROLLO!BB14/0.014285714)*LN(N70_DESARROLLO!BC14/N70_DESARROLLO!BB14))</f>
        <v>1.1321058352731117E-2</v>
      </c>
      <c r="EC99" s="1">
        <f>(1+(N70_DESARROLLO!BC14/0.014285714)*LN(N70_DESARROLLO!BD14/N70_DESARROLLO!BC14))</f>
        <v>1.1070393301801484E-2</v>
      </c>
      <c r="ED99" s="1">
        <f>(1+(N70_DESARROLLO!BD14/0.014285714)*LN(N70_DESARROLLO!BE14/N70_DESARROLLO!BD14))</f>
        <v>1.0830588260146934E-2</v>
      </c>
      <c r="EE99" s="1">
        <f>(1+(N70_DESARROLLO!BE14/0.014285714)*LN(N70_DESARROLLO!BF14/N70_DESARROLLO!BE14))</f>
        <v>1.0600952413272191E-2</v>
      </c>
      <c r="EF99" s="1">
        <f>(1+(N70_DESARROLLO!BF14/0.014285714)*LN(N70_DESARROLLO!BG14/N70_DESARROLLO!BF14))</f>
        <v>1.0380852322629863E-2</v>
      </c>
      <c r="EG99" s="1">
        <f>(1+(N70_DESARROLLO!BG14/0.014285714)*LN(N70_DESARROLLO!BH14/N70_DESARROLLO!BG14))</f>
        <v>1.0169706089853126E-2</v>
      </c>
      <c r="EH99" s="1">
        <f>(1+(N70_DESARROLLO!BH14/0.014285714)*LN(N70_DESARROLLO!BI14/N70_DESARROLLO!BH14))</f>
        <v>9.9669782191919021E-3</v>
      </c>
      <c r="EI99" s="1">
        <f>(1+(N70_DESARROLLO!BI14/0.014285714)*LN(N70_DESARROLLO!BJ14/N70_DESARROLLO!BI14))</f>
        <v>9.77217508243855E-3</v>
      </c>
      <c r="EJ99" s="1">
        <f>(1+(N70_DESARROLLO!BJ14/0.014285714)*LN(N70_DESARROLLO!BK14/N70_DESARROLLO!BJ14))</f>
        <v>9.5848409054859474E-3</v>
      </c>
      <c r="EK99" s="1">
        <f>(1+(N70_DESARROLLO!BK14/0.014285714)*LN(N70_DESARROLLO!BL14/N70_DESARROLLO!BK14))</f>
        <v>9.404554207997462E-3</v>
      </c>
      <c r="EL99" s="1">
        <f>(1+(N70_DESARROLLO!BL14/0.014285714)*LN(N70_DESARROLLO!BM14/N70_DESARROLLO!BL14))</f>
        <v>9.230924637410709E-3</v>
      </c>
      <c r="EM99" s="1">
        <f>(1+(N70_DESARROLLO!BM14/0.014285714)*LN(N70_DESARROLLO!BN14/N70_DESARROLLO!BM14))</f>
        <v>9.0635901473987701E-3</v>
      </c>
      <c r="EN99" s="1">
        <f>(1+(N70_DESARROLLO!BN14/0.014285714)*LN(N70_DESARROLLO!BO14/N70_DESARROLLO!BN14))</f>
        <v>8.9022144776851331E-3</v>
      </c>
      <c r="EO99" s="1">
        <f>(1+(N70_DESARROLLO!BO14/0.014285714)*LN(N70_DESARROLLO!BP14/N70_DESARROLLO!BO14))</f>
        <v>8.7464848985415733E-3</v>
      </c>
      <c r="EP99" s="1">
        <f>(1+(N70_DESARROLLO!BP14/0.014285714)*LN(N70_DESARROLLO!BQ14/N70_DESARROLLO!BP14))</f>
        <v>8.5961101878172519E-3</v>
      </c>
      <c r="EQ99" s="1">
        <f>(1+(N70_DESARROLLO!BQ14/0.014285714)*LN(N70_DESARROLLO!BR14/N70_DESARROLLO!BQ14))</f>
        <v>8.4508188132838002E-3</v>
      </c>
      <c r="ER99" s="1">
        <f>(1+(N70_DESARROLLO!BR14/0.014285714)*LN(N70_DESARROLLO!BS14/N70_DESARROLLO!BR14))</f>
        <v>8.3103572961144012E-3</v>
      </c>
      <c r="ES99" s="1">
        <f>(1+(N70_DESARROLLO!BS14/0.014285714)*LN(N70_DESARROLLO!BT14/N70_DESARROLLO!BS14))</f>
        <v>8.1744887350573281E-3</v>
      </c>
      <c r="ET99" s="1">
        <f>(1+(N70_DESARROLLO!BT14/0.014285714)*LN(N70_DESARROLLO!BU14/N70_DESARROLLO!BT14))</f>
        <v>8.0429914730246743E-3</v>
      </c>
      <c r="EU99" s="1">
        <f>(1+(N70_DESARROLLO!BU14/0.014285714)*LN(N70_DESARROLLO!BV14/N70_DESARROLLO!BU14))</f>
        <v>7.9156578901778962E-3</v>
      </c>
      <c r="EV99" s="1">
        <f>(1+(N70_DESARROLLO!BV14/0.014285714)*LN(N70_DESARROLLO!BW14/N70_DESARROLLO!BV14))</f>
        <v>7.7922933102141378E-3</v>
      </c>
      <c r="EW99" s="1">
        <f>(1+(N70_DESARROLLO!BW14/0.014285714)*LN(N70_DESARROLLO!BX14/N70_DESARROLLO!BW14))</f>
        <v>-4.2780362825330105</v>
      </c>
      <c r="EX99" s="10"/>
      <c r="EY99" s="10"/>
    </row>
    <row r="100" spans="5:155" x14ac:dyDescent="0.25">
      <c r="G100" s="3">
        <v>6</v>
      </c>
      <c r="H100" s="3">
        <f>-(N70_DESARROLLO!G15/0.014285714)*LN(N70_DESARROLLO!G15/N70_DESARROLLO!F15)-1</f>
        <v>-9.69818523599566E-2</v>
      </c>
      <c r="I100" s="3">
        <f>-(N70_DESARROLLO!H15/0.014285714)*LN(N70_DESARROLLO!H15/N70_DESARROLLO!G15)-1</f>
        <v>-0.12039948342481877</v>
      </c>
      <c r="J100" s="3">
        <f>-(N70_DESARROLLO!I15/0.014285714)*LN(N70_DESARROLLO!I15/N70_DESARROLLO!H15)-1</f>
        <v>-0.15881939162335512</v>
      </c>
      <c r="K100" s="3">
        <f>-(N70_DESARROLLO!J15/0.014285714)*LN(N70_DESARROLLO!J15/N70_DESARROLLO!I15)-1</f>
        <v>-0.23376154902624513</v>
      </c>
      <c r="L100" s="3">
        <f>-(N70_DESARROLLO!K15/0.014285714)*LN(N70_DESARROLLO!K15/N70_DESARROLLO!J15)-1</f>
        <v>-0.45069384467982199</v>
      </c>
      <c r="M100" s="3">
        <v>-1</v>
      </c>
      <c r="N100" s="3">
        <f>-(N70_DESARROLLO!M15/0.014285714)*LN(N70_DESARROLLO!M15/N70_DESARROLLO!L15)-1</f>
        <v>0.6479184659605326</v>
      </c>
      <c r="O100" s="3">
        <f>-(N70_DESARROLLO!N15/0.014285714)*LN(N70_DESARROLLO!N15/N70_DESARROLLO!M15)-1</f>
        <v>0.27706408495625912</v>
      </c>
      <c r="P100" s="3">
        <f>-(N70_DESARROLLO!O15/0.014285714)*LN(N70_DESARROLLO!O15/N70_DESARROLLO!N15)-1</f>
        <v>0.1776528517273015</v>
      </c>
      <c r="Q100" s="3">
        <f>-(N70_DESARROLLO!P15/0.014285714)*LN(N70_DESARROLLO!P15/N70_DESARROLLO!O15)-1</f>
        <v>0.13091494988237651</v>
      </c>
      <c r="R100" s="3">
        <f>-(N70_DESARROLLO!Q15/0.014285714)*LN(N70_DESARROLLO!Q15/N70_DESARROLLO!P15)-1</f>
        <v>0.10368884711560877</v>
      </c>
      <c r="S100" s="3">
        <f>-(N70_DESARROLLO!R15/0.014285714)*LN(N70_DESARROLLO!R15/N70_DESARROLLO!Q15)-1</f>
        <v>8.5851572027612066E-2</v>
      </c>
      <c r="T100" s="3">
        <f>-(N70_DESARROLLO!S15/0.014285714)*LN(N70_DESARROLLO!S15/N70_DESARROLLO!R15)-1</f>
        <v>7.3256348770177837E-2</v>
      </c>
      <c r="U100" s="3">
        <f>-(N70_DESARROLLO!T15/0.014285714)*LN(N70_DESARROLLO!T15/N70_DESARROLLO!S15)-1</f>
        <v>6.3886736386784104E-2</v>
      </c>
      <c r="V100" s="3">
        <f>-(N70_DESARROLLO!U15/0.014285714)*LN(N70_DESARROLLO!U15/N70_DESARROLLO!T15)-1</f>
        <v>5.6643554680002817E-2</v>
      </c>
      <c r="W100" s="3">
        <f>-(N70_DESARROLLO!V15/0.014285714)*LN(N70_DESARROLLO!V15/N70_DESARROLLO!U15)-1</f>
        <v>5.0876335865844169E-2</v>
      </c>
      <c r="X100" s="3">
        <f>-(N70_DESARROLLO!W15/0.014285714)*LN(N70_DESARROLLO!W15/N70_DESARROLLO!V15)-1</f>
        <v>4.6175470289367526E-2</v>
      </c>
      <c r="Y100" s="3">
        <f>-(N70_DESARROLLO!X15/0.014285714)*LN(N70_DESARROLLO!X15/N70_DESARROLLO!W15)-1</f>
        <v>4.2270132583539954E-2</v>
      </c>
      <c r="Z100" s="3">
        <f>-(N70_DESARROLLO!Y15/0.014285714)*LN(N70_DESARROLLO!Y15/N70_DESARROLLO!X15)-1</f>
        <v>3.8974076117214818E-2</v>
      </c>
      <c r="AA100" s="3">
        <f>-(N70_DESARROLLO!Z15/0.014285714)*LN(N70_DESARROLLO!Z15/N70_DESARROLLO!Y15)-1</f>
        <v>3.6154998464203114E-2</v>
      </c>
      <c r="AB100" s="3">
        <f>-(N70_DESARROLLO!AA15/0.014285714)*LN(N70_DESARROLLO!AA15/N70_DESARROLLO!Z15)-1</f>
        <v>3.3716325403748026E-2</v>
      </c>
      <c r="AC100" s="3">
        <f>-(N70_DESARROLLO!AB15/0.014285714)*LN(N70_DESARROLLO!AB15/N70_DESARROLLO!AA15)-1</f>
        <v>3.158591082372797E-2</v>
      </c>
      <c r="AD100" s="3">
        <f>-(N70_DESARROLLO!AC15/0.014285714)*LN(N70_DESARROLLO!AC15/N70_DESARROLLO!AB15)-1</f>
        <v>2.9708770995509948E-2</v>
      </c>
      <c r="AE100" s="3">
        <f>-(N70_DESARROLLO!AD15/0.014285714)*LN(N70_DESARROLLO!AD15/N70_DESARROLLO!AC15)-1</f>
        <v>2.8042266924845016E-2</v>
      </c>
      <c r="AF100" s="3">
        <f>-(N70_DESARROLLO!AE15/0.014285714)*LN(N70_DESARROLLO!AE15/N70_DESARROLLO!AD15)-1</f>
        <v>2.6552823496787115E-2</v>
      </c>
      <c r="AG100" s="3">
        <f>-(N70_DESARROLLO!AF15/0.014285714)*LN(N70_DESARROLLO!AF15/N70_DESARROLLO!AE15)-1</f>
        <v>2.5213642284831916E-2</v>
      </c>
      <c r="AH100" s="3">
        <f>-(N70_DESARROLLO!AG15/0.014285714)*LN(N70_DESARROLLO!AG15/N70_DESARROLLO!AF15)-1</f>
        <v>2.4003073749031989E-2</v>
      </c>
      <c r="AI100" s="3">
        <f>-(N70_DESARROLLO!AH15/0.014285714)*LN(N70_DESARROLLO!AH15/N70_DESARROLLO!AG15)-1</f>
        <v>2.2903437185110453E-2</v>
      </c>
      <c r="AJ100" s="3">
        <f>-(N70_DESARROLLO!AI15/0.014285714)*LN(N70_DESARROLLO!AI15/N70_DESARROLLO!AH15)-1</f>
        <v>2.190015102186682E-2</v>
      </c>
      <c r="AK100" s="3">
        <f>-(N70_DESARROLLO!AJ15/0.014285714)*LN(N70_DESARROLLO!AJ15/N70_DESARROLLO!AI15)-1</f>
        <v>2.0981082233539672E-2</v>
      </c>
      <c r="AL100" s="3">
        <f>-(N70_DESARROLLO!AK15/0.014285714)*LN(N70_DESARROLLO!AK15/N70_DESARROLLO!AJ15)-1</f>
        <v>2.0136053052050906E-2</v>
      </c>
      <c r="AM100" s="3">
        <f>-(N70_DESARROLLO!AL15/0.014285714)*LN(N70_DESARROLLO!AL15/N70_DESARROLLO!AK15)-1</f>
        <v>1.9356462323727008E-2</v>
      </c>
      <c r="AN100" s="3">
        <f>-(N70_DESARROLLO!AM15/0.014285714)*LN(N70_DESARROLLO!AM15/N70_DESARROLLO!AL15)-1</f>
        <v>1.8634991582299421E-2</v>
      </c>
      <c r="AO100" s="3">
        <f>-(N70_DESARROLLO!AN15/0.014285714)*LN(N70_DESARROLLO!AN15/N70_DESARROLLO!AM15)-1</f>
        <v>1.7965374518565946E-2</v>
      </c>
      <c r="AP100" s="3">
        <f>-(N70_DESARROLLO!AO15/0.014285714)*LN(N70_DESARROLLO!AO15/N70_DESARROLLO!AN15)-1</f>
        <v>1.7342214446341764E-2</v>
      </c>
      <c r="AQ100" s="3">
        <f>-(N70_DESARROLLO!AP15/0.014285714)*LN(N70_DESARROLLO!AP15/N70_DESARROLLO!AO15)-1</f>
        <v>1.6760838496763908E-2</v>
      </c>
      <c r="AR100" s="3">
        <f>-(N70_DESARROLLO!AQ15/0.014285714)*LN(N70_DESARROLLO!AQ15/N70_DESARROLLO!AP15)-1</f>
        <v>1.6217180198320191E-2</v>
      </c>
      <c r="AS100" s="3">
        <f>-(N70_DESARROLLO!AR15/0.014285714)*LN(N70_DESARROLLO!AR15/N70_DESARROLLO!AQ15)-1</f>
        <v>1.570768419754387E-2</v>
      </c>
      <c r="AT100" s="3">
        <f>-(N70_DESARROLLO!AS15/0.014285714)*LN(N70_DESARROLLO!AS15/N70_DESARROLLO!AR15)-1</f>
        <v>1.5229228398107919E-2</v>
      </c>
      <c r="AU100" s="3">
        <f>-(N70_DESARROLLO!AT15/0.014285714)*LN(N70_DESARROLLO!AT15/N70_DESARROLLO!AS15)-1</f>
        <v>1.4779059912696235E-2</v>
      </c>
      <c r="AV100" s="3">
        <f>-(N70_DESARROLLO!AU15/0.014285714)*LN(N70_DESARROLLO!AU15/N70_DESARROLLO!AT15)-1</f>
        <v>1.4354742051081004E-2</v>
      </c>
      <c r="AW100" s="3">
        <f>-(N70_DESARROLLO!AV15/0.014285714)*LN(N70_DESARROLLO!AV15/N70_DESARROLLO!AU15)-1</f>
        <v>1.395411018734416E-2</v>
      </c>
      <c r="AX100" s="3">
        <f>-(N70_DESARROLLO!AW15/0.014285714)*LN(N70_DESARROLLO!AW15/N70_DESARROLLO!AV15)-1</f>
        <v>1.3575234818474335E-2</v>
      </c>
      <c r="AY100" s="3">
        <f>-(N70_DESARROLLO!AX15/0.014285714)*LN(N70_DESARROLLO!AX15/N70_DESARROLLO!AW15)-1</f>
        <v>1.3216390483218987E-2</v>
      </c>
      <c r="AZ100" s="3">
        <f>-(N70_DESARROLLO!AY15/0.014285714)*LN(N70_DESARROLLO!AY15/N70_DESARROLLO!AX15)-1</f>
        <v>1.2876029484357954E-2</v>
      </c>
      <c r="BA100" s="3">
        <f>-(N70_DESARROLLO!AZ15/0.014285714)*LN(N70_DESARROLLO!AZ15/N70_DESARROLLO!AY15)-1</f>
        <v>1.25527595704511E-2</v>
      </c>
      <c r="BB100" s="3">
        <f>-(N70_DESARROLLO!BA15/0.014285714)*LN(N70_DESARROLLO!BA15/N70_DESARROLLO!AZ15)-1</f>
        <v>1.224532489750696E-2</v>
      </c>
      <c r="BC100" s="3">
        <f>-(N70_DESARROLLO!BB15/0.014285714)*LN(N70_DESARROLLO!BB15/N70_DESARROLLO!BA15)-1</f>
        <v>1.1952589722102003E-2</v>
      </c>
      <c r="BD100" s="3">
        <f>-(N70_DESARROLLO!BC15/0.014285714)*LN(N70_DESARROLLO!BC15/N70_DESARROLLO!BB15)-1</f>
        <v>1.1673524379093081E-2</v>
      </c>
      <c r="BE100" s="3">
        <f>-(N70_DESARROLLO!BD15/0.014285714)*LN(N70_DESARROLLO!BD15/N70_DESARROLLO!BC15)-1</f>
        <v>1.1407193179389985E-2</v>
      </c>
      <c r="BF100" s="3">
        <f>-(N70_DESARROLLO!BE15/0.014285714)*LN(N70_DESARROLLO!BE15/N70_DESARROLLO!BD15)-1</f>
        <v>1.1152743927361541E-2</v>
      </c>
      <c r="BG100" s="3">
        <f>-(N70_DESARROLLO!BF15/0.014285714)*LN(N70_DESARROLLO!BF15/N70_DESARROLLO!BE15)-1</f>
        <v>1.0909398811078885E-2</v>
      </c>
      <c r="BH100" s="3">
        <f>-(N70_DESARROLLO!BG15/0.014285714)*LN(N70_DESARROLLO!BG15/N70_DESARROLLO!BF15)-1</f>
        <v>1.0676446459560784E-2</v>
      </c>
      <c r="BI100" s="3">
        <f>-(N70_DESARROLLO!BH15/0.014285714)*LN(N70_DESARROLLO!BH15/N70_DESARROLLO!BG15)-1</f>
        <v>1.0453234996893546E-2</v>
      </c>
      <c r="BJ100" s="3">
        <f>-(N70_DESARROLLO!BI15/0.014285714)*LN(N70_DESARROLLO!BI15/N70_DESARROLLO!BH15)-1</f>
        <v>1.0239165949531337E-2</v>
      </c>
      <c r="BK100" s="3">
        <f>-(N70_DESARROLLO!BJ15/0.014285714)*LN(N70_DESARROLLO!BJ15/N70_DESARROLLO!BI15)-1</f>
        <v>1.003368888748013E-2</v>
      </c>
      <c r="BL100" s="3">
        <f>-(N70_DESARROLLO!BK15/0.014285714)*LN(N70_DESARROLLO!BK15/N70_DESARROLLO!BJ15)-1</f>
        <v>9.8362966981186961E-3</v>
      </c>
      <c r="BM100" s="3">
        <f>-(N70_DESARROLLO!BL15/0.014285714)*LN(N70_DESARROLLO!BL15/N70_DESARROLLO!BK15)-1</f>
        <v>9.6465214070291516E-3</v>
      </c>
      <c r="BN100" s="3">
        <f>-(N70_DESARROLLO!BM15/0.014285714)*LN(N70_DESARROLLO!BM15/N70_DESARROLLO!BL15)-1</f>
        <v>9.4639304737549335E-3</v>
      </c>
      <c r="BO100" s="3">
        <f>-(N70_DESARROLLO!BN15/0.014285714)*LN(N70_DESARROLLO!BN15/N70_DESARROLLO!BM15)-1</f>
        <v>9.2881235002078011E-3</v>
      </c>
      <c r="BP100" s="3">
        <f>-(N70_DESARROLLO!BO15/0.014285714)*LN(N70_DESARROLLO!BO15/N70_DESARROLLO!BN15)-1</f>
        <v>9.1187292994501234E-3</v>
      </c>
      <c r="BQ100" s="3">
        <f>-(N70_DESARROLLO!BP15/0.014285714)*LN(N70_DESARROLLO!BP15/N70_DESARROLLO!BO15)-1</f>
        <v>8.9554032794736393E-3</v>
      </c>
      <c r="BR100" s="3">
        <f>-(N70_DESARROLLO!BQ15/0.014285714)*LN(N70_DESARROLLO!BQ15/N70_DESARROLLO!BP15)-1</f>
        <v>8.7978251032541088E-3</v>
      </c>
      <c r="BS100" s="3">
        <f>-(N70_DESARROLLO!BR15/0.014285714)*LN(N70_DESARROLLO!BR15/N70_DESARROLLO!BQ15)-1</f>
        <v>8.6456965915122641E-3</v>
      </c>
      <c r="BT100" s="3">
        <f>-(N70_DESARROLLO!BS15/0.014285714)*LN(N70_DESARROLLO!BS15/N70_DESARROLLO!BR15)-1</f>
        <v>8.4987398394802405E-3</v>
      </c>
      <c r="BU100" s="3">
        <f>-(N70_DESARROLLO!BT15/0.014285714)*LN(N70_DESARROLLO!BT15/N70_DESARROLLO!BS15)-1</f>
        <v>8.3566955224516626E-3</v>
      </c>
      <c r="BV100" s="3">
        <f>-(N70_DESARROLLO!BU15/0.014285714)*LN(N70_DESARROLLO!BU15/N70_DESARROLLO!BT15)-1</f>
        <v>8.2193213684820243E-3</v>
      </c>
      <c r="BW100" s="3">
        <f>-(N70_DESARROLLO!BV15/0.014285714)*LN(N70_DESARROLLO!BV15/N70_DESARROLLO!BU15)-1</f>
        <v>8.0863907794463952E-3</v>
      </c>
      <c r="BX100" s="3">
        <f>-(N70_DESARROLLO!BW15/0.014285714)*LN(N70_DESARROLLO!BW15/N70_DESARROLLO!BV15)-1</f>
        <v>7.9576915835790629E-3</v>
      </c>
      <c r="BY100" s="3">
        <f>-(N70_DESARROLLO!BX15/0.014285714)*LN(N70_DESARROLLO!BX15/N70_DESARROLLO!BW15)-1</f>
        <v>5.8218736669873872</v>
      </c>
      <c r="BZ100" s="10"/>
      <c r="CA100" s="10"/>
      <c r="CB100" s="10"/>
      <c r="CC100" s="10"/>
      <c r="CD100" s="1">
        <v>6</v>
      </c>
      <c r="CE100" s="1">
        <v>0</v>
      </c>
      <c r="CF100" s="1">
        <f>(1+(N70_DESARROLLO!F15/0.014285714)*LN(N70_DESARROLLO!G15/N70_DESARROLLO!F15))</f>
        <v>-0.10368884711560877</v>
      </c>
      <c r="CG100" s="1">
        <f>(1+(N70_DESARROLLO!G15/0.014285714)*LN(N70_DESARROLLO!H15/N70_DESARROLLO!G15))</f>
        <v>-0.13091494988237562</v>
      </c>
      <c r="CH100" s="1">
        <f>(1+(N70_DESARROLLO!H15/0.014285714)*LN(N70_DESARROLLO!I15/N70_DESARROLLO!H15))</f>
        <v>-0.17765285172730283</v>
      </c>
      <c r="CI100" s="1">
        <f>(1+(N70_DESARROLLO!I15/0.014285714)*LN(N70_DESARROLLO!J15/N70_DESARROLLO!I15))</f>
        <v>-0.27706408495625801</v>
      </c>
      <c r="CJ100" s="1">
        <f>(1+(N70_DESARROLLO!J15/0.014285714)*LN(N70_DESARROLLO!K15/N70_DESARROLLO!J15))</f>
        <v>-0.64791846596053349</v>
      </c>
      <c r="CK100" s="1">
        <v>1</v>
      </c>
      <c r="CL100" s="1">
        <f>(1+(N70_DESARROLLO!L15/0.014285714)*LN(N70_DESARROLLO!M15/N70_DESARROLLO!L15))</f>
        <v>0.4506938446798221</v>
      </c>
      <c r="CM100" s="1">
        <f>(1+(N70_DESARROLLO!M15/0.014285714)*LN(N70_DESARROLLO!N15/N70_DESARROLLO!M15))</f>
        <v>0.23376154902624469</v>
      </c>
      <c r="CN100" s="1">
        <f>(1+(N70_DESARROLLO!N15/0.014285714)*LN(N70_DESARROLLO!O15/N70_DESARROLLO!N15))</f>
        <v>0.15881939162335601</v>
      </c>
      <c r="CO100" s="1">
        <f>(1+(N70_DESARROLLO!O15/0.014285714)*LN(N70_DESARROLLO!P15/N70_DESARROLLO!O15))</f>
        <v>0.12039948342481821</v>
      </c>
      <c r="CP100" s="1">
        <f>(1+(N70_DESARROLLO!P15/0.014285714)*LN(N70_DESARROLLO!Q15/N70_DESARROLLO!P15))</f>
        <v>9.69818523599566E-2</v>
      </c>
      <c r="CQ100" s="1">
        <f>(1+(N70_DESARROLLO!Q15/0.014285714)*LN(N70_DESARROLLO!R15/N70_DESARROLLO!Q15))</f>
        <v>8.120251597663608E-2</v>
      </c>
      <c r="CR100" s="1">
        <f>(1+(N70_DESARROLLO!R15/0.014285714)*LN(N70_DESARROLLO!S15/N70_DESARROLLO!R15))</f>
        <v>6.9844497732512556E-2</v>
      </c>
      <c r="CS100" s="1">
        <f>(1+(N70_DESARROLLO!S15/0.014285714)*LN(N70_DESARROLLO!T15/N70_DESARROLLO!S15))</f>
        <v>6.1276409070484594E-2</v>
      </c>
      <c r="CT100" s="1">
        <f>(1+(N70_DESARROLLO!T15/0.014285714)*LN(N70_DESARROLLO!U15/N70_DESARROLLO!T15))</f>
        <v>5.4582082654734188E-2</v>
      </c>
      <c r="CU100" s="1">
        <f>(1+(N70_DESARROLLO!U15/0.014285714)*LN(N70_DESARROLLO!V15/N70_DESARROLLO!U15))</f>
        <v>4.9207124692807636E-2</v>
      </c>
      <c r="CV100" s="1">
        <f>(1+(N70_DESARROLLO!V15/0.014285714)*LN(N70_DESARROLLO!W15/N70_DESARROLLO!V15))</f>
        <v>4.479630973579507E-2</v>
      </c>
      <c r="CW100" s="1">
        <f>(1+(N70_DESARROLLO!W15/0.014285714)*LN(N70_DESARROLLO!X15/N70_DESARROLLO!W15))</f>
        <v>4.1111478023143078E-2</v>
      </c>
      <c r="CX100" s="1">
        <f>(1+(N70_DESARROLLO!X15/0.014285714)*LN(N70_DESARROLLO!Y15/N70_DESARROLLO!X15))</f>
        <v>3.7986966558134605E-2</v>
      </c>
      <c r="CY100" s="1">
        <f>(1+(N70_DESARROLLO!Y15/0.014285714)*LN(N70_DESARROLLO!Z15/N70_DESARROLLO!Y15))</f>
        <v>3.5303966947121235E-2</v>
      </c>
      <c r="CZ100" s="1">
        <f>(1+(N70_DESARROLLO!Z15/0.014285714)*LN(N70_DESARROLLO!AA15/N70_DESARROLLO!Z15))</f>
        <v>3.297505042875204E-2</v>
      </c>
      <c r="DA100" s="1">
        <f>(1+(N70_DESARROLLO!AA15/0.014285714)*LN(N70_DESARROLLO!AB15/N70_DESARROLLO!AA15))</f>
        <v>3.0934447408012988E-2</v>
      </c>
      <c r="DB100" s="1">
        <f>(1+(N70_DESARROLLO!AB15/0.014285714)*LN(N70_DESARROLLO!AC15/N70_DESARROLLO!AB15))</f>
        <v>2.9131730204233652E-2</v>
      </c>
      <c r="DC100" s="1">
        <f>(1+(N70_DESARROLLO!AC15/0.014285714)*LN(N70_DESARROLLO!AD15/N70_DESARROLLO!AC15))</f>
        <v>2.7527585341362903E-2</v>
      </c>
      <c r="DD100" s="1">
        <f>(1+(N70_DESARROLLO!AD15/0.014285714)*LN(N70_DESARROLLO!AE15/N70_DESARROLLO!AD15))</f>
        <v>2.6090911041509512E-2</v>
      </c>
      <c r="DE100" s="1">
        <f>(1+(N70_DESARROLLO!AE15/0.014285714)*LN(N70_DESARROLLO!AF15/N70_DESARROLLO!AE15))</f>
        <v>2.4796779290037985E-2</v>
      </c>
      <c r="DF100" s="1">
        <f>(1+(N70_DESARROLLO!AF15/0.014285714)*LN(N70_DESARROLLO!AG15/N70_DESARROLLO!AF15))</f>
        <v>2.3624976192783254E-2</v>
      </c>
      <c r="DG100" s="1">
        <f>(1+(N70_DESARROLLO!AG15/0.014285714)*LN(N70_DESARROLLO!AH15/N70_DESARROLLO!AG15))</f>
        <v>2.2558937800894463E-2</v>
      </c>
      <c r="DH100" s="1">
        <f>(1+(N70_DESARROLLO!AH15/0.014285714)*LN(N70_DESARROLLO!AI15/N70_DESARROLLO!AH15))</f>
        <v>2.1584961787574186E-2</v>
      </c>
      <c r="DI100" s="1">
        <f>(1+(N70_DESARROLLO!AI15/0.014285714)*LN(N70_DESARROLLO!AJ15/N70_DESARROLLO!AI15))</f>
        <v>2.0691615000482555E-2</v>
      </c>
      <c r="DJ100" s="1">
        <f>(1+(N70_DESARROLLO!AJ15/0.014285714)*LN(N70_DESARROLLO!AK15/N70_DESARROLLO!AJ15))</f>
        <v>1.9869282361755114E-2</v>
      </c>
      <c r="DK100" s="1">
        <f>(1+(N70_DESARROLLO!AK15/0.014285714)*LN(N70_DESARROLLO!AL15/N70_DESARROLLO!AK15))</f>
        <v>1.9109819273394724E-2</v>
      </c>
      <c r="DL100" s="1">
        <f>(1+(N70_DESARROLLO!AL15/0.014285714)*LN(N70_DESARROLLO!AM15/N70_DESARROLLO!AL15))</f>
        <v>1.8406280838875078E-2</v>
      </c>
      <c r="DM100" s="1">
        <f>(1+(N70_DESARROLLO!AM15/0.014285714)*LN(N70_DESARROLLO!AN15/N70_DESARROLLO!AM15))</f>
        <v>1.7752708797874939E-2</v>
      </c>
      <c r="DN100" s="1">
        <f>(1+(N70_DESARROLLO!AN15/0.014285714)*LN(N70_DESARROLLO!AO15/N70_DESARROLLO!AN15))</f>
        <v>1.7143962314551175E-2</v>
      </c>
      <c r="DO100" s="1">
        <f>(1+(N70_DESARROLLO!AO15/0.014285714)*LN(N70_DESARROLLO!AP15/N70_DESARROLLO!AO15))</f>
        <v>1.657558243755608E-2</v>
      </c>
      <c r="DP100" s="1">
        <f>(1+(N70_DESARROLLO!AP15/0.014285714)*LN(N70_DESARROLLO!AQ15/N70_DESARROLLO!AP15))</f>
        <v>1.6043682665118797E-2</v>
      </c>
      <c r="DQ100" s="1">
        <f>(1+(N70_DESARROLLO!AQ15/0.014285714)*LN(N70_DESARROLLO!AR15/N70_DESARROLLO!AQ15))</f>
        <v>1.5544859931611255E-2</v>
      </c>
      <c r="DR100" s="1">
        <f>(1+(N70_DESARROLLO!AR15/0.014285714)*LN(N70_DESARROLLO!AS15/N70_DESARROLLO!AR15))</f>
        <v>1.507612170332806E-2</v>
      </c>
      <c r="DS100" s="1">
        <f>(1+(N70_DESARROLLO!AS15/0.014285714)*LN(N70_DESARROLLO!AT15/N70_DESARROLLO!AS15))</f>
        <v>1.4634825881874591E-2</v>
      </c>
      <c r="DT100" s="1">
        <f>(1+(N70_DESARROLLO!AT15/0.014285714)*LN(N70_DESARROLLO!AU15/N70_DESARROLLO!AT15))</f>
        <v>1.4218630964442425E-2</v>
      </c>
      <c r="DU100" s="1">
        <f>(1+(N70_DESARROLLO!AU15/0.014285714)*LN(N70_DESARROLLO!AV15/N70_DESARROLLO!AU15))</f>
        <v>1.3825454475322685E-2</v>
      </c>
      <c r="DV100" s="1">
        <f>(1+(N70_DESARROLLO!AV15/0.014285714)*LN(N70_DESARROLLO!AW15/N70_DESARROLLO!AV15))</f>
        <v>1.345343811001809E-2</v>
      </c>
      <c r="DW100" s="1">
        <f>(1+(N70_DESARROLLO!AW15/0.014285714)*LN(N70_DESARROLLO!AX15/N70_DESARROLLO!AW15))</f>
        <v>1.3100918360501423E-2</v>
      </c>
      <c r="DX100" s="1">
        <f>(1+(N70_DESARROLLO!AX15/0.014285714)*LN(N70_DESARROLLO!AY15/N70_DESARROLLO!AX15))</f>
        <v>1.2766401641828296E-2</v>
      </c>
      <c r="DY100" s="1">
        <f>(1+(N70_DESARROLLO!AY15/0.014285714)*LN(N70_DESARROLLO!AZ15/N70_DESARROLLO!AY15))</f>
        <v>1.2448543134991996E-2</v>
      </c>
      <c r="DZ100" s="1">
        <f>(1+(N70_DESARROLLO!AZ15/0.014285714)*LN(N70_DESARROLLO!BA15/N70_DESARROLLO!AZ15))</f>
        <v>1.2146128714481286E-2</v>
      </c>
      <c r="EA100" s="1">
        <f>(1+(N70_DESARROLLO!BA15/0.014285714)*LN(N70_DESARROLLO!BB15/N70_DESARROLLO!BA15))</f>
        <v>1.1858059447830027E-2</v>
      </c>
      <c r="EB100" s="1">
        <f>(1+(N70_DESARROLLO!BB15/0.014285714)*LN(N70_DESARROLLO!BC15/N70_DESARROLLO!BB15))</f>
        <v>1.1583338250311437E-2</v>
      </c>
      <c r="EC100" s="1">
        <f>(1+(N70_DESARROLLO!BC15/0.014285714)*LN(N70_DESARROLLO!BD15/N70_DESARROLLO!BC15))</f>
        <v>1.1321058352731117E-2</v>
      </c>
      <c r="ED100" s="1">
        <f>(1+(N70_DESARROLLO!BD15/0.014285714)*LN(N70_DESARROLLO!BE15/N70_DESARROLLO!BD15))</f>
        <v>1.1070393301811032E-2</v>
      </c>
      <c r="EE100" s="1">
        <f>(1+(N70_DESARROLLO!BE15/0.014285714)*LN(N70_DESARROLLO!BF15/N70_DESARROLLO!BE15))</f>
        <v>1.0830588260127394E-2</v>
      </c>
      <c r="EF100" s="1">
        <f>(1+(N70_DESARROLLO!BF15/0.014285714)*LN(N70_DESARROLLO!BG15/N70_DESARROLLO!BF15))</f>
        <v>1.0600952413271969E-2</v>
      </c>
      <c r="EG100" s="1">
        <f>(1+(N70_DESARROLLO!BG15/0.014285714)*LN(N70_DESARROLLO!BH15/N70_DESARROLLO!BG15))</f>
        <v>1.0380852322629863E-2</v>
      </c>
      <c r="EH100" s="1">
        <f>(1+(N70_DESARROLLO!BH15/0.014285714)*LN(N70_DESARROLLO!BI15/N70_DESARROLLO!BH15))</f>
        <v>1.0169706089853126E-2</v>
      </c>
      <c r="EI100" s="1">
        <f>(1+(N70_DESARROLLO!BI15/0.014285714)*LN(N70_DESARROLLO!BJ15/N70_DESARROLLO!BI15))</f>
        <v>9.9669782192025602E-3</v>
      </c>
      <c r="EJ100" s="1">
        <f>(1+(N70_DESARROLLO!BJ15/0.014285714)*LN(N70_DESARROLLO!BK15/N70_DESARROLLO!BJ15))</f>
        <v>9.7721750824275588E-3</v>
      </c>
      <c r="EK100" s="1">
        <f>(1+(N70_DESARROLLO!BK15/0.014285714)*LN(N70_DESARROLLO!BL15/N70_DESARROLLO!BK15))</f>
        <v>9.5848409054857253E-3</v>
      </c>
      <c r="EL100" s="1">
        <f>(1+(N70_DESARROLLO!BL15/0.014285714)*LN(N70_DESARROLLO!BM15/N70_DESARROLLO!BL15))</f>
        <v>9.404554207997462E-3</v>
      </c>
      <c r="EM100" s="1">
        <f>(1+(N70_DESARROLLO!BM15/0.014285714)*LN(N70_DESARROLLO!BN15/N70_DESARROLLO!BM15))</f>
        <v>9.230924637410709E-3</v>
      </c>
      <c r="EN100" s="1">
        <f>(1+(N70_DESARROLLO!BN15/0.014285714)*LN(N70_DESARROLLO!BO15/N70_DESARROLLO!BN15))</f>
        <v>9.0635901473870017E-3</v>
      </c>
      <c r="EO100" s="1">
        <f>(1+(N70_DESARROLLO!BO15/0.014285714)*LN(N70_DESARROLLO!BP15/N70_DESARROLLO!BO15))</f>
        <v>8.9022144776850221E-3</v>
      </c>
      <c r="EP100" s="1">
        <f>(1+(N70_DESARROLLO!BP15/0.014285714)*LN(N70_DESARROLLO!BQ15/N70_DESARROLLO!BP15))</f>
        <v>8.7464848985415733E-3</v>
      </c>
      <c r="EQ100" s="1">
        <f>(1+(N70_DESARROLLO!BQ15/0.014285714)*LN(N70_DESARROLLO!BR15/N70_DESARROLLO!BQ15))</f>
        <v>8.5961101878297974E-3</v>
      </c>
      <c r="ER100" s="1">
        <f>(1+(N70_DESARROLLO!BR15/0.014285714)*LN(N70_DESARROLLO!BS15/N70_DESARROLLO!BR15))</f>
        <v>8.4508188132839113E-3</v>
      </c>
      <c r="ES100" s="1">
        <f>(1+(N70_DESARROLLO!BS15/0.014285714)*LN(N70_DESARROLLO!BT15/N70_DESARROLLO!BS15))</f>
        <v>8.3103572961015226E-3</v>
      </c>
      <c r="ET100" s="1">
        <f>(1+(N70_DESARROLLO!BT15/0.014285714)*LN(N70_DESARROLLO!BU15/N70_DESARROLLO!BT15))</f>
        <v>8.1744887350704287E-3</v>
      </c>
      <c r="EU100" s="1">
        <f>(1+(N70_DESARROLLO!BU15/0.014285714)*LN(N70_DESARROLLO!BV15/N70_DESARROLLO!BU15))</f>
        <v>8.0429914730246743E-3</v>
      </c>
      <c r="EV100" s="1">
        <f>(1+(N70_DESARROLLO!BV15/0.014285714)*LN(N70_DESARROLLO!BW15/N70_DESARROLLO!BV15))</f>
        <v>7.9156578901778962E-3</v>
      </c>
      <c r="EW100" s="1">
        <f>(1+(N70_DESARROLLO!BW15/0.014285714)*LN(N70_DESARROLLO!BX15/N70_DESARROLLO!BW15))</f>
        <v>-5.1884139693385576</v>
      </c>
      <c r="EX100" s="10"/>
      <c r="EY100" s="10"/>
    </row>
    <row r="101" spans="5:155" x14ac:dyDescent="0.25">
      <c r="G101" s="3">
        <v>7</v>
      </c>
      <c r="H101" s="3">
        <f>-(N70_DESARROLLO!G16/0.014285714)*LN(N70_DESARROLLO!G16/N70_DESARROLLO!F16)-1</f>
        <v>-8.1202515976636191E-2</v>
      </c>
      <c r="I101" s="3">
        <f>-(N70_DESARROLLO!H16/0.014285714)*LN(N70_DESARROLLO!H16/N70_DESARROLLO!G16)-1</f>
        <v>-9.6981852359957599E-2</v>
      </c>
      <c r="J101" s="3">
        <f>-(N70_DESARROLLO!I16/0.014285714)*LN(N70_DESARROLLO!I16/N70_DESARROLLO!H16)-1</f>
        <v>-0.12039948342481777</v>
      </c>
      <c r="K101" s="3">
        <f>-(N70_DESARROLLO!J16/0.014285714)*LN(N70_DESARROLLO!J16/N70_DESARROLLO!I16)-1</f>
        <v>-0.15881939162335545</v>
      </c>
      <c r="L101" s="3">
        <f>-(N70_DESARROLLO!K16/0.014285714)*LN(N70_DESARROLLO!K16/N70_DESARROLLO!J16)-1</f>
        <v>-0.23376154902624491</v>
      </c>
      <c r="M101" s="3">
        <f>-(N70_DESARROLLO!L16/0.014285714)*LN(N70_DESARROLLO!L16/N70_DESARROLLO!K16)-1</f>
        <v>-0.45069384467982176</v>
      </c>
      <c r="N101" s="3">
        <v>-1</v>
      </c>
      <c r="O101" s="3">
        <f>-(N70_DESARROLLO!N16/0.014285714)*LN(N70_DESARROLLO!N16/N70_DESARROLLO!M16)-1</f>
        <v>0.64791846596053571</v>
      </c>
      <c r="P101" s="3">
        <f>-(N70_DESARROLLO!O16/0.014285714)*LN(N70_DESARROLLO!O16/N70_DESARROLLO!N16)-1</f>
        <v>0.27706408495625778</v>
      </c>
      <c r="Q101" s="3">
        <f>-(N70_DESARROLLO!P16/0.014285714)*LN(N70_DESARROLLO!P16/N70_DESARROLLO!O16)-1</f>
        <v>0.17765285172730305</v>
      </c>
      <c r="R101" s="3">
        <f>-(N70_DESARROLLO!Q16/0.014285714)*LN(N70_DESARROLLO!Q16/N70_DESARROLLO!P16)-1</f>
        <v>0.13091494988237651</v>
      </c>
      <c r="S101" s="3">
        <f>-(N70_DESARROLLO!R16/0.014285714)*LN(N70_DESARROLLO!R16/N70_DESARROLLO!Q16)-1</f>
        <v>0.10368884711560877</v>
      </c>
      <c r="T101" s="3">
        <f>-(N70_DESARROLLO!S16/0.014285714)*LN(N70_DESARROLLO!S16/N70_DESARROLLO!R16)-1</f>
        <v>8.5851572027612066E-2</v>
      </c>
      <c r="U101" s="3">
        <f>-(N70_DESARROLLO!T16/0.014285714)*LN(N70_DESARROLLO!T16/N70_DESARROLLO!S16)-1</f>
        <v>7.3256348770174728E-2</v>
      </c>
      <c r="V101" s="3">
        <f>-(N70_DESARROLLO!U16/0.014285714)*LN(N70_DESARROLLO!U16/N70_DESARROLLO!T16)-1</f>
        <v>6.3886736386785659E-2</v>
      </c>
      <c r="W101" s="3">
        <f>-(N70_DESARROLLO!V16/0.014285714)*LN(N70_DESARROLLO!V16/N70_DESARROLLO!U16)-1</f>
        <v>5.6643554680002817E-2</v>
      </c>
      <c r="X101" s="3">
        <f>-(N70_DESARROLLO!W16/0.014285714)*LN(N70_DESARROLLO!W16/N70_DESARROLLO!V16)-1</f>
        <v>5.0876335865844169E-2</v>
      </c>
      <c r="Y101" s="3">
        <f>-(N70_DESARROLLO!X16/0.014285714)*LN(N70_DESARROLLO!X16/N70_DESARROLLO!W16)-1</f>
        <v>4.6175470289365084E-2</v>
      </c>
      <c r="Z101" s="3">
        <f>-(N70_DESARROLLO!Y16/0.014285714)*LN(N70_DESARROLLO!Y16/N70_DESARROLLO!X16)-1</f>
        <v>4.2270132583539954E-2</v>
      </c>
      <c r="AA101" s="3">
        <f>-(N70_DESARROLLO!Z16/0.014285714)*LN(N70_DESARROLLO!Z16/N70_DESARROLLO!Y16)-1</f>
        <v>3.8974076117214818E-2</v>
      </c>
      <c r="AB101" s="3">
        <f>-(N70_DESARROLLO!AA16/0.014285714)*LN(N70_DESARROLLO!AA16/N70_DESARROLLO!Z16)-1</f>
        <v>3.6154998464203114E-2</v>
      </c>
      <c r="AC101" s="3">
        <f>-(N70_DESARROLLO!AB16/0.014285714)*LN(N70_DESARROLLO!AB16/N70_DESARROLLO!AA16)-1</f>
        <v>3.3716325403748026E-2</v>
      </c>
      <c r="AD101" s="3">
        <f>-(N70_DESARROLLO!AC16/0.014285714)*LN(N70_DESARROLLO!AC16/N70_DESARROLLO!AB16)-1</f>
        <v>3.158591082372797E-2</v>
      </c>
      <c r="AE101" s="3">
        <f>-(N70_DESARROLLO!AD16/0.014285714)*LN(N70_DESARROLLO!AD16/N70_DESARROLLO!AC16)-1</f>
        <v>2.9708770995509948E-2</v>
      </c>
      <c r="AF101" s="3">
        <f>-(N70_DESARROLLO!AE16/0.014285714)*LN(N70_DESARROLLO!AE16/N70_DESARROLLO!AD16)-1</f>
        <v>2.8042266924845016E-2</v>
      </c>
      <c r="AG101" s="3">
        <f>-(N70_DESARROLLO!AF16/0.014285714)*LN(N70_DESARROLLO!AF16/N70_DESARROLLO!AE16)-1</f>
        <v>2.6552823496787115E-2</v>
      </c>
      <c r="AH101" s="3">
        <f>-(N70_DESARROLLO!AG16/0.014285714)*LN(N70_DESARROLLO!AG16/N70_DESARROLLO!AF16)-1</f>
        <v>2.5213642284827253E-2</v>
      </c>
      <c r="AI101" s="3">
        <f>-(N70_DESARROLLO!AH16/0.014285714)*LN(N70_DESARROLLO!AH16/N70_DESARROLLO!AG16)-1</f>
        <v>2.4003073749036652E-2</v>
      </c>
      <c r="AJ101" s="3">
        <f>-(N70_DESARROLLO!AI16/0.014285714)*LN(N70_DESARROLLO!AI16/N70_DESARROLLO!AH16)-1</f>
        <v>2.2903437185110453E-2</v>
      </c>
      <c r="AK101" s="3">
        <f>-(N70_DESARROLLO!AJ16/0.014285714)*LN(N70_DESARROLLO!AJ16/N70_DESARROLLO!AI16)-1</f>
        <v>2.190015102186682E-2</v>
      </c>
      <c r="AL101" s="3">
        <f>-(N70_DESARROLLO!AK16/0.014285714)*LN(N70_DESARROLLO!AK16/N70_DESARROLLO!AJ16)-1</f>
        <v>2.0981082233539672E-2</v>
      </c>
      <c r="AM101" s="3">
        <f>-(N70_DESARROLLO!AL16/0.014285714)*LN(N70_DESARROLLO!AL16/N70_DESARROLLO!AK16)-1</f>
        <v>2.0136053052050906E-2</v>
      </c>
      <c r="AN101" s="3">
        <f>-(N70_DESARROLLO!AM16/0.014285714)*LN(N70_DESARROLLO!AM16/N70_DESARROLLO!AL16)-1</f>
        <v>1.9356462323727008E-2</v>
      </c>
      <c r="AO101" s="3">
        <f>-(N70_DESARROLLO!AN16/0.014285714)*LN(N70_DESARROLLO!AN16/N70_DESARROLLO!AM16)-1</f>
        <v>1.8634991582299421E-2</v>
      </c>
      <c r="AP101" s="3">
        <f>-(N70_DESARROLLO!AO16/0.014285714)*LN(N70_DESARROLLO!AO16/N70_DESARROLLO!AN16)-1</f>
        <v>1.7965374518565946E-2</v>
      </c>
      <c r="AQ101" s="3">
        <f>-(N70_DESARROLLO!AP16/0.014285714)*LN(N70_DESARROLLO!AP16/N70_DESARROLLO!AO16)-1</f>
        <v>1.7342214446335324E-2</v>
      </c>
      <c r="AR101" s="3">
        <f>-(N70_DESARROLLO!AQ16/0.014285714)*LN(N70_DESARROLLO!AQ16/N70_DESARROLLO!AP16)-1</f>
        <v>1.6760838496770569E-2</v>
      </c>
      <c r="AS101" s="3">
        <f>-(N70_DESARROLLO!AR16/0.014285714)*LN(N70_DESARROLLO!AR16/N70_DESARROLLO!AQ16)-1</f>
        <v>1.6217180198313308E-2</v>
      </c>
      <c r="AT101" s="3">
        <f>-(N70_DESARROLLO!AS16/0.014285714)*LN(N70_DESARROLLO!AS16/N70_DESARROLLO!AR16)-1</f>
        <v>1.5707684197550975E-2</v>
      </c>
      <c r="AU101" s="3">
        <f>-(N70_DESARROLLO!AT16/0.014285714)*LN(N70_DESARROLLO!AT16/N70_DESARROLLO!AS16)-1</f>
        <v>1.5229228398100814E-2</v>
      </c>
      <c r="AV101" s="3">
        <f>-(N70_DESARROLLO!AU16/0.014285714)*LN(N70_DESARROLLO!AU16/N70_DESARROLLO!AT16)-1</f>
        <v>1.4779059912703785E-2</v>
      </c>
      <c r="AW101" s="3">
        <f>-(N70_DESARROLLO!AV16/0.014285714)*LN(N70_DESARROLLO!AV16/N70_DESARROLLO!AU16)-1</f>
        <v>1.4354742051081004E-2</v>
      </c>
      <c r="AX101" s="3">
        <f>-(N70_DESARROLLO!AW16/0.014285714)*LN(N70_DESARROLLO!AW16/N70_DESARROLLO!AV16)-1</f>
        <v>1.395411018734416E-2</v>
      </c>
      <c r="AY101" s="3">
        <f>-(N70_DESARROLLO!AX16/0.014285714)*LN(N70_DESARROLLO!AX16/N70_DESARROLLO!AW16)-1</f>
        <v>1.3575234818482773E-2</v>
      </c>
      <c r="AZ101" s="3">
        <f>-(N70_DESARROLLO!AY16/0.014285714)*LN(N70_DESARROLLO!AY16/N70_DESARROLLO!AX16)-1</f>
        <v>1.3216390483202112E-2</v>
      </c>
      <c r="BA101" s="3">
        <f>-(N70_DESARROLLO!AZ16/0.014285714)*LN(N70_DESARROLLO!AZ16/N70_DESARROLLO!AY16)-1</f>
        <v>1.2876029484357954E-2</v>
      </c>
      <c r="BB101" s="3">
        <f>-(N70_DESARROLLO!BA16/0.014285714)*LN(N70_DESARROLLO!BA16/N70_DESARROLLO!AZ16)-1</f>
        <v>1.25527595704511E-2</v>
      </c>
      <c r="BC101" s="3">
        <f>-(N70_DESARROLLO!BB16/0.014285714)*LN(N70_DESARROLLO!BB16/N70_DESARROLLO!BA16)-1</f>
        <v>1.2245324897516063E-2</v>
      </c>
      <c r="BD101" s="3">
        <f>-(N70_DESARROLLO!BC16/0.014285714)*LN(N70_DESARROLLO!BC16/N70_DESARROLLO!BB16)-1</f>
        <v>1.1952589722083351E-2</v>
      </c>
      <c r="BE101" s="3">
        <f>-(N70_DESARROLLO!BD16/0.014285714)*LN(N70_DESARROLLO!BD16/N70_DESARROLLO!BC16)-1</f>
        <v>1.1673524379102407E-2</v>
      </c>
      <c r="BF101" s="3">
        <f>-(N70_DESARROLLO!BE16/0.014285714)*LN(N70_DESARROLLO!BE16/N70_DESARROLLO!BD16)-1</f>
        <v>1.1407193179389985E-2</v>
      </c>
      <c r="BG101" s="3">
        <f>-(N70_DESARROLLO!BF16/0.014285714)*LN(N70_DESARROLLO!BF16/N70_DESARROLLO!BE16)-1</f>
        <v>1.1152743927371533E-2</v>
      </c>
      <c r="BH101" s="3">
        <f>-(N70_DESARROLLO!BG16/0.014285714)*LN(N70_DESARROLLO!BG16/N70_DESARROLLO!BF16)-1</f>
        <v>1.0909398811058679E-2</v>
      </c>
      <c r="BI101" s="3">
        <f>-(N70_DESARROLLO!BH16/0.014285714)*LN(N70_DESARROLLO!BH16/N70_DESARROLLO!BG16)-1</f>
        <v>1.0676446459560562E-2</v>
      </c>
      <c r="BJ101" s="3">
        <f>-(N70_DESARROLLO!BI16/0.014285714)*LN(N70_DESARROLLO!BI16/N70_DESARROLLO!BH16)-1</f>
        <v>1.0453234996904204E-2</v>
      </c>
      <c r="BK101" s="3">
        <f>-(N70_DESARROLLO!BJ16/0.014285714)*LN(N70_DESARROLLO!BJ16/N70_DESARROLLO!BI16)-1</f>
        <v>1.0239165949531337E-2</v>
      </c>
      <c r="BL101" s="3">
        <f>-(N70_DESARROLLO!BK16/0.014285714)*LN(N70_DESARROLLO!BK16/N70_DESARROLLO!BJ16)-1</f>
        <v>1.003368888749101E-2</v>
      </c>
      <c r="BM101" s="3">
        <f>-(N70_DESARROLLO!BL16/0.014285714)*LN(N70_DESARROLLO!BL16/N70_DESARROLLO!BK16)-1</f>
        <v>9.8362966981071498E-3</v>
      </c>
      <c r="BN101" s="3">
        <f>-(N70_DESARROLLO!BM16/0.014285714)*LN(N70_DESARROLLO!BM16/N70_DESARROLLO!BL16)-1</f>
        <v>9.6465214070291516E-3</v>
      </c>
      <c r="BO101" s="3">
        <f>-(N70_DESARROLLO!BN16/0.014285714)*LN(N70_DESARROLLO!BN16/N70_DESARROLLO!BM16)-1</f>
        <v>9.4639304737549335E-3</v>
      </c>
      <c r="BP101" s="3">
        <f>-(N70_DESARROLLO!BO16/0.014285714)*LN(N70_DESARROLLO!BO16/N70_DESARROLLO!BN16)-1</f>
        <v>9.2881235002080231E-3</v>
      </c>
      <c r="BQ101" s="3">
        <f>-(N70_DESARROLLO!BP16/0.014285714)*LN(N70_DESARROLLO!BP16/N70_DESARROLLO!BO16)-1</f>
        <v>9.118729299437689E-3</v>
      </c>
      <c r="BR101" s="3">
        <f>-(N70_DESARROLLO!BQ16/0.014285714)*LN(N70_DESARROLLO!BQ16/N70_DESARROLLO!BP16)-1</f>
        <v>8.9554032794736393E-3</v>
      </c>
      <c r="BS101" s="3">
        <f>-(N70_DESARROLLO!BR16/0.014285714)*LN(N70_DESARROLLO!BR16/N70_DESARROLLO!BQ16)-1</f>
        <v>8.7978251032541088E-3</v>
      </c>
      <c r="BT101" s="3">
        <f>-(N70_DESARROLLO!BS16/0.014285714)*LN(N70_DESARROLLO!BS16/N70_DESARROLLO!BR16)-1</f>
        <v>8.6456965915122641E-3</v>
      </c>
      <c r="BU101" s="3">
        <f>-(N70_DESARROLLO!BT16/0.014285714)*LN(N70_DESARROLLO!BT16/N70_DESARROLLO!BS16)-1</f>
        <v>8.4987398394935632E-3</v>
      </c>
      <c r="BV101" s="3">
        <f>-(N70_DESARROLLO!BU16/0.014285714)*LN(N70_DESARROLLO!BU16/N70_DESARROLLO!BT16)-1</f>
        <v>8.3566955224383399E-3</v>
      </c>
      <c r="BW101" s="3">
        <f>-(N70_DESARROLLO!BV16/0.014285714)*LN(N70_DESARROLLO!BV16/N70_DESARROLLO!BU16)-1</f>
        <v>8.219321368495569E-3</v>
      </c>
      <c r="BX101" s="3">
        <f>-(N70_DESARROLLO!BW16/0.014285714)*LN(N70_DESARROLLO!BW16/N70_DESARROLLO!BV16)-1</f>
        <v>8.0863907794463952E-3</v>
      </c>
      <c r="BY101" s="3">
        <f>-(N70_DESARROLLO!BX16/0.014285714)*LN(N70_DESARROLLO!BX16/N70_DESARROLLO!BW16)-1</f>
        <v>6.9330081301503919</v>
      </c>
      <c r="BZ101" s="10"/>
      <c r="CA101" s="10"/>
      <c r="CB101" s="10"/>
      <c r="CC101" s="10"/>
      <c r="CD101">
        <v>7</v>
      </c>
      <c r="CE101" s="1">
        <v>0</v>
      </c>
      <c r="CF101" s="1">
        <f>(1+(N70_DESARROLLO!F16/0.014285714)*LN(N70_DESARROLLO!G16/N70_DESARROLLO!F16))</f>
        <v>-8.5851572027611844E-2</v>
      </c>
      <c r="CG101" s="1">
        <f>(1+(N70_DESARROLLO!G16/0.014285714)*LN(N70_DESARROLLO!H16/N70_DESARROLLO!G16))</f>
        <v>-0.10368884711560722</v>
      </c>
      <c r="CH101" s="1">
        <f>(1+(N70_DESARROLLO!H16/0.014285714)*LN(N70_DESARROLLO!I16/N70_DESARROLLO!H16))</f>
        <v>-0.13091494988237717</v>
      </c>
      <c r="CI101" s="1">
        <f>(1+(N70_DESARROLLO!I16/0.014285714)*LN(N70_DESARROLLO!J16/N70_DESARROLLO!I16))</f>
        <v>-0.17765285172730239</v>
      </c>
      <c r="CJ101" s="1">
        <f>(1+(N70_DESARROLLO!J16/0.014285714)*LN(N70_DESARROLLO!K16/N70_DESARROLLO!J16))</f>
        <v>-0.27706408495625823</v>
      </c>
      <c r="CK101" s="1">
        <f>(1+(N70_DESARROLLO!K16/0.014285714)*LN(N70_DESARROLLO!L16/N70_DESARROLLO!K16))</f>
        <v>-0.6479184659605346</v>
      </c>
      <c r="CL101" s="1">
        <v>1</v>
      </c>
      <c r="CM101" s="1">
        <f>(1+(N70_DESARROLLO!M16/0.014285714)*LN(N70_DESARROLLO!N16/N70_DESARROLLO!M16))</f>
        <v>0.45069384467982221</v>
      </c>
      <c r="CN101" s="1">
        <f>(1+(N70_DESARROLLO!N16/0.014285714)*LN(N70_DESARROLLO!O16/N70_DESARROLLO!N16))</f>
        <v>0.23376154902624524</v>
      </c>
      <c r="CO101" s="1">
        <f>(1+(N70_DESARROLLO!O16/0.014285714)*LN(N70_DESARROLLO!P16/N70_DESARROLLO!O16))</f>
        <v>0.15881939162335523</v>
      </c>
      <c r="CP101" s="1">
        <f>(1+(N70_DESARROLLO!P16/0.014285714)*LN(N70_DESARROLLO!Q16/N70_DESARROLLO!P16))</f>
        <v>0.12039948342481821</v>
      </c>
      <c r="CQ101" s="1">
        <f>(1+(N70_DESARROLLO!Q16/0.014285714)*LN(N70_DESARROLLO!R16/N70_DESARROLLO!Q16))</f>
        <v>9.69818523599566E-2</v>
      </c>
      <c r="CR101" s="1">
        <f>(1+(N70_DESARROLLO!R16/0.014285714)*LN(N70_DESARROLLO!S16/N70_DESARROLLO!R16))</f>
        <v>8.120251597663608E-2</v>
      </c>
      <c r="CS101" s="1">
        <f>(1+(N70_DESARROLLO!S16/0.014285714)*LN(N70_DESARROLLO!T16/N70_DESARROLLO!S16))</f>
        <v>6.984449773251511E-2</v>
      </c>
      <c r="CT101" s="1">
        <f>(1+(N70_DESARROLLO!T16/0.014285714)*LN(N70_DESARROLLO!U16/N70_DESARROLLO!T16))</f>
        <v>6.1276409070483373E-2</v>
      </c>
      <c r="CU101" s="1">
        <f>(1+(N70_DESARROLLO!U16/0.014285714)*LN(N70_DESARROLLO!V16/N70_DESARROLLO!U16))</f>
        <v>5.4582082654734188E-2</v>
      </c>
      <c r="CV101" s="1">
        <f>(1+(N70_DESARROLLO!V16/0.014285714)*LN(N70_DESARROLLO!W16/N70_DESARROLLO!V16))</f>
        <v>4.9207124692807636E-2</v>
      </c>
      <c r="CW101" s="1">
        <f>(1+(N70_DESARROLLO!W16/0.014285714)*LN(N70_DESARROLLO!X16/N70_DESARROLLO!W16))</f>
        <v>4.4796309735797069E-2</v>
      </c>
      <c r="CX101" s="1">
        <f>(1+(N70_DESARROLLO!X16/0.014285714)*LN(N70_DESARROLLO!Y16/N70_DESARROLLO!X16))</f>
        <v>4.1111478023143189E-2</v>
      </c>
      <c r="CY101" s="1">
        <f>(1+(N70_DESARROLLO!Y16/0.014285714)*LN(N70_DESARROLLO!Z16/N70_DESARROLLO!Y16))</f>
        <v>3.7986966558134605E-2</v>
      </c>
      <c r="CZ101" s="1">
        <f>(1+(N70_DESARROLLO!Z16/0.014285714)*LN(N70_DESARROLLO!AA16/N70_DESARROLLO!Z16))</f>
        <v>3.5303966947121235E-2</v>
      </c>
      <c r="DA101" s="1">
        <f>(1+(N70_DESARROLLO!AA16/0.014285714)*LN(N70_DESARROLLO!AB16/N70_DESARROLLO!AA16))</f>
        <v>3.297505042875204E-2</v>
      </c>
      <c r="DB101" s="1">
        <f>(1+(N70_DESARROLLO!AB16/0.014285714)*LN(N70_DESARROLLO!AC16/N70_DESARROLLO!AB16))</f>
        <v>3.0934447408012988E-2</v>
      </c>
      <c r="DC101" s="1">
        <f>(1+(N70_DESARROLLO!AC16/0.014285714)*LN(N70_DESARROLLO!AD16/N70_DESARROLLO!AC16))</f>
        <v>2.9131730204233652E-2</v>
      </c>
      <c r="DD101" s="1">
        <f>(1+(N70_DESARROLLO!AD16/0.014285714)*LN(N70_DESARROLLO!AE16/N70_DESARROLLO!AD16))</f>
        <v>2.7527585341362903E-2</v>
      </c>
      <c r="DE101" s="1">
        <f>(1+(N70_DESARROLLO!AE16/0.014285714)*LN(N70_DESARROLLO!AF16/N70_DESARROLLO!AE16))</f>
        <v>2.6090911041509512E-2</v>
      </c>
      <c r="DF101" s="1">
        <f>(1+(N70_DESARROLLO!AF16/0.014285714)*LN(N70_DESARROLLO!AG16/N70_DESARROLLO!AF16))</f>
        <v>2.4796779290042203E-2</v>
      </c>
      <c r="DG101" s="1">
        <f>(1+(N70_DESARROLLO!AG16/0.014285714)*LN(N70_DESARROLLO!AH16/N70_DESARROLLO!AG16))</f>
        <v>2.3624976192779035E-2</v>
      </c>
      <c r="DH101" s="1">
        <f>(1+(N70_DESARROLLO!AH16/0.014285714)*LN(N70_DESARROLLO!AI16/N70_DESARROLLO!AH16))</f>
        <v>2.2558937800894463E-2</v>
      </c>
      <c r="DI101" s="1">
        <f>(1+(N70_DESARROLLO!AI16/0.014285714)*LN(N70_DESARROLLO!AJ16/N70_DESARROLLO!AI16))</f>
        <v>2.1584961787574186E-2</v>
      </c>
      <c r="DJ101" s="1">
        <f>(1+(N70_DESARROLLO!AJ16/0.014285714)*LN(N70_DESARROLLO!AK16/N70_DESARROLLO!AJ16))</f>
        <v>2.0691615000482555E-2</v>
      </c>
      <c r="DK101" s="1">
        <f>(1+(N70_DESARROLLO!AK16/0.014285714)*LN(N70_DESARROLLO!AL16/N70_DESARROLLO!AK16))</f>
        <v>1.9869282361755114E-2</v>
      </c>
      <c r="DL101" s="1">
        <f>(1+(N70_DESARROLLO!AL16/0.014285714)*LN(N70_DESARROLLO!AM16/N70_DESARROLLO!AL16))</f>
        <v>1.9109819273394724E-2</v>
      </c>
      <c r="DM101" s="1">
        <f>(1+(N70_DESARROLLO!AM16/0.014285714)*LN(N70_DESARROLLO!AN16/N70_DESARROLLO!AM16))</f>
        <v>1.8406280838875078E-2</v>
      </c>
      <c r="DN101" s="1">
        <f>(1+(N70_DESARROLLO!AN16/0.014285714)*LN(N70_DESARROLLO!AO16/N70_DESARROLLO!AN16))</f>
        <v>1.7752708797874939E-2</v>
      </c>
      <c r="DO101" s="1">
        <f>(1+(N70_DESARROLLO!AO16/0.014285714)*LN(N70_DESARROLLO!AP16/N70_DESARROLLO!AO16))</f>
        <v>1.7143962314557393E-2</v>
      </c>
      <c r="DP101" s="1">
        <f>(1+(N70_DESARROLLO!AP16/0.014285714)*LN(N70_DESARROLLO!AQ16/N70_DESARROLLO!AP16))</f>
        <v>1.6575582437549863E-2</v>
      </c>
      <c r="DQ101" s="1">
        <f>(1+(N70_DESARROLLO!AQ16/0.014285714)*LN(N70_DESARROLLO!AR16/N70_DESARROLLO!AQ16))</f>
        <v>1.6043682665125125E-2</v>
      </c>
      <c r="DR101" s="1">
        <f>(1+(N70_DESARROLLO!AR16/0.014285714)*LN(N70_DESARROLLO!AS16/N70_DESARROLLO!AR16))</f>
        <v>1.5544859931604593E-2</v>
      </c>
      <c r="DS101" s="1">
        <f>(1+(N70_DESARROLLO!AS16/0.014285714)*LN(N70_DESARROLLO!AT16/N70_DESARROLLO!AS16))</f>
        <v>1.5076121703334833E-2</v>
      </c>
      <c r="DT101" s="1">
        <f>(1+(N70_DESARROLLO!AT16/0.014285714)*LN(N70_DESARROLLO!AU16/N70_DESARROLLO!AT16))</f>
        <v>1.4634825881867375E-2</v>
      </c>
      <c r="DU101" s="1">
        <f>(1+(N70_DESARROLLO!AU16/0.014285714)*LN(N70_DESARROLLO!AV16/N70_DESARROLLO!AU16))</f>
        <v>1.4218630964442425E-2</v>
      </c>
      <c r="DV101" s="1">
        <f>(1+(N70_DESARROLLO!AV16/0.014285714)*LN(N70_DESARROLLO!AW16/N70_DESARROLLO!AV16))</f>
        <v>1.3825454475322685E-2</v>
      </c>
      <c r="DW101" s="1">
        <f>(1+(N70_DESARROLLO!AW16/0.014285714)*LN(N70_DESARROLLO!AX16/N70_DESARROLLO!AW16))</f>
        <v>1.3453438110010096E-2</v>
      </c>
      <c r="DX101" s="1">
        <f>(1+(N70_DESARROLLO!AX16/0.014285714)*LN(N70_DESARROLLO!AY16/N70_DESARROLLO!AX16))</f>
        <v>1.3100918360517522E-2</v>
      </c>
      <c r="DY101" s="1">
        <f>(1+(N70_DESARROLLO!AY16/0.014285714)*LN(N70_DESARROLLO!AZ16/N70_DESARROLLO!AY16))</f>
        <v>1.2766401641828407E-2</v>
      </c>
      <c r="DZ101" s="1">
        <f>(1+(N70_DESARROLLO!AZ16/0.014285714)*LN(N70_DESARROLLO!BA16/N70_DESARROLLO!AZ16))</f>
        <v>1.2448543134991996E-2</v>
      </c>
      <c r="EA101" s="1">
        <f>(1+(N70_DESARROLLO!BA16/0.014285714)*LN(N70_DESARROLLO!BB16/N70_DESARROLLO!BA16))</f>
        <v>1.2146128714472515E-2</v>
      </c>
      <c r="EB101" s="1">
        <f>(1+(N70_DESARROLLO!BB16/0.014285714)*LN(N70_DESARROLLO!BC16/N70_DESARROLLO!BB16))</f>
        <v>1.1858059447847902E-2</v>
      </c>
      <c r="EC101" s="1">
        <f>(1+(N70_DESARROLLO!BC16/0.014285714)*LN(N70_DESARROLLO!BD16/N70_DESARROLLO!BC16))</f>
        <v>1.1583338250302444E-2</v>
      </c>
      <c r="ED101" s="1">
        <f>(1+(N70_DESARROLLO!BD16/0.014285714)*LN(N70_DESARROLLO!BE16/N70_DESARROLLO!BD16))</f>
        <v>1.1321058352731117E-2</v>
      </c>
      <c r="EE101" s="1">
        <f>(1+(N70_DESARROLLO!BE16/0.014285714)*LN(N70_DESARROLLO!BF16/N70_DESARROLLO!BE16))</f>
        <v>1.1070393301801484E-2</v>
      </c>
      <c r="EF101" s="1">
        <f>(1+(N70_DESARROLLO!BF16/0.014285714)*LN(N70_DESARROLLO!BG16/N70_DESARROLLO!BF16))</f>
        <v>1.0830588260146934E-2</v>
      </c>
      <c r="EG101" s="1">
        <f>(1+(N70_DESARROLLO!BG16/0.014285714)*LN(N70_DESARROLLO!BH16/N70_DESARROLLO!BG16))</f>
        <v>1.0600952413272191E-2</v>
      </c>
      <c r="EH101" s="1">
        <f>(1+(N70_DESARROLLO!BH16/0.014285714)*LN(N70_DESARROLLO!BI16/N70_DESARROLLO!BH16))</f>
        <v>1.0380852322619649E-2</v>
      </c>
      <c r="EI101" s="1">
        <f>(1+(N70_DESARROLLO!BI16/0.014285714)*LN(N70_DESARROLLO!BJ16/N70_DESARROLLO!BI16))</f>
        <v>1.0169706089853126E-2</v>
      </c>
      <c r="EJ101" s="1">
        <f>(1+(N70_DESARROLLO!BJ16/0.014285714)*LN(N70_DESARROLLO!BK16/N70_DESARROLLO!BJ16))</f>
        <v>9.9669782191919021E-3</v>
      </c>
      <c r="EK101" s="1">
        <f>(1+(N70_DESARROLLO!BK16/0.014285714)*LN(N70_DESARROLLO!BL16/N70_DESARROLLO!BK16))</f>
        <v>9.77217508243855E-3</v>
      </c>
      <c r="EL101" s="1">
        <f>(1+(N70_DESARROLLO!BL16/0.014285714)*LN(N70_DESARROLLO!BM16/N70_DESARROLLO!BL16))</f>
        <v>9.5848409054859474E-3</v>
      </c>
      <c r="EM101" s="1">
        <f>(1+(N70_DESARROLLO!BM16/0.014285714)*LN(N70_DESARROLLO!BN16/N70_DESARROLLO!BM16))</f>
        <v>9.404554207997462E-3</v>
      </c>
      <c r="EN101" s="1">
        <f>(1+(N70_DESARROLLO!BN16/0.014285714)*LN(N70_DESARROLLO!BO16/N70_DESARROLLO!BN16))</f>
        <v>9.230924637410709E-3</v>
      </c>
      <c r="EO101" s="1">
        <f>(1+(N70_DESARROLLO!BO16/0.014285714)*LN(N70_DESARROLLO!BP16/N70_DESARROLLO!BO16))</f>
        <v>9.0635901473987701E-3</v>
      </c>
      <c r="EP101" s="1">
        <f>(1+(N70_DESARROLLO!BP16/0.014285714)*LN(N70_DESARROLLO!BQ16/N70_DESARROLLO!BP16))</f>
        <v>8.9022144776851331E-3</v>
      </c>
      <c r="EQ101" s="1">
        <f>(1+(N70_DESARROLLO!BQ16/0.014285714)*LN(N70_DESARROLLO!BR16/N70_DESARROLLO!BQ16))</f>
        <v>8.7464848985415733E-3</v>
      </c>
      <c r="ER101" s="1">
        <f>(1+(N70_DESARROLLO!BR16/0.014285714)*LN(N70_DESARROLLO!BS16/N70_DESARROLLO!BR16))</f>
        <v>8.5961101878297974E-3</v>
      </c>
      <c r="ES101" s="1">
        <f>(1+(N70_DESARROLLO!BS16/0.014285714)*LN(N70_DESARROLLO!BT16/N70_DESARROLLO!BS16))</f>
        <v>8.4508188132711437E-3</v>
      </c>
      <c r="ET101" s="1">
        <f>(1+(N70_DESARROLLO!BT16/0.014285714)*LN(N70_DESARROLLO!BU16/N70_DESARROLLO!BT16))</f>
        <v>8.3103572961144012E-3</v>
      </c>
      <c r="EU101" s="1">
        <f>(1+(N70_DESARROLLO!BU16/0.014285714)*LN(N70_DESARROLLO!BV16/N70_DESARROLLO!BU16))</f>
        <v>8.1744887350573281E-3</v>
      </c>
      <c r="EV101" s="1">
        <f>(1+(N70_DESARROLLO!BV16/0.014285714)*LN(N70_DESARROLLO!BW16/N70_DESARROLLO!BV16))</f>
        <v>8.0429914730246743E-3</v>
      </c>
      <c r="EW101" s="1">
        <f>(1+(N70_DESARROLLO!BW16/0.014285714)*LN(N70_DESARROLLO!BX16/N70_DESARROLLO!BW16))</f>
        <v>-6.0830429733485634</v>
      </c>
      <c r="EX101" s="10"/>
      <c r="EY101" s="10"/>
    </row>
    <row r="102" spans="5:155" x14ac:dyDescent="0.25">
      <c r="G102" s="3">
        <v>8</v>
      </c>
      <c r="H102" s="3">
        <f>-(N70_DESARROLLO!G17/0.014285714)*LN(N70_DESARROLLO!G17/N70_DESARROLLO!F17)-1</f>
        <v>-6.9844497732512667E-2</v>
      </c>
      <c r="I102" s="3">
        <f>-(N70_DESARROLLO!H17/0.014285714)*LN(N70_DESARROLLO!H17/N70_DESARROLLO!G17)-1</f>
        <v>-8.1202515976636969E-2</v>
      </c>
      <c r="J102" s="3">
        <f>-(N70_DESARROLLO!I17/0.014285714)*LN(N70_DESARROLLO!I17/N70_DESARROLLO!H17)-1</f>
        <v>-9.69818523599566E-2</v>
      </c>
      <c r="K102" s="3">
        <f>-(N70_DESARROLLO!J17/0.014285714)*LN(N70_DESARROLLO!J17/N70_DESARROLLO!I17)-1</f>
        <v>-0.12039948342481854</v>
      </c>
      <c r="L102" s="3">
        <f>-(N70_DESARROLLO!K17/0.014285714)*LN(N70_DESARROLLO!K17/N70_DESARROLLO!J17)-1</f>
        <v>-0.15881939162335557</v>
      </c>
      <c r="M102" s="3">
        <f>-(N70_DESARROLLO!L17/0.014285714)*LN(N70_DESARROLLO!L17/N70_DESARROLLO!K17)-1</f>
        <v>-0.23376154902624469</v>
      </c>
      <c r="N102" s="3">
        <f>-(N70_DESARROLLO!M17/0.014285714)*LN(N70_DESARROLLO!M17/N70_DESARROLLO!L17)-1</f>
        <v>-0.4506938446798221</v>
      </c>
      <c r="O102" s="3">
        <v>-1</v>
      </c>
      <c r="P102" s="3">
        <f>-(N70_DESARROLLO!O17/0.014285714)*LN(N70_DESARROLLO!O17/N70_DESARROLLO!N17)-1</f>
        <v>0.6479184659605326</v>
      </c>
      <c r="Q102" s="3">
        <f>-(N70_DESARROLLO!P17/0.014285714)*LN(N70_DESARROLLO!P17/N70_DESARROLLO!O17)-1</f>
        <v>0.27706408495625912</v>
      </c>
      <c r="R102" s="3">
        <f>-(N70_DESARROLLO!Q17/0.014285714)*LN(N70_DESARROLLO!Q17/N70_DESARROLLO!P17)-1</f>
        <v>0.17765285172730261</v>
      </c>
      <c r="S102" s="3">
        <f>-(N70_DESARROLLO!R17/0.014285714)*LN(N70_DESARROLLO!R17/N70_DESARROLLO!Q17)-1</f>
        <v>0.13091494988237673</v>
      </c>
      <c r="T102" s="3">
        <f>-(N70_DESARROLLO!S17/0.014285714)*LN(N70_DESARROLLO!S17/N70_DESARROLLO!R17)-1</f>
        <v>0.103688847115609</v>
      </c>
      <c r="U102" s="3">
        <f>-(N70_DESARROLLO!T17/0.014285714)*LN(N70_DESARROLLO!T17/N70_DESARROLLO!S17)-1</f>
        <v>8.5851572027609402E-2</v>
      </c>
      <c r="V102" s="3">
        <f>-(N70_DESARROLLO!U17/0.014285714)*LN(N70_DESARROLLO!U17/N70_DESARROLLO!T17)-1</f>
        <v>7.3256348770177615E-2</v>
      </c>
      <c r="W102" s="3">
        <f>-(N70_DESARROLLO!V17/0.014285714)*LN(N70_DESARROLLO!V17/N70_DESARROLLO!U17)-1</f>
        <v>6.3886736386785659E-2</v>
      </c>
      <c r="X102" s="3">
        <f>-(N70_DESARROLLO!W17/0.014285714)*LN(N70_DESARROLLO!W17/N70_DESARROLLO!V17)-1</f>
        <v>5.6643554680004815E-2</v>
      </c>
      <c r="Y102" s="3">
        <f>-(N70_DESARROLLO!X17/0.014285714)*LN(N70_DESARROLLO!X17/N70_DESARROLLO!W17)-1</f>
        <v>5.0876335865839728E-2</v>
      </c>
      <c r="Z102" s="3">
        <f>-(N70_DESARROLLO!Y17/0.014285714)*LN(N70_DESARROLLO!Y17/N70_DESARROLLO!X17)-1</f>
        <v>4.6175470289367304E-2</v>
      </c>
      <c r="AA102" s="3">
        <f>-(N70_DESARROLLO!Z17/0.014285714)*LN(N70_DESARROLLO!Z17/N70_DESARROLLO!Y17)-1</f>
        <v>4.2270132583539954E-2</v>
      </c>
      <c r="AB102" s="3">
        <f>-(N70_DESARROLLO!AA17/0.014285714)*LN(N70_DESARROLLO!AA17/N70_DESARROLLO!Z17)-1</f>
        <v>3.8974076117214818E-2</v>
      </c>
      <c r="AC102" s="3">
        <f>-(N70_DESARROLLO!AB17/0.014285714)*LN(N70_DESARROLLO!AB17/N70_DESARROLLO!AA17)-1</f>
        <v>3.6154998464203114E-2</v>
      </c>
      <c r="AD102" s="3">
        <f>-(N70_DESARROLLO!AC17/0.014285714)*LN(N70_DESARROLLO!AC17/N70_DESARROLLO!AB17)-1</f>
        <v>3.3716325403748026E-2</v>
      </c>
      <c r="AE102" s="3">
        <f>-(N70_DESARROLLO!AD17/0.014285714)*LN(N70_DESARROLLO!AD17/N70_DESARROLLO!AC17)-1</f>
        <v>3.158591082372797E-2</v>
      </c>
      <c r="AF102" s="3">
        <f>-(N70_DESARROLLO!AE17/0.014285714)*LN(N70_DESARROLLO!AE17/N70_DESARROLLO!AD17)-1</f>
        <v>2.9708770995509948E-2</v>
      </c>
      <c r="AG102" s="3">
        <f>-(N70_DESARROLLO!AF17/0.014285714)*LN(N70_DESARROLLO!AF17/N70_DESARROLLO!AE17)-1</f>
        <v>2.8042266924845016E-2</v>
      </c>
      <c r="AH102" s="3">
        <f>-(N70_DESARROLLO!AG17/0.014285714)*LN(N70_DESARROLLO!AG17/N70_DESARROLLO!AF17)-1</f>
        <v>2.6552823496782896E-2</v>
      </c>
      <c r="AI102" s="3">
        <f>-(N70_DESARROLLO!AH17/0.014285714)*LN(N70_DESARROLLO!AH17/N70_DESARROLLO!AG17)-1</f>
        <v>2.5213642284831694E-2</v>
      </c>
      <c r="AJ102" s="3">
        <f>-(N70_DESARROLLO!AI17/0.014285714)*LN(N70_DESARROLLO!AI17/N70_DESARROLLO!AH17)-1</f>
        <v>2.4003073749036652E-2</v>
      </c>
      <c r="AK102" s="3">
        <f>-(N70_DESARROLLO!AJ17/0.014285714)*LN(N70_DESARROLLO!AJ17/N70_DESARROLLO!AI17)-1</f>
        <v>2.2903437185110453E-2</v>
      </c>
      <c r="AL102" s="3">
        <f>-(N70_DESARROLLO!AK17/0.014285714)*LN(N70_DESARROLLO!AK17/N70_DESARROLLO!AJ17)-1</f>
        <v>2.190015102186682E-2</v>
      </c>
      <c r="AM102" s="3">
        <f>-(N70_DESARROLLO!AL17/0.014285714)*LN(N70_DESARROLLO!AL17/N70_DESARROLLO!AK17)-1</f>
        <v>2.0981082233539672E-2</v>
      </c>
      <c r="AN102" s="3">
        <f>-(N70_DESARROLLO!AM17/0.014285714)*LN(N70_DESARROLLO!AM17/N70_DESARROLLO!AL17)-1</f>
        <v>2.0136053052050906E-2</v>
      </c>
      <c r="AO102" s="3">
        <f>-(N70_DESARROLLO!AN17/0.014285714)*LN(N70_DESARROLLO!AN17/N70_DESARROLLO!AM17)-1</f>
        <v>1.9356462323727008E-2</v>
      </c>
      <c r="AP102" s="3">
        <f>-(N70_DESARROLLO!AO17/0.014285714)*LN(N70_DESARROLLO!AO17/N70_DESARROLLO!AN17)-1</f>
        <v>1.8634991582299421E-2</v>
      </c>
      <c r="AQ102" s="3">
        <f>-(N70_DESARROLLO!AP17/0.014285714)*LN(N70_DESARROLLO!AP17/N70_DESARROLLO!AO17)-1</f>
        <v>1.7965374518559729E-2</v>
      </c>
      <c r="AR102" s="3">
        <f>-(N70_DESARROLLO!AQ17/0.014285714)*LN(N70_DESARROLLO!AQ17/N70_DESARROLLO!AP17)-1</f>
        <v>1.7342214446341764E-2</v>
      </c>
      <c r="AS102" s="3">
        <f>-(N70_DESARROLLO!AR17/0.014285714)*LN(N70_DESARROLLO!AR17/N70_DESARROLLO!AQ17)-1</f>
        <v>1.6760838496763908E-2</v>
      </c>
      <c r="AT102" s="3">
        <f>-(N70_DESARROLLO!AS17/0.014285714)*LN(N70_DESARROLLO!AS17/N70_DESARROLLO!AR17)-1</f>
        <v>1.6217180198320191E-2</v>
      </c>
      <c r="AU102" s="3">
        <f>-(N70_DESARROLLO!AT17/0.014285714)*LN(N70_DESARROLLO!AT17/N70_DESARROLLO!AS17)-1</f>
        <v>1.570768419754387E-2</v>
      </c>
      <c r="AV102" s="3">
        <f>-(N70_DESARROLLO!AU17/0.014285714)*LN(N70_DESARROLLO!AU17/N70_DESARROLLO!AT17)-1</f>
        <v>1.5229228398107919E-2</v>
      </c>
      <c r="AW102" s="3">
        <f>-(N70_DESARROLLO!AV17/0.014285714)*LN(N70_DESARROLLO!AV17/N70_DESARROLLO!AU17)-1</f>
        <v>1.4779059912696235E-2</v>
      </c>
      <c r="AX102" s="3">
        <f>-(N70_DESARROLLO!AW17/0.014285714)*LN(N70_DESARROLLO!AW17/N70_DESARROLLO!AV17)-1</f>
        <v>1.4354742051081004E-2</v>
      </c>
      <c r="AY102" s="3">
        <f>-(N70_DESARROLLO!AX17/0.014285714)*LN(N70_DESARROLLO!AX17/N70_DESARROLLO!AW17)-1</f>
        <v>1.3954110187352153E-2</v>
      </c>
      <c r="AZ102" s="3">
        <f>-(N70_DESARROLLO!AY17/0.014285714)*LN(N70_DESARROLLO!AY17/N70_DESARROLLO!AX17)-1</f>
        <v>1.3575234818474557E-2</v>
      </c>
      <c r="BA102" s="3">
        <f>-(N70_DESARROLLO!AZ17/0.014285714)*LN(N70_DESARROLLO!AZ17/N70_DESARROLLO!AY17)-1</f>
        <v>1.3216390483210549E-2</v>
      </c>
      <c r="BB102" s="3">
        <f>-(N70_DESARROLLO!BA17/0.014285714)*LN(N70_DESARROLLO!BA17/N70_DESARROLLO!AZ17)-1</f>
        <v>1.2876029484357954E-2</v>
      </c>
      <c r="BC102" s="3">
        <f>-(N70_DESARROLLO!BB17/0.014285714)*LN(N70_DESARROLLO!BB17/N70_DESARROLLO!BA17)-1</f>
        <v>1.2552759570459981E-2</v>
      </c>
      <c r="BD102" s="3">
        <f>-(N70_DESARROLLO!BC17/0.014285714)*LN(N70_DESARROLLO!BC17/N70_DESARROLLO!BB17)-1</f>
        <v>1.224532489750696E-2</v>
      </c>
      <c r="BE102" s="3">
        <f>-(N70_DESARROLLO!BD17/0.014285714)*LN(N70_DESARROLLO!BD17/N70_DESARROLLO!BC17)-1</f>
        <v>1.1952589722092677E-2</v>
      </c>
      <c r="BF102" s="3">
        <f>-(N70_DESARROLLO!BE17/0.014285714)*LN(N70_DESARROLLO!BE17/N70_DESARROLLO!BD17)-1</f>
        <v>1.1673524379093081E-2</v>
      </c>
      <c r="BG102" s="3">
        <f>-(N70_DESARROLLO!BF17/0.014285714)*LN(N70_DESARROLLO!BF17/N70_DESARROLLO!BE17)-1</f>
        <v>1.1407193179399755E-2</v>
      </c>
      <c r="BH102" s="3">
        <f>-(N70_DESARROLLO!BG17/0.014285714)*LN(N70_DESARROLLO!BG17/N70_DESARROLLO!BF17)-1</f>
        <v>1.1152743927361763E-2</v>
      </c>
      <c r="BI102" s="3">
        <f>-(N70_DESARROLLO!BH17/0.014285714)*LN(N70_DESARROLLO!BH17/N70_DESARROLLO!BG17)-1</f>
        <v>1.0909398811058679E-2</v>
      </c>
      <c r="BJ102" s="3">
        <f>-(N70_DESARROLLO!BI17/0.014285714)*LN(N70_DESARROLLO!BI17/N70_DESARROLLO!BH17)-1</f>
        <v>1.0676446459560784E-2</v>
      </c>
      <c r="BK102" s="3">
        <f>-(N70_DESARROLLO!BJ17/0.014285714)*LN(N70_DESARROLLO!BJ17/N70_DESARROLLO!BI17)-1</f>
        <v>1.0453234996893546E-2</v>
      </c>
      <c r="BL102" s="3">
        <f>-(N70_DESARROLLO!BK17/0.014285714)*LN(N70_DESARROLLO!BK17/N70_DESARROLLO!BJ17)-1</f>
        <v>1.0239165949542439E-2</v>
      </c>
      <c r="BM102" s="3">
        <f>-(N70_DESARROLLO!BL17/0.014285714)*LN(N70_DESARROLLO!BL17/N70_DESARROLLO!BK17)-1</f>
        <v>1.003368888748013E-2</v>
      </c>
      <c r="BN102" s="3">
        <f>-(N70_DESARROLLO!BM17/0.014285714)*LN(N70_DESARROLLO!BM17/N70_DESARROLLO!BL17)-1</f>
        <v>9.8362966981073718E-3</v>
      </c>
      <c r="BO102" s="3">
        <f>-(N70_DESARROLLO!BN17/0.014285714)*LN(N70_DESARROLLO!BN17/N70_DESARROLLO!BM17)-1</f>
        <v>9.6465214070291516E-3</v>
      </c>
      <c r="BP102" s="3">
        <f>-(N70_DESARROLLO!BO17/0.014285714)*LN(N70_DESARROLLO!BO17/N70_DESARROLLO!BN17)-1</f>
        <v>9.4639304737667018E-3</v>
      </c>
      <c r="BQ102" s="3">
        <f>-(N70_DESARROLLO!BP17/0.014285714)*LN(N70_DESARROLLO!BP17/N70_DESARROLLO!BO17)-1</f>
        <v>9.2881235002080231E-3</v>
      </c>
      <c r="BR102" s="3">
        <f>-(N70_DESARROLLO!BQ17/0.014285714)*LN(N70_DESARROLLO!BQ17/N70_DESARROLLO!BP17)-1</f>
        <v>9.1187292994501234E-3</v>
      </c>
      <c r="BS102" s="3">
        <f>-(N70_DESARROLLO!BR17/0.014285714)*LN(N70_DESARROLLO!BR17/N70_DESARROLLO!BQ17)-1</f>
        <v>8.9554032794736393E-3</v>
      </c>
      <c r="BT102" s="3">
        <f>-(N70_DESARROLLO!BS17/0.014285714)*LN(N70_DESARROLLO!BS17/N70_DESARROLLO!BR17)-1</f>
        <v>8.7978251032541088E-3</v>
      </c>
      <c r="BU102" s="3">
        <f>-(N70_DESARROLLO!BT17/0.014285714)*LN(N70_DESARROLLO!BT17/N70_DESARROLLO!BS17)-1</f>
        <v>8.6456965915251427E-3</v>
      </c>
      <c r="BV102" s="3">
        <f>-(N70_DESARROLLO!BU17/0.014285714)*LN(N70_DESARROLLO!BU17/N70_DESARROLLO!BT17)-1</f>
        <v>8.4987398394804625E-3</v>
      </c>
      <c r="BW102" s="3">
        <f>-(N70_DESARROLLO!BV17/0.014285714)*LN(N70_DESARROLLO!BV17/N70_DESARROLLO!BU17)-1</f>
        <v>8.3566955224516626E-3</v>
      </c>
      <c r="BX102" s="3">
        <f>-(N70_DESARROLLO!BW17/0.014285714)*LN(N70_DESARROLLO!BW17/N70_DESARROLLO!BV17)-1</f>
        <v>8.2193213684820243E-3</v>
      </c>
      <c r="BY102" s="3">
        <f>-(N70_DESARROLLO!BX17/0.014285714)*LN(N70_DESARROLLO!BX17/N70_DESARROLLO!BW17)-1</f>
        <v>8.0620648878233716</v>
      </c>
      <c r="BZ102" s="10"/>
      <c r="CA102" s="10"/>
      <c r="CB102" s="10"/>
      <c r="CC102" s="10"/>
      <c r="CD102" s="1">
        <v>8</v>
      </c>
      <c r="CE102" s="1">
        <v>0</v>
      </c>
      <c r="CF102" s="1">
        <f>(1+(N70_DESARROLLO!F17/0.014285714)*LN(N70_DESARROLLO!G17/N70_DESARROLLO!F17))</f>
        <v>-7.3256348770177615E-2</v>
      </c>
      <c r="CG102" s="1">
        <f>(1+(N70_DESARROLLO!G17/0.014285714)*LN(N70_DESARROLLO!H17/N70_DESARROLLO!G17))</f>
        <v>-8.5851572027610734E-2</v>
      </c>
      <c r="CH102" s="1">
        <f>(1+(N70_DESARROLLO!H17/0.014285714)*LN(N70_DESARROLLO!I17/N70_DESARROLLO!H17))</f>
        <v>-0.10368884711560877</v>
      </c>
      <c r="CI102" s="1">
        <f>(1+(N70_DESARROLLO!I17/0.014285714)*LN(N70_DESARROLLO!J17/N70_DESARROLLO!I17))</f>
        <v>-0.13091494988237606</v>
      </c>
      <c r="CJ102" s="1">
        <f>(1+(N70_DESARROLLO!J17/0.014285714)*LN(N70_DESARROLLO!K17/N70_DESARROLLO!J17))</f>
        <v>-0.17765285172730216</v>
      </c>
      <c r="CK102" s="1">
        <f>(1+(N70_DESARROLLO!K17/0.014285714)*LN(N70_DESARROLLO!L17/N70_DESARROLLO!K17))</f>
        <v>-0.27706408495625912</v>
      </c>
      <c r="CL102" s="1">
        <f>(1+(N70_DESARROLLO!L17/0.014285714)*LN(N70_DESARROLLO!M17/N70_DESARROLLO!L17))</f>
        <v>-0.6479184659605326</v>
      </c>
      <c r="CM102" s="1">
        <v>1</v>
      </c>
      <c r="CN102" s="1">
        <f>(1+(N70_DESARROLLO!N17/0.014285714)*LN(N70_DESARROLLO!O17/N70_DESARROLLO!N17))</f>
        <v>0.4506938446798221</v>
      </c>
      <c r="CO102" s="1">
        <f>(1+(N70_DESARROLLO!O17/0.014285714)*LN(N70_DESARROLLO!P17/N70_DESARROLLO!O17))</f>
        <v>0.23376154902624469</v>
      </c>
      <c r="CP102" s="1">
        <f>(1+(N70_DESARROLLO!P17/0.014285714)*LN(N70_DESARROLLO!Q17/N70_DESARROLLO!P17))</f>
        <v>0.15881939162335534</v>
      </c>
      <c r="CQ102" s="1">
        <f>(1+(N70_DESARROLLO!Q17/0.014285714)*LN(N70_DESARROLLO!R17/N70_DESARROLLO!Q17))</f>
        <v>0.12039948342481799</v>
      </c>
      <c r="CR102" s="1">
        <f>(1+(N70_DESARROLLO!R17/0.014285714)*LN(N70_DESARROLLO!S17/N70_DESARROLLO!R17))</f>
        <v>9.6981852359956378E-2</v>
      </c>
      <c r="CS102" s="1">
        <f>(1+(N70_DESARROLLO!S17/0.014285714)*LN(N70_DESARROLLO!T17/N70_DESARROLLO!S17))</f>
        <v>8.1202515976637857E-2</v>
      </c>
      <c r="CT102" s="1">
        <f>(1+(N70_DESARROLLO!T17/0.014285714)*LN(N70_DESARROLLO!U17/N70_DESARROLLO!T17))</f>
        <v>6.9844497732512667E-2</v>
      </c>
      <c r="CU102" s="1">
        <f>(1+(N70_DESARROLLO!U17/0.014285714)*LN(N70_DESARROLLO!V17/N70_DESARROLLO!U17))</f>
        <v>6.1276409070483262E-2</v>
      </c>
      <c r="CV102" s="1">
        <f>(1+(N70_DESARROLLO!V17/0.014285714)*LN(N70_DESARROLLO!W17/N70_DESARROLLO!V17))</f>
        <v>5.4582082654732633E-2</v>
      </c>
      <c r="CW102" s="1">
        <f>(1+(N70_DESARROLLO!W17/0.014285714)*LN(N70_DESARROLLO!X17/N70_DESARROLLO!W17))</f>
        <v>4.9207124692811188E-2</v>
      </c>
      <c r="CX102" s="1">
        <f>(1+(N70_DESARROLLO!X17/0.014285714)*LN(N70_DESARROLLO!Y17/N70_DESARROLLO!X17))</f>
        <v>4.4796309735795181E-2</v>
      </c>
      <c r="CY102" s="1">
        <f>(1+(N70_DESARROLLO!Y17/0.014285714)*LN(N70_DESARROLLO!Z17/N70_DESARROLLO!Y17))</f>
        <v>4.1111478023143189E-2</v>
      </c>
      <c r="CZ102" s="1">
        <f>(1+(N70_DESARROLLO!Z17/0.014285714)*LN(N70_DESARROLLO!AA17/N70_DESARROLLO!Z17))</f>
        <v>3.7986966558134605E-2</v>
      </c>
      <c r="DA102" s="1">
        <f>(1+(N70_DESARROLLO!AA17/0.014285714)*LN(N70_DESARROLLO!AB17/N70_DESARROLLO!AA17))</f>
        <v>3.5303966947121235E-2</v>
      </c>
      <c r="DB102" s="1">
        <f>(1+(N70_DESARROLLO!AB17/0.014285714)*LN(N70_DESARROLLO!AC17/N70_DESARROLLO!AB17))</f>
        <v>3.297505042875204E-2</v>
      </c>
      <c r="DC102" s="1">
        <f>(1+(N70_DESARROLLO!AC17/0.014285714)*LN(N70_DESARROLLO!AD17/N70_DESARROLLO!AC17))</f>
        <v>3.0934447408012988E-2</v>
      </c>
      <c r="DD102" s="1">
        <f>(1+(N70_DESARROLLO!AD17/0.014285714)*LN(N70_DESARROLLO!AE17/N70_DESARROLLO!AD17))</f>
        <v>2.9131730204233652E-2</v>
      </c>
      <c r="DE102" s="1">
        <f>(1+(N70_DESARROLLO!AE17/0.014285714)*LN(N70_DESARROLLO!AF17/N70_DESARROLLO!AE17))</f>
        <v>2.7527585341362903E-2</v>
      </c>
      <c r="DF102" s="1">
        <f>(1+(N70_DESARROLLO!AF17/0.014285714)*LN(N70_DESARROLLO!AG17/N70_DESARROLLO!AF17))</f>
        <v>2.6090911041513287E-2</v>
      </c>
      <c r="DG102" s="1">
        <f>(1+(N70_DESARROLLO!AG17/0.014285714)*LN(N70_DESARROLLO!AH17/N70_DESARROLLO!AG17))</f>
        <v>2.4796779290038207E-2</v>
      </c>
      <c r="DH102" s="1">
        <f>(1+(N70_DESARROLLO!AH17/0.014285714)*LN(N70_DESARROLLO!AI17/N70_DESARROLLO!AH17))</f>
        <v>2.3624976192779035E-2</v>
      </c>
      <c r="DI102" s="1">
        <f>(1+(N70_DESARROLLO!AI17/0.014285714)*LN(N70_DESARROLLO!AJ17/N70_DESARROLLO!AI17))</f>
        <v>2.2558937800894463E-2</v>
      </c>
      <c r="DJ102" s="1">
        <f>(1+(N70_DESARROLLO!AJ17/0.014285714)*LN(N70_DESARROLLO!AK17/N70_DESARROLLO!AJ17))</f>
        <v>2.1584961787574186E-2</v>
      </c>
      <c r="DK102" s="1">
        <f>(1+(N70_DESARROLLO!AK17/0.014285714)*LN(N70_DESARROLLO!AL17/N70_DESARROLLO!AK17))</f>
        <v>2.0691615000482555E-2</v>
      </c>
      <c r="DL102" s="1">
        <f>(1+(N70_DESARROLLO!AL17/0.014285714)*LN(N70_DESARROLLO!AM17/N70_DESARROLLO!AL17))</f>
        <v>1.9869282361755114E-2</v>
      </c>
      <c r="DM102" s="1">
        <f>(1+(N70_DESARROLLO!AM17/0.014285714)*LN(N70_DESARROLLO!AN17/N70_DESARROLLO!AM17))</f>
        <v>1.9109819273394724E-2</v>
      </c>
      <c r="DN102" s="1">
        <f>(1+(N70_DESARROLLO!AN17/0.014285714)*LN(N70_DESARROLLO!AO17/N70_DESARROLLO!AN17))</f>
        <v>1.8406280838875078E-2</v>
      </c>
      <c r="DO102" s="1">
        <f>(1+(N70_DESARROLLO!AO17/0.014285714)*LN(N70_DESARROLLO!AP17/N70_DESARROLLO!AO17))</f>
        <v>1.7752708797880823E-2</v>
      </c>
      <c r="DP102" s="1">
        <f>(1+(N70_DESARROLLO!AP17/0.014285714)*LN(N70_DESARROLLO!AQ17/N70_DESARROLLO!AP17))</f>
        <v>1.7143962314551398E-2</v>
      </c>
      <c r="DQ102" s="1">
        <f>(1+(N70_DESARROLLO!AQ17/0.014285714)*LN(N70_DESARROLLO!AR17/N70_DESARROLLO!AQ17))</f>
        <v>1.657558243755608E-2</v>
      </c>
      <c r="DR102" s="1">
        <f>(1+(N70_DESARROLLO!AR17/0.014285714)*LN(N70_DESARROLLO!AS17/N70_DESARROLLO!AR17))</f>
        <v>1.6043682665118797E-2</v>
      </c>
      <c r="DS102" s="1">
        <f>(1+(N70_DESARROLLO!AS17/0.014285714)*LN(N70_DESARROLLO!AT17/N70_DESARROLLO!AS17))</f>
        <v>1.5544859931611255E-2</v>
      </c>
      <c r="DT102" s="1">
        <f>(1+(N70_DESARROLLO!AT17/0.014285714)*LN(N70_DESARROLLO!AU17/N70_DESARROLLO!AT17))</f>
        <v>1.507612170332806E-2</v>
      </c>
      <c r="DU102" s="1">
        <f>(1+(N70_DESARROLLO!AU17/0.014285714)*LN(N70_DESARROLLO!AV17/N70_DESARROLLO!AU17))</f>
        <v>1.4634825881874591E-2</v>
      </c>
      <c r="DV102" s="1">
        <f>(1+(N70_DESARROLLO!AV17/0.014285714)*LN(N70_DESARROLLO!AW17/N70_DESARROLLO!AV17))</f>
        <v>1.4218630964442425E-2</v>
      </c>
      <c r="DW102" s="1">
        <f>(1+(N70_DESARROLLO!AW17/0.014285714)*LN(N70_DESARROLLO!AX17/N70_DESARROLLO!AW17))</f>
        <v>1.3825454475315135E-2</v>
      </c>
      <c r="DX102" s="1">
        <f>(1+(N70_DESARROLLO!AX17/0.014285714)*LN(N70_DESARROLLO!AY17/N70_DESARROLLO!AX17))</f>
        <v>1.3453438110017868E-2</v>
      </c>
      <c r="DY102" s="1">
        <f>(1+(N70_DESARROLLO!AY17/0.014285714)*LN(N70_DESARROLLO!AZ17/N70_DESARROLLO!AY17))</f>
        <v>1.3100918360509306E-2</v>
      </c>
      <c r="DZ102" s="1">
        <f>(1+(N70_DESARROLLO!AZ17/0.014285714)*LN(N70_DESARROLLO!BA17/N70_DESARROLLO!AZ17))</f>
        <v>1.2766401641828296E-2</v>
      </c>
      <c r="EA102" s="1">
        <f>(1+(N70_DESARROLLO!BA17/0.014285714)*LN(N70_DESARROLLO!BB17/N70_DESARROLLO!BA17))</f>
        <v>1.2448543134983558E-2</v>
      </c>
      <c r="EB102" s="1">
        <f>(1+(N70_DESARROLLO!BB17/0.014285714)*LN(N70_DESARROLLO!BC17/N70_DESARROLLO!BB17))</f>
        <v>1.2146128714481064E-2</v>
      </c>
      <c r="EC102" s="1">
        <f>(1+(N70_DESARROLLO!BC17/0.014285714)*LN(N70_DESARROLLO!BD17/N70_DESARROLLO!BC17))</f>
        <v>1.1858059447838909E-2</v>
      </c>
      <c r="ED102" s="1">
        <f>(1+(N70_DESARROLLO!BD17/0.014285714)*LN(N70_DESARROLLO!BE17/N70_DESARROLLO!BD17))</f>
        <v>1.1583338250311437E-2</v>
      </c>
      <c r="EE102" s="1">
        <f>(1+(N70_DESARROLLO!BE17/0.014285714)*LN(N70_DESARROLLO!BF17/N70_DESARROLLO!BE17))</f>
        <v>1.1321058352721569E-2</v>
      </c>
      <c r="EF102" s="1">
        <f>(1+(N70_DESARROLLO!BF17/0.014285714)*LN(N70_DESARROLLO!BG17/N70_DESARROLLO!BF17))</f>
        <v>1.1070393301810921E-2</v>
      </c>
      <c r="EG102" s="1">
        <f>(1+(N70_DESARROLLO!BG17/0.014285714)*LN(N70_DESARROLLO!BH17/N70_DESARROLLO!BG17))</f>
        <v>1.0830588260146934E-2</v>
      </c>
      <c r="EH102" s="1">
        <f>(1+(N70_DESARROLLO!BH17/0.014285714)*LN(N70_DESARROLLO!BI17/N70_DESARROLLO!BH17))</f>
        <v>1.0600952413272191E-2</v>
      </c>
      <c r="EI102" s="1">
        <f>(1+(N70_DESARROLLO!BI17/0.014285714)*LN(N70_DESARROLLO!BJ17/N70_DESARROLLO!BI17))</f>
        <v>1.0380852322629863E-2</v>
      </c>
      <c r="EJ102" s="1">
        <f>(1+(N70_DESARROLLO!BJ17/0.014285714)*LN(N70_DESARROLLO!BK17/N70_DESARROLLO!BJ17))</f>
        <v>1.0169706089842467E-2</v>
      </c>
      <c r="EK102" s="1">
        <f>(1+(N70_DESARROLLO!BK17/0.014285714)*LN(N70_DESARROLLO!BL17/N70_DESARROLLO!BK17))</f>
        <v>9.9669782192024492E-3</v>
      </c>
      <c r="EL102" s="1">
        <f>(1+(N70_DESARROLLO!BL17/0.014285714)*LN(N70_DESARROLLO!BM17/N70_DESARROLLO!BL17))</f>
        <v>9.77217508243855E-3</v>
      </c>
      <c r="EM102" s="1">
        <f>(1+(N70_DESARROLLO!BM17/0.014285714)*LN(N70_DESARROLLO!BN17/N70_DESARROLLO!BM17))</f>
        <v>9.5848409054857253E-3</v>
      </c>
      <c r="EN102" s="1">
        <f>(1+(N70_DESARROLLO!BN17/0.014285714)*LN(N70_DESARROLLO!BO17/N70_DESARROLLO!BN17))</f>
        <v>9.4045542079859157E-3</v>
      </c>
      <c r="EO102" s="1">
        <f>(1+(N70_DESARROLLO!BO17/0.014285714)*LN(N70_DESARROLLO!BP17/N70_DESARROLLO!BO17))</f>
        <v>9.230924637410487E-3</v>
      </c>
      <c r="EP102" s="1">
        <f>(1+(N70_DESARROLLO!BP17/0.014285714)*LN(N70_DESARROLLO!BQ17/N70_DESARROLLO!BP17))</f>
        <v>9.0635901473868907E-3</v>
      </c>
      <c r="EQ102" s="1">
        <f>(1+(N70_DESARROLLO!BQ17/0.014285714)*LN(N70_DESARROLLO!BR17/N70_DESARROLLO!BQ17))</f>
        <v>8.9022144776850221E-3</v>
      </c>
      <c r="ER102" s="1">
        <f>(1+(N70_DESARROLLO!BR17/0.014285714)*LN(N70_DESARROLLO!BS17/N70_DESARROLLO!BR17))</f>
        <v>8.7464848985415733E-3</v>
      </c>
      <c r="ES102" s="1">
        <f>(1+(N70_DESARROLLO!BS17/0.014285714)*LN(N70_DESARROLLO!BT17/N70_DESARROLLO!BS17))</f>
        <v>8.5961101878172519E-3</v>
      </c>
      <c r="ET102" s="1">
        <f>(1+(N70_DESARROLLO!BT17/0.014285714)*LN(N70_DESARROLLO!BU17/N70_DESARROLLO!BT17))</f>
        <v>8.4508188132838002E-3</v>
      </c>
      <c r="EU102" s="1">
        <f>(1+(N70_DESARROLLO!BU17/0.014285714)*LN(N70_DESARROLLO!BV17/N70_DESARROLLO!BU17))</f>
        <v>8.3103572961014116E-3</v>
      </c>
      <c r="EV102" s="1">
        <f>(1+(N70_DESARROLLO!BV17/0.014285714)*LN(N70_DESARROLLO!BW17/N70_DESARROLLO!BV17))</f>
        <v>8.1744887350704287E-3</v>
      </c>
      <c r="EW102" s="1">
        <f>(1+(N70_DESARROLLO!BW17/0.014285714)*LN(N70_DESARROLLO!BX17/N70_DESARROLLO!BW17))</f>
        <v>-6.9616712943019623</v>
      </c>
      <c r="EX102" s="10"/>
      <c r="EY102" s="10"/>
    </row>
    <row r="103" spans="5:155" x14ac:dyDescent="0.25">
      <c r="G103" s="3">
        <v>9</v>
      </c>
      <c r="H103" s="3">
        <f>-(N70_DESARROLLO!G18/0.014285714)*LN(N70_DESARROLLO!G18/N70_DESARROLLO!F18)-1</f>
        <v>-6.127640907048304E-2</v>
      </c>
      <c r="I103" s="3">
        <f>-(N70_DESARROLLO!H18/0.014285714)*LN(N70_DESARROLLO!H18/N70_DESARROLLO!G18)-1</f>
        <v>-6.9844497732513666E-2</v>
      </c>
      <c r="J103" s="3">
        <f>-(N70_DESARROLLO!I18/0.014285714)*LN(N70_DESARROLLO!I18/N70_DESARROLLO!H18)-1</f>
        <v>-8.1202515976635636E-2</v>
      </c>
      <c r="K103" s="3">
        <f>-(N70_DESARROLLO!J18/0.014285714)*LN(N70_DESARROLLO!J18/N70_DESARROLLO!I18)-1</f>
        <v>-9.6981852359957155E-2</v>
      </c>
      <c r="L103" s="3">
        <f>-(N70_DESARROLLO!K18/0.014285714)*LN(N70_DESARROLLO!K18/N70_DESARROLLO!J18)-1</f>
        <v>-0.12039948342481799</v>
      </c>
      <c r="M103" s="3">
        <f>-(N70_DESARROLLO!L18/0.014285714)*LN(N70_DESARROLLO!L18/N70_DESARROLLO!K18)-1</f>
        <v>-0.15881939162335501</v>
      </c>
      <c r="N103" s="3">
        <f>-(N70_DESARROLLO!M18/0.014285714)*LN(N70_DESARROLLO!M18/N70_DESARROLLO!L18)-1</f>
        <v>-0.23376154902624535</v>
      </c>
      <c r="O103" s="3">
        <f>-(N70_DESARROLLO!N18/0.014285714)*LN(N70_DESARROLLO!N18/N70_DESARROLLO!M18)-1</f>
        <v>-0.45069384467982232</v>
      </c>
      <c r="P103" s="3">
        <v>-1</v>
      </c>
      <c r="Q103" s="3">
        <f>-(N70_DESARROLLO!P18/0.014285714)*LN(N70_DESARROLLO!P18/N70_DESARROLLO!O18)-1</f>
        <v>0.6479184659605346</v>
      </c>
      <c r="R103" s="3">
        <f>-(N70_DESARROLLO!Q18/0.014285714)*LN(N70_DESARROLLO!Q18/N70_DESARROLLO!P18)-1</f>
        <v>0.27706408495625889</v>
      </c>
      <c r="S103" s="3">
        <f>-(N70_DESARROLLO!R18/0.014285714)*LN(N70_DESARROLLO!R18/N70_DESARROLLO!Q18)-1</f>
        <v>0.17765285172730261</v>
      </c>
      <c r="T103" s="3">
        <f>-(N70_DESARROLLO!S18/0.014285714)*LN(N70_DESARROLLO!S18/N70_DESARROLLO!R18)-1</f>
        <v>0.13091494988237695</v>
      </c>
      <c r="U103" s="3">
        <f>-(N70_DESARROLLO!T18/0.014285714)*LN(N70_DESARROLLO!T18/N70_DESARROLLO!S18)-1</f>
        <v>0.10368884711560677</v>
      </c>
      <c r="V103" s="3">
        <f>-(N70_DESARROLLO!U18/0.014285714)*LN(N70_DESARROLLO!U18/N70_DESARROLLO!T18)-1</f>
        <v>8.5851572027612066E-2</v>
      </c>
      <c r="W103" s="3">
        <f>-(N70_DESARROLLO!V18/0.014285714)*LN(N70_DESARROLLO!V18/N70_DESARROLLO!U18)-1</f>
        <v>7.3256348770177837E-2</v>
      </c>
      <c r="X103" s="3">
        <f>-(N70_DESARROLLO!W18/0.014285714)*LN(N70_DESARROLLO!W18/N70_DESARROLLO!V18)-1</f>
        <v>6.3886736386785881E-2</v>
      </c>
      <c r="Y103" s="3">
        <f>-(N70_DESARROLLO!X18/0.014285714)*LN(N70_DESARROLLO!X18/N70_DESARROLLO!W18)-1</f>
        <v>5.664355468000104E-2</v>
      </c>
      <c r="Z103" s="3">
        <f>-(N70_DESARROLLO!Y18/0.014285714)*LN(N70_DESARROLLO!Y18/N70_DESARROLLO!X18)-1</f>
        <v>5.0876335865844169E-2</v>
      </c>
      <c r="AA103" s="3">
        <f>-(N70_DESARROLLO!Z18/0.014285714)*LN(N70_DESARROLLO!Z18/N70_DESARROLLO!Y18)-1</f>
        <v>4.6175470289367526E-2</v>
      </c>
      <c r="AB103" s="3">
        <f>-(N70_DESARROLLO!AA18/0.014285714)*LN(N70_DESARROLLO!AA18/N70_DESARROLLO!Z18)-1</f>
        <v>4.2270132583540176E-2</v>
      </c>
      <c r="AC103" s="3">
        <f>-(N70_DESARROLLO!AB18/0.014285714)*LN(N70_DESARROLLO!AB18/N70_DESARROLLO!AA18)-1</f>
        <v>3.8974076117214818E-2</v>
      </c>
      <c r="AD103" s="3">
        <f>-(N70_DESARROLLO!AC18/0.014285714)*LN(N70_DESARROLLO!AC18/N70_DESARROLLO!AB18)-1</f>
        <v>3.6154998464203114E-2</v>
      </c>
      <c r="AE103" s="3">
        <f>-(N70_DESARROLLO!AD18/0.014285714)*LN(N70_DESARROLLO!AD18/N70_DESARROLLO!AC18)-1</f>
        <v>3.3716325403744918E-2</v>
      </c>
      <c r="AF103" s="3">
        <f>-(N70_DESARROLLO!AE18/0.014285714)*LN(N70_DESARROLLO!AE18/N70_DESARROLLO!AD18)-1</f>
        <v>3.1585910823728192E-2</v>
      </c>
      <c r="AG103" s="3">
        <f>-(N70_DESARROLLO!AF18/0.014285714)*LN(N70_DESARROLLO!AF18/N70_DESARROLLO!AE18)-1</f>
        <v>2.9708770995509948E-2</v>
      </c>
      <c r="AH103" s="3">
        <f>-(N70_DESARROLLO!AG18/0.014285714)*LN(N70_DESARROLLO!AG18/N70_DESARROLLO!AF18)-1</f>
        <v>2.8042266924840797E-2</v>
      </c>
      <c r="AI103" s="3">
        <f>-(N70_DESARROLLO!AH18/0.014285714)*LN(N70_DESARROLLO!AH18/N70_DESARROLLO!AG18)-1</f>
        <v>2.6552823496791333E-2</v>
      </c>
      <c r="AJ103" s="3">
        <f>-(N70_DESARROLLO!AI18/0.014285714)*LN(N70_DESARROLLO!AI18/N70_DESARROLLO!AH18)-1</f>
        <v>2.5213642284827253E-2</v>
      </c>
      <c r="AK103" s="3">
        <f>-(N70_DESARROLLO!AJ18/0.014285714)*LN(N70_DESARROLLO!AJ18/N70_DESARROLLO!AI18)-1</f>
        <v>2.4003073749041315E-2</v>
      </c>
      <c r="AL103" s="3">
        <f>-(N70_DESARROLLO!AK18/0.014285714)*LN(N70_DESARROLLO!AK18/N70_DESARROLLO!AJ18)-1</f>
        <v>2.2903437185105791E-2</v>
      </c>
      <c r="AM103" s="3">
        <f>-(N70_DESARROLLO!AL18/0.014285714)*LN(N70_DESARROLLO!AL18/N70_DESARROLLO!AK18)-1</f>
        <v>2.190015102187215E-2</v>
      </c>
      <c r="AN103" s="3">
        <f>-(N70_DESARROLLO!AM18/0.014285714)*LN(N70_DESARROLLO!AM18/N70_DESARROLLO!AL18)-1</f>
        <v>2.0981082233534565E-2</v>
      </c>
      <c r="AO103" s="3">
        <f>-(N70_DESARROLLO!AN18/0.014285714)*LN(N70_DESARROLLO!AN18/N70_DESARROLLO!AM18)-1</f>
        <v>2.0136053052056457E-2</v>
      </c>
      <c r="AP103" s="3">
        <f>-(N70_DESARROLLO!AO18/0.014285714)*LN(N70_DESARROLLO!AO18/N70_DESARROLLO!AN18)-1</f>
        <v>1.9356462323721457E-2</v>
      </c>
      <c r="AQ103" s="3">
        <f>-(N70_DESARROLLO!AP18/0.014285714)*LN(N70_DESARROLLO!AP18/N70_DESARROLLO!AO18)-1</f>
        <v>1.8634991582293425E-2</v>
      </c>
      <c r="AR103" s="3">
        <f>-(N70_DESARROLLO!AQ18/0.014285714)*LN(N70_DESARROLLO!AQ18/N70_DESARROLLO!AP18)-1</f>
        <v>1.7965374518572164E-2</v>
      </c>
      <c r="AS103" s="3">
        <f>-(N70_DESARROLLO!AR18/0.014285714)*LN(N70_DESARROLLO!AR18/N70_DESARROLLO!AQ18)-1</f>
        <v>1.7342214446335324E-2</v>
      </c>
      <c r="AT103" s="3">
        <f>-(N70_DESARROLLO!AS18/0.014285714)*LN(N70_DESARROLLO!AS18/N70_DESARROLLO!AR18)-1</f>
        <v>1.6760838496770569E-2</v>
      </c>
      <c r="AU103" s="3">
        <f>-(N70_DESARROLLO!AT18/0.014285714)*LN(N70_DESARROLLO!AT18/N70_DESARROLLO!AS18)-1</f>
        <v>1.6217180198313308E-2</v>
      </c>
      <c r="AV103" s="3">
        <f>-(N70_DESARROLLO!AU18/0.014285714)*LN(N70_DESARROLLO!AU18/N70_DESARROLLO!AT18)-1</f>
        <v>1.5707684197550975E-2</v>
      </c>
      <c r="AW103" s="3">
        <f>-(N70_DESARROLLO!AV18/0.014285714)*LN(N70_DESARROLLO!AV18/N70_DESARROLLO!AU18)-1</f>
        <v>1.5229228398100814E-2</v>
      </c>
      <c r="AX103" s="3">
        <f>-(N70_DESARROLLO!AW18/0.014285714)*LN(N70_DESARROLLO!AW18/N70_DESARROLLO!AV18)-1</f>
        <v>1.4779059912696013E-2</v>
      </c>
      <c r="AY103" s="3">
        <f>-(N70_DESARROLLO!AX18/0.014285714)*LN(N70_DESARROLLO!AX18/N70_DESARROLLO!AW18)-1</f>
        <v>1.4354742051088776E-2</v>
      </c>
      <c r="AZ103" s="3">
        <f>-(N70_DESARROLLO!AY18/0.014285714)*LN(N70_DESARROLLO!AY18/N70_DESARROLLO!AX18)-1</f>
        <v>1.395411018734416E-2</v>
      </c>
      <c r="BA103" s="3">
        <f>-(N70_DESARROLLO!AZ18/0.014285714)*LN(N70_DESARROLLO!AZ18/N70_DESARROLLO!AY18)-1</f>
        <v>1.3575234818482773E-2</v>
      </c>
      <c r="BB103" s="3">
        <f>-(N70_DESARROLLO!BA18/0.014285714)*LN(N70_DESARROLLO!BA18/N70_DESARROLLO!AZ18)-1</f>
        <v>1.3216390483202112E-2</v>
      </c>
      <c r="BC103" s="3">
        <f>-(N70_DESARROLLO!BB18/0.014285714)*LN(N70_DESARROLLO!BB18/N70_DESARROLLO!BA18)-1</f>
        <v>1.2876029484357954E-2</v>
      </c>
      <c r="BD103" s="3">
        <f>-(N70_DESARROLLO!BC18/0.014285714)*LN(N70_DESARROLLO!BC18/N70_DESARROLLO!BB18)-1</f>
        <v>1.25527595704511E-2</v>
      </c>
      <c r="BE103" s="3">
        <f>-(N70_DESARROLLO!BD18/0.014285714)*LN(N70_DESARROLLO!BD18/N70_DESARROLLO!BC18)-1</f>
        <v>1.2245324897516063E-2</v>
      </c>
      <c r="BF103" s="3">
        <f>-(N70_DESARROLLO!BE18/0.014285714)*LN(N70_DESARROLLO!BE18/N70_DESARROLLO!BD18)-1</f>
        <v>1.1952589722083351E-2</v>
      </c>
      <c r="BG103" s="3">
        <f>-(N70_DESARROLLO!BF18/0.014285714)*LN(N70_DESARROLLO!BF18/N70_DESARROLLO!BE18)-1</f>
        <v>1.1673524379102407E-2</v>
      </c>
      <c r="BH103" s="3">
        <f>-(N70_DESARROLLO!BG18/0.014285714)*LN(N70_DESARROLLO!BG18/N70_DESARROLLO!BF18)-1</f>
        <v>1.1407193179389985E-2</v>
      </c>
      <c r="BI103" s="3">
        <f>-(N70_DESARROLLO!BH18/0.014285714)*LN(N70_DESARROLLO!BH18/N70_DESARROLLO!BG18)-1</f>
        <v>1.1152743927361541E-2</v>
      </c>
      <c r="BJ103" s="3">
        <f>-(N70_DESARROLLO!BI18/0.014285714)*LN(N70_DESARROLLO!BI18/N70_DESARROLLO!BH18)-1</f>
        <v>1.0909398811068893E-2</v>
      </c>
      <c r="BK103" s="3">
        <f>-(N70_DESARROLLO!BJ18/0.014285714)*LN(N70_DESARROLLO!BJ18/N70_DESARROLLO!BI18)-1</f>
        <v>1.0676446459560562E-2</v>
      </c>
      <c r="BL103" s="3">
        <f>-(N70_DESARROLLO!BK18/0.014285714)*LN(N70_DESARROLLO!BK18/N70_DESARROLLO!BJ18)-1</f>
        <v>1.0453234996904204E-2</v>
      </c>
      <c r="BM103" s="3">
        <f>-(N70_DESARROLLO!BL18/0.014285714)*LN(N70_DESARROLLO!BL18/N70_DESARROLLO!BK18)-1</f>
        <v>1.0239165949531337E-2</v>
      </c>
      <c r="BN103" s="3">
        <f>-(N70_DESARROLLO!BM18/0.014285714)*LN(N70_DESARROLLO!BM18/N70_DESARROLLO!BL18)-1</f>
        <v>1.003368888749101E-2</v>
      </c>
      <c r="BO103" s="3">
        <f>-(N70_DESARROLLO!BN18/0.014285714)*LN(N70_DESARROLLO!BN18/N70_DESARROLLO!BM18)-1</f>
        <v>9.8362966981071498E-3</v>
      </c>
      <c r="BP103" s="3">
        <f>-(N70_DESARROLLO!BO18/0.014285714)*LN(N70_DESARROLLO!BO18/N70_DESARROLLO!BN18)-1</f>
        <v>9.6465214070291516E-3</v>
      </c>
      <c r="BQ103" s="3">
        <f>-(N70_DESARROLLO!BP18/0.014285714)*LN(N70_DESARROLLO!BP18/N70_DESARROLLO!BO18)-1</f>
        <v>9.4639304737549335E-3</v>
      </c>
      <c r="BR103" s="3">
        <f>-(N70_DESARROLLO!BQ18/0.014285714)*LN(N70_DESARROLLO!BQ18/N70_DESARROLLO!BP18)-1</f>
        <v>9.2881235002080231E-3</v>
      </c>
      <c r="BS103" s="3">
        <f>-(N70_DESARROLLO!BR18/0.014285714)*LN(N70_DESARROLLO!BR18/N70_DESARROLLO!BQ18)-1</f>
        <v>9.118729299437689E-3</v>
      </c>
      <c r="BT103" s="3">
        <f>-(N70_DESARROLLO!BS18/0.014285714)*LN(N70_DESARROLLO!BS18/N70_DESARROLLO!BR18)-1</f>
        <v>8.9554032794736393E-3</v>
      </c>
      <c r="BU103" s="3">
        <f>-(N70_DESARROLLO!BT18/0.014285714)*LN(N70_DESARROLLO!BT18/N70_DESARROLLO!BS18)-1</f>
        <v>8.7978251032541088E-3</v>
      </c>
      <c r="BV103" s="3">
        <f>-(N70_DESARROLLO!BU18/0.014285714)*LN(N70_DESARROLLO!BU18/N70_DESARROLLO!BT18)-1</f>
        <v>8.6456965915122641E-3</v>
      </c>
      <c r="BW103" s="3">
        <f>-(N70_DESARROLLO!BV18/0.014285714)*LN(N70_DESARROLLO!BV18/N70_DESARROLLO!BU18)-1</f>
        <v>8.4987398394935632E-3</v>
      </c>
      <c r="BX103" s="3">
        <f>-(N70_DESARROLLO!BW18/0.014285714)*LN(N70_DESARROLLO!BW18/N70_DESARROLLO!BV18)-1</f>
        <v>8.3566955224383399E-3</v>
      </c>
      <c r="BY103" s="3">
        <f>-(N70_DESARROLLO!BX18/0.014285714)*LN(N70_DESARROLLO!BX18/N70_DESARROLLO!BW18)-1</f>
        <v>9.2096315950720662</v>
      </c>
      <c r="BZ103" s="10"/>
      <c r="CA103" s="10"/>
      <c r="CB103" s="10"/>
      <c r="CC103" s="10"/>
      <c r="CD103">
        <v>9</v>
      </c>
      <c r="CE103" s="1">
        <v>0</v>
      </c>
      <c r="CF103" s="1">
        <f>(1+(N70_DESARROLLO!F18/0.014285714)*LN(N70_DESARROLLO!G18/N70_DESARROLLO!F18))</f>
        <v>-6.3886736386786103E-2</v>
      </c>
      <c r="CG103" s="1">
        <f>(1+(N70_DESARROLLO!G18/0.014285714)*LN(N70_DESARROLLO!H18/N70_DESARROLLO!G18))</f>
        <v>-7.3256348770176505E-2</v>
      </c>
      <c r="CH103" s="1">
        <f>(1+(N70_DESARROLLO!H18/0.014285714)*LN(N70_DESARROLLO!I18/N70_DESARROLLO!H18))</f>
        <v>-8.585157202761251E-2</v>
      </c>
      <c r="CI103" s="1">
        <f>(1+(N70_DESARROLLO!I18/0.014285714)*LN(N70_DESARROLLO!J18/N70_DESARROLLO!I18))</f>
        <v>-0.10368884711560789</v>
      </c>
      <c r="CJ103" s="1">
        <f>(1+(N70_DESARROLLO!J18/0.014285714)*LN(N70_DESARROLLO!K18/N70_DESARROLLO!J18))</f>
        <v>-0.13091494988237695</v>
      </c>
      <c r="CK103" s="1">
        <f>(1+(N70_DESARROLLO!K18/0.014285714)*LN(N70_DESARROLLO!L18/N70_DESARROLLO!K18))</f>
        <v>-0.17765285172730327</v>
      </c>
      <c r="CL103" s="1">
        <f>(1+(N70_DESARROLLO!L18/0.014285714)*LN(N70_DESARROLLO!M18/N70_DESARROLLO!L18))</f>
        <v>-0.27706408495625756</v>
      </c>
      <c r="CM103" s="1">
        <f>(1+(N70_DESARROLLO!M18/0.014285714)*LN(N70_DESARROLLO!N18/N70_DESARROLLO!M18))</f>
        <v>-0.64791846596053526</v>
      </c>
      <c r="CN103" s="1">
        <v>1</v>
      </c>
      <c r="CO103" s="1">
        <f>(1+(N70_DESARROLLO!O18/0.014285714)*LN(N70_DESARROLLO!P18/N70_DESARROLLO!O18))</f>
        <v>0.45069384467982176</v>
      </c>
      <c r="CP103" s="1">
        <f>(1+(N70_DESARROLLO!P18/0.014285714)*LN(N70_DESARROLLO!Q18/N70_DESARROLLO!P18))</f>
        <v>0.23376154902624457</v>
      </c>
      <c r="CQ103" s="1">
        <f>(1+(N70_DESARROLLO!Q18/0.014285714)*LN(N70_DESARROLLO!R18/N70_DESARROLLO!Q18))</f>
        <v>0.15881939162335523</v>
      </c>
      <c r="CR103" s="1">
        <f>(1+(N70_DESARROLLO!R18/0.014285714)*LN(N70_DESARROLLO!S18/N70_DESARROLLO!R18))</f>
        <v>0.12039948342481777</v>
      </c>
      <c r="CS103" s="1">
        <f>(1+(N70_DESARROLLO!S18/0.014285714)*LN(N70_DESARROLLO!T18/N70_DESARROLLO!S18))</f>
        <v>9.6981852359957821E-2</v>
      </c>
      <c r="CT103" s="1">
        <f>(1+(N70_DESARROLLO!T18/0.014285714)*LN(N70_DESARROLLO!U18/N70_DESARROLLO!T18))</f>
        <v>8.120251597663608E-2</v>
      </c>
      <c r="CU103" s="1">
        <f>(1+(N70_DESARROLLO!U18/0.014285714)*LN(N70_DESARROLLO!V18/N70_DESARROLLO!U18))</f>
        <v>6.9844497732512556E-2</v>
      </c>
      <c r="CV103" s="1">
        <f>(1+(N70_DESARROLLO!V18/0.014285714)*LN(N70_DESARROLLO!W18/N70_DESARROLLO!V18))</f>
        <v>6.1276409070483151E-2</v>
      </c>
      <c r="CW103" s="1">
        <f>(1+(N70_DESARROLLO!W18/0.014285714)*LN(N70_DESARROLLO!X18/N70_DESARROLLO!W18))</f>
        <v>5.4582082654735742E-2</v>
      </c>
      <c r="CX103" s="1">
        <f>(1+(N70_DESARROLLO!X18/0.014285714)*LN(N70_DESARROLLO!Y18/N70_DESARROLLO!X18))</f>
        <v>4.9207124692807636E-2</v>
      </c>
      <c r="CY103" s="1">
        <f>(1+(N70_DESARROLLO!Y18/0.014285714)*LN(N70_DESARROLLO!Z18/N70_DESARROLLO!Y18))</f>
        <v>4.479630973579507E-2</v>
      </c>
      <c r="CZ103" s="1">
        <f>(1+(N70_DESARROLLO!Z18/0.014285714)*LN(N70_DESARROLLO!AA18/N70_DESARROLLO!Z18))</f>
        <v>4.1111478023143078E-2</v>
      </c>
      <c r="DA103" s="1">
        <f>(1+(N70_DESARROLLO!AA18/0.014285714)*LN(N70_DESARROLLO!AB18/N70_DESARROLLO!AA18))</f>
        <v>3.7986966558134383E-2</v>
      </c>
      <c r="DB103" s="1">
        <f>(1+(N70_DESARROLLO!AB18/0.014285714)*LN(N70_DESARROLLO!AC18/N70_DESARROLLO!AB18))</f>
        <v>3.5303966947121124E-2</v>
      </c>
      <c r="DC103" s="1">
        <f>(1+(N70_DESARROLLO!AC18/0.014285714)*LN(N70_DESARROLLO!AD18/N70_DESARROLLO!AC18))</f>
        <v>3.2975050428754926E-2</v>
      </c>
      <c r="DD103" s="1">
        <f>(1+(N70_DESARROLLO!AD18/0.014285714)*LN(N70_DESARROLLO!AE18/N70_DESARROLLO!AD18))</f>
        <v>3.0934447408012877E-2</v>
      </c>
      <c r="DE103" s="1">
        <f>(1+(N70_DESARROLLO!AE18/0.014285714)*LN(N70_DESARROLLO!AF18/N70_DESARROLLO!AE18))</f>
        <v>2.913173020423343E-2</v>
      </c>
      <c r="DF103" s="1">
        <f>(1+(N70_DESARROLLO!AF18/0.014285714)*LN(N70_DESARROLLO!AG18/N70_DESARROLLO!AF18))</f>
        <v>2.7527585341366678E-2</v>
      </c>
      <c r="DG103" s="1">
        <f>(1+(N70_DESARROLLO!AG18/0.014285714)*LN(N70_DESARROLLO!AH18/N70_DESARROLLO!AG18))</f>
        <v>2.6090911041505627E-2</v>
      </c>
      <c r="DH103" s="1">
        <f>(1+(N70_DESARROLLO!AH18/0.014285714)*LN(N70_DESARROLLO!AI18/N70_DESARROLLO!AH18))</f>
        <v>2.4796779290042203E-2</v>
      </c>
      <c r="DI103" s="1">
        <f>(1+(N70_DESARROLLO!AI18/0.014285714)*LN(N70_DESARROLLO!AJ18/N70_DESARROLLO!AI18))</f>
        <v>2.3624976192774816E-2</v>
      </c>
      <c r="DJ103" s="1">
        <f>(1+(N70_DESARROLLO!AJ18/0.014285714)*LN(N70_DESARROLLO!AK18/N70_DESARROLLO!AJ18))</f>
        <v>2.2558937800898904E-2</v>
      </c>
      <c r="DK103" s="1">
        <f>(1+(N70_DESARROLLO!AK18/0.014285714)*LN(N70_DESARROLLO!AL18/N70_DESARROLLO!AK18))</f>
        <v>2.1584961787569412E-2</v>
      </c>
      <c r="DL103" s="1">
        <f>(1+(N70_DESARROLLO!AL18/0.014285714)*LN(N70_DESARROLLO!AM18/N70_DESARROLLO!AL18))</f>
        <v>2.0691615000487218E-2</v>
      </c>
      <c r="DM103" s="1">
        <f>(1+(N70_DESARROLLO!AM18/0.014285714)*LN(N70_DESARROLLO!AN18/N70_DESARROLLO!AM18))</f>
        <v>1.9869282361749896E-2</v>
      </c>
      <c r="DN103" s="1">
        <f>(1+(N70_DESARROLLO!AN18/0.014285714)*LN(N70_DESARROLLO!AO18/N70_DESARROLLO!AN18))</f>
        <v>1.9109819273400053E-2</v>
      </c>
      <c r="DO103" s="1">
        <f>(1+(N70_DESARROLLO!AO18/0.014285714)*LN(N70_DESARROLLO!AP18/N70_DESARROLLO!AO18))</f>
        <v>1.840628083888074E-2</v>
      </c>
      <c r="DP103" s="1">
        <f>(1+(N70_DESARROLLO!AP18/0.014285714)*LN(N70_DESARROLLO!AQ18/N70_DESARROLLO!AP18))</f>
        <v>1.7752708797869166E-2</v>
      </c>
      <c r="DQ103" s="1">
        <f>(1+(N70_DESARROLLO!AQ18/0.014285714)*LN(N70_DESARROLLO!AR18/N70_DESARROLLO!AQ18))</f>
        <v>1.7143962314557393E-2</v>
      </c>
      <c r="DR103" s="1">
        <f>(1+(N70_DESARROLLO!AR18/0.014285714)*LN(N70_DESARROLLO!AS18/N70_DESARROLLO!AR18))</f>
        <v>1.6575582437549863E-2</v>
      </c>
      <c r="DS103" s="1">
        <f>(1+(N70_DESARROLLO!AS18/0.014285714)*LN(N70_DESARROLLO!AT18/N70_DESARROLLO!AS18))</f>
        <v>1.6043682665125125E-2</v>
      </c>
      <c r="DT103" s="1">
        <f>(1+(N70_DESARROLLO!AT18/0.014285714)*LN(N70_DESARROLLO!AU18/N70_DESARROLLO!AT18))</f>
        <v>1.5544859931604593E-2</v>
      </c>
      <c r="DU103" s="1">
        <f>(1+(N70_DESARROLLO!AU18/0.014285714)*LN(N70_DESARROLLO!AV18/N70_DESARROLLO!AU18))</f>
        <v>1.5076121703334833E-2</v>
      </c>
      <c r="DV103" s="1">
        <f>(1+(N70_DESARROLLO!AV18/0.014285714)*LN(N70_DESARROLLO!AW18/N70_DESARROLLO!AV18))</f>
        <v>1.4634825881874591E-2</v>
      </c>
      <c r="DW103" s="1">
        <f>(1+(N70_DESARROLLO!AW18/0.014285714)*LN(N70_DESARROLLO!AX18/N70_DESARROLLO!AW18))</f>
        <v>1.4218630964435208E-2</v>
      </c>
      <c r="DX103" s="1">
        <f>(1+(N70_DESARROLLO!AX18/0.014285714)*LN(N70_DESARROLLO!AY18/N70_DESARROLLO!AX18))</f>
        <v>1.3825454475322685E-2</v>
      </c>
      <c r="DY103" s="1">
        <f>(1+(N70_DESARROLLO!AY18/0.014285714)*LN(N70_DESARROLLO!AZ18/N70_DESARROLLO!AY18))</f>
        <v>1.3453438110010096E-2</v>
      </c>
      <c r="DZ103" s="1">
        <f>(1+(N70_DESARROLLO!AZ18/0.014285714)*LN(N70_DESARROLLO!BA18/N70_DESARROLLO!AZ18))</f>
        <v>1.3100918360517522E-2</v>
      </c>
      <c r="EA103" s="1">
        <f>(1+(N70_DESARROLLO!BA18/0.014285714)*LN(N70_DESARROLLO!BB18/N70_DESARROLLO!BA18))</f>
        <v>1.2766401641828407E-2</v>
      </c>
      <c r="EB103" s="1">
        <f>(1+(N70_DESARROLLO!BB18/0.014285714)*LN(N70_DESARROLLO!BC18/N70_DESARROLLO!BB18))</f>
        <v>1.2448543134991996E-2</v>
      </c>
      <c r="EC103" s="1">
        <f>(1+(N70_DESARROLLO!BC18/0.014285714)*LN(N70_DESARROLLO!BD18/N70_DESARROLLO!BC18))</f>
        <v>1.2146128714472515E-2</v>
      </c>
      <c r="ED103" s="1">
        <f>(1+(N70_DESARROLLO!BD18/0.014285714)*LN(N70_DESARROLLO!BE18/N70_DESARROLLO!BD18))</f>
        <v>1.1858059447847902E-2</v>
      </c>
      <c r="EE103" s="1">
        <f>(1+(N70_DESARROLLO!BE18/0.014285714)*LN(N70_DESARROLLO!BF18/N70_DESARROLLO!BE18))</f>
        <v>1.1583338250302444E-2</v>
      </c>
      <c r="EF103" s="1">
        <f>(1+(N70_DESARROLLO!BF18/0.014285714)*LN(N70_DESARROLLO!BG18/N70_DESARROLLO!BF18))</f>
        <v>1.1321058352731117E-2</v>
      </c>
      <c r="EG103" s="1">
        <f>(1+(N70_DESARROLLO!BG18/0.014285714)*LN(N70_DESARROLLO!BH18/N70_DESARROLLO!BG18))</f>
        <v>1.1070393301811032E-2</v>
      </c>
      <c r="EH103" s="1">
        <f>(1+(N70_DESARROLLO!BH18/0.014285714)*LN(N70_DESARROLLO!BI18/N70_DESARROLLO!BH18))</f>
        <v>1.0830588260137164E-2</v>
      </c>
      <c r="EI103" s="1">
        <f>(1+(N70_DESARROLLO!BI18/0.014285714)*LN(N70_DESARROLLO!BJ18/N70_DESARROLLO!BI18))</f>
        <v>1.0600952413272191E-2</v>
      </c>
      <c r="EJ103" s="1">
        <f>(1+(N70_DESARROLLO!BJ18/0.014285714)*LN(N70_DESARROLLO!BK18/N70_DESARROLLO!BJ18))</f>
        <v>1.0380852322619649E-2</v>
      </c>
      <c r="EK103" s="1">
        <f>(1+(N70_DESARROLLO!BK18/0.014285714)*LN(N70_DESARROLLO!BL18/N70_DESARROLLO!BK18))</f>
        <v>1.0169706089853126E-2</v>
      </c>
      <c r="EL103" s="1">
        <f>(1+(N70_DESARROLLO!BL18/0.014285714)*LN(N70_DESARROLLO!BM18/N70_DESARROLLO!BL18))</f>
        <v>9.9669782191919021E-3</v>
      </c>
      <c r="EM103" s="1">
        <f>(1+(N70_DESARROLLO!BM18/0.014285714)*LN(N70_DESARROLLO!BN18/N70_DESARROLLO!BM18))</f>
        <v>9.77217508243855E-3</v>
      </c>
      <c r="EN103" s="1">
        <f>(1+(N70_DESARROLLO!BN18/0.014285714)*LN(N70_DESARROLLO!BO18/N70_DESARROLLO!BN18))</f>
        <v>9.5848409054859474E-3</v>
      </c>
      <c r="EO103" s="1">
        <f>(1+(N70_DESARROLLO!BO18/0.014285714)*LN(N70_DESARROLLO!BP18/N70_DESARROLLO!BO18))</f>
        <v>9.404554207997462E-3</v>
      </c>
      <c r="EP103" s="1">
        <f>(1+(N70_DESARROLLO!BP18/0.014285714)*LN(N70_DESARROLLO!BQ18/N70_DESARROLLO!BP18))</f>
        <v>9.230924637410709E-3</v>
      </c>
      <c r="EQ103" s="1">
        <f>(1+(N70_DESARROLLO!BQ18/0.014285714)*LN(N70_DESARROLLO!BR18/N70_DESARROLLO!BQ18))</f>
        <v>9.0635901473987701E-3</v>
      </c>
      <c r="ER103" s="1">
        <f>(1+(N70_DESARROLLO!BR18/0.014285714)*LN(N70_DESARROLLO!BS18/N70_DESARROLLO!BR18))</f>
        <v>8.9022144776851331E-3</v>
      </c>
      <c r="ES103" s="1">
        <f>(1+(N70_DESARROLLO!BS18/0.014285714)*LN(N70_DESARROLLO!BT18/N70_DESARROLLO!BS18))</f>
        <v>8.7464848985416843E-3</v>
      </c>
      <c r="ET103" s="1">
        <f>(1+(N70_DESARROLLO!BT18/0.014285714)*LN(N70_DESARROLLO!BU18/N70_DESARROLLO!BT18))</f>
        <v>8.5961101878297974E-3</v>
      </c>
      <c r="EU103" s="1">
        <f>(1+(N70_DESARROLLO!BU18/0.014285714)*LN(N70_DESARROLLO!BV18/N70_DESARROLLO!BU18))</f>
        <v>8.4508188132711437E-3</v>
      </c>
      <c r="EV103" s="1">
        <f>(1+(N70_DESARROLLO!BV18/0.014285714)*LN(N70_DESARROLLO!BW18/N70_DESARROLLO!BV18))</f>
        <v>8.3103572961144012E-3</v>
      </c>
      <c r="EW103" s="1">
        <f>(1+(N70_DESARROLLO!BW18/0.014285714)*LN(N70_DESARROLLO!BX18/N70_DESARROLLO!BW18))</f>
        <v>-7.8240387357408565</v>
      </c>
      <c r="EX103" s="10"/>
      <c r="EY103" s="10"/>
    </row>
    <row r="104" spans="5:155" x14ac:dyDescent="0.25">
      <c r="G104" s="3">
        <v>10</v>
      </c>
      <c r="H104" s="3">
        <f>-(N70_DESARROLLO!G19/0.014285714)*LN(N70_DESARROLLO!G19/N70_DESARROLLO!F19)-1</f>
        <v>-5.4582082654734521E-2</v>
      </c>
      <c r="I104" s="3">
        <f>-(N70_DESARROLLO!H19/0.014285714)*LN(N70_DESARROLLO!H19/N70_DESARROLLO!G19)-1</f>
        <v>-6.1276409070483928E-2</v>
      </c>
      <c r="J104" s="3">
        <f>-(N70_DESARROLLO!I19/0.014285714)*LN(N70_DESARROLLO!I19/N70_DESARROLLO!H19)-1</f>
        <v>-6.9844497732512667E-2</v>
      </c>
      <c r="K104" s="3">
        <f>-(N70_DESARROLLO!J19/0.014285714)*LN(N70_DESARROLLO!J19/N70_DESARROLLO!I19)-1</f>
        <v>-8.1202515976636969E-2</v>
      </c>
      <c r="L104" s="3">
        <f>-(N70_DESARROLLO!K19/0.014285714)*LN(N70_DESARROLLO!K19/N70_DESARROLLO!J19)-1</f>
        <v>-9.69818523599566E-2</v>
      </c>
      <c r="M104" s="3">
        <f>-(N70_DESARROLLO!L19/0.014285714)*LN(N70_DESARROLLO!L19/N70_DESARROLLO!K19)-1</f>
        <v>-0.12039948342481799</v>
      </c>
      <c r="N104" s="3">
        <f>-(N70_DESARROLLO!M19/0.014285714)*LN(N70_DESARROLLO!M19/N70_DESARROLLO!L19)-1</f>
        <v>-0.15881939162335601</v>
      </c>
      <c r="O104" s="3">
        <f>-(N70_DESARROLLO!N19/0.014285714)*LN(N70_DESARROLLO!N19/N70_DESARROLLO!M19)-1</f>
        <v>-0.23376154902624469</v>
      </c>
      <c r="P104" s="3">
        <f>-(N70_DESARROLLO!O19/0.014285714)*LN(N70_DESARROLLO!O19/N70_DESARROLLO!N19)-1</f>
        <v>-0.4506938446798221</v>
      </c>
      <c r="Q104" s="3">
        <v>-1</v>
      </c>
      <c r="R104" s="3">
        <f>-(N70_DESARROLLO!Q19/0.014285714)*LN(N70_DESARROLLO!Q19/N70_DESARROLLO!P19)-1</f>
        <v>0.6479184659605346</v>
      </c>
      <c r="S104" s="3">
        <f>-(N70_DESARROLLO!R19/0.014285714)*LN(N70_DESARROLLO!R19/N70_DESARROLLO!Q19)-1</f>
        <v>0.27706408495625889</v>
      </c>
      <c r="T104" s="3">
        <f>-(N70_DESARROLLO!S19/0.014285714)*LN(N70_DESARROLLO!S19/N70_DESARROLLO!R19)-1</f>
        <v>0.17765285172730261</v>
      </c>
      <c r="U104" s="3">
        <f>-(N70_DESARROLLO!T19/0.014285714)*LN(N70_DESARROLLO!T19/N70_DESARROLLO!S19)-1</f>
        <v>0.13091494988237407</v>
      </c>
      <c r="V104" s="3">
        <f>-(N70_DESARROLLO!U19/0.014285714)*LN(N70_DESARROLLO!U19/N70_DESARROLLO!T19)-1</f>
        <v>0.10368884711560877</v>
      </c>
      <c r="W104" s="3">
        <f>-(N70_DESARROLLO!V19/0.014285714)*LN(N70_DESARROLLO!V19/N70_DESARROLLO!U19)-1</f>
        <v>8.5851572027612066E-2</v>
      </c>
      <c r="X104" s="3">
        <f>-(N70_DESARROLLO!W19/0.014285714)*LN(N70_DESARROLLO!W19/N70_DESARROLLO!V19)-1</f>
        <v>7.3256348770177837E-2</v>
      </c>
      <c r="Y104" s="3">
        <f>-(N70_DESARROLLO!X19/0.014285714)*LN(N70_DESARROLLO!X19/N70_DESARROLLO!W19)-1</f>
        <v>6.3886736386784104E-2</v>
      </c>
      <c r="Z104" s="3">
        <f>-(N70_DESARROLLO!Y19/0.014285714)*LN(N70_DESARROLLO!Y19/N70_DESARROLLO!X19)-1</f>
        <v>5.6643554680002817E-2</v>
      </c>
      <c r="AA104" s="3">
        <f>-(N70_DESARROLLO!Z19/0.014285714)*LN(N70_DESARROLLO!Z19/N70_DESARROLLO!Y19)-1</f>
        <v>5.0876335865844169E-2</v>
      </c>
      <c r="AB104" s="3">
        <f>-(N70_DESARROLLO!AA19/0.014285714)*LN(N70_DESARROLLO!AA19/N70_DESARROLLO!Z19)-1</f>
        <v>4.6175470289367526E-2</v>
      </c>
      <c r="AC104" s="3">
        <f>-(N70_DESARROLLO!AB19/0.014285714)*LN(N70_DESARROLLO!AB19/N70_DESARROLLO!AA19)-1</f>
        <v>4.2270132583540176E-2</v>
      </c>
      <c r="AD104" s="3">
        <f>-(N70_DESARROLLO!AC19/0.014285714)*LN(N70_DESARROLLO!AC19/N70_DESARROLLO!AB19)-1</f>
        <v>3.8974076117214818E-2</v>
      </c>
      <c r="AE104" s="3">
        <f>-(N70_DESARROLLO!AD19/0.014285714)*LN(N70_DESARROLLO!AD19/N70_DESARROLLO!AC19)-1</f>
        <v>3.6154998464203114E-2</v>
      </c>
      <c r="AF104" s="3">
        <f>-(N70_DESARROLLO!AE19/0.014285714)*LN(N70_DESARROLLO!AE19/N70_DESARROLLO!AD19)-1</f>
        <v>3.3716325403744918E-2</v>
      </c>
      <c r="AG104" s="3">
        <f>-(N70_DESARROLLO!AF19/0.014285714)*LN(N70_DESARROLLO!AF19/N70_DESARROLLO!AE19)-1</f>
        <v>3.1585910823728192E-2</v>
      </c>
      <c r="AH104" s="3">
        <f>-(N70_DESARROLLO!AG19/0.014285714)*LN(N70_DESARROLLO!AG19/N70_DESARROLLO!AF19)-1</f>
        <v>2.9708770995505951E-2</v>
      </c>
      <c r="AI104" s="3">
        <f>-(N70_DESARROLLO!AH19/0.014285714)*LN(N70_DESARROLLO!AH19/N70_DESARROLLO!AG19)-1</f>
        <v>2.8042266924844794E-2</v>
      </c>
      <c r="AJ104" s="3">
        <f>-(N70_DESARROLLO!AI19/0.014285714)*LN(N70_DESARROLLO!AI19/N70_DESARROLLO!AH19)-1</f>
        <v>2.6552823496791333E-2</v>
      </c>
      <c r="AK104" s="3">
        <f>-(N70_DESARROLLO!AJ19/0.014285714)*LN(N70_DESARROLLO!AJ19/N70_DESARROLLO!AI19)-1</f>
        <v>2.5213642284827253E-2</v>
      </c>
      <c r="AL104" s="3">
        <f>-(N70_DESARROLLO!AK19/0.014285714)*LN(N70_DESARROLLO!AK19/N70_DESARROLLO!AJ19)-1</f>
        <v>2.4003073749041315E-2</v>
      </c>
      <c r="AM104" s="3">
        <f>-(N70_DESARROLLO!AL19/0.014285714)*LN(N70_DESARROLLO!AL19/N70_DESARROLLO!AK19)-1</f>
        <v>2.2903437185105791E-2</v>
      </c>
      <c r="AN104" s="3">
        <f>-(N70_DESARROLLO!AM19/0.014285714)*LN(N70_DESARROLLO!AM19/N70_DESARROLLO!AL19)-1</f>
        <v>2.190015102187215E-2</v>
      </c>
      <c r="AO104" s="3">
        <f>-(N70_DESARROLLO!AN19/0.014285714)*LN(N70_DESARROLLO!AN19/N70_DESARROLLO!AM19)-1</f>
        <v>2.0981082233534565E-2</v>
      </c>
      <c r="AP104" s="3">
        <f>-(N70_DESARROLLO!AO19/0.014285714)*LN(N70_DESARROLLO!AO19/N70_DESARROLLO!AN19)-1</f>
        <v>2.0136053052056457E-2</v>
      </c>
      <c r="AQ104" s="3">
        <f>-(N70_DESARROLLO!AP19/0.014285714)*LN(N70_DESARROLLO!AP19/N70_DESARROLLO!AO19)-1</f>
        <v>1.9356462323721457E-2</v>
      </c>
      <c r="AR104" s="3">
        <f>-(N70_DESARROLLO!AQ19/0.014285714)*LN(N70_DESARROLLO!AQ19/N70_DESARROLLO!AP19)-1</f>
        <v>1.8634991582305416E-2</v>
      </c>
      <c r="AS104" s="3">
        <f>-(N70_DESARROLLO!AR19/0.014285714)*LN(N70_DESARROLLO!AR19/N70_DESARROLLO!AQ19)-1</f>
        <v>1.7965374518559951E-2</v>
      </c>
      <c r="AT104" s="3">
        <f>-(N70_DESARROLLO!AS19/0.014285714)*LN(N70_DESARROLLO!AS19/N70_DESARROLLO!AR19)-1</f>
        <v>1.7342214446341986E-2</v>
      </c>
      <c r="AU104" s="3">
        <f>-(N70_DESARROLLO!AT19/0.014285714)*LN(N70_DESARROLLO!AT19/N70_DESARROLLO!AS19)-1</f>
        <v>1.676083849676413E-2</v>
      </c>
      <c r="AV104" s="3">
        <f>-(N70_DESARROLLO!AU19/0.014285714)*LN(N70_DESARROLLO!AU19/N70_DESARROLLO!AT19)-1</f>
        <v>1.6217180198320191E-2</v>
      </c>
      <c r="AW104" s="3">
        <f>-(N70_DESARROLLO!AV19/0.014285714)*LN(N70_DESARROLLO!AV19/N70_DESARROLLO!AU19)-1</f>
        <v>1.5707684197544092E-2</v>
      </c>
      <c r="AX104" s="3">
        <f>-(N70_DESARROLLO!AW19/0.014285714)*LN(N70_DESARROLLO!AW19/N70_DESARROLLO!AV19)-1</f>
        <v>1.5229228398100814E-2</v>
      </c>
      <c r="AY104" s="3">
        <f>-(N70_DESARROLLO!AX19/0.014285714)*LN(N70_DESARROLLO!AX19/N70_DESARROLLO!AW19)-1</f>
        <v>1.4779059912703785E-2</v>
      </c>
      <c r="AZ104" s="3">
        <f>-(N70_DESARROLLO!AY19/0.014285714)*LN(N70_DESARROLLO!AY19/N70_DESARROLLO!AX19)-1</f>
        <v>1.4354742051081004E-2</v>
      </c>
      <c r="BA104" s="3">
        <f>-(N70_DESARROLLO!AZ19/0.014285714)*LN(N70_DESARROLLO!AZ19/N70_DESARROLLO!AY19)-1</f>
        <v>1.3954110187352153E-2</v>
      </c>
      <c r="BB104" s="3">
        <f>-(N70_DESARROLLO!BA19/0.014285714)*LN(N70_DESARROLLO!BA19/N70_DESARROLLO!AZ19)-1</f>
        <v>1.3575234818474557E-2</v>
      </c>
      <c r="BC104" s="3">
        <f>-(N70_DESARROLLO!BB19/0.014285714)*LN(N70_DESARROLLO!BB19/N70_DESARROLLO!BA19)-1</f>
        <v>1.3216390483210549E-2</v>
      </c>
      <c r="BD104" s="3">
        <f>-(N70_DESARROLLO!BC19/0.014285714)*LN(N70_DESARROLLO!BC19/N70_DESARROLLO!BB19)-1</f>
        <v>1.2876029484357954E-2</v>
      </c>
      <c r="BE104" s="3">
        <f>-(N70_DESARROLLO!BD19/0.014285714)*LN(N70_DESARROLLO!BD19/N70_DESARROLLO!BC19)-1</f>
        <v>1.2552759570459981E-2</v>
      </c>
      <c r="BF104" s="3">
        <f>-(N70_DESARROLLO!BE19/0.014285714)*LN(N70_DESARROLLO!BE19/N70_DESARROLLO!BD19)-1</f>
        <v>1.224532489750696E-2</v>
      </c>
      <c r="BG104" s="3">
        <f>-(N70_DESARROLLO!BF19/0.014285714)*LN(N70_DESARROLLO!BF19/N70_DESARROLLO!BE19)-1</f>
        <v>1.1952589722092677E-2</v>
      </c>
      <c r="BH104" s="3">
        <f>-(N70_DESARROLLO!BG19/0.014285714)*LN(N70_DESARROLLO!BG19/N70_DESARROLLO!BF19)-1</f>
        <v>1.1673524379093081E-2</v>
      </c>
      <c r="BI104" s="3">
        <f>-(N70_DESARROLLO!BH19/0.014285714)*LN(N70_DESARROLLO!BH19/N70_DESARROLLO!BG19)-1</f>
        <v>1.1407193179389985E-2</v>
      </c>
      <c r="BJ104" s="3">
        <f>-(N70_DESARROLLO!BI19/0.014285714)*LN(N70_DESARROLLO!BI19/N70_DESARROLLO!BH19)-1</f>
        <v>1.1152743927371533E-2</v>
      </c>
      <c r="BK104" s="3">
        <f>-(N70_DESARROLLO!BJ19/0.014285714)*LN(N70_DESARROLLO!BJ19/N70_DESARROLLO!BI19)-1</f>
        <v>1.0909398811058679E-2</v>
      </c>
      <c r="BL104" s="3">
        <f>-(N70_DESARROLLO!BK19/0.014285714)*LN(N70_DESARROLLO!BK19/N70_DESARROLLO!BJ19)-1</f>
        <v>1.0676446459560784E-2</v>
      </c>
      <c r="BM104" s="3">
        <f>-(N70_DESARROLLO!BL19/0.014285714)*LN(N70_DESARROLLO!BL19/N70_DESARROLLO!BK19)-1</f>
        <v>1.0453234996893546E-2</v>
      </c>
      <c r="BN104" s="3">
        <f>-(N70_DESARROLLO!BM19/0.014285714)*LN(N70_DESARROLLO!BM19/N70_DESARROLLO!BL19)-1</f>
        <v>1.0239165949542439E-2</v>
      </c>
      <c r="BO104" s="3">
        <f>-(N70_DESARROLLO!BN19/0.014285714)*LN(N70_DESARROLLO!BN19/N70_DESARROLLO!BM19)-1</f>
        <v>1.003368888748013E-2</v>
      </c>
      <c r="BP104" s="3">
        <f>-(N70_DESARROLLO!BO19/0.014285714)*LN(N70_DESARROLLO!BO19/N70_DESARROLLO!BN19)-1</f>
        <v>9.8362966981073718E-3</v>
      </c>
      <c r="BQ104" s="3">
        <f>-(N70_DESARROLLO!BP19/0.014285714)*LN(N70_DESARROLLO!BP19/N70_DESARROLLO!BO19)-1</f>
        <v>9.6465214070291516E-3</v>
      </c>
      <c r="BR104" s="3">
        <f>-(N70_DESARROLLO!BQ19/0.014285714)*LN(N70_DESARROLLO!BQ19/N70_DESARROLLO!BP19)-1</f>
        <v>9.4639304737667018E-3</v>
      </c>
      <c r="BS104" s="3">
        <f>-(N70_DESARROLLO!BR19/0.014285714)*LN(N70_DESARROLLO!BR19/N70_DESARROLLO!BQ19)-1</f>
        <v>9.2881235002080231E-3</v>
      </c>
      <c r="BT104" s="3">
        <f>-(N70_DESARROLLO!BS19/0.014285714)*LN(N70_DESARROLLO!BS19/N70_DESARROLLO!BR19)-1</f>
        <v>9.118729299437689E-3</v>
      </c>
      <c r="BU104" s="3">
        <f>-(N70_DESARROLLO!BT19/0.014285714)*LN(N70_DESARROLLO!BT19/N70_DESARROLLO!BS19)-1</f>
        <v>8.9554032794736393E-3</v>
      </c>
      <c r="BV104" s="3">
        <f>-(N70_DESARROLLO!BU19/0.014285714)*LN(N70_DESARROLLO!BU19/N70_DESARROLLO!BT19)-1</f>
        <v>8.7978251032541088E-3</v>
      </c>
      <c r="BW104" s="3">
        <f>-(N70_DESARROLLO!BV19/0.014285714)*LN(N70_DESARROLLO!BV19/N70_DESARROLLO!BU19)-1</f>
        <v>8.6456965915251427E-3</v>
      </c>
      <c r="BX104" s="3">
        <f>-(N70_DESARROLLO!BW19/0.014285714)*LN(N70_DESARROLLO!BW19/N70_DESARROLLO!BV19)-1</f>
        <v>8.4987398394804625E-3</v>
      </c>
      <c r="BY104" s="3">
        <f>-(N70_DESARROLLO!BX19/0.014285714)*LN(N70_DESARROLLO!BX19/N70_DESARROLLO!BW19)-1</f>
        <v>10.376325292370751</v>
      </c>
      <c r="BZ104" s="10"/>
      <c r="CA104" s="10"/>
      <c r="CB104" s="10"/>
      <c r="CC104" s="10"/>
      <c r="CD104" s="1">
        <v>10</v>
      </c>
      <c r="CE104" s="1">
        <v>0</v>
      </c>
      <c r="CF104" s="1">
        <f>(1+(N70_DESARROLLO!F19/0.014285714)*LN(N70_DESARROLLO!G19/N70_DESARROLLO!F19))</f>
        <v>-5.6643554680002595E-2</v>
      </c>
      <c r="CG104" s="1">
        <f>(1+(N70_DESARROLLO!G19/0.014285714)*LN(N70_DESARROLLO!H19/N70_DESARROLLO!G19))</f>
        <v>-6.3886736386784992E-2</v>
      </c>
      <c r="CH104" s="1">
        <f>(1+(N70_DESARROLLO!H19/0.014285714)*LN(N70_DESARROLLO!I19/N70_DESARROLLO!H19))</f>
        <v>-7.3256348770177615E-2</v>
      </c>
      <c r="CI104" s="1">
        <f>(1+(N70_DESARROLLO!I19/0.014285714)*LN(N70_DESARROLLO!J19/N70_DESARROLLO!I19))</f>
        <v>-8.5851572027610734E-2</v>
      </c>
      <c r="CJ104" s="1">
        <f>(1+(N70_DESARROLLO!J19/0.014285714)*LN(N70_DESARROLLO!K19/N70_DESARROLLO!J19))</f>
        <v>-0.10368884711560877</v>
      </c>
      <c r="CK104" s="1">
        <f>(1+(N70_DESARROLLO!K19/0.014285714)*LN(N70_DESARROLLO!L19/N70_DESARROLLO!K19))</f>
        <v>-0.13091494988237695</v>
      </c>
      <c r="CL104" s="1">
        <f>(1+(N70_DESARROLLO!L19/0.014285714)*LN(N70_DESARROLLO!M19/N70_DESARROLLO!L19))</f>
        <v>-0.1776528517273015</v>
      </c>
      <c r="CM104" s="1">
        <f>(1+(N70_DESARROLLO!M19/0.014285714)*LN(N70_DESARROLLO!N19/N70_DESARROLLO!M19))</f>
        <v>-0.27706408495625912</v>
      </c>
      <c r="CN104" s="1">
        <f>(1+(N70_DESARROLLO!N19/0.014285714)*LN(N70_DESARROLLO!O19/N70_DESARROLLO!N19))</f>
        <v>-0.6479184659605326</v>
      </c>
      <c r="CO104" s="1">
        <v>1</v>
      </c>
      <c r="CP104" s="1">
        <f>(1+(N70_DESARROLLO!P19/0.014285714)*LN(N70_DESARROLLO!Q19/N70_DESARROLLO!P19))</f>
        <v>0.45069384467982176</v>
      </c>
      <c r="CQ104" s="1">
        <f>(1+(N70_DESARROLLO!Q19/0.014285714)*LN(N70_DESARROLLO!R19/N70_DESARROLLO!Q19))</f>
        <v>0.23376154902624457</v>
      </c>
      <c r="CR104" s="1">
        <f>(1+(N70_DESARROLLO!R19/0.014285714)*LN(N70_DESARROLLO!S19/N70_DESARROLLO!R19))</f>
        <v>0.15881939162335523</v>
      </c>
      <c r="CS104" s="1">
        <f>(1+(N70_DESARROLLO!S19/0.014285714)*LN(N70_DESARROLLO!T19/N70_DESARROLLO!S19))</f>
        <v>0.12039948342481965</v>
      </c>
      <c r="CT104" s="1">
        <f>(1+(N70_DESARROLLO!T19/0.014285714)*LN(N70_DESARROLLO!U19/N70_DESARROLLO!T19))</f>
        <v>9.69818523599566E-2</v>
      </c>
      <c r="CU104" s="1">
        <f>(1+(N70_DESARROLLO!U19/0.014285714)*LN(N70_DESARROLLO!V19/N70_DESARROLLO!U19))</f>
        <v>8.120251597663608E-2</v>
      </c>
      <c r="CV104" s="1">
        <f>(1+(N70_DESARROLLO!V19/0.014285714)*LN(N70_DESARROLLO!W19/N70_DESARROLLO!V19))</f>
        <v>6.9844497732512556E-2</v>
      </c>
      <c r="CW104" s="1">
        <f>(1+(N70_DESARROLLO!W19/0.014285714)*LN(N70_DESARROLLO!X19/N70_DESARROLLO!W19))</f>
        <v>6.1276409070484594E-2</v>
      </c>
      <c r="CX104" s="1">
        <f>(1+(N70_DESARROLLO!X19/0.014285714)*LN(N70_DESARROLLO!Y19/N70_DESARROLLO!X19))</f>
        <v>5.4582082654734188E-2</v>
      </c>
      <c r="CY104" s="1">
        <f>(1+(N70_DESARROLLO!Y19/0.014285714)*LN(N70_DESARROLLO!Z19/N70_DESARROLLO!Y19))</f>
        <v>4.9207124692807636E-2</v>
      </c>
      <c r="CZ104" s="1">
        <f>(1+(N70_DESARROLLO!Z19/0.014285714)*LN(N70_DESARROLLO!AA19/N70_DESARROLLO!Z19))</f>
        <v>4.479630973579507E-2</v>
      </c>
      <c r="DA104" s="1">
        <f>(1+(N70_DESARROLLO!AA19/0.014285714)*LN(N70_DESARROLLO!AB19/N70_DESARROLLO!AA19))</f>
        <v>4.1111478023143078E-2</v>
      </c>
      <c r="DB104" s="1">
        <f>(1+(N70_DESARROLLO!AB19/0.014285714)*LN(N70_DESARROLLO!AC19/N70_DESARROLLO!AB19))</f>
        <v>3.7986966558134383E-2</v>
      </c>
      <c r="DC104" s="1">
        <f>(1+(N70_DESARROLLO!AC19/0.014285714)*LN(N70_DESARROLLO!AD19/N70_DESARROLLO!AC19))</f>
        <v>3.5303966947121124E-2</v>
      </c>
      <c r="DD104" s="1">
        <f>(1+(N70_DESARROLLO!AD19/0.014285714)*LN(N70_DESARROLLO!AE19/N70_DESARROLLO!AD19))</f>
        <v>3.2975050428754926E-2</v>
      </c>
      <c r="DE104" s="1">
        <f>(1+(N70_DESARROLLO!AE19/0.014285714)*LN(N70_DESARROLLO!AF19/N70_DESARROLLO!AE19))</f>
        <v>3.0934447408012877E-2</v>
      </c>
      <c r="DF104" s="1">
        <f>(1+(N70_DESARROLLO!AF19/0.014285714)*LN(N70_DESARROLLO!AG19/N70_DESARROLLO!AF19))</f>
        <v>2.9131730204236872E-2</v>
      </c>
      <c r="DG104" s="1">
        <f>(1+(N70_DESARROLLO!AG19/0.014285714)*LN(N70_DESARROLLO!AH19/N70_DESARROLLO!AG19))</f>
        <v>2.7527585341363126E-2</v>
      </c>
      <c r="DH104" s="1">
        <f>(1+(N70_DESARROLLO!AH19/0.014285714)*LN(N70_DESARROLLO!AI19/N70_DESARROLLO!AH19))</f>
        <v>2.6090911041505627E-2</v>
      </c>
      <c r="DI104" s="1">
        <f>(1+(N70_DESARROLLO!AI19/0.014285714)*LN(N70_DESARROLLO!AJ19/N70_DESARROLLO!AI19))</f>
        <v>2.4796779290042203E-2</v>
      </c>
      <c r="DJ104" s="1">
        <f>(1+(N70_DESARROLLO!AJ19/0.014285714)*LN(N70_DESARROLLO!AK19/N70_DESARROLLO!AJ19))</f>
        <v>2.3624976192774816E-2</v>
      </c>
      <c r="DK104" s="1">
        <f>(1+(N70_DESARROLLO!AK19/0.014285714)*LN(N70_DESARROLLO!AL19/N70_DESARROLLO!AK19))</f>
        <v>2.2558937800898904E-2</v>
      </c>
      <c r="DL104" s="1">
        <f>(1+(N70_DESARROLLO!AL19/0.014285714)*LN(N70_DESARROLLO!AM19/N70_DESARROLLO!AL19))</f>
        <v>2.1584961787569412E-2</v>
      </c>
      <c r="DM104" s="1">
        <f>(1+(N70_DESARROLLO!AM19/0.014285714)*LN(N70_DESARROLLO!AN19/N70_DESARROLLO!AM19))</f>
        <v>2.0691615000487218E-2</v>
      </c>
      <c r="DN104" s="1">
        <f>(1+(N70_DESARROLLO!AN19/0.014285714)*LN(N70_DESARROLLO!AO19/N70_DESARROLLO!AN19))</f>
        <v>1.9869282361749896E-2</v>
      </c>
      <c r="DO104" s="1">
        <f>(1+(N70_DESARROLLO!AO19/0.014285714)*LN(N70_DESARROLLO!AP19/N70_DESARROLLO!AO19))</f>
        <v>1.9109819273400053E-2</v>
      </c>
      <c r="DP104" s="1">
        <f>(1+(N70_DESARROLLO!AP19/0.014285714)*LN(N70_DESARROLLO!AQ19/N70_DESARROLLO!AP19))</f>
        <v>1.8406280838869304E-2</v>
      </c>
      <c r="DQ104" s="1">
        <f>(1+(N70_DESARROLLO!AQ19/0.014285714)*LN(N70_DESARROLLO!AR19/N70_DESARROLLO!AQ19))</f>
        <v>1.7752708797880712E-2</v>
      </c>
      <c r="DR104" s="1">
        <f>(1+(N70_DESARROLLO!AR19/0.014285714)*LN(N70_DESARROLLO!AS19/N70_DESARROLLO!AR19))</f>
        <v>1.7143962314551175E-2</v>
      </c>
      <c r="DS104" s="1">
        <f>(1+(N70_DESARROLLO!AS19/0.014285714)*LN(N70_DESARROLLO!AT19/N70_DESARROLLO!AS19))</f>
        <v>1.6575582437555969E-2</v>
      </c>
      <c r="DT104" s="1">
        <f>(1+(N70_DESARROLLO!AT19/0.014285714)*LN(N70_DESARROLLO!AU19/N70_DESARROLLO!AT19))</f>
        <v>1.6043682665118575E-2</v>
      </c>
      <c r="DU104" s="1">
        <f>(1+(N70_DESARROLLO!AU19/0.014285714)*LN(N70_DESARROLLO!AV19/N70_DESARROLLO!AU19))</f>
        <v>1.5544859931611144E-2</v>
      </c>
      <c r="DV104" s="1">
        <f>(1+(N70_DESARROLLO!AV19/0.014285714)*LN(N70_DESARROLLO!AW19/N70_DESARROLLO!AV19))</f>
        <v>1.5076121703334833E-2</v>
      </c>
      <c r="DW104" s="1">
        <f>(1+(N70_DESARROLLO!AW19/0.014285714)*LN(N70_DESARROLLO!AX19/N70_DESARROLLO!AW19))</f>
        <v>1.4634825881867375E-2</v>
      </c>
      <c r="DX104" s="1">
        <f>(1+(N70_DESARROLLO!AX19/0.014285714)*LN(N70_DESARROLLO!AY19/N70_DESARROLLO!AX19))</f>
        <v>1.4218630964442425E-2</v>
      </c>
      <c r="DY104" s="1">
        <f>(1+(N70_DESARROLLO!AY19/0.014285714)*LN(N70_DESARROLLO!AZ19/N70_DESARROLLO!AY19))</f>
        <v>1.3825454475315135E-2</v>
      </c>
      <c r="DZ104" s="1">
        <f>(1+(N70_DESARROLLO!AZ19/0.014285714)*LN(N70_DESARROLLO!BA19/N70_DESARROLLO!AZ19))</f>
        <v>1.3453438110017868E-2</v>
      </c>
      <c r="EA104" s="1">
        <f>(1+(N70_DESARROLLO!BA19/0.014285714)*LN(N70_DESARROLLO!BB19/N70_DESARROLLO!BA19))</f>
        <v>1.3100918360509306E-2</v>
      </c>
      <c r="EB104" s="1">
        <f>(1+(N70_DESARROLLO!BB19/0.014285714)*LN(N70_DESARROLLO!BC19/N70_DESARROLLO!BB19))</f>
        <v>1.2766401641828296E-2</v>
      </c>
      <c r="EC104" s="1">
        <f>(1+(N70_DESARROLLO!BC19/0.014285714)*LN(N70_DESARROLLO!BD19/N70_DESARROLLO!BC19))</f>
        <v>1.2448543134983558E-2</v>
      </c>
      <c r="ED104" s="1">
        <f>(1+(N70_DESARROLLO!BD19/0.014285714)*LN(N70_DESARROLLO!BE19/N70_DESARROLLO!BD19))</f>
        <v>1.2146128714481064E-2</v>
      </c>
      <c r="EE104" s="1">
        <f>(1+(N70_DESARROLLO!BE19/0.014285714)*LN(N70_DESARROLLO!BF19/N70_DESARROLLO!BE19))</f>
        <v>1.1858059447838909E-2</v>
      </c>
      <c r="EF104" s="1">
        <f>(1+(N70_DESARROLLO!BF19/0.014285714)*LN(N70_DESARROLLO!BG19/N70_DESARROLLO!BF19))</f>
        <v>1.1583338250311437E-2</v>
      </c>
      <c r="EG104" s="1">
        <f>(1+(N70_DESARROLLO!BG19/0.014285714)*LN(N70_DESARROLLO!BH19/N70_DESARROLLO!BG19))</f>
        <v>1.1321058352731117E-2</v>
      </c>
      <c r="EH104" s="1">
        <f>(1+(N70_DESARROLLO!BH19/0.014285714)*LN(N70_DESARROLLO!BI19/N70_DESARROLLO!BH19))</f>
        <v>1.1070393301801484E-2</v>
      </c>
      <c r="EI104" s="1">
        <f>(1+(N70_DESARROLLO!BI19/0.014285714)*LN(N70_DESARROLLO!BJ19/N70_DESARROLLO!BI19))</f>
        <v>1.0830588260146934E-2</v>
      </c>
      <c r="EJ104" s="1">
        <f>(1+(N70_DESARROLLO!BJ19/0.014285714)*LN(N70_DESARROLLO!BK19/N70_DESARROLLO!BJ19))</f>
        <v>1.0600952413272191E-2</v>
      </c>
      <c r="EK104" s="1">
        <f>(1+(N70_DESARROLLO!BK19/0.014285714)*LN(N70_DESARROLLO!BL19/N70_DESARROLLO!BK19))</f>
        <v>1.0380852322629863E-2</v>
      </c>
      <c r="EL104" s="1">
        <f>(1+(N70_DESARROLLO!BL19/0.014285714)*LN(N70_DESARROLLO!BM19/N70_DESARROLLO!BL19))</f>
        <v>1.0169706089842467E-2</v>
      </c>
      <c r="EM104" s="1">
        <f>(1+(N70_DESARROLLO!BM19/0.014285714)*LN(N70_DESARROLLO!BN19/N70_DESARROLLO!BM19))</f>
        <v>9.9669782192024492E-3</v>
      </c>
      <c r="EN104" s="1">
        <f>(1+(N70_DESARROLLO!BN19/0.014285714)*LN(N70_DESARROLLO!BO19/N70_DESARROLLO!BN19))</f>
        <v>9.77217508243855E-3</v>
      </c>
      <c r="EO104" s="1">
        <f>(1+(N70_DESARROLLO!BO19/0.014285714)*LN(N70_DESARROLLO!BP19/N70_DESARROLLO!BO19))</f>
        <v>9.5848409054857253E-3</v>
      </c>
      <c r="EP104" s="1">
        <f>(1+(N70_DESARROLLO!BP19/0.014285714)*LN(N70_DESARROLLO!BQ19/N70_DESARROLLO!BP19))</f>
        <v>9.4045542079859157E-3</v>
      </c>
      <c r="EQ104" s="1">
        <f>(1+(N70_DESARROLLO!BQ19/0.014285714)*LN(N70_DESARROLLO!BR19/N70_DESARROLLO!BQ19))</f>
        <v>9.230924637410487E-3</v>
      </c>
      <c r="ER104" s="1">
        <f>(1+(N70_DESARROLLO!BR19/0.014285714)*LN(N70_DESARROLLO!BS19/N70_DESARROLLO!BR19))</f>
        <v>9.0635901473987701E-3</v>
      </c>
      <c r="ES104" s="1">
        <f>(1+(N70_DESARROLLO!BS19/0.014285714)*LN(N70_DESARROLLO!BT19/N70_DESARROLLO!BS19))</f>
        <v>8.9022144776851331E-3</v>
      </c>
      <c r="ET104" s="1">
        <f>(1+(N70_DESARROLLO!BT19/0.014285714)*LN(N70_DESARROLLO!BU19/N70_DESARROLLO!BT19))</f>
        <v>8.7464848985415733E-3</v>
      </c>
      <c r="EU104" s="1">
        <f>(1+(N70_DESARROLLO!BU19/0.014285714)*LN(N70_DESARROLLO!BV19/N70_DESARROLLO!BU19))</f>
        <v>8.5961101878172519E-3</v>
      </c>
      <c r="EV104" s="1">
        <f>(1+(N70_DESARROLLO!BV19/0.014285714)*LN(N70_DESARROLLO!BW19/N70_DESARROLLO!BV19))</f>
        <v>8.4508188132838002E-3</v>
      </c>
      <c r="EW104" s="1">
        <f>(1+(N70_DESARROLLO!BW19/0.014285714)*LN(N70_DESARROLLO!BX19/N70_DESARROLLO!BW19))</f>
        <v>-8.6698764985151389</v>
      </c>
      <c r="EX104" s="10"/>
      <c r="EY104" s="10"/>
    </row>
    <row r="105" spans="5:155" x14ac:dyDescent="0.25">
      <c r="G105" s="3">
        <v>11</v>
      </c>
      <c r="H105" s="3">
        <f>-(N70_DESARROLLO!G20/0.014285714)*LN(N70_DESARROLLO!G20/N70_DESARROLLO!F20)-1</f>
        <v>-4.9207124692808524E-2</v>
      </c>
      <c r="I105" s="3">
        <f>-(N70_DESARROLLO!H20/0.014285714)*LN(N70_DESARROLLO!H20/N70_DESARROLLO!G20)-1</f>
        <v>-5.4582082654734521E-2</v>
      </c>
      <c r="J105" s="3">
        <f>-(N70_DESARROLLO!I20/0.014285714)*LN(N70_DESARROLLO!I20/N70_DESARROLLO!H20)-1</f>
        <v>-6.1276409070482929E-2</v>
      </c>
      <c r="K105" s="3">
        <f>-(N70_DESARROLLO!J20/0.014285714)*LN(N70_DESARROLLO!J20/N70_DESARROLLO!I20)-1</f>
        <v>-6.9844497732513444E-2</v>
      </c>
      <c r="L105" s="3">
        <f>-(N70_DESARROLLO!K20/0.014285714)*LN(N70_DESARROLLO!K20/N70_DESARROLLO!J20)-1</f>
        <v>-8.1202515976636191E-2</v>
      </c>
      <c r="M105" s="3">
        <f>-(N70_DESARROLLO!L20/0.014285714)*LN(N70_DESARROLLO!L20/N70_DESARROLLO!K20)-1</f>
        <v>-9.69818523599566E-2</v>
      </c>
      <c r="N105" s="3">
        <f>-(N70_DESARROLLO!M20/0.014285714)*LN(N70_DESARROLLO!M20/N70_DESARROLLO!L20)-1</f>
        <v>-0.12039948342481877</v>
      </c>
      <c r="O105" s="3">
        <f>-(N70_DESARROLLO!N20/0.014285714)*LN(N70_DESARROLLO!N20/N70_DESARROLLO!M20)-1</f>
        <v>-0.15881939162335512</v>
      </c>
      <c r="P105" s="3">
        <f>-(N70_DESARROLLO!O20/0.014285714)*LN(N70_DESARROLLO!O20/N70_DESARROLLO!N20)-1</f>
        <v>-0.23376154902624513</v>
      </c>
      <c r="Q105" s="3">
        <f>-(N70_DESARROLLO!P20/0.014285714)*LN(N70_DESARROLLO!P20/N70_DESARROLLO!O20)-1</f>
        <v>-0.45069384467982176</v>
      </c>
      <c r="R105" s="3">
        <v>-1</v>
      </c>
      <c r="S105" s="3">
        <f>-(N70_DESARROLLO!R20/0.014285714)*LN(N70_DESARROLLO!R20/N70_DESARROLLO!Q20)-1</f>
        <v>0.6479184659605346</v>
      </c>
      <c r="T105" s="3">
        <f>-(N70_DESARROLLO!S20/0.014285714)*LN(N70_DESARROLLO!S20/N70_DESARROLLO!R20)-1</f>
        <v>0.27706408495625889</v>
      </c>
      <c r="U105" s="3">
        <f>-(N70_DESARROLLO!T20/0.014285714)*LN(N70_DESARROLLO!T20/N70_DESARROLLO!S20)-1</f>
        <v>0.17765285172730017</v>
      </c>
      <c r="V105" s="3">
        <f>-(N70_DESARROLLO!U20/0.014285714)*LN(N70_DESARROLLO!U20/N70_DESARROLLO!T20)-1</f>
        <v>0.13091494988237651</v>
      </c>
      <c r="W105" s="3">
        <f>-(N70_DESARROLLO!V20/0.014285714)*LN(N70_DESARROLLO!V20/N70_DESARROLLO!U20)-1</f>
        <v>0.10368884711560877</v>
      </c>
      <c r="X105" s="3">
        <f>-(N70_DESARROLLO!W20/0.014285714)*LN(N70_DESARROLLO!W20/N70_DESARROLLO!V20)-1</f>
        <v>8.5851572027612066E-2</v>
      </c>
      <c r="Y105" s="3">
        <f>-(N70_DESARROLLO!X20/0.014285714)*LN(N70_DESARROLLO!X20/N70_DESARROLLO!W20)-1</f>
        <v>7.3256348770174728E-2</v>
      </c>
      <c r="Z105" s="3">
        <f>-(N70_DESARROLLO!Y20/0.014285714)*LN(N70_DESARROLLO!Y20/N70_DESARROLLO!X20)-1</f>
        <v>6.3886736386785659E-2</v>
      </c>
      <c r="AA105" s="3">
        <f>-(N70_DESARROLLO!Z20/0.014285714)*LN(N70_DESARROLLO!Z20/N70_DESARROLLO!Y20)-1</f>
        <v>5.6643554680002817E-2</v>
      </c>
      <c r="AB105" s="3">
        <f>-(N70_DESARROLLO!AA20/0.014285714)*LN(N70_DESARROLLO!AA20/N70_DESARROLLO!Z20)-1</f>
        <v>5.0876335865844169E-2</v>
      </c>
      <c r="AC105" s="3">
        <f>-(N70_DESARROLLO!AB20/0.014285714)*LN(N70_DESARROLLO!AB20/N70_DESARROLLO!AA20)-1</f>
        <v>4.6175470289367526E-2</v>
      </c>
      <c r="AD105" s="3">
        <f>-(N70_DESARROLLO!AC20/0.014285714)*LN(N70_DESARROLLO!AC20/N70_DESARROLLO!AB20)-1</f>
        <v>4.2270132583540176E-2</v>
      </c>
      <c r="AE105" s="3">
        <f>-(N70_DESARROLLO!AD20/0.014285714)*LN(N70_DESARROLLO!AD20/N70_DESARROLLO!AC20)-1</f>
        <v>3.8974076117214818E-2</v>
      </c>
      <c r="AF105" s="3">
        <f>-(N70_DESARROLLO!AE20/0.014285714)*LN(N70_DESARROLLO!AE20/N70_DESARROLLO!AD20)-1</f>
        <v>3.6154998464203114E-2</v>
      </c>
      <c r="AG105" s="3">
        <f>-(N70_DESARROLLO!AF20/0.014285714)*LN(N70_DESARROLLO!AF20/N70_DESARROLLO!AE20)-1</f>
        <v>3.3716325403744918E-2</v>
      </c>
      <c r="AH105" s="3">
        <f>-(N70_DESARROLLO!AG20/0.014285714)*LN(N70_DESARROLLO!AG20/N70_DESARROLLO!AF20)-1</f>
        <v>3.1585910823724639E-2</v>
      </c>
      <c r="AI105" s="3">
        <f>-(N70_DESARROLLO!AH20/0.014285714)*LN(N70_DESARROLLO!AH20/N70_DESARROLLO!AG20)-1</f>
        <v>2.9708770995509726E-2</v>
      </c>
      <c r="AJ105" s="3">
        <f>-(N70_DESARROLLO!AI20/0.014285714)*LN(N70_DESARROLLO!AI20/N70_DESARROLLO!AH20)-1</f>
        <v>2.8042266924844794E-2</v>
      </c>
      <c r="AK105" s="3">
        <f>-(N70_DESARROLLO!AJ20/0.014285714)*LN(N70_DESARROLLO!AJ20/N70_DESARROLLO!AI20)-1</f>
        <v>2.6552823496791333E-2</v>
      </c>
      <c r="AL105" s="3">
        <f>-(N70_DESARROLLO!AK20/0.014285714)*LN(N70_DESARROLLO!AK20/N70_DESARROLLO!AJ20)-1</f>
        <v>2.5213642284827253E-2</v>
      </c>
      <c r="AM105" s="3">
        <f>-(N70_DESARROLLO!AL20/0.014285714)*LN(N70_DESARROLLO!AL20/N70_DESARROLLO!AK20)-1</f>
        <v>2.4003073749041315E-2</v>
      </c>
      <c r="AN105" s="3">
        <f>-(N70_DESARROLLO!AM20/0.014285714)*LN(N70_DESARROLLO!AM20/N70_DESARROLLO!AL20)-1</f>
        <v>2.2903437185105791E-2</v>
      </c>
      <c r="AO105" s="3">
        <f>-(N70_DESARROLLO!AN20/0.014285714)*LN(N70_DESARROLLO!AN20/N70_DESARROLLO!AM20)-1</f>
        <v>2.190015102187215E-2</v>
      </c>
      <c r="AP105" s="3">
        <f>-(N70_DESARROLLO!AO20/0.014285714)*LN(N70_DESARROLLO!AO20/N70_DESARROLLO!AN20)-1</f>
        <v>2.0981082233534565E-2</v>
      </c>
      <c r="AQ105" s="3">
        <f>-(N70_DESARROLLO!AP20/0.014285714)*LN(N70_DESARROLLO!AP20/N70_DESARROLLO!AO20)-1</f>
        <v>2.0136053052045133E-2</v>
      </c>
      <c r="AR105" s="3">
        <f>-(N70_DESARROLLO!AQ20/0.014285714)*LN(N70_DESARROLLO!AQ20/N70_DESARROLLO!AP20)-1</f>
        <v>1.9356462323727008E-2</v>
      </c>
      <c r="AS105" s="3">
        <f>-(N70_DESARROLLO!AR20/0.014285714)*LN(N70_DESARROLLO!AR20/N70_DESARROLLO!AQ20)-1</f>
        <v>1.8634991582293425E-2</v>
      </c>
      <c r="AT105" s="3">
        <f>-(N70_DESARROLLO!AS20/0.014285714)*LN(N70_DESARROLLO!AS20/N70_DESARROLLO!AR20)-1</f>
        <v>1.7965374518572164E-2</v>
      </c>
      <c r="AU105" s="3">
        <f>-(N70_DESARROLLO!AT20/0.014285714)*LN(N70_DESARROLLO!AT20/N70_DESARROLLO!AS20)-1</f>
        <v>1.7342214446335324E-2</v>
      </c>
      <c r="AV105" s="3">
        <f>-(N70_DESARROLLO!AU20/0.014285714)*LN(N70_DESARROLLO!AU20/N70_DESARROLLO!AT20)-1</f>
        <v>1.6760838496770569E-2</v>
      </c>
      <c r="AW105" s="3">
        <f>-(N70_DESARROLLO!AV20/0.014285714)*LN(N70_DESARROLLO!AV20/N70_DESARROLLO!AU20)-1</f>
        <v>1.6217180198313308E-2</v>
      </c>
      <c r="AX105" s="3">
        <f>-(N70_DESARROLLO!AW20/0.014285714)*LN(N70_DESARROLLO!AW20/N70_DESARROLLO!AV20)-1</f>
        <v>1.5707684197543648E-2</v>
      </c>
      <c r="AY105" s="3">
        <f>-(N70_DESARROLLO!AX20/0.014285714)*LN(N70_DESARROLLO!AX20/N70_DESARROLLO!AW20)-1</f>
        <v>1.5229228398107919E-2</v>
      </c>
      <c r="AZ105" s="3">
        <f>-(N70_DESARROLLO!AY20/0.014285714)*LN(N70_DESARROLLO!AY20/N70_DESARROLLO!AX20)-1</f>
        <v>1.4779059912696013E-2</v>
      </c>
      <c r="BA105" s="3">
        <f>-(N70_DESARROLLO!AZ20/0.014285714)*LN(N70_DESARROLLO!AZ20/N70_DESARROLLO!AY20)-1</f>
        <v>1.4354742051088776E-2</v>
      </c>
      <c r="BB105" s="3">
        <f>-(N70_DESARROLLO!BA20/0.014285714)*LN(N70_DESARROLLO!BA20/N70_DESARROLLO!AZ20)-1</f>
        <v>1.395411018734416E-2</v>
      </c>
      <c r="BC105" s="3">
        <f>-(N70_DESARROLLO!BB20/0.014285714)*LN(N70_DESARROLLO!BB20/N70_DESARROLLO!BA20)-1</f>
        <v>1.3575234818482773E-2</v>
      </c>
      <c r="BD105" s="3">
        <f>-(N70_DESARROLLO!BC20/0.014285714)*LN(N70_DESARROLLO!BC20/N70_DESARROLLO!BB20)-1</f>
        <v>1.3216390483202112E-2</v>
      </c>
      <c r="BE105" s="3">
        <f>-(N70_DESARROLLO!BD20/0.014285714)*LN(N70_DESARROLLO!BD20/N70_DESARROLLO!BC20)-1</f>
        <v>1.2876029484357954E-2</v>
      </c>
      <c r="BF105" s="3">
        <f>-(N70_DESARROLLO!BE20/0.014285714)*LN(N70_DESARROLLO!BE20/N70_DESARROLLO!BD20)-1</f>
        <v>1.25527595704511E-2</v>
      </c>
      <c r="BG105" s="3">
        <f>-(N70_DESARROLLO!BF20/0.014285714)*LN(N70_DESARROLLO!BF20/N70_DESARROLLO!BE20)-1</f>
        <v>1.2245324897516063E-2</v>
      </c>
      <c r="BH105" s="3">
        <f>-(N70_DESARROLLO!BG20/0.014285714)*LN(N70_DESARROLLO!BG20/N70_DESARROLLO!BF20)-1</f>
        <v>1.1952589722083351E-2</v>
      </c>
      <c r="BI105" s="3">
        <f>-(N70_DESARROLLO!BH20/0.014285714)*LN(N70_DESARROLLO!BH20/N70_DESARROLLO!BG20)-1</f>
        <v>1.1673524379092637E-2</v>
      </c>
      <c r="BJ105" s="3">
        <f>-(N70_DESARROLLO!BI20/0.014285714)*LN(N70_DESARROLLO!BI20/N70_DESARROLLO!BH20)-1</f>
        <v>1.1407193179399533E-2</v>
      </c>
      <c r="BK105" s="3">
        <f>-(N70_DESARROLLO!BJ20/0.014285714)*LN(N70_DESARROLLO!BJ20/N70_DESARROLLO!BI20)-1</f>
        <v>1.1152743927361541E-2</v>
      </c>
      <c r="BL105" s="3">
        <f>-(N70_DESARROLLO!BK20/0.014285714)*LN(N70_DESARROLLO!BK20/N70_DESARROLLO!BJ20)-1</f>
        <v>1.0909398811068893E-2</v>
      </c>
      <c r="BM105" s="3">
        <f>-(N70_DESARROLLO!BL20/0.014285714)*LN(N70_DESARROLLO!BL20/N70_DESARROLLO!BK20)-1</f>
        <v>1.0676446459560562E-2</v>
      </c>
      <c r="BN105" s="3">
        <f>-(N70_DESARROLLO!BM20/0.014285714)*LN(N70_DESARROLLO!BM20/N70_DESARROLLO!BL20)-1</f>
        <v>1.0453234996904204E-2</v>
      </c>
      <c r="BO105" s="3">
        <f>-(N70_DESARROLLO!BN20/0.014285714)*LN(N70_DESARROLLO!BN20/N70_DESARROLLO!BM20)-1</f>
        <v>1.0239165949531337E-2</v>
      </c>
      <c r="BP105" s="3">
        <f>-(N70_DESARROLLO!BO20/0.014285714)*LN(N70_DESARROLLO!BO20/N70_DESARROLLO!BN20)-1</f>
        <v>1.003368888749101E-2</v>
      </c>
      <c r="BQ105" s="3">
        <f>-(N70_DESARROLLO!BP20/0.014285714)*LN(N70_DESARROLLO!BP20/N70_DESARROLLO!BO20)-1</f>
        <v>9.8362966981071498E-3</v>
      </c>
      <c r="BR105" s="3">
        <f>-(N70_DESARROLLO!BQ20/0.014285714)*LN(N70_DESARROLLO!BQ20/N70_DESARROLLO!BP20)-1</f>
        <v>9.6465214070291516E-3</v>
      </c>
      <c r="BS105" s="3">
        <f>-(N70_DESARROLLO!BR20/0.014285714)*LN(N70_DESARROLLO!BR20/N70_DESARROLLO!BQ20)-1</f>
        <v>9.4639304737549335E-3</v>
      </c>
      <c r="BT105" s="3">
        <f>-(N70_DESARROLLO!BS20/0.014285714)*LN(N70_DESARROLLO!BS20/N70_DESARROLLO!BR20)-1</f>
        <v>9.2881235002078011E-3</v>
      </c>
      <c r="BU105" s="3">
        <f>-(N70_DESARROLLO!BT20/0.014285714)*LN(N70_DESARROLLO!BT20/N70_DESARROLLO!BS20)-1</f>
        <v>9.1187292994499014E-3</v>
      </c>
      <c r="BV105" s="3">
        <f>-(N70_DESARROLLO!BU20/0.014285714)*LN(N70_DESARROLLO!BU20/N70_DESARROLLO!BT20)-1</f>
        <v>8.9554032794736393E-3</v>
      </c>
      <c r="BW105" s="3">
        <f>-(N70_DESARROLLO!BV20/0.014285714)*LN(N70_DESARROLLO!BV20/N70_DESARROLLO!BU20)-1</f>
        <v>8.7978251032541088E-3</v>
      </c>
      <c r="BX105" s="3">
        <f>-(N70_DESARROLLO!BW20/0.014285714)*LN(N70_DESARROLLO!BW20/N70_DESARROLLO!BV20)-1</f>
        <v>8.6456965915122641E-3</v>
      </c>
      <c r="BY105" s="3">
        <f>-(N70_DESARROLLO!BX20/0.014285714)*LN(N70_DESARROLLO!BX20/N70_DESARROLLO!BW20)-1</f>
        <v>11.562794398064272</v>
      </c>
      <c r="BZ105" s="10"/>
      <c r="CA105" s="10"/>
      <c r="CB105" s="10"/>
      <c r="CC105" s="10"/>
      <c r="CD105">
        <v>11</v>
      </c>
      <c r="CE105" s="1">
        <v>0</v>
      </c>
      <c r="CF105" s="1">
        <f>(1+(N70_DESARROLLO!F20/0.014285714)*LN(N70_DESARROLLO!G20/N70_DESARROLLO!F20))</f>
        <v>-5.0876335865843281E-2</v>
      </c>
      <c r="CG105" s="1">
        <f>(1+(N70_DESARROLLO!G20/0.014285714)*LN(N70_DESARROLLO!H20/N70_DESARROLLO!G20))</f>
        <v>-5.6643554680002595E-2</v>
      </c>
      <c r="CH105" s="1">
        <f>(1+(N70_DESARROLLO!H20/0.014285714)*LN(N70_DESARROLLO!I20/N70_DESARROLLO!H20))</f>
        <v>-6.3886736386786103E-2</v>
      </c>
      <c r="CI105" s="1">
        <f>(1+(N70_DESARROLLO!I20/0.014285714)*LN(N70_DESARROLLO!J20/N70_DESARROLLO!I20))</f>
        <v>-7.3256348770176727E-2</v>
      </c>
      <c r="CJ105" s="1">
        <f>(1+(N70_DESARROLLO!J20/0.014285714)*LN(N70_DESARROLLO!K20/N70_DESARROLLO!J20))</f>
        <v>-8.5851572027611844E-2</v>
      </c>
      <c r="CK105" s="1">
        <f>(1+(N70_DESARROLLO!K20/0.014285714)*LN(N70_DESARROLLO!L20/N70_DESARROLLO!K20))</f>
        <v>-0.10368884711560877</v>
      </c>
      <c r="CL105" s="1">
        <f>(1+(N70_DESARROLLO!L20/0.014285714)*LN(N70_DESARROLLO!M20/N70_DESARROLLO!L20))</f>
        <v>-0.13091494988237562</v>
      </c>
      <c r="CM105" s="1">
        <f>(1+(N70_DESARROLLO!M20/0.014285714)*LN(N70_DESARROLLO!N20/N70_DESARROLLO!M20))</f>
        <v>-0.17765285172730283</v>
      </c>
      <c r="CN105" s="1">
        <f>(1+(N70_DESARROLLO!N20/0.014285714)*LN(N70_DESARROLLO!O20/N70_DESARROLLO!N20))</f>
        <v>-0.27706408495625778</v>
      </c>
      <c r="CO105" s="1">
        <f>(1+(N70_DESARROLLO!O20/0.014285714)*LN(N70_DESARROLLO!P20/N70_DESARROLLO!O20))</f>
        <v>-0.6479184659605346</v>
      </c>
      <c r="CP105" s="1">
        <v>1</v>
      </c>
      <c r="CQ105" s="1">
        <f>(1+(N70_DESARROLLO!Q20/0.014285714)*LN(N70_DESARROLLO!R20/N70_DESARROLLO!Q20))</f>
        <v>0.45069384467982176</v>
      </c>
      <c r="CR105" s="1">
        <f>(1+(N70_DESARROLLO!R20/0.014285714)*LN(N70_DESARROLLO!S20/N70_DESARROLLO!R20))</f>
        <v>0.23376154902624457</v>
      </c>
      <c r="CS105" s="1">
        <f>(1+(N70_DESARROLLO!S20/0.014285714)*LN(N70_DESARROLLO!T20/N70_DESARROLLO!S20))</f>
        <v>0.15881939162335657</v>
      </c>
      <c r="CT105" s="1">
        <f>(1+(N70_DESARROLLO!T20/0.014285714)*LN(N70_DESARROLLO!U20/N70_DESARROLLO!T20))</f>
        <v>0.12039948342481821</v>
      </c>
      <c r="CU105" s="1">
        <f>(1+(N70_DESARROLLO!U20/0.014285714)*LN(N70_DESARROLLO!V20/N70_DESARROLLO!U20))</f>
        <v>9.69818523599566E-2</v>
      </c>
      <c r="CV105" s="1">
        <f>(1+(N70_DESARROLLO!V20/0.014285714)*LN(N70_DESARROLLO!W20/N70_DESARROLLO!V20))</f>
        <v>8.120251597663608E-2</v>
      </c>
      <c r="CW105" s="1">
        <f>(1+(N70_DESARROLLO!W20/0.014285714)*LN(N70_DESARROLLO!X20/N70_DESARROLLO!W20))</f>
        <v>6.984449773251511E-2</v>
      </c>
      <c r="CX105" s="1">
        <f>(1+(N70_DESARROLLO!X20/0.014285714)*LN(N70_DESARROLLO!Y20/N70_DESARROLLO!X20))</f>
        <v>6.1276409070483373E-2</v>
      </c>
      <c r="CY105" s="1">
        <f>(1+(N70_DESARROLLO!Y20/0.014285714)*LN(N70_DESARROLLO!Z20/N70_DESARROLLO!Y20))</f>
        <v>5.4582082654734188E-2</v>
      </c>
      <c r="CZ105" s="1">
        <f>(1+(N70_DESARROLLO!Z20/0.014285714)*LN(N70_DESARROLLO!AA20/N70_DESARROLLO!Z20))</f>
        <v>4.9207124692807636E-2</v>
      </c>
      <c r="DA105" s="1">
        <f>(1+(N70_DESARROLLO!AA20/0.014285714)*LN(N70_DESARROLLO!AB20/N70_DESARROLLO!AA20))</f>
        <v>4.479630973579507E-2</v>
      </c>
      <c r="DB105" s="1">
        <f>(1+(N70_DESARROLLO!AB20/0.014285714)*LN(N70_DESARROLLO!AC20/N70_DESARROLLO!AB20))</f>
        <v>4.1111478023143078E-2</v>
      </c>
      <c r="DC105" s="1">
        <f>(1+(N70_DESARROLLO!AC20/0.014285714)*LN(N70_DESARROLLO!AD20/N70_DESARROLLO!AC20))</f>
        <v>3.7986966558134383E-2</v>
      </c>
      <c r="DD105" s="1">
        <f>(1+(N70_DESARROLLO!AD20/0.014285714)*LN(N70_DESARROLLO!AE20/N70_DESARROLLO!AD20))</f>
        <v>3.5303966947121124E-2</v>
      </c>
      <c r="DE105" s="1">
        <f>(1+(N70_DESARROLLO!AE20/0.014285714)*LN(N70_DESARROLLO!AF20/N70_DESARROLLO!AE20))</f>
        <v>3.2975050428754926E-2</v>
      </c>
      <c r="DF105" s="1">
        <f>(1+(N70_DESARROLLO!AF20/0.014285714)*LN(N70_DESARROLLO!AG20/N70_DESARROLLO!AF20))</f>
        <v>3.0934447408016208E-2</v>
      </c>
      <c r="DG105" s="1">
        <f>(1+(N70_DESARROLLO!AG20/0.014285714)*LN(N70_DESARROLLO!AH20/N70_DESARROLLO!AG20))</f>
        <v>2.9131730204233652E-2</v>
      </c>
      <c r="DH105" s="1">
        <f>(1+(N70_DESARROLLO!AH20/0.014285714)*LN(N70_DESARROLLO!AI20/N70_DESARROLLO!AH20))</f>
        <v>2.7527585341363126E-2</v>
      </c>
      <c r="DI105" s="1">
        <f>(1+(N70_DESARROLLO!AI20/0.014285714)*LN(N70_DESARROLLO!AJ20/N70_DESARROLLO!AI20))</f>
        <v>2.6090911041505627E-2</v>
      </c>
      <c r="DJ105" s="1">
        <f>(1+(N70_DESARROLLO!AJ20/0.014285714)*LN(N70_DESARROLLO!AK20/N70_DESARROLLO!AJ20))</f>
        <v>2.4796779290042203E-2</v>
      </c>
      <c r="DK105" s="1">
        <f>(1+(N70_DESARROLLO!AK20/0.014285714)*LN(N70_DESARROLLO!AL20/N70_DESARROLLO!AK20))</f>
        <v>2.3624976192774816E-2</v>
      </c>
      <c r="DL105" s="1">
        <f>(1+(N70_DESARROLLO!AL20/0.014285714)*LN(N70_DESARROLLO!AM20/N70_DESARROLLO!AL20))</f>
        <v>2.2558937800898904E-2</v>
      </c>
      <c r="DM105" s="1">
        <f>(1+(N70_DESARROLLO!AM20/0.014285714)*LN(N70_DESARROLLO!AN20/N70_DESARROLLO!AM20))</f>
        <v>2.1584961787569412E-2</v>
      </c>
      <c r="DN105" s="1">
        <f>(1+(N70_DESARROLLO!AN20/0.014285714)*LN(N70_DESARROLLO!AO20/N70_DESARROLLO!AN20))</f>
        <v>2.0691615000487218E-2</v>
      </c>
      <c r="DO105" s="1">
        <f>(1+(N70_DESARROLLO!AO20/0.014285714)*LN(N70_DESARROLLO!AP20/N70_DESARROLLO!AO20))</f>
        <v>1.9869282361760443E-2</v>
      </c>
      <c r="DP105" s="1">
        <f>(1+(N70_DESARROLLO!AP20/0.014285714)*LN(N70_DESARROLLO!AQ20/N70_DESARROLLO!AP20))</f>
        <v>1.9109819273394835E-2</v>
      </c>
      <c r="DQ105" s="1">
        <f>(1+(N70_DESARROLLO!AQ20/0.014285714)*LN(N70_DESARROLLO!AR20/N70_DESARROLLO!AQ20))</f>
        <v>1.840628083888074E-2</v>
      </c>
      <c r="DR105" s="1">
        <f>(1+(N70_DESARROLLO!AR20/0.014285714)*LN(N70_DESARROLLO!AS20/N70_DESARROLLO!AR20))</f>
        <v>1.7752708797869166E-2</v>
      </c>
      <c r="DS105" s="1">
        <f>(1+(N70_DESARROLLO!AS20/0.014285714)*LN(N70_DESARROLLO!AT20/N70_DESARROLLO!AS20))</f>
        <v>1.7143962314557393E-2</v>
      </c>
      <c r="DT105" s="1">
        <f>(1+(N70_DESARROLLO!AT20/0.014285714)*LN(N70_DESARROLLO!AU20/N70_DESARROLLO!AT20))</f>
        <v>1.6575582437549863E-2</v>
      </c>
      <c r="DU105" s="1">
        <f>(1+(N70_DESARROLLO!AU20/0.014285714)*LN(N70_DESARROLLO!AV20/N70_DESARROLLO!AU20))</f>
        <v>1.6043682665125125E-2</v>
      </c>
      <c r="DV105" s="1">
        <f>(1+(N70_DESARROLLO!AV20/0.014285714)*LN(N70_DESARROLLO!AW20/N70_DESARROLLO!AV20))</f>
        <v>1.5544859931611366E-2</v>
      </c>
      <c r="DW105" s="1">
        <f>(1+(N70_DESARROLLO!AW20/0.014285714)*LN(N70_DESARROLLO!AX20/N70_DESARROLLO!AW20))</f>
        <v>1.5076121703328282E-2</v>
      </c>
      <c r="DX105" s="1">
        <f>(1+(N70_DESARROLLO!AX20/0.014285714)*LN(N70_DESARROLLO!AY20/N70_DESARROLLO!AX20))</f>
        <v>1.4634825881874591E-2</v>
      </c>
      <c r="DY105" s="1">
        <f>(1+(N70_DESARROLLO!AY20/0.014285714)*LN(N70_DESARROLLO!AZ20/N70_DESARROLLO!AY20))</f>
        <v>1.4218630964435208E-2</v>
      </c>
      <c r="DZ105" s="1">
        <f>(1+(N70_DESARROLLO!AZ20/0.014285714)*LN(N70_DESARROLLO!BA20/N70_DESARROLLO!AZ20))</f>
        <v>1.3825454475322685E-2</v>
      </c>
      <c r="EA105" s="1">
        <f>(1+(N70_DESARROLLO!BA20/0.014285714)*LN(N70_DESARROLLO!BB20/N70_DESARROLLO!BA20))</f>
        <v>1.3453438110010096E-2</v>
      </c>
      <c r="EB105" s="1">
        <f>(1+(N70_DESARROLLO!BB20/0.014285714)*LN(N70_DESARROLLO!BC20/N70_DESARROLLO!BB20))</f>
        <v>1.3100918360517522E-2</v>
      </c>
      <c r="EC105" s="1">
        <f>(1+(N70_DESARROLLO!BC20/0.014285714)*LN(N70_DESARROLLO!BD20/N70_DESARROLLO!BC20))</f>
        <v>1.2766401641828407E-2</v>
      </c>
      <c r="ED105" s="1">
        <f>(1+(N70_DESARROLLO!BD20/0.014285714)*LN(N70_DESARROLLO!BE20/N70_DESARROLLO!BD20))</f>
        <v>1.2448543134991996E-2</v>
      </c>
      <c r="EE105" s="1">
        <f>(1+(N70_DESARROLLO!BE20/0.014285714)*LN(N70_DESARROLLO!BF20/N70_DESARROLLO!BE20))</f>
        <v>1.2146128714472515E-2</v>
      </c>
      <c r="EF105" s="1">
        <f>(1+(N70_DESARROLLO!BF20/0.014285714)*LN(N70_DESARROLLO!BG20/N70_DESARROLLO!BF20))</f>
        <v>1.1858059447847902E-2</v>
      </c>
      <c r="EG105" s="1">
        <f>(1+(N70_DESARROLLO!BG20/0.014285714)*LN(N70_DESARROLLO!BH20/N70_DESARROLLO!BG20))</f>
        <v>1.1583338250311548E-2</v>
      </c>
      <c r="EH105" s="1">
        <f>(1+(N70_DESARROLLO!BH20/0.014285714)*LN(N70_DESARROLLO!BI20/N70_DESARROLLO!BH20))</f>
        <v>1.1321058352721902E-2</v>
      </c>
      <c r="EI105" s="1">
        <f>(1+(N70_DESARROLLO!BI20/0.014285714)*LN(N70_DESARROLLO!BJ20/N70_DESARROLLO!BI20))</f>
        <v>1.1070393301811032E-2</v>
      </c>
      <c r="EJ105" s="1">
        <f>(1+(N70_DESARROLLO!BJ20/0.014285714)*LN(N70_DESARROLLO!BK20/N70_DESARROLLO!BJ20))</f>
        <v>1.0830588260137164E-2</v>
      </c>
      <c r="EK105" s="1">
        <f>(1+(N70_DESARROLLO!BK20/0.014285714)*LN(N70_DESARROLLO!BL20/N70_DESARROLLO!BK20))</f>
        <v>1.0600952413272191E-2</v>
      </c>
      <c r="EL105" s="1">
        <f>(1+(N70_DESARROLLO!BL20/0.014285714)*LN(N70_DESARROLLO!BM20/N70_DESARROLLO!BL20))</f>
        <v>1.0380852322619649E-2</v>
      </c>
      <c r="EM105" s="1">
        <f>(1+(N70_DESARROLLO!BM20/0.014285714)*LN(N70_DESARROLLO!BN20/N70_DESARROLLO!BM20))</f>
        <v>1.0169706089853126E-2</v>
      </c>
      <c r="EN105" s="1">
        <f>(1+(N70_DESARROLLO!BN20/0.014285714)*LN(N70_DESARROLLO!BO20/N70_DESARROLLO!BN20))</f>
        <v>9.9669782191919021E-3</v>
      </c>
      <c r="EO105" s="1">
        <f>(1+(N70_DESARROLLO!BO20/0.014285714)*LN(N70_DESARROLLO!BP20/N70_DESARROLLO!BO20))</f>
        <v>9.77217508243855E-3</v>
      </c>
      <c r="EP105" s="1">
        <f>(1+(N70_DESARROLLO!BP20/0.014285714)*LN(N70_DESARROLLO!BQ20/N70_DESARROLLO!BP20))</f>
        <v>9.5848409054859474E-3</v>
      </c>
      <c r="EQ105" s="1">
        <f>(1+(N70_DESARROLLO!BQ20/0.014285714)*LN(N70_DESARROLLO!BR20/N70_DESARROLLO!BQ20))</f>
        <v>9.404554207997462E-3</v>
      </c>
      <c r="ER105" s="1">
        <f>(1+(N70_DESARROLLO!BR20/0.014285714)*LN(N70_DESARROLLO!BS20/N70_DESARROLLO!BR20))</f>
        <v>9.230924637410709E-3</v>
      </c>
      <c r="ES105" s="1">
        <f>(1+(N70_DESARROLLO!BS20/0.014285714)*LN(N70_DESARROLLO!BT20/N70_DESARROLLO!BS20))</f>
        <v>9.0635901473870017E-3</v>
      </c>
      <c r="ET105" s="1">
        <f>(1+(N70_DESARROLLO!BT20/0.014285714)*LN(N70_DESARROLLO!BU20/N70_DESARROLLO!BT20))</f>
        <v>8.9022144776851331E-3</v>
      </c>
      <c r="EU105" s="1">
        <f>(1+(N70_DESARROLLO!BU20/0.014285714)*LN(N70_DESARROLLO!BV20/N70_DESARROLLO!BU20))</f>
        <v>8.7464848985416843E-3</v>
      </c>
      <c r="EV105" s="1">
        <f>(1+(N70_DESARROLLO!BV20/0.014285714)*LN(N70_DESARROLLO!BW20/N70_DESARROLLO!BV20))</f>
        <v>8.5961101878297974E-3</v>
      </c>
      <c r="EW105" s="1">
        <f>(1+(N70_DESARROLLO!BW20/0.014285714)*LN(N70_DESARROLLO!BX20/N70_DESARROLLO!BW20))</f>
        <v>-9.4989067469537112</v>
      </c>
      <c r="EX105" s="10"/>
      <c r="EY105" s="10"/>
    </row>
    <row r="106" spans="5:155" x14ac:dyDescent="0.25">
      <c r="G106" s="3">
        <v>12</v>
      </c>
      <c r="H106" s="3">
        <f>-(N70_DESARROLLO!G21/0.014285714)*LN(N70_DESARROLLO!G21/N70_DESARROLLO!F21)-1</f>
        <v>-4.4796309735795292E-2</v>
      </c>
      <c r="I106" s="3">
        <f>-(N70_DESARROLLO!H21/0.014285714)*LN(N70_DESARROLLO!H21/N70_DESARROLLO!G21)-1</f>
        <v>-4.9207124692808524E-2</v>
      </c>
      <c r="J106" s="3">
        <f>-(N70_DESARROLLO!I21/0.014285714)*LN(N70_DESARROLLO!I21/N70_DESARROLLO!H21)-1</f>
        <v>-5.4582082654734521E-2</v>
      </c>
      <c r="K106" s="3">
        <f>-(N70_DESARROLLO!J21/0.014285714)*LN(N70_DESARROLLO!J21/N70_DESARROLLO!I21)-1</f>
        <v>-6.1276409070483817E-2</v>
      </c>
      <c r="L106" s="3">
        <f>-(N70_DESARROLLO!K21/0.014285714)*LN(N70_DESARROLLO!K21/N70_DESARROLLO!J21)-1</f>
        <v>-6.9844497732512556E-2</v>
      </c>
      <c r="M106" s="3">
        <f>-(N70_DESARROLLO!L21/0.014285714)*LN(N70_DESARROLLO!L21/N70_DESARROLLO!K21)-1</f>
        <v>-8.1202515976636191E-2</v>
      </c>
      <c r="N106" s="3">
        <f>-(N70_DESARROLLO!M21/0.014285714)*LN(N70_DESARROLLO!M21/N70_DESARROLLO!L21)-1</f>
        <v>-9.6981852359957599E-2</v>
      </c>
      <c r="O106" s="3">
        <f>-(N70_DESARROLLO!N21/0.014285714)*LN(N70_DESARROLLO!N21/N70_DESARROLLO!M21)-1</f>
        <v>-0.12039948342481777</v>
      </c>
      <c r="P106" s="3">
        <f>-(N70_DESARROLLO!O21/0.014285714)*LN(N70_DESARROLLO!O21/N70_DESARROLLO!N21)-1</f>
        <v>-0.15881939162335601</v>
      </c>
      <c r="Q106" s="3">
        <f>-(N70_DESARROLLO!P21/0.014285714)*LN(N70_DESARROLLO!P21/N70_DESARROLLO!O21)-1</f>
        <v>-0.23376154902624457</v>
      </c>
      <c r="R106" s="3">
        <f>-(N70_DESARROLLO!Q21/0.014285714)*LN(N70_DESARROLLO!Q21/N70_DESARROLLO!P21)-1</f>
        <v>-0.45069384467982176</v>
      </c>
      <c r="S106" s="3">
        <v>-1</v>
      </c>
      <c r="T106" s="3">
        <f>-(N70_DESARROLLO!S21/0.014285714)*LN(N70_DESARROLLO!S21/N70_DESARROLLO!R21)-1</f>
        <v>0.6479184659605346</v>
      </c>
      <c r="U106" s="3">
        <f>-(N70_DESARROLLO!T21/0.014285714)*LN(N70_DESARROLLO!T21/N70_DESARROLLO!S21)-1</f>
        <v>0.27706408495625623</v>
      </c>
      <c r="V106" s="3">
        <f>-(N70_DESARROLLO!U21/0.014285714)*LN(N70_DESARROLLO!U21/N70_DESARROLLO!T21)-1</f>
        <v>0.17765285172730305</v>
      </c>
      <c r="W106" s="3">
        <f>-(N70_DESARROLLO!V21/0.014285714)*LN(N70_DESARROLLO!V21/N70_DESARROLLO!U21)-1</f>
        <v>0.13091494988237651</v>
      </c>
      <c r="X106" s="3">
        <f>-(N70_DESARROLLO!W21/0.014285714)*LN(N70_DESARROLLO!W21/N70_DESARROLLO!V21)-1</f>
        <v>0.10368884711560877</v>
      </c>
      <c r="Y106" s="3">
        <f>-(N70_DESARROLLO!X21/0.014285714)*LN(N70_DESARROLLO!X21/N70_DESARROLLO!W21)-1</f>
        <v>8.5851572027609402E-2</v>
      </c>
      <c r="Z106" s="3">
        <f>-(N70_DESARROLLO!Y21/0.014285714)*LN(N70_DESARROLLO!Y21/N70_DESARROLLO!X21)-1</f>
        <v>7.3256348770177615E-2</v>
      </c>
      <c r="AA106" s="3">
        <f>-(N70_DESARROLLO!Z21/0.014285714)*LN(N70_DESARROLLO!Z21/N70_DESARROLLO!Y21)-1</f>
        <v>6.3886736386785659E-2</v>
      </c>
      <c r="AB106" s="3">
        <f>-(N70_DESARROLLO!AA21/0.014285714)*LN(N70_DESARROLLO!AA21/N70_DESARROLLO!Z21)-1</f>
        <v>5.6643554680002817E-2</v>
      </c>
      <c r="AC106" s="3">
        <f>-(N70_DESARROLLO!AB21/0.014285714)*LN(N70_DESARROLLO!AB21/N70_DESARROLLO!AA21)-1</f>
        <v>5.0876335865844169E-2</v>
      </c>
      <c r="AD106" s="3">
        <f>-(N70_DESARROLLO!AC21/0.014285714)*LN(N70_DESARROLLO!AC21/N70_DESARROLLO!AB21)-1</f>
        <v>4.6175470289367526E-2</v>
      </c>
      <c r="AE106" s="3">
        <f>-(N70_DESARROLLO!AD21/0.014285714)*LN(N70_DESARROLLO!AD21/N70_DESARROLLO!AC21)-1</f>
        <v>4.2270132583540176E-2</v>
      </c>
      <c r="AF106" s="3">
        <f>-(N70_DESARROLLO!AE21/0.014285714)*LN(N70_DESARROLLO!AE21/N70_DESARROLLO!AD21)-1</f>
        <v>3.8974076117214818E-2</v>
      </c>
      <c r="AG106" s="3">
        <f>-(N70_DESARROLLO!AF21/0.014285714)*LN(N70_DESARROLLO!AF21/N70_DESARROLLO!AE21)-1</f>
        <v>3.6154998464203114E-2</v>
      </c>
      <c r="AH106" s="3">
        <f>-(N70_DESARROLLO!AG21/0.014285714)*LN(N70_DESARROLLO!AG21/N70_DESARROLLO!AF21)-1</f>
        <v>3.3716325403741365E-2</v>
      </c>
      <c r="AI106" s="3">
        <f>-(N70_DESARROLLO!AH21/0.014285714)*LN(N70_DESARROLLO!AH21/N70_DESARROLLO!AG21)-1</f>
        <v>3.158591082372797E-2</v>
      </c>
      <c r="AJ106" s="3">
        <f>-(N70_DESARROLLO!AI21/0.014285714)*LN(N70_DESARROLLO!AI21/N70_DESARROLLO!AH21)-1</f>
        <v>2.9708770995509726E-2</v>
      </c>
      <c r="AK106" s="3">
        <f>-(N70_DESARROLLO!AJ21/0.014285714)*LN(N70_DESARROLLO!AJ21/N70_DESARROLLO!AI21)-1</f>
        <v>2.8042266924844794E-2</v>
      </c>
      <c r="AL106" s="3">
        <f>-(N70_DESARROLLO!AK21/0.014285714)*LN(N70_DESARROLLO!AK21/N70_DESARROLLO!AJ21)-1</f>
        <v>2.6552823496791333E-2</v>
      </c>
      <c r="AM106" s="3">
        <f>-(N70_DESARROLLO!AL21/0.014285714)*LN(N70_DESARROLLO!AL21/N70_DESARROLLO!AK21)-1</f>
        <v>2.5213642284827253E-2</v>
      </c>
      <c r="AN106" s="3">
        <f>-(N70_DESARROLLO!AM21/0.014285714)*LN(N70_DESARROLLO!AM21/N70_DESARROLLO!AL21)-1</f>
        <v>2.4003073749041315E-2</v>
      </c>
      <c r="AO106" s="3">
        <f>-(N70_DESARROLLO!AN21/0.014285714)*LN(N70_DESARROLLO!AN21/N70_DESARROLLO!AM21)-1</f>
        <v>2.2903437185105791E-2</v>
      </c>
      <c r="AP106" s="3">
        <f>-(N70_DESARROLLO!AO21/0.014285714)*LN(N70_DESARROLLO!AO21/N70_DESARROLLO!AN21)-1</f>
        <v>2.190015102187215E-2</v>
      </c>
      <c r="AQ106" s="3">
        <f>-(N70_DESARROLLO!AP21/0.014285714)*LN(N70_DESARROLLO!AP21/N70_DESARROLLO!AO21)-1</f>
        <v>2.0981082233534565E-2</v>
      </c>
      <c r="AR106" s="3">
        <f>-(N70_DESARROLLO!AQ21/0.014285714)*LN(N70_DESARROLLO!AQ21/N70_DESARROLLO!AP21)-1</f>
        <v>2.0136053052056457E-2</v>
      </c>
      <c r="AS106" s="3">
        <f>-(N70_DESARROLLO!AR21/0.014285714)*LN(N70_DESARROLLO!AR21/N70_DESARROLLO!AQ21)-1</f>
        <v>1.9356462323721457E-2</v>
      </c>
      <c r="AT106" s="3">
        <f>-(N70_DESARROLLO!AS21/0.014285714)*LN(N70_DESARROLLO!AS21/N70_DESARROLLO!AR21)-1</f>
        <v>1.8634991582305416E-2</v>
      </c>
      <c r="AU106" s="3">
        <f>-(N70_DESARROLLO!AT21/0.014285714)*LN(N70_DESARROLLO!AT21/N70_DESARROLLO!AS21)-1</f>
        <v>1.7965374518559951E-2</v>
      </c>
      <c r="AV106" s="3">
        <f>-(N70_DESARROLLO!AU21/0.014285714)*LN(N70_DESARROLLO!AU21/N70_DESARROLLO!AT21)-1</f>
        <v>1.7342214446341986E-2</v>
      </c>
      <c r="AW106" s="3">
        <f>-(N70_DESARROLLO!AV21/0.014285714)*LN(N70_DESARROLLO!AV21/N70_DESARROLLO!AU21)-1</f>
        <v>1.676083849676413E-2</v>
      </c>
      <c r="AX106" s="3">
        <f>-(N70_DESARROLLO!AW21/0.014285714)*LN(N70_DESARROLLO!AW21/N70_DESARROLLO!AV21)-1</f>
        <v>1.6217180198313308E-2</v>
      </c>
      <c r="AY106" s="3">
        <f>-(N70_DESARROLLO!AX21/0.014285714)*LN(N70_DESARROLLO!AX21/N70_DESARROLLO!AW21)-1</f>
        <v>1.5707684197550975E-2</v>
      </c>
      <c r="AZ106" s="3">
        <f>-(N70_DESARROLLO!AY21/0.014285714)*LN(N70_DESARROLLO!AY21/N70_DESARROLLO!AX21)-1</f>
        <v>1.5229228398100814E-2</v>
      </c>
      <c r="BA106" s="3">
        <f>-(N70_DESARROLLO!AZ21/0.014285714)*LN(N70_DESARROLLO!AZ21/N70_DESARROLLO!AY21)-1</f>
        <v>1.4779059912703785E-2</v>
      </c>
      <c r="BB106" s="3">
        <f>-(N70_DESARROLLO!BA21/0.014285714)*LN(N70_DESARROLLO!BA21/N70_DESARROLLO!AZ21)-1</f>
        <v>1.4354742051081004E-2</v>
      </c>
      <c r="BC106" s="3">
        <f>-(N70_DESARROLLO!BB21/0.014285714)*LN(N70_DESARROLLO!BB21/N70_DESARROLLO!BA21)-1</f>
        <v>1.3954110187352153E-2</v>
      </c>
      <c r="BD106" s="3">
        <f>-(N70_DESARROLLO!BC21/0.014285714)*LN(N70_DESARROLLO!BC21/N70_DESARROLLO!BB21)-1</f>
        <v>1.3575234818474557E-2</v>
      </c>
      <c r="BE106" s="3">
        <f>-(N70_DESARROLLO!BD21/0.014285714)*LN(N70_DESARROLLO!BD21/N70_DESARROLLO!BC21)-1</f>
        <v>1.3216390483210549E-2</v>
      </c>
      <c r="BF106" s="3">
        <f>-(N70_DESARROLLO!BE21/0.014285714)*LN(N70_DESARROLLO!BE21/N70_DESARROLLO!BD21)-1</f>
        <v>1.2876029484357954E-2</v>
      </c>
      <c r="BG106" s="3">
        <f>-(N70_DESARROLLO!BF21/0.014285714)*LN(N70_DESARROLLO!BF21/N70_DESARROLLO!BE21)-1</f>
        <v>1.2552759570459981E-2</v>
      </c>
      <c r="BH106" s="3">
        <f>-(N70_DESARROLLO!BG21/0.014285714)*LN(N70_DESARROLLO!BG21/N70_DESARROLLO!BF21)-1</f>
        <v>1.224532489750696E-2</v>
      </c>
      <c r="BI106" s="3">
        <f>-(N70_DESARROLLO!BH21/0.014285714)*LN(N70_DESARROLLO!BH21/N70_DESARROLLO!BG21)-1</f>
        <v>1.1952589722083351E-2</v>
      </c>
      <c r="BJ106" s="3">
        <f>-(N70_DESARROLLO!BI21/0.014285714)*LN(N70_DESARROLLO!BI21/N70_DESARROLLO!BH21)-1</f>
        <v>1.1673524379102407E-2</v>
      </c>
      <c r="BK106" s="3">
        <f>-(N70_DESARROLLO!BJ21/0.014285714)*LN(N70_DESARROLLO!BJ21/N70_DESARROLLO!BI21)-1</f>
        <v>1.1407193179389985E-2</v>
      </c>
      <c r="BL106" s="3">
        <f>-(N70_DESARROLLO!BK21/0.014285714)*LN(N70_DESARROLLO!BK21/N70_DESARROLLO!BJ21)-1</f>
        <v>1.1152743927371533E-2</v>
      </c>
      <c r="BM106" s="3">
        <f>-(N70_DESARROLLO!BL21/0.014285714)*LN(N70_DESARROLLO!BL21/N70_DESARROLLO!BK21)-1</f>
        <v>1.0909398811058679E-2</v>
      </c>
      <c r="BN106" s="3">
        <f>-(N70_DESARROLLO!BM21/0.014285714)*LN(N70_DESARROLLO!BM21/N70_DESARROLLO!BL21)-1</f>
        <v>1.0676446459560784E-2</v>
      </c>
      <c r="BO106" s="3">
        <f>-(N70_DESARROLLO!BN21/0.014285714)*LN(N70_DESARROLLO!BN21/N70_DESARROLLO!BM21)-1</f>
        <v>1.0453234996893546E-2</v>
      </c>
      <c r="BP106" s="3">
        <f>-(N70_DESARROLLO!BO21/0.014285714)*LN(N70_DESARROLLO!BO21/N70_DESARROLLO!BN21)-1</f>
        <v>1.0239165949542439E-2</v>
      </c>
      <c r="BQ106" s="3">
        <f>-(N70_DESARROLLO!BP21/0.014285714)*LN(N70_DESARROLLO!BP21/N70_DESARROLLO!BO21)-1</f>
        <v>1.003368888748013E-2</v>
      </c>
      <c r="BR106" s="3">
        <f>-(N70_DESARROLLO!BQ21/0.014285714)*LN(N70_DESARROLLO!BQ21/N70_DESARROLLO!BP21)-1</f>
        <v>9.8362966981073718E-3</v>
      </c>
      <c r="BS106" s="3">
        <f>-(N70_DESARROLLO!BR21/0.014285714)*LN(N70_DESARROLLO!BR21/N70_DESARROLLO!BQ21)-1</f>
        <v>9.6465214070291516E-3</v>
      </c>
      <c r="BT106" s="3">
        <f>-(N70_DESARROLLO!BS21/0.014285714)*LN(N70_DESARROLLO!BS21/N70_DESARROLLO!BR21)-1</f>
        <v>9.4639304737549335E-3</v>
      </c>
      <c r="BU106" s="3">
        <f>-(N70_DESARROLLO!BT21/0.014285714)*LN(N70_DESARROLLO!BT21/N70_DESARROLLO!BS21)-1</f>
        <v>9.2881235002080231E-3</v>
      </c>
      <c r="BV106" s="3">
        <f>-(N70_DESARROLLO!BU21/0.014285714)*LN(N70_DESARROLLO!BU21/N70_DESARROLLO!BT21)-1</f>
        <v>9.118729299437689E-3</v>
      </c>
      <c r="BW106" s="3">
        <f>-(N70_DESARROLLO!BV21/0.014285714)*LN(N70_DESARROLLO!BV21/N70_DESARROLLO!BU21)-1</f>
        <v>8.9554032794736393E-3</v>
      </c>
      <c r="BX106" s="3">
        <f>-(N70_DESARROLLO!BW21/0.014285714)*LN(N70_DESARROLLO!BW21/N70_DESARROLLO!BV21)-1</f>
        <v>8.7978251032541088E-3</v>
      </c>
      <c r="BY106" s="3">
        <f>-(N70_DESARROLLO!BX21/0.014285714)*LN(N70_DESARROLLO!BX21/N70_DESARROLLO!BW21)-1</f>
        <v>12.769720872618219</v>
      </c>
      <c r="BZ106" s="10"/>
      <c r="CA106" s="10"/>
      <c r="CB106" s="10"/>
      <c r="CC106" s="10"/>
      <c r="CD106" s="1">
        <v>12</v>
      </c>
      <c r="CE106" s="1">
        <v>0</v>
      </c>
      <c r="CF106" s="1">
        <f>(1+(N70_DESARROLLO!F21/0.014285714)*LN(N70_DESARROLLO!G21/N70_DESARROLLO!F21))</f>
        <v>-4.6175470289367082E-2</v>
      </c>
      <c r="CG106" s="1">
        <f>(1+(N70_DESARROLLO!G21/0.014285714)*LN(N70_DESARROLLO!H21/N70_DESARROLLO!G21))</f>
        <v>-5.0876335865843281E-2</v>
      </c>
      <c r="CH106" s="1">
        <f>(1+(N70_DESARROLLO!H21/0.014285714)*LN(N70_DESARROLLO!I21/N70_DESARROLLO!H21))</f>
        <v>-5.6643554680002595E-2</v>
      </c>
      <c r="CI106" s="1">
        <f>(1+(N70_DESARROLLO!I21/0.014285714)*LN(N70_DESARROLLO!J21/N70_DESARROLLO!I21))</f>
        <v>-6.3886736386784992E-2</v>
      </c>
      <c r="CJ106" s="1">
        <f>(1+(N70_DESARROLLO!J21/0.014285714)*LN(N70_DESARROLLO!K21/N70_DESARROLLO!J21))</f>
        <v>-7.3256348770177837E-2</v>
      </c>
      <c r="CK106" s="1">
        <f>(1+(N70_DESARROLLO!K21/0.014285714)*LN(N70_DESARROLLO!L21/N70_DESARROLLO!K21))</f>
        <v>-8.5851572027611844E-2</v>
      </c>
      <c r="CL106" s="1">
        <f>(1+(N70_DESARROLLO!L21/0.014285714)*LN(N70_DESARROLLO!M21/N70_DESARROLLO!L21))</f>
        <v>-0.10368884711560722</v>
      </c>
      <c r="CM106" s="1">
        <f>(1+(N70_DESARROLLO!M21/0.014285714)*LN(N70_DESARROLLO!N21/N70_DESARROLLO!M21))</f>
        <v>-0.13091494988237717</v>
      </c>
      <c r="CN106" s="1">
        <f>(1+(N70_DESARROLLO!N21/0.014285714)*LN(N70_DESARROLLO!O21/N70_DESARROLLO!N21))</f>
        <v>-0.17765285172730128</v>
      </c>
      <c r="CO106" s="1">
        <f>(1+(N70_DESARROLLO!O21/0.014285714)*LN(N70_DESARROLLO!P21/N70_DESARROLLO!O21))</f>
        <v>-0.27706408495625889</v>
      </c>
      <c r="CP106" s="1">
        <f>(1+(N70_DESARROLLO!P21/0.014285714)*LN(N70_DESARROLLO!Q21/N70_DESARROLLO!P21))</f>
        <v>-0.6479184659605346</v>
      </c>
      <c r="CQ106" s="1">
        <v>1</v>
      </c>
      <c r="CR106" s="1">
        <f>(1+(N70_DESARROLLO!R21/0.014285714)*LN(N70_DESARROLLO!S21/N70_DESARROLLO!R21))</f>
        <v>0.45069384467982176</v>
      </c>
      <c r="CS106" s="1">
        <f>(1+(N70_DESARROLLO!S21/0.014285714)*LN(N70_DESARROLLO!T21/N70_DESARROLLO!S21))</f>
        <v>0.2337615490262458</v>
      </c>
      <c r="CT106" s="1">
        <f>(1+(N70_DESARROLLO!T21/0.014285714)*LN(N70_DESARROLLO!U21/N70_DESARROLLO!T21))</f>
        <v>0.15881939162335523</v>
      </c>
      <c r="CU106" s="1">
        <f>(1+(N70_DESARROLLO!U21/0.014285714)*LN(N70_DESARROLLO!V21/N70_DESARROLLO!U21))</f>
        <v>0.12039948342481821</v>
      </c>
      <c r="CV106" s="1">
        <f>(1+(N70_DESARROLLO!V21/0.014285714)*LN(N70_DESARROLLO!W21/N70_DESARROLLO!V21))</f>
        <v>9.69818523599566E-2</v>
      </c>
      <c r="CW106" s="1">
        <f>(1+(N70_DESARROLLO!W21/0.014285714)*LN(N70_DESARROLLO!X21/N70_DESARROLLO!W21))</f>
        <v>8.1202515976638079E-2</v>
      </c>
      <c r="CX106" s="1">
        <f>(1+(N70_DESARROLLO!X21/0.014285714)*LN(N70_DESARROLLO!Y21/N70_DESARROLLO!X21))</f>
        <v>6.9844497732512889E-2</v>
      </c>
      <c r="CY106" s="1">
        <f>(1+(N70_DESARROLLO!Y21/0.014285714)*LN(N70_DESARROLLO!Z21/N70_DESARROLLO!Y21))</f>
        <v>6.1276409070483373E-2</v>
      </c>
      <c r="CZ106" s="1">
        <f>(1+(N70_DESARROLLO!Z21/0.014285714)*LN(N70_DESARROLLO!AA21/N70_DESARROLLO!Z21))</f>
        <v>5.4582082654734188E-2</v>
      </c>
      <c r="DA106" s="1">
        <f>(1+(N70_DESARROLLO!AA21/0.014285714)*LN(N70_DESARROLLO!AB21/N70_DESARROLLO!AA21))</f>
        <v>4.9207124692807636E-2</v>
      </c>
      <c r="DB106" s="1">
        <f>(1+(N70_DESARROLLO!AB21/0.014285714)*LN(N70_DESARROLLO!AC21/N70_DESARROLLO!AB21))</f>
        <v>4.479630973579507E-2</v>
      </c>
      <c r="DC106" s="1">
        <f>(1+(N70_DESARROLLO!AC21/0.014285714)*LN(N70_DESARROLLO!AD21/N70_DESARROLLO!AC21))</f>
        <v>4.1111478023143078E-2</v>
      </c>
      <c r="DD106" s="1">
        <f>(1+(N70_DESARROLLO!AD21/0.014285714)*LN(N70_DESARROLLO!AE21/N70_DESARROLLO!AD21))</f>
        <v>3.7986966558134383E-2</v>
      </c>
      <c r="DE106" s="1">
        <f>(1+(N70_DESARROLLO!AE21/0.014285714)*LN(N70_DESARROLLO!AF21/N70_DESARROLLO!AE21))</f>
        <v>3.5303966947121124E-2</v>
      </c>
      <c r="DF106" s="1">
        <f>(1+(N70_DESARROLLO!AF21/0.014285714)*LN(N70_DESARROLLO!AG21/N70_DESARROLLO!AF21))</f>
        <v>3.2975050428757924E-2</v>
      </c>
      <c r="DG106" s="1">
        <f>(1+(N70_DESARROLLO!AG21/0.014285714)*LN(N70_DESARROLLO!AH21/N70_DESARROLLO!AG21))</f>
        <v>3.0934447408013099E-2</v>
      </c>
      <c r="DH106" s="1">
        <f>(1+(N70_DESARROLLO!AH21/0.014285714)*LN(N70_DESARROLLO!AI21/N70_DESARROLLO!AH21))</f>
        <v>2.9131730204233652E-2</v>
      </c>
      <c r="DI106" s="1">
        <f>(1+(N70_DESARROLLO!AI21/0.014285714)*LN(N70_DESARROLLO!AJ21/N70_DESARROLLO!AI21))</f>
        <v>2.7527585341363126E-2</v>
      </c>
      <c r="DJ106" s="1">
        <f>(1+(N70_DESARROLLO!AJ21/0.014285714)*LN(N70_DESARROLLO!AK21/N70_DESARROLLO!AJ21))</f>
        <v>2.6090911041505627E-2</v>
      </c>
      <c r="DK106" s="1">
        <f>(1+(N70_DESARROLLO!AK21/0.014285714)*LN(N70_DESARROLLO!AL21/N70_DESARROLLO!AK21))</f>
        <v>2.4796779290042203E-2</v>
      </c>
      <c r="DL106" s="1">
        <f>(1+(N70_DESARROLLO!AL21/0.014285714)*LN(N70_DESARROLLO!AM21/N70_DESARROLLO!AL21))</f>
        <v>2.3624976192774816E-2</v>
      </c>
      <c r="DM106" s="1">
        <f>(1+(N70_DESARROLLO!AM21/0.014285714)*LN(N70_DESARROLLO!AN21/N70_DESARROLLO!AM21))</f>
        <v>2.2558937800898904E-2</v>
      </c>
      <c r="DN106" s="1">
        <f>(1+(N70_DESARROLLO!AN21/0.014285714)*LN(N70_DESARROLLO!AO21/N70_DESARROLLO!AN21))</f>
        <v>2.1584961787569412E-2</v>
      </c>
      <c r="DO106" s="1">
        <f>(1+(N70_DESARROLLO!AO21/0.014285714)*LN(N70_DESARROLLO!AP21/N70_DESARROLLO!AO21))</f>
        <v>2.0691615000487218E-2</v>
      </c>
      <c r="DP106" s="1">
        <f>(1+(N70_DESARROLLO!AP21/0.014285714)*LN(N70_DESARROLLO!AQ21/N70_DESARROLLO!AP21))</f>
        <v>1.9869282361749896E-2</v>
      </c>
      <c r="DQ106" s="1">
        <f>(1+(N70_DESARROLLO!AQ21/0.014285714)*LN(N70_DESARROLLO!AR21/N70_DESARROLLO!AQ21))</f>
        <v>1.9109819273400053E-2</v>
      </c>
      <c r="DR106" s="1">
        <f>(1+(N70_DESARROLLO!AR21/0.014285714)*LN(N70_DESARROLLO!AS21/N70_DESARROLLO!AR21))</f>
        <v>1.8406280838869304E-2</v>
      </c>
      <c r="DS106" s="1">
        <f>(1+(N70_DESARROLLO!AS21/0.014285714)*LN(N70_DESARROLLO!AT21/N70_DESARROLLO!AS21))</f>
        <v>1.7752708797880712E-2</v>
      </c>
      <c r="DT106" s="1">
        <f>(1+(N70_DESARROLLO!AT21/0.014285714)*LN(N70_DESARROLLO!AU21/N70_DESARROLLO!AT21))</f>
        <v>1.7143962314551175E-2</v>
      </c>
      <c r="DU106" s="1">
        <f>(1+(N70_DESARROLLO!AU21/0.014285714)*LN(N70_DESARROLLO!AV21/N70_DESARROLLO!AU21))</f>
        <v>1.6575582437555969E-2</v>
      </c>
      <c r="DV106" s="1">
        <f>(1+(N70_DESARROLLO!AV21/0.014285714)*LN(N70_DESARROLLO!AW21/N70_DESARROLLO!AV21))</f>
        <v>1.6043682665125125E-2</v>
      </c>
      <c r="DW106" s="1">
        <f>(1+(N70_DESARROLLO!AW21/0.014285714)*LN(N70_DESARROLLO!AX21/N70_DESARROLLO!AW21))</f>
        <v>1.5544859931604593E-2</v>
      </c>
      <c r="DX106" s="1">
        <f>(1+(N70_DESARROLLO!AX21/0.014285714)*LN(N70_DESARROLLO!AY21/N70_DESARROLLO!AX21))</f>
        <v>1.5076121703334833E-2</v>
      </c>
      <c r="DY106" s="1">
        <f>(1+(N70_DESARROLLO!AY21/0.014285714)*LN(N70_DESARROLLO!AZ21/N70_DESARROLLO!AY21))</f>
        <v>1.4634825881867375E-2</v>
      </c>
      <c r="DZ106" s="1">
        <f>(1+(N70_DESARROLLO!AZ21/0.014285714)*LN(N70_DESARROLLO!BA21/N70_DESARROLLO!AZ21))</f>
        <v>1.4218630964442425E-2</v>
      </c>
      <c r="EA106" s="1">
        <f>(1+(N70_DESARROLLO!BA21/0.014285714)*LN(N70_DESARROLLO!BB21/N70_DESARROLLO!BA21))</f>
        <v>1.3825454475315135E-2</v>
      </c>
      <c r="EB106" s="1">
        <f>(1+(N70_DESARROLLO!BB21/0.014285714)*LN(N70_DESARROLLO!BC21/N70_DESARROLLO!BB21))</f>
        <v>1.3453438110017868E-2</v>
      </c>
      <c r="EC106" s="1">
        <f>(1+(N70_DESARROLLO!BC21/0.014285714)*LN(N70_DESARROLLO!BD21/N70_DESARROLLO!BC21))</f>
        <v>1.3100918360509306E-2</v>
      </c>
      <c r="ED106" s="1">
        <f>(1+(N70_DESARROLLO!BD21/0.014285714)*LN(N70_DESARROLLO!BE21/N70_DESARROLLO!BD21))</f>
        <v>1.2766401641828296E-2</v>
      </c>
      <c r="EE106" s="1">
        <f>(1+(N70_DESARROLLO!BE21/0.014285714)*LN(N70_DESARROLLO!BF21/N70_DESARROLLO!BE21))</f>
        <v>1.2448543134983558E-2</v>
      </c>
      <c r="EF106" s="1">
        <f>(1+(N70_DESARROLLO!BF21/0.014285714)*LN(N70_DESARROLLO!BG21/N70_DESARROLLO!BF21))</f>
        <v>1.2146128714481064E-2</v>
      </c>
      <c r="EG106" s="1">
        <f>(1+(N70_DESARROLLO!BG21/0.014285714)*LN(N70_DESARROLLO!BH21/N70_DESARROLLO!BG21))</f>
        <v>1.1858059447847902E-2</v>
      </c>
      <c r="EH106" s="1">
        <f>(1+(N70_DESARROLLO!BH21/0.014285714)*LN(N70_DESARROLLO!BI21/N70_DESARROLLO!BH21))</f>
        <v>1.1583338250302444E-2</v>
      </c>
      <c r="EI106" s="1">
        <f>(1+(N70_DESARROLLO!BI21/0.014285714)*LN(N70_DESARROLLO!BJ21/N70_DESARROLLO!BI21))</f>
        <v>1.1321058352731117E-2</v>
      </c>
      <c r="EJ106" s="1">
        <f>(1+(N70_DESARROLLO!BJ21/0.014285714)*LN(N70_DESARROLLO!BK21/N70_DESARROLLO!BJ21))</f>
        <v>1.1070393301801484E-2</v>
      </c>
      <c r="EK106" s="1">
        <f>(1+(N70_DESARROLLO!BK21/0.014285714)*LN(N70_DESARROLLO!BL21/N70_DESARROLLO!BK21))</f>
        <v>1.0830588260146934E-2</v>
      </c>
      <c r="EL106" s="1">
        <f>(1+(N70_DESARROLLO!BL21/0.014285714)*LN(N70_DESARROLLO!BM21/N70_DESARROLLO!BL21))</f>
        <v>1.0600952413272191E-2</v>
      </c>
      <c r="EM106" s="1">
        <f>(1+(N70_DESARROLLO!BM21/0.014285714)*LN(N70_DESARROLLO!BN21/N70_DESARROLLO!BM21))</f>
        <v>1.0380852322629863E-2</v>
      </c>
      <c r="EN106" s="1">
        <f>(1+(N70_DESARROLLO!BN21/0.014285714)*LN(N70_DESARROLLO!BO21/N70_DESARROLLO!BN21))</f>
        <v>1.0169706089842467E-2</v>
      </c>
      <c r="EO106" s="1">
        <f>(1+(N70_DESARROLLO!BO21/0.014285714)*LN(N70_DESARROLLO!BP21/N70_DESARROLLO!BO21))</f>
        <v>9.9669782192024492E-3</v>
      </c>
      <c r="EP106" s="1">
        <f>(1+(N70_DESARROLLO!BP21/0.014285714)*LN(N70_DESARROLLO!BQ21/N70_DESARROLLO!BP21))</f>
        <v>9.77217508243855E-3</v>
      </c>
      <c r="EQ106" s="1">
        <f>(1+(N70_DESARROLLO!BQ21/0.014285714)*LN(N70_DESARROLLO!BR21/N70_DESARROLLO!BQ21))</f>
        <v>9.5848409054857253E-3</v>
      </c>
      <c r="ER106" s="1">
        <f>(1+(N70_DESARROLLO!BR21/0.014285714)*LN(N70_DESARROLLO!BS21/N70_DESARROLLO!BR21))</f>
        <v>9.404554207997462E-3</v>
      </c>
      <c r="ES106" s="1">
        <f>(1+(N70_DESARROLLO!BS21/0.014285714)*LN(N70_DESARROLLO!BT21/N70_DESARROLLO!BS21))</f>
        <v>9.230924637410709E-3</v>
      </c>
      <c r="ET106" s="1">
        <f>(1+(N70_DESARROLLO!BT21/0.014285714)*LN(N70_DESARROLLO!BU21/N70_DESARROLLO!BT21))</f>
        <v>9.0635901473987701E-3</v>
      </c>
      <c r="EU106" s="1">
        <f>(1+(N70_DESARROLLO!BU21/0.014285714)*LN(N70_DESARROLLO!BV21/N70_DESARROLLO!BU21))</f>
        <v>8.9022144776851331E-3</v>
      </c>
      <c r="EV106" s="1">
        <f>(1+(N70_DESARROLLO!BV21/0.014285714)*LN(N70_DESARROLLO!BW21/N70_DESARROLLO!BV21))</f>
        <v>8.7464848985415733E-3</v>
      </c>
      <c r="EW106" s="1">
        <f>(1+(N70_DESARROLLO!BW21/0.014285714)*LN(N70_DESARROLLO!BX21/N70_DESARROLLO!BW21))</f>
        <v>-10.310842145364965</v>
      </c>
      <c r="EX106" s="10"/>
      <c r="EY106" s="10"/>
    </row>
    <row r="107" spans="5:155" x14ac:dyDescent="0.25">
      <c r="G107" s="3">
        <v>13</v>
      </c>
      <c r="H107" s="3">
        <f>-(N70_DESARROLLO!G22/0.014285714)*LN(N70_DESARROLLO!G22/N70_DESARROLLO!F22)-1</f>
        <v>-4.1111478023141412E-2</v>
      </c>
      <c r="I107" s="3">
        <f>-(N70_DESARROLLO!H22/0.014285714)*LN(N70_DESARROLLO!H22/N70_DESARROLLO!G22)-1</f>
        <v>-4.4796309735795292E-2</v>
      </c>
      <c r="J107" s="3">
        <f>-(N70_DESARROLLO!I22/0.014285714)*LN(N70_DESARROLLO!I22/N70_DESARROLLO!H22)-1</f>
        <v>-4.9207124692809523E-2</v>
      </c>
      <c r="K107" s="3">
        <f>-(N70_DESARROLLO!J22/0.014285714)*LN(N70_DESARROLLO!J22/N70_DESARROLLO!I22)-1</f>
        <v>-5.4582082654734299E-2</v>
      </c>
      <c r="L107" s="3">
        <f>-(N70_DESARROLLO!K22/0.014285714)*LN(N70_DESARROLLO!K22/N70_DESARROLLO!J22)-1</f>
        <v>-6.1276409070482818E-2</v>
      </c>
      <c r="M107" s="3">
        <f>-(N70_DESARROLLO!L22/0.014285714)*LN(N70_DESARROLLO!L22/N70_DESARROLLO!K22)-1</f>
        <v>-6.9844497732512556E-2</v>
      </c>
      <c r="N107" s="3">
        <f>-(N70_DESARROLLO!M22/0.014285714)*LN(N70_DESARROLLO!M22/N70_DESARROLLO!L22)-1</f>
        <v>-8.1202515976636858E-2</v>
      </c>
      <c r="O107" s="3">
        <f>-(N70_DESARROLLO!N22/0.014285714)*LN(N70_DESARROLLO!N22/N70_DESARROLLO!M22)-1</f>
        <v>-9.6981852359956378E-2</v>
      </c>
      <c r="P107" s="3">
        <f>-(N70_DESARROLLO!O22/0.014285714)*LN(N70_DESARROLLO!O22/N70_DESARROLLO!N22)-1</f>
        <v>-0.12039948342481854</v>
      </c>
      <c r="Q107" s="3">
        <f>-(N70_DESARROLLO!P22/0.014285714)*LN(N70_DESARROLLO!P22/N70_DESARROLLO!O22)-1</f>
        <v>-0.15881939162335523</v>
      </c>
      <c r="R107" s="3">
        <f>-(N70_DESARROLLO!Q22/0.014285714)*LN(N70_DESARROLLO!Q22/N70_DESARROLLO!P22)-1</f>
        <v>-0.23376154902624457</v>
      </c>
      <c r="S107" s="3">
        <f>-(N70_DESARROLLO!R22/0.014285714)*LN(N70_DESARROLLO!R22/N70_DESARROLLO!Q22)-1</f>
        <v>-0.45069384467982176</v>
      </c>
      <c r="T107" s="3">
        <v>-1</v>
      </c>
      <c r="U107" s="3">
        <f>-(N70_DESARROLLO!T22/0.014285714)*LN(N70_DESARROLLO!T22/N70_DESARROLLO!S22)-1</f>
        <v>0.64791846596053038</v>
      </c>
      <c r="V107" s="3">
        <f>-(N70_DESARROLLO!U22/0.014285714)*LN(N70_DESARROLLO!U22/N70_DESARROLLO!T22)-1</f>
        <v>0.27706408495625956</v>
      </c>
      <c r="W107" s="3">
        <f>-(N70_DESARROLLO!V22/0.014285714)*LN(N70_DESARROLLO!V22/N70_DESARROLLO!U22)-1</f>
        <v>0.17765285172730305</v>
      </c>
      <c r="X107" s="3">
        <f>-(N70_DESARROLLO!W22/0.014285714)*LN(N70_DESARROLLO!W22/N70_DESARROLLO!V22)-1</f>
        <v>0.13091494988237651</v>
      </c>
      <c r="Y107" s="3">
        <f>-(N70_DESARROLLO!X22/0.014285714)*LN(N70_DESARROLLO!X22/N70_DESARROLLO!W22)-1</f>
        <v>0.10368884711560633</v>
      </c>
      <c r="Z107" s="3">
        <f>-(N70_DESARROLLO!Y22/0.014285714)*LN(N70_DESARROLLO!Y22/N70_DESARROLLO!X22)-1</f>
        <v>8.5851572027611622E-2</v>
      </c>
      <c r="AA107" s="3">
        <f>-(N70_DESARROLLO!Z22/0.014285714)*LN(N70_DESARROLLO!Z22/N70_DESARROLLO!Y22)-1</f>
        <v>7.3256348770177615E-2</v>
      </c>
      <c r="AB107" s="3">
        <f>-(N70_DESARROLLO!AA22/0.014285714)*LN(N70_DESARROLLO!AA22/N70_DESARROLLO!Z22)-1</f>
        <v>6.3886736386785659E-2</v>
      </c>
      <c r="AC107" s="3">
        <f>-(N70_DESARROLLO!AB22/0.014285714)*LN(N70_DESARROLLO!AB22/N70_DESARROLLO!AA22)-1</f>
        <v>5.6643554680002817E-2</v>
      </c>
      <c r="AD107" s="3">
        <f>-(N70_DESARROLLO!AC22/0.014285714)*LN(N70_DESARROLLO!AC22/N70_DESARROLLO!AB22)-1</f>
        <v>5.0876335865844169E-2</v>
      </c>
      <c r="AE107" s="3">
        <f>-(N70_DESARROLLO!AD22/0.014285714)*LN(N70_DESARROLLO!AD22/N70_DESARROLLO!AC22)-1</f>
        <v>4.6175470289367526E-2</v>
      </c>
      <c r="AF107" s="3">
        <f>-(N70_DESARROLLO!AE22/0.014285714)*LN(N70_DESARROLLO!AE22/N70_DESARROLLO!AD22)-1</f>
        <v>4.2270132583540176E-2</v>
      </c>
      <c r="AG107" s="3">
        <f>-(N70_DESARROLLO!AF22/0.014285714)*LN(N70_DESARROLLO!AF22/N70_DESARROLLO!AE22)-1</f>
        <v>3.8974076117214818E-2</v>
      </c>
      <c r="AH107" s="3">
        <f>-(N70_DESARROLLO!AG22/0.014285714)*LN(N70_DESARROLLO!AG22/N70_DESARROLLO!AF22)-1</f>
        <v>3.6154998464197119E-2</v>
      </c>
      <c r="AI107" s="3">
        <f>-(N70_DESARROLLO!AH22/0.014285714)*LN(N70_DESARROLLO!AH22/N70_DESARROLLO!AG22)-1</f>
        <v>3.3716325403747804E-2</v>
      </c>
      <c r="AJ107" s="3">
        <f>-(N70_DESARROLLO!AI22/0.014285714)*LN(N70_DESARROLLO!AI22/N70_DESARROLLO!AH22)-1</f>
        <v>3.158591082372797E-2</v>
      </c>
      <c r="AK107" s="3">
        <f>-(N70_DESARROLLO!AJ22/0.014285714)*LN(N70_DESARROLLO!AJ22/N70_DESARROLLO!AI22)-1</f>
        <v>2.9708770995509726E-2</v>
      </c>
      <c r="AL107" s="3">
        <f>-(N70_DESARROLLO!AK22/0.014285714)*LN(N70_DESARROLLO!AK22/N70_DESARROLLO!AJ22)-1</f>
        <v>2.8042266924844794E-2</v>
      </c>
      <c r="AM107" s="3">
        <f>-(N70_DESARROLLO!AL22/0.014285714)*LN(N70_DESARROLLO!AL22/N70_DESARROLLO!AK22)-1</f>
        <v>2.6552823496791333E-2</v>
      </c>
      <c r="AN107" s="3">
        <f>-(N70_DESARROLLO!AM22/0.014285714)*LN(N70_DESARROLLO!AM22/N70_DESARROLLO!AL22)-1</f>
        <v>2.5213642284827253E-2</v>
      </c>
      <c r="AO107" s="3">
        <f>-(N70_DESARROLLO!AN22/0.014285714)*LN(N70_DESARROLLO!AN22/N70_DESARROLLO!AM22)-1</f>
        <v>2.4003073749041315E-2</v>
      </c>
      <c r="AP107" s="3">
        <f>-(N70_DESARROLLO!AO22/0.014285714)*LN(N70_DESARROLLO!AO22/N70_DESARROLLO!AN22)-1</f>
        <v>2.2903437185105791E-2</v>
      </c>
      <c r="AQ107" s="3">
        <f>-(N70_DESARROLLO!AP22/0.014285714)*LN(N70_DESARROLLO!AP22/N70_DESARROLLO!AO22)-1</f>
        <v>2.1900151021861713E-2</v>
      </c>
      <c r="AR107" s="3">
        <f>-(N70_DESARROLLO!AQ22/0.014285714)*LN(N70_DESARROLLO!AQ22/N70_DESARROLLO!AP22)-1</f>
        <v>2.0981082233544779E-2</v>
      </c>
      <c r="AS107" s="3">
        <f>-(N70_DESARROLLO!AR22/0.014285714)*LN(N70_DESARROLLO!AR22/N70_DESARROLLO!AQ22)-1</f>
        <v>2.0136053052045133E-2</v>
      </c>
      <c r="AT107" s="3">
        <f>-(N70_DESARROLLO!AS22/0.014285714)*LN(N70_DESARROLLO!AS22/N70_DESARROLLO!AR22)-1</f>
        <v>1.9356462323727008E-2</v>
      </c>
      <c r="AU107" s="3">
        <f>-(N70_DESARROLLO!AT22/0.014285714)*LN(N70_DESARROLLO!AT22/N70_DESARROLLO!AS22)-1</f>
        <v>1.8634991582293425E-2</v>
      </c>
      <c r="AV107" s="3">
        <f>-(N70_DESARROLLO!AU22/0.014285714)*LN(N70_DESARROLLO!AU22/N70_DESARROLLO!AT22)-1</f>
        <v>1.7965374518572164E-2</v>
      </c>
      <c r="AW107" s="3">
        <f>-(N70_DESARROLLO!AV22/0.014285714)*LN(N70_DESARROLLO!AV22/N70_DESARROLLO!AU22)-1</f>
        <v>1.7342214446335324E-2</v>
      </c>
      <c r="AX107" s="3">
        <f>-(N70_DESARROLLO!AW22/0.014285714)*LN(N70_DESARROLLO!AW22/N70_DESARROLLO!AV22)-1</f>
        <v>1.6760838496763686E-2</v>
      </c>
      <c r="AY107" s="3">
        <f>-(N70_DESARROLLO!AX22/0.014285714)*LN(N70_DESARROLLO!AX22/N70_DESARROLLO!AW22)-1</f>
        <v>1.6217180198319969E-2</v>
      </c>
      <c r="AZ107" s="3">
        <f>-(N70_DESARROLLO!AY22/0.014285714)*LN(N70_DESARROLLO!AY22/N70_DESARROLLO!AX22)-1</f>
        <v>1.5707684197543648E-2</v>
      </c>
      <c r="BA107" s="3">
        <f>-(N70_DESARROLLO!AZ22/0.014285714)*LN(N70_DESARROLLO!AZ22/N70_DESARROLLO!AY22)-1</f>
        <v>1.5229228398107919E-2</v>
      </c>
      <c r="BB107" s="3">
        <f>-(N70_DESARROLLO!BA22/0.014285714)*LN(N70_DESARROLLO!BA22/N70_DESARROLLO!AZ22)-1</f>
        <v>1.4779059912696013E-2</v>
      </c>
      <c r="BC107" s="3">
        <f>-(N70_DESARROLLO!BB22/0.014285714)*LN(N70_DESARROLLO!BB22/N70_DESARROLLO!BA22)-1</f>
        <v>1.4354742051088776E-2</v>
      </c>
      <c r="BD107" s="3">
        <f>-(N70_DESARROLLO!BC22/0.014285714)*LN(N70_DESARROLLO!BC22/N70_DESARROLLO!BB22)-1</f>
        <v>1.395411018734416E-2</v>
      </c>
      <c r="BE107" s="3">
        <f>-(N70_DESARROLLO!BD22/0.014285714)*LN(N70_DESARROLLO!BD22/N70_DESARROLLO!BC22)-1</f>
        <v>1.3575234818482773E-2</v>
      </c>
      <c r="BF107" s="3">
        <f>-(N70_DESARROLLO!BE22/0.014285714)*LN(N70_DESARROLLO!BE22/N70_DESARROLLO!BD22)-1</f>
        <v>1.3216390483202112E-2</v>
      </c>
      <c r="BG107" s="3">
        <f>-(N70_DESARROLLO!BF22/0.014285714)*LN(N70_DESARROLLO!BF22/N70_DESARROLLO!BE22)-1</f>
        <v>1.2876029484357954E-2</v>
      </c>
      <c r="BH107" s="3">
        <f>-(N70_DESARROLLO!BG22/0.014285714)*LN(N70_DESARROLLO!BG22/N70_DESARROLLO!BF22)-1</f>
        <v>1.25527595704511E-2</v>
      </c>
      <c r="BI107" s="3">
        <f>-(N70_DESARROLLO!BH22/0.014285714)*LN(N70_DESARROLLO!BH22/N70_DESARROLLO!BG22)-1</f>
        <v>1.224532489750696E-2</v>
      </c>
      <c r="BJ107" s="3">
        <f>-(N70_DESARROLLO!BI22/0.014285714)*LN(N70_DESARROLLO!BI22/N70_DESARROLLO!BH22)-1</f>
        <v>1.1952589722092455E-2</v>
      </c>
      <c r="BK107" s="3">
        <f>-(N70_DESARROLLO!BJ22/0.014285714)*LN(N70_DESARROLLO!BJ22/N70_DESARROLLO!BI22)-1</f>
        <v>1.1673524379092637E-2</v>
      </c>
      <c r="BL107" s="3">
        <f>-(N70_DESARROLLO!BK22/0.014285714)*LN(N70_DESARROLLO!BK22/N70_DESARROLLO!BJ22)-1</f>
        <v>1.1407193179399533E-2</v>
      </c>
      <c r="BM107" s="3">
        <f>-(N70_DESARROLLO!BL22/0.014285714)*LN(N70_DESARROLLO!BL22/N70_DESARROLLO!BK22)-1</f>
        <v>1.1152743927361541E-2</v>
      </c>
      <c r="BN107" s="3">
        <f>-(N70_DESARROLLO!BM22/0.014285714)*LN(N70_DESARROLLO!BM22/N70_DESARROLLO!BL22)-1</f>
        <v>1.0909398811068893E-2</v>
      </c>
      <c r="BO107" s="3">
        <f>-(N70_DESARROLLO!BN22/0.014285714)*LN(N70_DESARROLLO!BN22/N70_DESARROLLO!BM22)-1</f>
        <v>1.0676446459560562E-2</v>
      </c>
      <c r="BP107" s="3">
        <f>-(N70_DESARROLLO!BO22/0.014285714)*LN(N70_DESARROLLO!BO22/N70_DESARROLLO!BN22)-1</f>
        <v>1.0453234996904204E-2</v>
      </c>
      <c r="BQ107" s="3">
        <f>-(N70_DESARROLLO!BP22/0.014285714)*LN(N70_DESARROLLO!BP22/N70_DESARROLLO!BO22)-1</f>
        <v>1.0239165949531337E-2</v>
      </c>
      <c r="BR107" s="3">
        <f>-(N70_DESARROLLO!BQ22/0.014285714)*LN(N70_DESARROLLO!BQ22/N70_DESARROLLO!BP22)-1</f>
        <v>1.003368888749101E-2</v>
      </c>
      <c r="BS107" s="3">
        <f>-(N70_DESARROLLO!BR22/0.014285714)*LN(N70_DESARROLLO!BR22/N70_DESARROLLO!BQ22)-1</f>
        <v>9.8362966981071498E-3</v>
      </c>
      <c r="BT107" s="3">
        <f>-(N70_DESARROLLO!BS22/0.014285714)*LN(N70_DESARROLLO!BS22/N70_DESARROLLO!BR22)-1</f>
        <v>9.6465214070289296E-3</v>
      </c>
      <c r="BU107" s="3">
        <f>-(N70_DESARROLLO!BT22/0.014285714)*LN(N70_DESARROLLO!BT22/N70_DESARROLLO!BS22)-1</f>
        <v>9.4639304737664798E-3</v>
      </c>
      <c r="BV107" s="3">
        <f>-(N70_DESARROLLO!BU22/0.014285714)*LN(N70_DESARROLLO!BU22/N70_DESARROLLO!BT22)-1</f>
        <v>9.2881235002078011E-3</v>
      </c>
      <c r="BW107" s="3">
        <f>-(N70_DESARROLLO!BV22/0.014285714)*LN(N70_DESARROLLO!BV22/N70_DESARROLLO!BU22)-1</f>
        <v>9.1187292994499014E-3</v>
      </c>
      <c r="BX107" s="3">
        <f>-(N70_DESARROLLO!BW22/0.014285714)*LN(N70_DESARROLLO!BW22/N70_DESARROLLO!BV22)-1</f>
        <v>8.9554032794736393E-3</v>
      </c>
      <c r="BY107" s="3">
        <f>-(N70_DESARROLLO!BX22/0.014285714)*LN(N70_DESARROLLO!BX22/N70_DESARROLLO!BW22)-1</f>
        <v>13.997822572743921</v>
      </c>
      <c r="BZ107" s="10"/>
      <c r="CA107" s="10"/>
      <c r="CB107" s="10"/>
      <c r="CC107" s="10"/>
      <c r="CD107">
        <v>13</v>
      </c>
      <c r="CE107" s="1">
        <v>0</v>
      </c>
      <c r="CF107" s="1">
        <f>(1+(N70_DESARROLLO!F22/0.014285714)*LN(N70_DESARROLLO!G22/N70_DESARROLLO!F22))</f>
        <v>-4.2270132583541953E-2</v>
      </c>
      <c r="CG107" s="1">
        <f>(1+(N70_DESARROLLO!G22/0.014285714)*LN(N70_DESARROLLO!H22/N70_DESARROLLO!G22))</f>
        <v>-4.6175470289367082E-2</v>
      </c>
      <c r="CH107" s="1">
        <f>(1+(N70_DESARROLLO!H22/0.014285714)*LN(N70_DESARROLLO!I22/N70_DESARROLLO!H22))</f>
        <v>-5.0876335865841948E-2</v>
      </c>
      <c r="CI107" s="1">
        <f>(1+(N70_DESARROLLO!I22/0.014285714)*LN(N70_DESARROLLO!J22/N70_DESARROLLO!I22))</f>
        <v>-5.6643554680002817E-2</v>
      </c>
      <c r="CJ107" s="1">
        <f>(1+(N70_DESARROLLO!J22/0.014285714)*LN(N70_DESARROLLO!K22/N70_DESARROLLO!J22))</f>
        <v>-6.3886736386786325E-2</v>
      </c>
      <c r="CK107" s="1">
        <f>(1+(N70_DESARROLLO!K22/0.014285714)*LN(N70_DESARROLLO!L22/N70_DESARROLLO!K22))</f>
        <v>-7.3256348770177837E-2</v>
      </c>
      <c r="CL107" s="1">
        <f>(1+(N70_DESARROLLO!L22/0.014285714)*LN(N70_DESARROLLO!M22/N70_DESARROLLO!L22))</f>
        <v>-8.5851572027610956E-2</v>
      </c>
      <c r="CM107" s="1">
        <f>(1+(N70_DESARROLLO!M22/0.014285714)*LN(N70_DESARROLLO!N22/N70_DESARROLLO!M22))</f>
        <v>-0.103688847115609</v>
      </c>
      <c r="CN107" s="1">
        <f>(1+(N70_DESARROLLO!N22/0.014285714)*LN(N70_DESARROLLO!O22/N70_DESARROLLO!N22))</f>
        <v>-0.13091494988237584</v>
      </c>
      <c r="CO107" s="1">
        <f>(1+(N70_DESARROLLO!O22/0.014285714)*LN(N70_DESARROLLO!P22/N70_DESARROLLO!O22))</f>
        <v>-0.17765285172730261</v>
      </c>
      <c r="CP107" s="1">
        <f>(1+(N70_DESARROLLO!P22/0.014285714)*LN(N70_DESARROLLO!Q22/N70_DESARROLLO!P22))</f>
        <v>-0.27706408495625889</v>
      </c>
      <c r="CQ107" s="1">
        <f>(1+(N70_DESARROLLO!Q22/0.014285714)*LN(N70_DESARROLLO!R22/N70_DESARROLLO!Q22))</f>
        <v>-0.6479184659605346</v>
      </c>
      <c r="CR107" s="1">
        <v>1</v>
      </c>
      <c r="CS107" s="1">
        <f>(1+(N70_DESARROLLO!S22/0.014285714)*LN(N70_DESARROLLO!T22/N70_DESARROLLO!S22))</f>
        <v>0.45069384467982243</v>
      </c>
      <c r="CT107" s="1">
        <f>(1+(N70_DESARROLLO!T22/0.014285714)*LN(N70_DESARROLLO!U22/N70_DESARROLLO!T22))</f>
        <v>0.2337615490262448</v>
      </c>
      <c r="CU107" s="1">
        <f>(1+(N70_DESARROLLO!U22/0.014285714)*LN(N70_DESARROLLO!V22/N70_DESARROLLO!U22))</f>
        <v>0.15881939162335523</v>
      </c>
      <c r="CV107" s="1">
        <f>(1+(N70_DESARROLLO!V22/0.014285714)*LN(N70_DESARROLLO!W22/N70_DESARROLLO!V22))</f>
        <v>0.12039948342481821</v>
      </c>
      <c r="CW107" s="1">
        <f>(1+(N70_DESARROLLO!W22/0.014285714)*LN(N70_DESARROLLO!X22/N70_DESARROLLO!W22))</f>
        <v>9.6981852359958154E-2</v>
      </c>
      <c r="CX107" s="1">
        <f>(1+(N70_DESARROLLO!X22/0.014285714)*LN(N70_DESARROLLO!Y22/N70_DESARROLLO!X22))</f>
        <v>8.1202515976636302E-2</v>
      </c>
      <c r="CY107" s="1">
        <f>(1+(N70_DESARROLLO!Y22/0.014285714)*LN(N70_DESARROLLO!Z22/N70_DESARROLLO!Y22))</f>
        <v>6.9844497732512889E-2</v>
      </c>
      <c r="CZ107" s="1">
        <f>(1+(N70_DESARROLLO!Z22/0.014285714)*LN(N70_DESARROLLO!AA22/N70_DESARROLLO!Z22))</f>
        <v>6.1276409070483373E-2</v>
      </c>
      <c r="DA107" s="1">
        <f>(1+(N70_DESARROLLO!AA22/0.014285714)*LN(N70_DESARROLLO!AB22/N70_DESARROLLO!AA22))</f>
        <v>5.4582082654734188E-2</v>
      </c>
      <c r="DB107" s="1">
        <f>(1+(N70_DESARROLLO!AB22/0.014285714)*LN(N70_DESARROLLO!AC22/N70_DESARROLLO!AB22))</f>
        <v>4.9207124692807636E-2</v>
      </c>
      <c r="DC107" s="1">
        <f>(1+(N70_DESARROLLO!AC22/0.014285714)*LN(N70_DESARROLLO!AD22/N70_DESARROLLO!AC22))</f>
        <v>4.479630973579507E-2</v>
      </c>
      <c r="DD107" s="1">
        <f>(1+(N70_DESARROLLO!AD22/0.014285714)*LN(N70_DESARROLLO!AE22/N70_DESARROLLO!AD22))</f>
        <v>4.1111478023143078E-2</v>
      </c>
      <c r="DE107" s="1">
        <f>(1+(N70_DESARROLLO!AE22/0.014285714)*LN(N70_DESARROLLO!AF22/N70_DESARROLLO!AE22))</f>
        <v>3.7986966558134383E-2</v>
      </c>
      <c r="DF107" s="1">
        <f>(1+(N70_DESARROLLO!AF22/0.014285714)*LN(N70_DESARROLLO!AG22/N70_DESARROLLO!AF22))</f>
        <v>3.5303966947126564E-2</v>
      </c>
      <c r="DG107" s="1">
        <f>(1+(N70_DESARROLLO!AG22/0.014285714)*LN(N70_DESARROLLO!AH22/N70_DESARROLLO!AG22))</f>
        <v>3.2975050428752151E-2</v>
      </c>
      <c r="DH107" s="1">
        <f>(1+(N70_DESARROLLO!AH22/0.014285714)*LN(N70_DESARROLLO!AI22/N70_DESARROLLO!AH22))</f>
        <v>3.0934447408013099E-2</v>
      </c>
      <c r="DI107" s="1">
        <f>(1+(N70_DESARROLLO!AI22/0.014285714)*LN(N70_DESARROLLO!AJ22/N70_DESARROLLO!AI22))</f>
        <v>2.9131730204233652E-2</v>
      </c>
      <c r="DJ107" s="1">
        <f>(1+(N70_DESARROLLO!AJ22/0.014285714)*LN(N70_DESARROLLO!AK22/N70_DESARROLLO!AJ22))</f>
        <v>2.7527585341363126E-2</v>
      </c>
      <c r="DK107" s="1">
        <f>(1+(N70_DESARROLLO!AK22/0.014285714)*LN(N70_DESARROLLO!AL22/N70_DESARROLLO!AK22))</f>
        <v>2.6090911041505627E-2</v>
      </c>
      <c r="DL107" s="1">
        <f>(1+(N70_DESARROLLO!AL22/0.014285714)*LN(N70_DESARROLLO!AM22/N70_DESARROLLO!AL22))</f>
        <v>2.4796779290042203E-2</v>
      </c>
      <c r="DM107" s="1">
        <f>(1+(N70_DESARROLLO!AM22/0.014285714)*LN(N70_DESARROLLO!AN22/N70_DESARROLLO!AM22))</f>
        <v>2.3624976192774816E-2</v>
      </c>
      <c r="DN107" s="1">
        <f>(1+(N70_DESARROLLO!AN22/0.014285714)*LN(N70_DESARROLLO!AO22/N70_DESARROLLO!AN22))</f>
        <v>2.2558937800898904E-2</v>
      </c>
      <c r="DO107" s="1">
        <f>(1+(N70_DESARROLLO!AO22/0.014285714)*LN(N70_DESARROLLO!AP22/N70_DESARROLLO!AO22))</f>
        <v>2.1584961787579071E-2</v>
      </c>
      <c r="DP107" s="1">
        <f>(1+(N70_DESARROLLO!AP22/0.014285714)*LN(N70_DESARROLLO!AQ22/N70_DESARROLLO!AP22))</f>
        <v>2.0691615000477559E-2</v>
      </c>
      <c r="DQ107" s="1">
        <f>(1+(N70_DESARROLLO!AQ22/0.014285714)*LN(N70_DESARROLLO!AR22/N70_DESARROLLO!AQ22))</f>
        <v>1.9869282361760443E-2</v>
      </c>
      <c r="DR107" s="1">
        <f>(1+(N70_DESARROLLO!AR22/0.014285714)*LN(N70_DESARROLLO!AS22/N70_DESARROLLO!AR22))</f>
        <v>1.9109819273394835E-2</v>
      </c>
      <c r="DS107" s="1">
        <f>(1+(N70_DESARROLLO!AS22/0.014285714)*LN(N70_DESARROLLO!AT22/N70_DESARROLLO!AS22))</f>
        <v>1.840628083888074E-2</v>
      </c>
      <c r="DT107" s="1">
        <f>(1+(N70_DESARROLLO!AT22/0.014285714)*LN(N70_DESARROLLO!AU22/N70_DESARROLLO!AT22))</f>
        <v>1.7752708797869166E-2</v>
      </c>
      <c r="DU107" s="1">
        <f>(1+(N70_DESARROLLO!AU22/0.014285714)*LN(N70_DESARROLLO!AV22/N70_DESARROLLO!AU22))</f>
        <v>1.7143962314557393E-2</v>
      </c>
      <c r="DV107" s="1">
        <f>(1+(N70_DESARROLLO!AV22/0.014285714)*LN(N70_DESARROLLO!AW22/N70_DESARROLLO!AV22))</f>
        <v>1.6575582437556191E-2</v>
      </c>
      <c r="DW107" s="1">
        <f>(1+(N70_DESARROLLO!AW22/0.014285714)*LN(N70_DESARROLLO!AX22/N70_DESARROLLO!AW22))</f>
        <v>1.6043682665118908E-2</v>
      </c>
      <c r="DX107" s="1">
        <f>(1+(N70_DESARROLLO!AX22/0.014285714)*LN(N70_DESARROLLO!AY22/N70_DESARROLLO!AX22))</f>
        <v>1.5544859931611366E-2</v>
      </c>
      <c r="DY107" s="1">
        <f>(1+(N70_DESARROLLO!AY22/0.014285714)*LN(N70_DESARROLLO!AZ22/N70_DESARROLLO!AY22))</f>
        <v>1.5076121703328282E-2</v>
      </c>
      <c r="DZ107" s="1">
        <f>(1+(N70_DESARROLLO!AZ22/0.014285714)*LN(N70_DESARROLLO!BA22/N70_DESARROLLO!AZ22))</f>
        <v>1.4634825881874591E-2</v>
      </c>
      <c r="EA107" s="1">
        <f>(1+(N70_DESARROLLO!BA22/0.014285714)*LN(N70_DESARROLLO!BB22/N70_DESARROLLO!BA22))</f>
        <v>1.4218630964435208E-2</v>
      </c>
      <c r="EB107" s="1">
        <f>(1+(N70_DESARROLLO!BB22/0.014285714)*LN(N70_DESARROLLO!BC22/N70_DESARROLLO!BB22))</f>
        <v>1.3825454475322685E-2</v>
      </c>
      <c r="EC107" s="1">
        <f>(1+(N70_DESARROLLO!BC22/0.014285714)*LN(N70_DESARROLLO!BD22/N70_DESARROLLO!BC22))</f>
        <v>1.3453438110010096E-2</v>
      </c>
      <c r="ED107" s="1">
        <f>(1+(N70_DESARROLLO!BD22/0.014285714)*LN(N70_DESARROLLO!BE22/N70_DESARROLLO!BD22))</f>
        <v>1.3100918360517522E-2</v>
      </c>
      <c r="EE107" s="1">
        <f>(1+(N70_DESARROLLO!BE22/0.014285714)*LN(N70_DESARROLLO!BF22/N70_DESARROLLO!BE22))</f>
        <v>1.2766401641828407E-2</v>
      </c>
      <c r="EF107" s="1">
        <f>(1+(N70_DESARROLLO!BF22/0.014285714)*LN(N70_DESARROLLO!BG22/N70_DESARROLLO!BF22))</f>
        <v>1.2448543134991996E-2</v>
      </c>
      <c r="EG107" s="1">
        <f>(1+(N70_DESARROLLO!BG22/0.014285714)*LN(N70_DESARROLLO!BH22/N70_DESARROLLO!BG22))</f>
        <v>1.2146128714481286E-2</v>
      </c>
      <c r="EH107" s="1">
        <f>(1+(N70_DESARROLLO!BH22/0.014285714)*LN(N70_DESARROLLO!BI22/N70_DESARROLLO!BH22))</f>
        <v>1.1858059447839131E-2</v>
      </c>
      <c r="EI107" s="1">
        <f>(1+(N70_DESARROLLO!BI22/0.014285714)*LN(N70_DESARROLLO!BJ22/N70_DESARROLLO!BI22))</f>
        <v>1.1583338250311548E-2</v>
      </c>
      <c r="EJ107" s="1">
        <f>(1+(N70_DESARROLLO!BJ22/0.014285714)*LN(N70_DESARROLLO!BK22/N70_DESARROLLO!BJ22))</f>
        <v>1.1321058352721902E-2</v>
      </c>
      <c r="EK107" s="1">
        <f>(1+(N70_DESARROLLO!BK22/0.014285714)*LN(N70_DESARROLLO!BL22/N70_DESARROLLO!BK22))</f>
        <v>1.1070393301811032E-2</v>
      </c>
      <c r="EL107" s="1">
        <f>(1+(N70_DESARROLLO!BL22/0.014285714)*LN(N70_DESARROLLO!BM22/N70_DESARROLLO!BL22))</f>
        <v>1.0830588260137164E-2</v>
      </c>
      <c r="EM107" s="1">
        <f>(1+(N70_DESARROLLO!BM22/0.014285714)*LN(N70_DESARROLLO!BN22/N70_DESARROLLO!BM22))</f>
        <v>1.0600952413272191E-2</v>
      </c>
      <c r="EN107" s="1">
        <f>(1+(N70_DESARROLLO!BN22/0.014285714)*LN(N70_DESARROLLO!BO22/N70_DESARROLLO!BN22))</f>
        <v>1.0380852322619649E-2</v>
      </c>
      <c r="EO107" s="1">
        <f>(1+(N70_DESARROLLO!BO22/0.014285714)*LN(N70_DESARROLLO!BP22/N70_DESARROLLO!BO22))</f>
        <v>1.0169706089853126E-2</v>
      </c>
      <c r="EP107" s="1">
        <f>(1+(N70_DESARROLLO!BP22/0.014285714)*LN(N70_DESARROLLO!BQ22/N70_DESARROLLO!BP22))</f>
        <v>9.9669782191919021E-3</v>
      </c>
      <c r="EQ107" s="1">
        <f>(1+(N70_DESARROLLO!BQ22/0.014285714)*LN(N70_DESARROLLO!BR22/N70_DESARROLLO!BQ22))</f>
        <v>9.77217508243855E-3</v>
      </c>
      <c r="ER107" s="1">
        <f>(1+(N70_DESARROLLO!BR22/0.014285714)*LN(N70_DESARROLLO!BS22/N70_DESARROLLO!BR22))</f>
        <v>9.5848409054859474E-3</v>
      </c>
      <c r="ES107" s="1">
        <f>(1+(N70_DESARROLLO!BS22/0.014285714)*LN(N70_DESARROLLO!BT22/N70_DESARROLLO!BS22))</f>
        <v>9.4045542079861377E-3</v>
      </c>
      <c r="ET107" s="1">
        <f>(1+(N70_DESARROLLO!BT22/0.014285714)*LN(N70_DESARROLLO!BU22/N70_DESARROLLO!BT22))</f>
        <v>9.230924637410709E-3</v>
      </c>
      <c r="EU107" s="1">
        <f>(1+(N70_DESARROLLO!BU22/0.014285714)*LN(N70_DESARROLLO!BV22/N70_DESARROLLO!BU22))</f>
        <v>9.0635901473870017E-3</v>
      </c>
      <c r="EV107" s="1">
        <f>(1+(N70_DESARROLLO!BV22/0.014285714)*LN(N70_DESARROLLO!BW22/N70_DESARROLLO!BV22))</f>
        <v>8.9022144776851331E-3</v>
      </c>
      <c r="EW107" s="1">
        <f>(1+(N70_DESARROLLO!BW22/0.014285714)*LN(N70_DESARROLLO!BX22/N70_DESARROLLO!BW22))</f>
        <v>-11.105385362286164</v>
      </c>
      <c r="EX107" s="10"/>
      <c r="EY107" s="10"/>
    </row>
    <row r="108" spans="5:155" x14ac:dyDescent="0.25">
      <c r="G108" s="3">
        <v>14</v>
      </c>
      <c r="H108" s="3">
        <f>-(N70_DESARROLLO!G23/0.014285714)*LN(N70_DESARROLLO!G23/N70_DESARROLLO!F23)-1</f>
        <v>-3.7986966558135382E-2</v>
      </c>
      <c r="I108" s="3">
        <f>-(N70_DESARROLLO!H23/0.014285714)*LN(N70_DESARROLLO!H23/N70_DESARROLLO!G23)-1</f>
        <v>-4.1111478023141634E-2</v>
      </c>
      <c r="J108" s="3">
        <f>-(N70_DESARROLLO!I23/0.014285714)*LN(N70_DESARROLLO!I23/N70_DESARROLLO!H23)-1</f>
        <v>-4.4796309735795514E-2</v>
      </c>
      <c r="K108" s="3">
        <f>-(N70_DESARROLLO!J23/0.014285714)*LN(N70_DESARROLLO!J23/N70_DESARROLLO!I23)-1</f>
        <v>-4.9207124692809745E-2</v>
      </c>
      <c r="L108" s="3">
        <f>-(N70_DESARROLLO!K23/0.014285714)*LN(N70_DESARROLLO!K23/N70_DESARROLLO!J23)-1</f>
        <v>-5.4582082654734521E-2</v>
      </c>
      <c r="M108" s="3">
        <f>-(N70_DESARROLLO!L23/0.014285714)*LN(N70_DESARROLLO!L23/N70_DESARROLLO!K23)-1</f>
        <v>-6.127640907048304E-2</v>
      </c>
      <c r="N108" s="3">
        <f>-(N70_DESARROLLO!M23/0.014285714)*LN(N70_DESARROLLO!M23/N70_DESARROLLO!L23)-1</f>
        <v>-6.9844497732513666E-2</v>
      </c>
      <c r="O108" s="3">
        <f>-(N70_DESARROLLO!N23/0.014285714)*LN(N70_DESARROLLO!N23/N70_DESARROLLO!M23)-1</f>
        <v>-8.1202515976635636E-2</v>
      </c>
      <c r="P108" s="3">
        <f>-(N70_DESARROLLO!O23/0.014285714)*LN(N70_DESARROLLO!O23/N70_DESARROLLO!N23)-1</f>
        <v>-9.6981852359957155E-2</v>
      </c>
      <c r="Q108" s="3">
        <f>-(N70_DESARROLLO!P23/0.014285714)*LN(N70_DESARROLLO!P23/N70_DESARROLLO!O23)-1</f>
        <v>-0.12039948342481799</v>
      </c>
      <c r="R108" s="3">
        <f>-(N70_DESARROLLO!Q23/0.014285714)*LN(N70_DESARROLLO!Q23/N70_DESARROLLO!P23)-1</f>
        <v>-0.15881939162335501</v>
      </c>
      <c r="S108" s="3">
        <f>-(N70_DESARROLLO!R23/0.014285714)*LN(N70_DESARROLLO!R23/N70_DESARROLLO!Q23)-1</f>
        <v>-0.2337615490262448</v>
      </c>
      <c r="T108" s="3">
        <f>-(N70_DESARROLLO!S23/0.014285714)*LN(N70_DESARROLLO!S23/N70_DESARROLLO!R23)-1</f>
        <v>-0.45069384467982276</v>
      </c>
      <c r="U108" s="3">
        <v>-1</v>
      </c>
      <c r="V108" s="3">
        <f>-(N70_DESARROLLO!U23/0.014285714)*LN(N70_DESARROLLO!U23/N70_DESARROLLO!T23)-1</f>
        <v>0.6479184659605346</v>
      </c>
      <c r="W108" s="3">
        <f>-(N70_DESARROLLO!V23/0.014285714)*LN(N70_DESARROLLO!V23/N70_DESARROLLO!U23)-1</f>
        <v>0.27706408495625889</v>
      </c>
      <c r="X108" s="3">
        <f>-(N70_DESARROLLO!W23/0.014285714)*LN(N70_DESARROLLO!W23/N70_DESARROLLO!V23)-1</f>
        <v>0.17765285172730261</v>
      </c>
      <c r="Y108" s="3">
        <f>-(N70_DESARROLLO!X23/0.014285714)*LN(N70_DESARROLLO!X23/N70_DESARROLLO!W23)-1</f>
        <v>0.13091494988237407</v>
      </c>
      <c r="Z108" s="3">
        <f>-(N70_DESARROLLO!Y23/0.014285714)*LN(N70_DESARROLLO!Y23/N70_DESARROLLO!X23)-1</f>
        <v>0.10368884711560877</v>
      </c>
      <c r="AA108" s="3">
        <f>-(N70_DESARROLLO!Z23/0.014285714)*LN(N70_DESARROLLO!Z23/N70_DESARROLLO!Y23)-1</f>
        <v>8.5851572027612066E-2</v>
      </c>
      <c r="AB108" s="3">
        <f>-(N70_DESARROLLO!AA23/0.014285714)*LN(N70_DESARROLLO!AA23/N70_DESARROLLO!Z23)-1</f>
        <v>7.3256348770177837E-2</v>
      </c>
      <c r="AC108" s="3">
        <f>-(N70_DESARROLLO!AB23/0.014285714)*LN(N70_DESARROLLO!AB23/N70_DESARROLLO!AA23)-1</f>
        <v>6.3886736386785881E-2</v>
      </c>
      <c r="AD108" s="3">
        <f>-(N70_DESARROLLO!AC23/0.014285714)*LN(N70_DESARROLLO!AC23/N70_DESARROLLO!AB23)-1</f>
        <v>5.6643554680003039E-2</v>
      </c>
      <c r="AE108" s="3">
        <f>-(N70_DESARROLLO!AD23/0.014285714)*LN(N70_DESARROLLO!AD23/N70_DESARROLLO!AC23)-1</f>
        <v>5.0876335865844613E-2</v>
      </c>
      <c r="AF108" s="3">
        <f>-(N70_DESARROLLO!AE23/0.014285714)*LN(N70_DESARROLLO!AE23/N70_DESARROLLO!AD23)-1</f>
        <v>4.6175470289367526E-2</v>
      </c>
      <c r="AG108" s="3">
        <f>-(N70_DESARROLLO!AF23/0.014285714)*LN(N70_DESARROLLO!AF23/N70_DESARROLLO!AE23)-1</f>
        <v>4.2270132583540398E-2</v>
      </c>
      <c r="AH108" s="3">
        <f>-(N70_DESARROLLO!AG23/0.014285714)*LN(N70_DESARROLLO!AG23/N70_DESARROLLO!AF23)-1</f>
        <v>3.8974076117209266E-2</v>
      </c>
      <c r="AI108" s="3">
        <f>-(N70_DESARROLLO!AH23/0.014285714)*LN(N70_DESARROLLO!AH23/N70_DESARROLLO!AG23)-1</f>
        <v>3.6154998464203114E-2</v>
      </c>
      <c r="AJ108" s="3">
        <f>-(N70_DESARROLLO!AI23/0.014285714)*LN(N70_DESARROLLO!AI23/N70_DESARROLLO!AH23)-1</f>
        <v>3.3716325403748026E-2</v>
      </c>
      <c r="AK108" s="3">
        <f>-(N70_DESARROLLO!AJ23/0.014285714)*LN(N70_DESARROLLO!AJ23/N70_DESARROLLO!AI23)-1</f>
        <v>3.158591082372797E-2</v>
      </c>
      <c r="AL108" s="3">
        <f>-(N70_DESARROLLO!AK23/0.014285714)*LN(N70_DESARROLLO!AK23/N70_DESARROLLO!AJ23)-1</f>
        <v>2.9708770995509948E-2</v>
      </c>
      <c r="AM108" s="3">
        <f>-(N70_DESARROLLO!AL23/0.014285714)*LN(N70_DESARROLLO!AL23/N70_DESARROLLO!AK23)-1</f>
        <v>2.8042266924845016E-2</v>
      </c>
      <c r="AN108" s="3">
        <f>-(N70_DESARROLLO!AM23/0.014285714)*LN(N70_DESARROLLO!AM23/N70_DESARROLLO!AL23)-1</f>
        <v>2.6552823496787115E-2</v>
      </c>
      <c r="AO108" s="3">
        <f>-(N70_DESARROLLO!AN23/0.014285714)*LN(N70_DESARROLLO!AN23/N70_DESARROLLO!AM23)-1</f>
        <v>2.5213642284831916E-2</v>
      </c>
      <c r="AP108" s="3">
        <f>-(N70_DESARROLLO!AO23/0.014285714)*LN(N70_DESARROLLO!AO23/N70_DESARROLLO!AN23)-1</f>
        <v>2.4003073749036874E-2</v>
      </c>
      <c r="AQ108" s="3">
        <f>-(N70_DESARROLLO!AP23/0.014285714)*LN(N70_DESARROLLO!AP23/N70_DESARROLLO!AO23)-1</f>
        <v>2.2903437185105791E-2</v>
      </c>
      <c r="AR108" s="3">
        <f>-(N70_DESARROLLO!AQ23/0.014285714)*LN(N70_DESARROLLO!AQ23/N70_DESARROLLO!AP23)-1</f>
        <v>2.190015102187215E-2</v>
      </c>
      <c r="AS108" s="3">
        <f>-(N70_DESARROLLO!AR23/0.014285714)*LN(N70_DESARROLLO!AR23/N70_DESARROLLO!AQ23)-1</f>
        <v>2.0981082233534565E-2</v>
      </c>
      <c r="AT108" s="3">
        <f>-(N70_DESARROLLO!AS23/0.014285714)*LN(N70_DESARROLLO!AS23/N70_DESARROLLO!AR23)-1</f>
        <v>2.0136053052056457E-2</v>
      </c>
      <c r="AU108" s="3">
        <f>-(N70_DESARROLLO!AT23/0.014285714)*LN(N70_DESARROLLO!AT23/N70_DESARROLLO!AS23)-1</f>
        <v>1.9356462323721457E-2</v>
      </c>
      <c r="AV108" s="3">
        <f>-(N70_DESARROLLO!AU23/0.014285714)*LN(N70_DESARROLLO!AU23/N70_DESARROLLO!AT23)-1</f>
        <v>1.8634991582305416E-2</v>
      </c>
      <c r="AW108" s="3">
        <f>-(N70_DESARROLLO!AV23/0.014285714)*LN(N70_DESARROLLO!AV23/N70_DESARROLLO!AU23)-1</f>
        <v>1.7965374518559951E-2</v>
      </c>
      <c r="AX108" s="3">
        <f>-(N70_DESARROLLO!AW23/0.014285714)*LN(N70_DESARROLLO!AW23/N70_DESARROLLO!AV23)-1</f>
        <v>1.7342214446335324E-2</v>
      </c>
      <c r="AY108" s="3">
        <f>-(N70_DESARROLLO!AX23/0.014285714)*LN(N70_DESARROLLO!AX23/N70_DESARROLLO!AW23)-1</f>
        <v>1.6760838496770569E-2</v>
      </c>
      <c r="AZ108" s="3">
        <f>-(N70_DESARROLLO!AY23/0.014285714)*LN(N70_DESARROLLO!AY23/N70_DESARROLLO!AX23)-1</f>
        <v>1.6217180198313308E-2</v>
      </c>
      <c r="BA108" s="3">
        <f>-(N70_DESARROLLO!AZ23/0.014285714)*LN(N70_DESARROLLO!AZ23/N70_DESARROLLO!AY23)-1</f>
        <v>1.5707684197550975E-2</v>
      </c>
      <c r="BB108" s="3">
        <f>-(N70_DESARROLLO!BA23/0.014285714)*LN(N70_DESARROLLO!BA23/N70_DESARROLLO!AZ23)-1</f>
        <v>1.5229228398100814E-2</v>
      </c>
      <c r="BC108" s="3">
        <f>-(N70_DESARROLLO!BB23/0.014285714)*LN(N70_DESARROLLO!BB23/N70_DESARROLLO!BA23)-1</f>
        <v>1.4779059912703785E-2</v>
      </c>
      <c r="BD108" s="3">
        <f>-(N70_DESARROLLO!BC23/0.014285714)*LN(N70_DESARROLLO!BC23/N70_DESARROLLO!BB23)-1</f>
        <v>1.4354742051081004E-2</v>
      </c>
      <c r="BE108" s="3">
        <f>-(N70_DESARROLLO!BD23/0.014285714)*LN(N70_DESARROLLO!BD23/N70_DESARROLLO!BC23)-1</f>
        <v>1.3954110187352153E-2</v>
      </c>
      <c r="BF108" s="3">
        <f>-(N70_DESARROLLO!BE23/0.014285714)*LN(N70_DESARROLLO!BE23/N70_DESARROLLO!BD23)-1</f>
        <v>1.3575234818474557E-2</v>
      </c>
      <c r="BG108" s="3">
        <f>-(N70_DESARROLLO!BF23/0.014285714)*LN(N70_DESARROLLO!BF23/N70_DESARROLLO!BE23)-1</f>
        <v>1.3216390483210549E-2</v>
      </c>
      <c r="BH108" s="3">
        <f>-(N70_DESARROLLO!BG23/0.014285714)*LN(N70_DESARROLLO!BG23/N70_DESARROLLO!BF23)-1</f>
        <v>1.2876029484357954E-2</v>
      </c>
      <c r="BI108" s="3">
        <f>-(N70_DESARROLLO!BH23/0.014285714)*LN(N70_DESARROLLO!BH23/N70_DESARROLLO!BG23)-1</f>
        <v>1.25527595704511E-2</v>
      </c>
      <c r="BJ108" s="3">
        <f>-(N70_DESARROLLO!BI23/0.014285714)*LN(N70_DESARROLLO!BI23/N70_DESARROLLO!BH23)-1</f>
        <v>1.2245324897516063E-2</v>
      </c>
      <c r="BK108" s="3">
        <f>-(N70_DESARROLLO!BJ23/0.014285714)*LN(N70_DESARROLLO!BJ23/N70_DESARROLLO!BI23)-1</f>
        <v>1.1952589722083351E-2</v>
      </c>
      <c r="BL108" s="3">
        <f>-(N70_DESARROLLO!BK23/0.014285714)*LN(N70_DESARROLLO!BK23/N70_DESARROLLO!BJ23)-1</f>
        <v>1.1673524379102407E-2</v>
      </c>
      <c r="BM108" s="3">
        <f>-(N70_DESARROLLO!BL23/0.014285714)*LN(N70_DESARROLLO!BL23/N70_DESARROLLO!BK23)-1</f>
        <v>1.1407193179389985E-2</v>
      </c>
      <c r="BN108" s="3">
        <f>-(N70_DESARROLLO!BM23/0.014285714)*LN(N70_DESARROLLO!BM23/N70_DESARROLLO!BL23)-1</f>
        <v>1.1152743927371533E-2</v>
      </c>
      <c r="BO108" s="3">
        <f>-(N70_DESARROLLO!BN23/0.014285714)*LN(N70_DESARROLLO!BN23/N70_DESARROLLO!BM23)-1</f>
        <v>1.0909398811058679E-2</v>
      </c>
      <c r="BP108" s="3">
        <f>-(N70_DESARROLLO!BO23/0.014285714)*LN(N70_DESARROLLO!BO23/N70_DESARROLLO!BN23)-1</f>
        <v>1.0676446459560784E-2</v>
      </c>
      <c r="BQ108" s="3">
        <f>-(N70_DESARROLLO!BP23/0.014285714)*LN(N70_DESARROLLO!BP23/N70_DESARROLLO!BO23)-1</f>
        <v>1.0453234996893546E-2</v>
      </c>
      <c r="BR108" s="3">
        <f>-(N70_DESARROLLO!BQ23/0.014285714)*LN(N70_DESARROLLO!BQ23/N70_DESARROLLO!BP23)-1</f>
        <v>1.0239165949542439E-2</v>
      </c>
      <c r="BS108" s="3">
        <f>-(N70_DESARROLLO!BR23/0.014285714)*LN(N70_DESARROLLO!BR23/N70_DESARROLLO!BQ23)-1</f>
        <v>1.003368888748013E-2</v>
      </c>
      <c r="BT108" s="3">
        <f>-(N70_DESARROLLO!BS23/0.014285714)*LN(N70_DESARROLLO!BS23/N70_DESARROLLO!BR23)-1</f>
        <v>9.8362966981071498E-3</v>
      </c>
      <c r="BU108" s="3">
        <f>-(N70_DESARROLLO!BT23/0.014285714)*LN(N70_DESARROLLO!BT23/N70_DESARROLLO!BS23)-1</f>
        <v>9.6465214070291516E-3</v>
      </c>
      <c r="BV108" s="3">
        <f>-(N70_DESARROLLO!BU23/0.014285714)*LN(N70_DESARROLLO!BU23/N70_DESARROLLO!BT23)-1</f>
        <v>9.4639304737549335E-3</v>
      </c>
      <c r="BW108" s="3">
        <f>-(N70_DESARROLLO!BV23/0.014285714)*LN(N70_DESARROLLO!BV23/N70_DESARROLLO!BU23)-1</f>
        <v>9.2881235002080231E-3</v>
      </c>
      <c r="BX108" s="3">
        <f>-(N70_DESARROLLO!BW23/0.014285714)*LN(N70_DESARROLLO!BW23/N70_DESARROLLO!BV23)-1</f>
        <v>9.118729299437689E-3</v>
      </c>
      <c r="BY108" s="3">
        <f>-(N70_DESARROLLO!BX23/0.014285714)*LN(N70_DESARROLLO!BX23/N70_DESARROLLO!BW23)-1</f>
        <v>15.247855815745027</v>
      </c>
      <c r="BZ108" s="10"/>
      <c r="CA108" s="10"/>
      <c r="CB108" s="10"/>
      <c r="CC108" s="10"/>
      <c r="CD108" s="1">
        <v>14</v>
      </c>
      <c r="CE108" s="1">
        <v>0</v>
      </c>
      <c r="CF108" s="1">
        <f>(1+(N70_DESARROLLO!F23/0.014285714)*LN(N70_DESARROLLO!G23/N70_DESARROLLO!F23))</f>
        <v>-3.8974076117213929E-2</v>
      </c>
      <c r="CG108" s="1">
        <f>(1+(N70_DESARROLLO!G23/0.014285714)*LN(N70_DESARROLLO!H23/N70_DESARROLLO!G23))</f>
        <v>-4.2270132583541731E-2</v>
      </c>
      <c r="CH108" s="1">
        <f>(1+(N70_DESARROLLO!H23/0.014285714)*LN(N70_DESARROLLO!I23/N70_DESARROLLO!H23))</f>
        <v>-4.6175470289367082E-2</v>
      </c>
      <c r="CI108" s="1">
        <f>(1+(N70_DESARROLLO!I23/0.014285714)*LN(N70_DESARROLLO!J23/N70_DESARROLLO!I23))</f>
        <v>-5.0876335865841726E-2</v>
      </c>
      <c r="CJ108" s="1">
        <f>(1+(N70_DESARROLLO!J23/0.014285714)*LN(N70_DESARROLLO!K23/N70_DESARROLLO!J23))</f>
        <v>-5.6643554680002595E-2</v>
      </c>
      <c r="CK108" s="1">
        <f>(1+(N70_DESARROLLO!K23/0.014285714)*LN(N70_DESARROLLO!L23/N70_DESARROLLO!K23))</f>
        <v>-6.3886736386786103E-2</v>
      </c>
      <c r="CL108" s="1">
        <f>(1+(N70_DESARROLLO!L23/0.014285714)*LN(N70_DESARROLLO!M23/N70_DESARROLLO!L23))</f>
        <v>-7.3256348770176505E-2</v>
      </c>
      <c r="CM108" s="1">
        <f>(1+(N70_DESARROLLO!M23/0.014285714)*LN(N70_DESARROLLO!N23/N70_DESARROLLO!M23))</f>
        <v>-8.585157202761251E-2</v>
      </c>
      <c r="CN108" s="1">
        <f>(1+(N70_DESARROLLO!N23/0.014285714)*LN(N70_DESARROLLO!O23/N70_DESARROLLO!N23))</f>
        <v>-0.10368884711560789</v>
      </c>
      <c r="CO108" s="1">
        <f>(1+(N70_DESARROLLO!O23/0.014285714)*LN(N70_DESARROLLO!P23/N70_DESARROLLO!O23))</f>
        <v>-0.13091494988237695</v>
      </c>
      <c r="CP108" s="1">
        <f>(1+(N70_DESARROLLO!P23/0.014285714)*LN(N70_DESARROLLO!Q23/N70_DESARROLLO!P23))</f>
        <v>-0.17765285172730327</v>
      </c>
      <c r="CQ108" s="1">
        <f>(1+(N70_DESARROLLO!Q23/0.014285714)*LN(N70_DESARROLLO!R23/N70_DESARROLLO!Q23))</f>
        <v>-0.27706408495625956</v>
      </c>
      <c r="CR108" s="1">
        <f>(1+(N70_DESARROLLO!R23/0.014285714)*LN(N70_DESARROLLO!S23/N70_DESARROLLO!R23))</f>
        <v>-0.64791846596053615</v>
      </c>
      <c r="CS108" s="1">
        <v>1</v>
      </c>
      <c r="CT108" s="1">
        <f>(1+(N70_DESARROLLO!T23/0.014285714)*LN(N70_DESARROLLO!U23/N70_DESARROLLO!T23))</f>
        <v>0.45069384467982176</v>
      </c>
      <c r="CU108" s="1">
        <f>(1+(N70_DESARROLLO!U23/0.014285714)*LN(N70_DESARROLLO!V23/N70_DESARROLLO!U23))</f>
        <v>0.23376154902624457</v>
      </c>
      <c r="CV108" s="1">
        <f>(1+(N70_DESARROLLO!V23/0.014285714)*LN(N70_DESARROLLO!W23/N70_DESARROLLO!V23))</f>
        <v>0.15881939162335523</v>
      </c>
      <c r="CW108" s="1">
        <f>(1+(N70_DESARROLLO!W23/0.014285714)*LN(N70_DESARROLLO!X23/N70_DESARROLLO!W23))</f>
        <v>0.12039948342481965</v>
      </c>
      <c r="CX108" s="1">
        <f>(1+(N70_DESARROLLO!X23/0.014285714)*LN(N70_DESARROLLO!Y23/N70_DESARROLLO!X23))</f>
        <v>9.69818523599566E-2</v>
      </c>
      <c r="CY108" s="1">
        <f>(1+(N70_DESARROLLO!Y23/0.014285714)*LN(N70_DESARROLLO!Z23/N70_DESARROLLO!Y23))</f>
        <v>8.120251597663608E-2</v>
      </c>
      <c r="CZ108" s="1">
        <f>(1+(N70_DESARROLLO!Z23/0.014285714)*LN(N70_DESARROLLO!AA23/N70_DESARROLLO!Z23))</f>
        <v>6.9844497732512556E-2</v>
      </c>
      <c r="DA108" s="1">
        <f>(1+(N70_DESARROLLO!AA23/0.014285714)*LN(N70_DESARROLLO!AB23/N70_DESARROLLO!AA23))</f>
        <v>6.1276409070483151E-2</v>
      </c>
      <c r="DB108" s="1">
        <f>(1+(N70_DESARROLLO!AB23/0.014285714)*LN(N70_DESARROLLO!AC23/N70_DESARROLLO!AB23))</f>
        <v>5.4582082654734076E-2</v>
      </c>
      <c r="DC108" s="1">
        <f>(1+(N70_DESARROLLO!AC23/0.014285714)*LN(N70_DESARROLLO!AD23/N70_DESARROLLO!AC23))</f>
        <v>4.9207124692807414E-2</v>
      </c>
      <c r="DD108" s="1">
        <f>(1+(N70_DESARROLLO!AD23/0.014285714)*LN(N70_DESARROLLO!AE23/N70_DESARROLLO!AD23))</f>
        <v>4.4796309735794737E-2</v>
      </c>
      <c r="DE108" s="1">
        <f>(1+(N70_DESARROLLO!AE23/0.014285714)*LN(N70_DESARROLLO!AF23/N70_DESARROLLO!AE23))</f>
        <v>4.1111478023142856E-2</v>
      </c>
      <c r="DF108" s="1">
        <f>(1+(N70_DESARROLLO!AF23/0.014285714)*LN(N70_DESARROLLO!AG23/N70_DESARROLLO!AF23))</f>
        <v>3.7986966558139379E-2</v>
      </c>
      <c r="DG108" s="1">
        <f>(1+(N70_DESARROLLO!AG23/0.014285714)*LN(N70_DESARROLLO!AH23/N70_DESARROLLO!AG23))</f>
        <v>3.5303966947121235E-2</v>
      </c>
      <c r="DH108" s="1">
        <f>(1+(N70_DESARROLLO!AH23/0.014285714)*LN(N70_DESARROLLO!AI23/N70_DESARROLLO!AH23))</f>
        <v>3.297505042875204E-2</v>
      </c>
      <c r="DI108" s="1">
        <f>(1+(N70_DESARROLLO!AI23/0.014285714)*LN(N70_DESARROLLO!AJ23/N70_DESARROLLO!AI23))</f>
        <v>3.0934447408012988E-2</v>
      </c>
      <c r="DJ108" s="1">
        <f>(1+(N70_DESARROLLO!AJ23/0.014285714)*LN(N70_DESARROLLO!AK23/N70_DESARROLLO!AJ23))</f>
        <v>2.9131730204233652E-2</v>
      </c>
      <c r="DK108" s="1">
        <f>(1+(N70_DESARROLLO!AK23/0.014285714)*LN(N70_DESARROLLO!AL23/N70_DESARROLLO!AK23))</f>
        <v>2.7527585341362903E-2</v>
      </c>
      <c r="DL108" s="1">
        <f>(1+(N70_DESARROLLO!AL23/0.014285714)*LN(N70_DESARROLLO!AM23/N70_DESARROLLO!AL23))</f>
        <v>2.6090911041509512E-2</v>
      </c>
      <c r="DM108" s="1">
        <f>(1+(N70_DESARROLLO!AM23/0.014285714)*LN(N70_DESARROLLO!AN23/N70_DESARROLLO!AM23))</f>
        <v>2.4796779290037985E-2</v>
      </c>
      <c r="DN108" s="1">
        <f>(1+(N70_DESARROLLO!AN23/0.014285714)*LN(N70_DESARROLLO!AO23/N70_DESARROLLO!AN23))</f>
        <v>2.3624976192778924E-2</v>
      </c>
      <c r="DO108" s="1">
        <f>(1+(N70_DESARROLLO!AO23/0.014285714)*LN(N70_DESARROLLO!AP23/N70_DESARROLLO!AO23))</f>
        <v>2.2558937800898904E-2</v>
      </c>
      <c r="DP108" s="1">
        <f>(1+(N70_DESARROLLO!AP23/0.014285714)*LN(N70_DESARROLLO!AQ23/N70_DESARROLLO!AP23))</f>
        <v>2.1584961787569412E-2</v>
      </c>
      <c r="DQ108" s="1">
        <f>(1+(N70_DESARROLLO!AQ23/0.014285714)*LN(N70_DESARROLLO!AR23/N70_DESARROLLO!AQ23))</f>
        <v>2.0691615000487218E-2</v>
      </c>
      <c r="DR108" s="1">
        <f>(1+(N70_DESARROLLO!AR23/0.014285714)*LN(N70_DESARROLLO!AS23/N70_DESARROLLO!AR23))</f>
        <v>1.9869282361749896E-2</v>
      </c>
      <c r="DS108" s="1">
        <f>(1+(N70_DESARROLLO!AS23/0.014285714)*LN(N70_DESARROLLO!AT23/N70_DESARROLLO!AS23))</f>
        <v>1.9109819273400053E-2</v>
      </c>
      <c r="DT108" s="1">
        <f>(1+(N70_DESARROLLO!AT23/0.014285714)*LN(N70_DESARROLLO!AU23/N70_DESARROLLO!AT23))</f>
        <v>1.8406280838869304E-2</v>
      </c>
      <c r="DU108" s="1">
        <f>(1+(N70_DESARROLLO!AU23/0.014285714)*LN(N70_DESARROLLO!AV23/N70_DESARROLLO!AU23))</f>
        <v>1.7752708797880712E-2</v>
      </c>
      <c r="DV108" s="1">
        <f>(1+(N70_DESARROLLO!AV23/0.014285714)*LN(N70_DESARROLLO!AW23/N70_DESARROLLO!AV23))</f>
        <v>1.7143962314557393E-2</v>
      </c>
      <c r="DW108" s="1">
        <f>(1+(N70_DESARROLLO!AW23/0.014285714)*LN(N70_DESARROLLO!AX23/N70_DESARROLLO!AW23))</f>
        <v>1.6575582437549863E-2</v>
      </c>
      <c r="DX108" s="1">
        <f>(1+(N70_DESARROLLO!AX23/0.014285714)*LN(N70_DESARROLLO!AY23/N70_DESARROLLO!AX23))</f>
        <v>1.6043682665125125E-2</v>
      </c>
      <c r="DY108" s="1">
        <f>(1+(N70_DESARROLLO!AY23/0.014285714)*LN(N70_DESARROLLO!AZ23/N70_DESARROLLO!AY23))</f>
        <v>1.5544859931604593E-2</v>
      </c>
      <c r="DZ108" s="1">
        <f>(1+(N70_DESARROLLO!AZ23/0.014285714)*LN(N70_DESARROLLO!BA23/N70_DESARROLLO!AZ23))</f>
        <v>1.5076121703334833E-2</v>
      </c>
      <c r="EA108" s="1">
        <f>(1+(N70_DESARROLLO!BA23/0.014285714)*LN(N70_DESARROLLO!BB23/N70_DESARROLLO!BA23))</f>
        <v>1.4634825881867375E-2</v>
      </c>
      <c r="EB108" s="1">
        <f>(1+(N70_DESARROLLO!BB23/0.014285714)*LN(N70_DESARROLLO!BC23/N70_DESARROLLO!BB23))</f>
        <v>1.4218630964442425E-2</v>
      </c>
      <c r="EC108" s="1">
        <f>(1+(N70_DESARROLLO!BC23/0.014285714)*LN(N70_DESARROLLO!BD23/N70_DESARROLLO!BC23))</f>
        <v>1.3825454475315135E-2</v>
      </c>
      <c r="ED108" s="1">
        <f>(1+(N70_DESARROLLO!BD23/0.014285714)*LN(N70_DESARROLLO!BE23/N70_DESARROLLO!BD23))</f>
        <v>1.3453438110017868E-2</v>
      </c>
      <c r="EE108" s="1">
        <f>(1+(N70_DESARROLLO!BE23/0.014285714)*LN(N70_DESARROLLO!BF23/N70_DESARROLLO!BE23))</f>
        <v>1.3100918360509306E-2</v>
      </c>
      <c r="EF108" s="1">
        <f>(1+(N70_DESARROLLO!BF23/0.014285714)*LN(N70_DESARROLLO!BG23/N70_DESARROLLO!BF23))</f>
        <v>1.2766401641828296E-2</v>
      </c>
      <c r="EG108" s="1">
        <f>(1+(N70_DESARROLLO!BG23/0.014285714)*LN(N70_DESARROLLO!BH23/N70_DESARROLLO!BG23))</f>
        <v>1.2448543134991996E-2</v>
      </c>
      <c r="EH108" s="1">
        <f>(1+(N70_DESARROLLO!BH23/0.014285714)*LN(N70_DESARROLLO!BI23/N70_DESARROLLO!BH23))</f>
        <v>1.2146128714472515E-2</v>
      </c>
      <c r="EI108" s="1">
        <f>(1+(N70_DESARROLLO!BI23/0.014285714)*LN(N70_DESARROLLO!BJ23/N70_DESARROLLO!BI23))</f>
        <v>1.1858059447847902E-2</v>
      </c>
      <c r="EJ108" s="1">
        <f>(1+(N70_DESARROLLO!BJ23/0.014285714)*LN(N70_DESARROLLO!BK23/N70_DESARROLLO!BJ23))</f>
        <v>1.1583338250302444E-2</v>
      </c>
      <c r="EK108" s="1">
        <f>(1+(N70_DESARROLLO!BK23/0.014285714)*LN(N70_DESARROLLO!BL23/N70_DESARROLLO!BK23))</f>
        <v>1.1321058352731117E-2</v>
      </c>
      <c r="EL108" s="1">
        <f>(1+(N70_DESARROLLO!BL23/0.014285714)*LN(N70_DESARROLLO!BM23/N70_DESARROLLO!BL23))</f>
        <v>1.1070393301801484E-2</v>
      </c>
      <c r="EM108" s="1">
        <f>(1+(N70_DESARROLLO!BM23/0.014285714)*LN(N70_DESARROLLO!BN23/N70_DESARROLLO!BM23))</f>
        <v>1.0830588260146934E-2</v>
      </c>
      <c r="EN108" s="1">
        <f>(1+(N70_DESARROLLO!BN23/0.014285714)*LN(N70_DESARROLLO!BO23/N70_DESARROLLO!BN23))</f>
        <v>1.0600952413272191E-2</v>
      </c>
      <c r="EO108" s="1">
        <f>(1+(N70_DESARROLLO!BO23/0.014285714)*LN(N70_DESARROLLO!BP23/N70_DESARROLLO!BO23))</f>
        <v>1.0380852322629863E-2</v>
      </c>
      <c r="EP108" s="1">
        <f>(1+(N70_DESARROLLO!BP23/0.014285714)*LN(N70_DESARROLLO!BQ23/N70_DESARROLLO!BP23))</f>
        <v>1.0169706089842467E-2</v>
      </c>
      <c r="EQ108" s="1">
        <f>(1+(N70_DESARROLLO!BQ23/0.014285714)*LN(N70_DESARROLLO!BR23/N70_DESARROLLO!BQ23))</f>
        <v>9.9669782192024492E-3</v>
      </c>
      <c r="ER108" s="1">
        <f>(1+(N70_DESARROLLO!BR23/0.014285714)*LN(N70_DESARROLLO!BS23/N70_DESARROLLO!BR23))</f>
        <v>9.77217508243855E-3</v>
      </c>
      <c r="ES108" s="1">
        <f>(1+(N70_DESARROLLO!BS23/0.014285714)*LN(N70_DESARROLLO!BT23/N70_DESARROLLO!BS23))</f>
        <v>9.5848409054859474E-3</v>
      </c>
      <c r="ET108" s="1">
        <f>(1+(N70_DESARROLLO!BT23/0.014285714)*LN(N70_DESARROLLO!BU23/N70_DESARROLLO!BT23))</f>
        <v>9.404554207997462E-3</v>
      </c>
      <c r="EU108" s="1">
        <f>(1+(N70_DESARROLLO!BU23/0.014285714)*LN(N70_DESARROLLO!BV23/N70_DESARROLLO!BU23))</f>
        <v>9.230924637410709E-3</v>
      </c>
      <c r="EV108" s="1">
        <f>(1+(N70_DESARROLLO!BV23/0.014285714)*LN(N70_DESARROLLO!BW23/N70_DESARROLLO!BV23))</f>
        <v>9.0635901473987701E-3</v>
      </c>
      <c r="EW108" s="1">
        <f>(1+(N70_DESARROLLO!BW23/0.014285714)*LN(N70_DESARROLLO!BX23/N70_DESARROLLO!BW23))</f>
        <v>-11.882228539626414</v>
      </c>
      <c r="EX108" s="10"/>
      <c r="EY108" s="10"/>
    </row>
    <row r="109" spans="5:155" x14ac:dyDescent="0.25">
      <c r="G109" s="3">
        <v>15</v>
      </c>
      <c r="H109" s="3">
        <f>-(N70_DESARROLLO!G24/0.014285714)*LN(N70_DESARROLLO!G24/N70_DESARROLLO!F24)-1</f>
        <v>-3.5303966947122234E-2</v>
      </c>
      <c r="I109" s="3">
        <f>-(N70_DESARROLLO!H24/0.014285714)*LN(N70_DESARROLLO!H24/N70_DESARROLLO!G24)-1</f>
        <v>-3.7986966558135382E-2</v>
      </c>
      <c r="J109" s="3">
        <f>-(N70_DESARROLLO!I24/0.014285714)*LN(N70_DESARROLLO!I24/N70_DESARROLLO!H24)-1</f>
        <v>-4.1111478023141634E-2</v>
      </c>
      <c r="K109" s="3">
        <f>-(N70_DESARROLLO!J24/0.014285714)*LN(N70_DESARROLLO!J24/N70_DESARROLLO!I24)-1</f>
        <v>-4.4796309735797957E-2</v>
      </c>
      <c r="L109" s="3">
        <f>-(N70_DESARROLLO!K24/0.014285714)*LN(N70_DESARROLLO!K24/N70_DESARROLLO!J24)-1</f>
        <v>-4.9207124692808524E-2</v>
      </c>
      <c r="M109" s="3">
        <f>-(N70_DESARROLLO!L24/0.014285714)*LN(N70_DESARROLLO!L24/N70_DESARROLLO!K24)-1</f>
        <v>-5.4582082654734521E-2</v>
      </c>
      <c r="N109" s="3">
        <f>-(N70_DESARROLLO!M24/0.014285714)*LN(N70_DESARROLLO!M24/N70_DESARROLLO!L24)-1</f>
        <v>-6.1276409070483928E-2</v>
      </c>
      <c r="O109" s="3">
        <f>-(N70_DESARROLLO!N24/0.014285714)*LN(N70_DESARROLLO!N24/N70_DESARROLLO!M24)-1</f>
        <v>-6.9844497732512667E-2</v>
      </c>
      <c r="P109" s="3">
        <f>-(N70_DESARROLLO!O24/0.014285714)*LN(N70_DESARROLLO!O24/N70_DESARROLLO!N24)-1</f>
        <v>-8.1202515976636969E-2</v>
      </c>
      <c r="Q109" s="3">
        <f>-(N70_DESARROLLO!P24/0.014285714)*LN(N70_DESARROLLO!P24/N70_DESARROLLO!O24)-1</f>
        <v>-9.69818523599566E-2</v>
      </c>
      <c r="R109" s="3">
        <f>-(N70_DESARROLLO!Q24/0.014285714)*LN(N70_DESARROLLO!Q24/N70_DESARROLLO!P24)-1</f>
        <v>-0.12039948342481799</v>
      </c>
      <c r="S109" s="3">
        <f>-(N70_DESARROLLO!R24/0.014285714)*LN(N70_DESARROLLO!R24/N70_DESARROLLO!Q24)-1</f>
        <v>-0.15881939162335501</v>
      </c>
      <c r="T109" s="3">
        <f>-(N70_DESARROLLO!S24/0.014285714)*LN(N70_DESARROLLO!S24/N70_DESARROLLO!R24)-1</f>
        <v>-0.2337615490262448</v>
      </c>
      <c r="U109" s="3">
        <f>-(N70_DESARROLLO!T24/0.014285714)*LN(N70_DESARROLLO!T24/N70_DESARROLLO!S24)-1</f>
        <v>-0.45069384467982243</v>
      </c>
      <c r="V109" s="3">
        <v>-1</v>
      </c>
      <c r="W109" s="3">
        <f>-(N70_DESARROLLO!V24/0.014285714)*LN(N70_DESARROLLO!V24/N70_DESARROLLO!U24)-1</f>
        <v>0.6479184659605346</v>
      </c>
      <c r="X109" s="3">
        <f>-(N70_DESARROLLO!W24/0.014285714)*LN(N70_DESARROLLO!W24/N70_DESARROLLO!V24)-1</f>
        <v>0.27706408495625889</v>
      </c>
      <c r="Y109" s="3">
        <f>-(N70_DESARROLLO!X24/0.014285714)*LN(N70_DESARROLLO!X24/N70_DESARROLLO!W24)-1</f>
        <v>0.17765285172730017</v>
      </c>
      <c r="Z109" s="3">
        <f>-(N70_DESARROLLO!Y24/0.014285714)*LN(N70_DESARROLLO!Y24/N70_DESARROLLO!X24)-1</f>
        <v>0.13091494988237651</v>
      </c>
      <c r="AA109" s="3">
        <f>-(N70_DESARROLLO!Z24/0.014285714)*LN(N70_DESARROLLO!Z24/N70_DESARROLLO!Y24)-1</f>
        <v>0.10368884711560877</v>
      </c>
      <c r="AB109" s="3">
        <f>-(N70_DESARROLLO!AA24/0.014285714)*LN(N70_DESARROLLO!AA24/N70_DESARROLLO!Z24)-1</f>
        <v>8.5851572027612066E-2</v>
      </c>
      <c r="AC109" s="3">
        <f>-(N70_DESARROLLO!AB24/0.014285714)*LN(N70_DESARROLLO!AB24/N70_DESARROLLO!AA24)-1</f>
        <v>7.3256348770177837E-2</v>
      </c>
      <c r="AD109" s="3">
        <f>-(N70_DESARROLLO!AC24/0.014285714)*LN(N70_DESARROLLO!AC24/N70_DESARROLLO!AB24)-1</f>
        <v>6.3886736386785881E-2</v>
      </c>
      <c r="AE109" s="3">
        <f>-(N70_DESARROLLO!AD24/0.014285714)*LN(N70_DESARROLLO!AD24/N70_DESARROLLO!AC24)-1</f>
        <v>5.6643554680003039E-2</v>
      </c>
      <c r="AF109" s="3">
        <f>-(N70_DESARROLLO!AE24/0.014285714)*LN(N70_DESARROLLO!AE24/N70_DESARROLLO!AD24)-1</f>
        <v>5.0876335865844613E-2</v>
      </c>
      <c r="AG109" s="3">
        <f>-(N70_DESARROLLO!AF24/0.014285714)*LN(N70_DESARROLLO!AF24/N70_DESARROLLO!AE24)-1</f>
        <v>4.6175470289367526E-2</v>
      </c>
      <c r="AH109" s="3">
        <f>-(N70_DESARROLLO!AG24/0.014285714)*LN(N70_DESARROLLO!AG24/N70_DESARROLLO!AF24)-1</f>
        <v>4.2270132583537512E-2</v>
      </c>
      <c r="AI109" s="3">
        <f>-(N70_DESARROLLO!AH24/0.014285714)*LN(N70_DESARROLLO!AH24/N70_DESARROLLO!AG24)-1</f>
        <v>3.8974076117214818E-2</v>
      </c>
      <c r="AJ109" s="3">
        <f>-(N70_DESARROLLO!AI24/0.014285714)*LN(N70_DESARROLLO!AI24/N70_DESARROLLO!AH24)-1</f>
        <v>3.6154998464203114E-2</v>
      </c>
      <c r="AK109" s="3">
        <f>-(N70_DESARROLLO!AJ24/0.014285714)*LN(N70_DESARROLLO!AJ24/N70_DESARROLLO!AI24)-1</f>
        <v>3.3716325403748026E-2</v>
      </c>
      <c r="AL109" s="3">
        <f>-(N70_DESARROLLO!AK24/0.014285714)*LN(N70_DESARROLLO!AK24/N70_DESARROLLO!AJ24)-1</f>
        <v>3.158591082372797E-2</v>
      </c>
      <c r="AM109" s="3">
        <f>-(N70_DESARROLLO!AL24/0.014285714)*LN(N70_DESARROLLO!AL24/N70_DESARROLLO!AK24)-1</f>
        <v>2.9708770995509948E-2</v>
      </c>
      <c r="AN109" s="3">
        <f>-(N70_DESARROLLO!AM24/0.014285714)*LN(N70_DESARROLLO!AM24/N70_DESARROLLO!AL24)-1</f>
        <v>2.8042266924845016E-2</v>
      </c>
      <c r="AO109" s="3">
        <f>-(N70_DESARROLLO!AN24/0.014285714)*LN(N70_DESARROLLO!AN24/N70_DESARROLLO!AM24)-1</f>
        <v>2.6552823496787115E-2</v>
      </c>
      <c r="AP109" s="3">
        <f>-(N70_DESARROLLO!AO24/0.014285714)*LN(N70_DESARROLLO!AO24/N70_DESARROLLO!AN24)-1</f>
        <v>2.5213642284831916E-2</v>
      </c>
      <c r="AQ109" s="3">
        <f>-(N70_DESARROLLO!AP24/0.014285714)*LN(N70_DESARROLLO!AP24/N70_DESARROLLO!AO24)-1</f>
        <v>2.4003073749031989E-2</v>
      </c>
      <c r="AR109" s="3">
        <f>-(N70_DESARROLLO!AQ24/0.014285714)*LN(N70_DESARROLLO!AQ24/N70_DESARROLLO!AP24)-1</f>
        <v>2.290343718511556E-2</v>
      </c>
      <c r="AS109" s="3">
        <f>-(N70_DESARROLLO!AR24/0.014285714)*LN(N70_DESARROLLO!AR24/N70_DESARROLLO!AQ24)-1</f>
        <v>2.1900151021861713E-2</v>
      </c>
      <c r="AT109" s="3">
        <f>-(N70_DESARROLLO!AS24/0.014285714)*LN(N70_DESARROLLO!AS24/N70_DESARROLLO!AR24)-1</f>
        <v>2.0981082233545001E-2</v>
      </c>
      <c r="AU109" s="3">
        <f>-(N70_DESARROLLO!AT24/0.014285714)*LN(N70_DESARROLLO!AT24/N70_DESARROLLO!AS24)-1</f>
        <v>2.0136053052045355E-2</v>
      </c>
      <c r="AV109" s="3">
        <f>-(N70_DESARROLLO!AU24/0.014285714)*LN(N70_DESARROLLO!AU24/N70_DESARROLLO!AT24)-1</f>
        <v>1.935646232372723E-2</v>
      </c>
      <c r="AW109" s="3">
        <f>-(N70_DESARROLLO!AV24/0.014285714)*LN(N70_DESARROLLO!AV24/N70_DESARROLLO!AU24)-1</f>
        <v>1.8634991582293425E-2</v>
      </c>
      <c r="AX109" s="3">
        <f>-(N70_DESARROLLO!AW24/0.014285714)*LN(N70_DESARROLLO!AW24/N70_DESARROLLO!AV24)-1</f>
        <v>1.7965374518559729E-2</v>
      </c>
      <c r="AY109" s="3">
        <f>-(N70_DESARROLLO!AX24/0.014285714)*LN(N70_DESARROLLO!AX24/N70_DESARROLLO!AW24)-1</f>
        <v>1.7342214446341764E-2</v>
      </c>
      <c r="AZ109" s="3">
        <f>-(N70_DESARROLLO!AY24/0.014285714)*LN(N70_DESARROLLO!AY24/N70_DESARROLLO!AX24)-1</f>
        <v>1.6760838496763908E-2</v>
      </c>
      <c r="BA109" s="3">
        <f>-(N70_DESARROLLO!AZ24/0.014285714)*LN(N70_DESARROLLO!AZ24/N70_DESARROLLO!AY24)-1</f>
        <v>1.6217180198320191E-2</v>
      </c>
      <c r="BB109" s="3">
        <f>-(N70_DESARROLLO!BA24/0.014285714)*LN(N70_DESARROLLO!BA24/N70_DESARROLLO!AZ24)-1</f>
        <v>1.570768419754387E-2</v>
      </c>
      <c r="BC109" s="3">
        <f>-(N70_DESARROLLO!BB24/0.014285714)*LN(N70_DESARROLLO!BB24/N70_DESARROLLO!BA24)-1</f>
        <v>1.5229228398107919E-2</v>
      </c>
      <c r="BD109" s="3">
        <f>-(N70_DESARROLLO!BC24/0.014285714)*LN(N70_DESARROLLO!BC24/N70_DESARROLLO!BB24)-1</f>
        <v>1.4779059912696235E-2</v>
      </c>
      <c r="BE109" s="3">
        <f>-(N70_DESARROLLO!BD24/0.014285714)*LN(N70_DESARROLLO!BD24/N70_DESARROLLO!BC24)-1</f>
        <v>1.4354742051081004E-2</v>
      </c>
      <c r="BF109" s="3">
        <f>-(N70_DESARROLLO!BE24/0.014285714)*LN(N70_DESARROLLO!BE24/N70_DESARROLLO!BD24)-1</f>
        <v>1.395411018734416E-2</v>
      </c>
      <c r="BG109" s="3">
        <f>-(N70_DESARROLLO!BF24/0.014285714)*LN(N70_DESARROLLO!BF24/N70_DESARROLLO!BE24)-1</f>
        <v>1.3575234818490989E-2</v>
      </c>
      <c r="BH109" s="3">
        <f>-(N70_DESARROLLO!BG24/0.014285714)*LN(N70_DESARROLLO!BG24/N70_DESARROLLO!BF24)-1</f>
        <v>1.3216390483202334E-2</v>
      </c>
      <c r="BI109" s="3">
        <f>-(N70_DESARROLLO!BH24/0.014285714)*LN(N70_DESARROLLO!BH24/N70_DESARROLLO!BG24)-1</f>
        <v>1.2876029484357954E-2</v>
      </c>
      <c r="BJ109" s="3">
        <f>-(N70_DESARROLLO!BI24/0.014285714)*LN(N70_DESARROLLO!BI24/N70_DESARROLLO!BH24)-1</f>
        <v>1.25527595704511E-2</v>
      </c>
      <c r="BK109" s="3">
        <f>-(N70_DESARROLLO!BJ24/0.014285714)*LN(N70_DESARROLLO!BJ24/N70_DESARROLLO!BI24)-1</f>
        <v>1.224532489750696E-2</v>
      </c>
      <c r="BL109" s="3">
        <f>-(N70_DESARROLLO!BK24/0.014285714)*LN(N70_DESARROLLO!BK24/N70_DESARROLLO!BJ24)-1</f>
        <v>1.1952589722102003E-2</v>
      </c>
      <c r="BM109" s="3">
        <f>-(N70_DESARROLLO!BL24/0.014285714)*LN(N70_DESARROLLO!BL24/N70_DESARROLLO!BK24)-1</f>
        <v>1.1673524379093081E-2</v>
      </c>
      <c r="BN109" s="3">
        <f>-(N70_DESARROLLO!BM24/0.014285714)*LN(N70_DESARROLLO!BM24/N70_DESARROLLO!BL24)-1</f>
        <v>1.1407193179389985E-2</v>
      </c>
      <c r="BO109" s="3">
        <f>-(N70_DESARROLLO!BN24/0.014285714)*LN(N70_DESARROLLO!BN24/N70_DESARROLLO!BM24)-1</f>
        <v>1.1152743927361541E-2</v>
      </c>
      <c r="BP109" s="3">
        <f>-(N70_DESARROLLO!BO24/0.014285714)*LN(N70_DESARROLLO!BO24/N70_DESARROLLO!BN24)-1</f>
        <v>1.0909398811078885E-2</v>
      </c>
      <c r="BQ109" s="3">
        <f>-(N70_DESARROLLO!BP24/0.014285714)*LN(N70_DESARROLLO!BP24/N70_DESARROLLO!BO24)-1</f>
        <v>1.0676446459560784E-2</v>
      </c>
      <c r="BR109" s="3">
        <f>-(N70_DESARROLLO!BQ24/0.014285714)*LN(N70_DESARROLLO!BQ24/N70_DESARROLLO!BP24)-1</f>
        <v>1.0453234996893546E-2</v>
      </c>
      <c r="BS109" s="3">
        <f>-(N70_DESARROLLO!BR24/0.014285714)*LN(N70_DESARROLLO!BR24/N70_DESARROLLO!BQ24)-1</f>
        <v>1.0239165949531337E-2</v>
      </c>
      <c r="BT109" s="3">
        <f>-(N70_DESARROLLO!BS24/0.014285714)*LN(N70_DESARROLLO!BS24/N70_DESARROLLO!BR24)-1</f>
        <v>1.003368888748013E-2</v>
      </c>
      <c r="BU109" s="3">
        <f>-(N70_DESARROLLO!BT24/0.014285714)*LN(N70_DESARROLLO!BT24/N70_DESARROLLO!BS24)-1</f>
        <v>9.8362966981186961E-3</v>
      </c>
      <c r="BV109" s="3">
        <f>-(N70_DESARROLLO!BU24/0.014285714)*LN(N70_DESARROLLO!BU24/N70_DESARROLLO!BT24)-1</f>
        <v>9.6465214070291516E-3</v>
      </c>
      <c r="BW109" s="3">
        <f>-(N70_DESARROLLO!BV24/0.014285714)*LN(N70_DESARROLLO!BV24/N70_DESARROLLO!BU24)-1</f>
        <v>9.4639304737549335E-3</v>
      </c>
      <c r="BX109" s="3">
        <f>-(N70_DESARROLLO!BW24/0.014285714)*LN(N70_DESARROLLO!BW24/N70_DESARROLLO!BV24)-1</f>
        <v>9.2881235002078011E-3</v>
      </c>
      <c r="BY109" s="3">
        <f>-(N70_DESARROLLO!BX24/0.014285714)*LN(N70_DESARROLLO!BX24/N70_DESARROLLO!BW24)-1</f>
        <v>16.520618177023607</v>
      </c>
      <c r="BZ109" s="10"/>
      <c r="CA109" s="10"/>
      <c r="CB109" s="10"/>
      <c r="CC109" s="10"/>
      <c r="CD109">
        <v>15</v>
      </c>
      <c r="CE109" s="1">
        <v>0</v>
      </c>
      <c r="CF109" s="1">
        <f>(1+(N70_DESARROLLO!F24/0.014285714)*LN(N70_DESARROLLO!G24/N70_DESARROLLO!F24))</f>
        <v>-3.6154998464202004E-2</v>
      </c>
      <c r="CG109" s="1">
        <f>(1+(N70_DESARROLLO!G24/0.014285714)*LN(N70_DESARROLLO!H24/N70_DESARROLLO!G24))</f>
        <v>-3.8974076117213929E-2</v>
      </c>
      <c r="CH109" s="1">
        <f>(1+(N70_DESARROLLO!H24/0.014285714)*LN(N70_DESARROLLO!I24/N70_DESARROLLO!H24))</f>
        <v>-4.2270132583541731E-2</v>
      </c>
      <c r="CI109" s="1">
        <f>(1+(N70_DESARROLLO!I24/0.014285714)*LN(N70_DESARROLLO!J24/N70_DESARROLLO!I24))</f>
        <v>-4.6175470289364196E-2</v>
      </c>
      <c r="CJ109" s="1">
        <f>(1+(N70_DESARROLLO!J24/0.014285714)*LN(N70_DESARROLLO!K24/N70_DESARROLLO!J24))</f>
        <v>-5.0876335865843281E-2</v>
      </c>
      <c r="CK109" s="1">
        <f>(1+(N70_DESARROLLO!K24/0.014285714)*LN(N70_DESARROLLO!L24/N70_DESARROLLO!K24))</f>
        <v>-5.6643554680002595E-2</v>
      </c>
      <c r="CL109" s="1">
        <f>(1+(N70_DESARROLLO!L24/0.014285714)*LN(N70_DESARROLLO!M24/N70_DESARROLLO!L24))</f>
        <v>-6.3886736386784992E-2</v>
      </c>
      <c r="CM109" s="1">
        <f>(1+(N70_DESARROLLO!M24/0.014285714)*LN(N70_DESARROLLO!N24/N70_DESARROLLO!M24))</f>
        <v>-7.3256348770177615E-2</v>
      </c>
      <c r="CN109" s="1">
        <f>(1+(N70_DESARROLLO!N24/0.014285714)*LN(N70_DESARROLLO!O24/N70_DESARROLLO!N24))</f>
        <v>-8.5851572027610734E-2</v>
      </c>
      <c r="CO109" s="1">
        <f>(1+(N70_DESARROLLO!O24/0.014285714)*LN(N70_DESARROLLO!P24/N70_DESARROLLO!O24))</f>
        <v>-0.10368884711560877</v>
      </c>
      <c r="CP109" s="1">
        <f>(1+(N70_DESARROLLO!P24/0.014285714)*LN(N70_DESARROLLO!Q24/N70_DESARROLLO!P24))</f>
        <v>-0.13091494988237695</v>
      </c>
      <c r="CQ109" s="1">
        <f>(1+(N70_DESARROLLO!Q24/0.014285714)*LN(N70_DESARROLLO!R24/N70_DESARROLLO!Q24))</f>
        <v>-0.17765285172730327</v>
      </c>
      <c r="CR109" s="1">
        <f>(1+(N70_DESARROLLO!R24/0.014285714)*LN(N70_DESARROLLO!S24/N70_DESARROLLO!R24))</f>
        <v>-0.27706408495625956</v>
      </c>
      <c r="CS109" s="1">
        <f>(1+(N70_DESARROLLO!S24/0.014285714)*LN(N70_DESARROLLO!T24/N70_DESARROLLO!S24))</f>
        <v>-0.64791846596053038</v>
      </c>
      <c r="CT109" s="1">
        <v>1</v>
      </c>
      <c r="CU109" s="1">
        <f>(1+(N70_DESARROLLO!U24/0.014285714)*LN(N70_DESARROLLO!V24/N70_DESARROLLO!U24))</f>
        <v>0.45069384467982176</v>
      </c>
      <c r="CV109" s="1">
        <f>(1+(N70_DESARROLLO!V24/0.014285714)*LN(N70_DESARROLLO!W24/N70_DESARROLLO!V24))</f>
        <v>0.23376154902624457</v>
      </c>
      <c r="CW109" s="1">
        <f>(1+(N70_DESARROLLO!W24/0.014285714)*LN(N70_DESARROLLO!X24/N70_DESARROLLO!W24))</f>
        <v>0.15881939162335657</v>
      </c>
      <c r="CX109" s="1">
        <f>(1+(N70_DESARROLLO!X24/0.014285714)*LN(N70_DESARROLLO!Y24/N70_DESARROLLO!X24))</f>
        <v>0.12039948342481821</v>
      </c>
      <c r="CY109" s="1">
        <f>(1+(N70_DESARROLLO!Y24/0.014285714)*LN(N70_DESARROLLO!Z24/N70_DESARROLLO!Y24))</f>
        <v>9.69818523599566E-2</v>
      </c>
      <c r="CZ109" s="1">
        <f>(1+(N70_DESARROLLO!Z24/0.014285714)*LN(N70_DESARROLLO!AA24/N70_DESARROLLO!Z24))</f>
        <v>8.120251597663608E-2</v>
      </c>
      <c r="DA109" s="1">
        <f>(1+(N70_DESARROLLO!AA24/0.014285714)*LN(N70_DESARROLLO!AB24/N70_DESARROLLO!AA24))</f>
        <v>6.9844497732512556E-2</v>
      </c>
      <c r="DB109" s="1">
        <f>(1+(N70_DESARROLLO!AB24/0.014285714)*LN(N70_DESARROLLO!AC24/N70_DESARROLLO!AB24))</f>
        <v>6.1276409070483151E-2</v>
      </c>
      <c r="DC109" s="1">
        <f>(1+(N70_DESARROLLO!AC24/0.014285714)*LN(N70_DESARROLLO!AD24/N70_DESARROLLO!AC24))</f>
        <v>5.4582082654734076E-2</v>
      </c>
      <c r="DD109" s="1">
        <f>(1+(N70_DESARROLLO!AD24/0.014285714)*LN(N70_DESARROLLO!AE24/N70_DESARROLLO!AD24))</f>
        <v>4.9207124692807414E-2</v>
      </c>
      <c r="DE109" s="1">
        <f>(1+(N70_DESARROLLO!AE24/0.014285714)*LN(N70_DESARROLLO!AF24/N70_DESARROLLO!AE24))</f>
        <v>4.4796309735794737E-2</v>
      </c>
      <c r="DF109" s="1">
        <f>(1+(N70_DESARROLLO!AF24/0.014285714)*LN(N70_DESARROLLO!AG24/N70_DESARROLLO!AF24))</f>
        <v>4.1111478023145187E-2</v>
      </c>
      <c r="DG109" s="1">
        <f>(1+(N70_DESARROLLO!AG24/0.014285714)*LN(N70_DESARROLLO!AH24/N70_DESARROLLO!AG24))</f>
        <v>3.7986966558134605E-2</v>
      </c>
      <c r="DH109" s="1">
        <f>(1+(N70_DESARROLLO!AH24/0.014285714)*LN(N70_DESARROLLO!AI24/N70_DESARROLLO!AH24))</f>
        <v>3.5303966947121235E-2</v>
      </c>
      <c r="DI109" s="1">
        <f>(1+(N70_DESARROLLO!AI24/0.014285714)*LN(N70_DESARROLLO!AJ24/N70_DESARROLLO!AI24))</f>
        <v>3.297505042875204E-2</v>
      </c>
      <c r="DJ109" s="1">
        <f>(1+(N70_DESARROLLO!AJ24/0.014285714)*LN(N70_DESARROLLO!AK24/N70_DESARROLLO!AJ24))</f>
        <v>3.0934447408012988E-2</v>
      </c>
      <c r="DK109" s="1">
        <f>(1+(N70_DESARROLLO!AK24/0.014285714)*LN(N70_DESARROLLO!AL24/N70_DESARROLLO!AK24))</f>
        <v>2.9131730204233652E-2</v>
      </c>
      <c r="DL109" s="1">
        <f>(1+(N70_DESARROLLO!AL24/0.014285714)*LN(N70_DESARROLLO!AM24/N70_DESARROLLO!AL24))</f>
        <v>2.7527585341362903E-2</v>
      </c>
      <c r="DM109" s="1">
        <f>(1+(N70_DESARROLLO!AM24/0.014285714)*LN(N70_DESARROLLO!AN24/N70_DESARROLLO!AM24))</f>
        <v>2.6090911041509512E-2</v>
      </c>
      <c r="DN109" s="1">
        <f>(1+(N70_DESARROLLO!AN24/0.014285714)*LN(N70_DESARROLLO!AO24/N70_DESARROLLO!AN24))</f>
        <v>2.4796779290037985E-2</v>
      </c>
      <c r="DO109" s="1">
        <f>(1+(N70_DESARROLLO!AO24/0.014285714)*LN(N70_DESARROLLO!AP24/N70_DESARROLLO!AO24))</f>
        <v>2.3624976192783254E-2</v>
      </c>
      <c r="DP109" s="1">
        <f>(1+(N70_DESARROLLO!AP24/0.014285714)*LN(N70_DESARROLLO!AQ24/N70_DESARROLLO!AP24))</f>
        <v>2.25589378008898E-2</v>
      </c>
      <c r="DQ109" s="1">
        <f>(1+(N70_DESARROLLO!AQ24/0.014285714)*LN(N70_DESARROLLO!AR24/N70_DESARROLLO!AQ24))</f>
        <v>2.1584961787578849E-2</v>
      </c>
      <c r="DR109" s="1">
        <f>(1+(N70_DESARROLLO!AR24/0.014285714)*LN(N70_DESARROLLO!AS24/N70_DESARROLLO!AR24))</f>
        <v>2.0691615000477448E-2</v>
      </c>
      <c r="DS109" s="1">
        <f>(1+(N70_DESARROLLO!AS24/0.014285714)*LN(N70_DESARROLLO!AT24/N70_DESARROLLO!AS24))</f>
        <v>1.9869282361760221E-2</v>
      </c>
      <c r="DT109" s="1">
        <f>(1+(N70_DESARROLLO!AT24/0.014285714)*LN(N70_DESARROLLO!AU24/N70_DESARROLLO!AT24))</f>
        <v>1.9109819273394724E-2</v>
      </c>
      <c r="DU109" s="1">
        <f>(1+(N70_DESARROLLO!AU24/0.014285714)*LN(N70_DESARROLLO!AV24/N70_DESARROLLO!AU24))</f>
        <v>1.8406280838880629E-2</v>
      </c>
      <c r="DV109" s="1">
        <f>(1+(N70_DESARROLLO!AV24/0.014285714)*LN(N70_DESARROLLO!AW24/N70_DESARROLLO!AV24))</f>
        <v>1.7752708797880823E-2</v>
      </c>
      <c r="DW109" s="1">
        <f>(1+(N70_DESARROLLO!AW24/0.014285714)*LN(N70_DESARROLLO!AX24/N70_DESARROLLO!AW24))</f>
        <v>1.7143962314551398E-2</v>
      </c>
      <c r="DX109" s="1">
        <f>(1+(N70_DESARROLLO!AX24/0.014285714)*LN(N70_DESARROLLO!AY24/N70_DESARROLLO!AX24))</f>
        <v>1.657558243755608E-2</v>
      </c>
      <c r="DY109" s="1">
        <f>(1+(N70_DESARROLLO!AY24/0.014285714)*LN(N70_DESARROLLO!AZ24/N70_DESARROLLO!AY24))</f>
        <v>1.6043682665118797E-2</v>
      </c>
      <c r="DZ109" s="1">
        <f>(1+(N70_DESARROLLO!AZ24/0.014285714)*LN(N70_DESARROLLO!BA24/N70_DESARROLLO!AZ24))</f>
        <v>1.5544859931611255E-2</v>
      </c>
      <c r="EA109" s="1">
        <f>(1+(N70_DESARROLLO!BA24/0.014285714)*LN(N70_DESARROLLO!BB24/N70_DESARROLLO!BA24))</f>
        <v>1.507612170332806E-2</v>
      </c>
      <c r="EB109" s="1">
        <f>(1+(N70_DESARROLLO!BB24/0.014285714)*LN(N70_DESARROLLO!BC24/N70_DESARROLLO!BB24))</f>
        <v>1.4634825881874591E-2</v>
      </c>
      <c r="EC109" s="1">
        <f>(1+(N70_DESARROLLO!BC24/0.014285714)*LN(N70_DESARROLLO!BD24/N70_DESARROLLO!BC24))</f>
        <v>1.4218630964442425E-2</v>
      </c>
      <c r="ED109" s="1">
        <f>(1+(N70_DESARROLLO!BD24/0.014285714)*LN(N70_DESARROLLO!BE24/N70_DESARROLLO!BD24))</f>
        <v>1.3825454475322685E-2</v>
      </c>
      <c r="EE109" s="1">
        <f>(1+(N70_DESARROLLO!BE24/0.014285714)*LN(N70_DESARROLLO!BF24/N70_DESARROLLO!BE24))</f>
        <v>1.3453438110002214E-2</v>
      </c>
      <c r="EF109" s="1">
        <f>(1+(N70_DESARROLLO!BF24/0.014285714)*LN(N70_DESARROLLO!BG24/N70_DESARROLLO!BF24))</f>
        <v>1.31009183605173E-2</v>
      </c>
      <c r="EG109" s="1">
        <f>(1+(N70_DESARROLLO!BG24/0.014285714)*LN(N70_DESARROLLO!BH24/N70_DESARROLLO!BG24))</f>
        <v>1.2766401641828296E-2</v>
      </c>
      <c r="EH109" s="1">
        <f>(1+(N70_DESARROLLO!BH24/0.014285714)*LN(N70_DESARROLLO!BI24/N70_DESARROLLO!BH24))</f>
        <v>1.2448543134991996E-2</v>
      </c>
      <c r="EI109" s="1">
        <f>(1+(N70_DESARROLLO!BI24/0.014285714)*LN(N70_DESARROLLO!BJ24/N70_DESARROLLO!BI24))</f>
        <v>1.2146128714481286E-2</v>
      </c>
      <c r="EJ109" s="1">
        <f>(1+(N70_DESARROLLO!BJ24/0.014285714)*LN(N70_DESARROLLO!BK24/N70_DESARROLLO!BJ24))</f>
        <v>1.1858059447830027E-2</v>
      </c>
      <c r="EK109" s="1">
        <f>(1+(N70_DESARROLLO!BK24/0.014285714)*LN(N70_DESARROLLO!BL24/N70_DESARROLLO!BK24))</f>
        <v>1.1583338250311437E-2</v>
      </c>
      <c r="EL109" s="1">
        <f>(1+(N70_DESARROLLO!BL24/0.014285714)*LN(N70_DESARROLLO!BM24/N70_DESARROLLO!BL24))</f>
        <v>1.1321058352731117E-2</v>
      </c>
      <c r="EM109" s="1">
        <f>(1+(N70_DESARROLLO!BM24/0.014285714)*LN(N70_DESARROLLO!BN24/N70_DESARROLLO!BM24))</f>
        <v>1.1070393301811032E-2</v>
      </c>
      <c r="EN109" s="1">
        <f>(1+(N70_DESARROLLO!BN24/0.014285714)*LN(N70_DESARROLLO!BO24/N70_DESARROLLO!BN24))</f>
        <v>1.0830588260127394E-2</v>
      </c>
      <c r="EO109" s="1">
        <f>(1+(N70_DESARROLLO!BO24/0.014285714)*LN(N70_DESARROLLO!BP24/N70_DESARROLLO!BO24))</f>
        <v>1.0600952413271969E-2</v>
      </c>
      <c r="EP109" s="1">
        <f>(1+(N70_DESARROLLO!BP24/0.014285714)*LN(N70_DESARROLLO!BQ24/N70_DESARROLLO!BP24))</f>
        <v>1.0380852322629863E-2</v>
      </c>
      <c r="EQ109" s="1">
        <f>(1+(N70_DESARROLLO!BQ24/0.014285714)*LN(N70_DESARROLLO!BR24/N70_DESARROLLO!BQ24))</f>
        <v>1.0169706089853126E-2</v>
      </c>
      <c r="ER109" s="1">
        <f>(1+(N70_DESARROLLO!BR24/0.014285714)*LN(N70_DESARROLLO!BS24/N70_DESARROLLO!BR24))</f>
        <v>9.9669782192025602E-3</v>
      </c>
      <c r="ES109" s="1">
        <f>(1+(N70_DESARROLLO!BS24/0.014285714)*LN(N70_DESARROLLO!BT24/N70_DESARROLLO!BS24))</f>
        <v>9.7721750824275588E-3</v>
      </c>
      <c r="ET109" s="1">
        <f>(1+(N70_DESARROLLO!BT24/0.014285714)*LN(N70_DESARROLLO!BU24/N70_DESARROLLO!BT24))</f>
        <v>9.5848409054857253E-3</v>
      </c>
      <c r="EU109" s="1">
        <f>(1+(N70_DESARROLLO!BU24/0.014285714)*LN(N70_DESARROLLO!BV24/N70_DESARROLLO!BU24))</f>
        <v>9.404554207997462E-3</v>
      </c>
      <c r="EV109" s="1">
        <f>(1+(N70_DESARROLLO!BV24/0.014285714)*LN(N70_DESARROLLO!BW24/N70_DESARROLLO!BV24))</f>
        <v>9.230924637410709E-3</v>
      </c>
      <c r="EW109" s="1">
        <f>(1+(N70_DESARROLLO!BW24/0.014285714)*LN(N70_DESARROLLO!BX24/N70_DESARROLLO!BW24))</f>
        <v>-12.641052723539808</v>
      </c>
      <c r="EX109" s="10"/>
      <c r="EY109" s="10"/>
    </row>
    <row r="110" spans="5:155" x14ac:dyDescent="0.25">
      <c r="G110" s="3">
        <v>16</v>
      </c>
      <c r="H110" s="3">
        <f>-(N70_DESARROLLO!G25/0.014285714)*LN(N70_DESARROLLO!G25/N70_DESARROLLO!F25)-1</f>
        <v>-3.2975050428753039E-2</v>
      </c>
      <c r="I110" s="3">
        <f>-(N70_DESARROLLO!H25/0.014285714)*LN(N70_DESARROLLO!H25/N70_DESARROLLO!G25)-1</f>
        <v>-3.5303966947122234E-2</v>
      </c>
      <c r="J110" s="3">
        <f>-(N70_DESARROLLO!I25/0.014285714)*LN(N70_DESARROLLO!I25/N70_DESARROLLO!H25)-1</f>
        <v>-3.7986966558135382E-2</v>
      </c>
      <c r="K110" s="3">
        <f>-(N70_DESARROLLO!J25/0.014285714)*LN(N70_DESARROLLO!J25/N70_DESARROLLO!I25)-1</f>
        <v>-4.1111478023144299E-2</v>
      </c>
      <c r="L110" s="3">
        <f>-(N70_DESARROLLO!K25/0.014285714)*LN(N70_DESARROLLO!K25/N70_DESARROLLO!J25)-1</f>
        <v>-4.4796309735795292E-2</v>
      </c>
      <c r="M110" s="3">
        <f>-(N70_DESARROLLO!L25/0.014285714)*LN(N70_DESARROLLO!L25/N70_DESARROLLO!K25)-1</f>
        <v>-4.9207124692808524E-2</v>
      </c>
      <c r="N110" s="3">
        <f>-(N70_DESARROLLO!M25/0.014285714)*LN(N70_DESARROLLO!M25/N70_DESARROLLO!L25)-1</f>
        <v>-5.4582082654734521E-2</v>
      </c>
      <c r="O110" s="3">
        <f>-(N70_DESARROLLO!N25/0.014285714)*LN(N70_DESARROLLO!N25/N70_DESARROLLO!M25)-1</f>
        <v>-6.1276409070482929E-2</v>
      </c>
      <c r="P110" s="3">
        <f>-(N70_DESARROLLO!O25/0.014285714)*LN(N70_DESARROLLO!O25/N70_DESARROLLO!N25)-1</f>
        <v>-6.9844497732513444E-2</v>
      </c>
      <c r="Q110" s="3">
        <f>-(N70_DESARROLLO!P25/0.014285714)*LN(N70_DESARROLLO!P25/N70_DESARROLLO!O25)-1</f>
        <v>-8.1202515976636191E-2</v>
      </c>
      <c r="R110" s="3">
        <f>-(N70_DESARROLLO!Q25/0.014285714)*LN(N70_DESARROLLO!Q25/N70_DESARROLLO!P25)-1</f>
        <v>-9.69818523599566E-2</v>
      </c>
      <c r="S110" s="3">
        <f>-(N70_DESARROLLO!R25/0.014285714)*LN(N70_DESARROLLO!R25/N70_DESARROLLO!Q25)-1</f>
        <v>-0.12039948342481799</v>
      </c>
      <c r="T110" s="3">
        <f>-(N70_DESARROLLO!S25/0.014285714)*LN(N70_DESARROLLO!S25/N70_DESARROLLO!R25)-1</f>
        <v>-0.15881939162335501</v>
      </c>
      <c r="U110" s="3">
        <f>-(N70_DESARROLLO!T25/0.014285714)*LN(N70_DESARROLLO!T25/N70_DESARROLLO!S25)-1</f>
        <v>-0.2337615490262458</v>
      </c>
      <c r="V110" s="3">
        <f>-(N70_DESARROLLO!U25/0.014285714)*LN(N70_DESARROLLO!U25/N70_DESARROLLO!T25)-1</f>
        <v>-0.45069384467982176</v>
      </c>
      <c r="W110" s="3">
        <v>-1</v>
      </c>
      <c r="X110" s="3">
        <f>-(N70_DESARROLLO!W25/0.014285714)*LN(N70_DESARROLLO!W25/N70_DESARROLLO!V25)-1</f>
        <v>0.6479184659605346</v>
      </c>
      <c r="Y110" s="3">
        <f>-(N70_DESARROLLO!X25/0.014285714)*LN(N70_DESARROLLO!X25/N70_DESARROLLO!W25)-1</f>
        <v>0.27706408495625623</v>
      </c>
      <c r="Z110" s="3">
        <f>-(N70_DESARROLLO!Y25/0.014285714)*LN(N70_DESARROLLO!Y25/N70_DESARROLLO!X25)-1</f>
        <v>0.17765285172730305</v>
      </c>
      <c r="AA110" s="3">
        <f>-(N70_DESARROLLO!Z25/0.014285714)*LN(N70_DESARROLLO!Z25/N70_DESARROLLO!Y25)-1</f>
        <v>0.13091494988237651</v>
      </c>
      <c r="AB110" s="3">
        <f>-(N70_DESARROLLO!AA25/0.014285714)*LN(N70_DESARROLLO!AA25/N70_DESARROLLO!Z25)-1</f>
        <v>0.10368884711560877</v>
      </c>
      <c r="AC110" s="3">
        <f>-(N70_DESARROLLO!AB25/0.014285714)*LN(N70_DESARROLLO!AB25/N70_DESARROLLO!AA25)-1</f>
        <v>8.5851572027612066E-2</v>
      </c>
      <c r="AD110" s="3">
        <f>-(N70_DESARROLLO!AC25/0.014285714)*LN(N70_DESARROLLO!AC25/N70_DESARROLLO!AB25)-1</f>
        <v>7.3256348770177837E-2</v>
      </c>
      <c r="AE110" s="3">
        <f>-(N70_DESARROLLO!AD25/0.014285714)*LN(N70_DESARROLLO!AD25/N70_DESARROLLO!AC25)-1</f>
        <v>6.3886736386785881E-2</v>
      </c>
      <c r="AF110" s="3">
        <f>-(N70_DESARROLLO!AE25/0.014285714)*LN(N70_DESARROLLO!AE25/N70_DESARROLLO!AD25)-1</f>
        <v>5.6643554680003039E-2</v>
      </c>
      <c r="AG110" s="3">
        <f>-(N70_DESARROLLO!AF25/0.014285714)*LN(N70_DESARROLLO!AF25/N70_DESARROLLO!AE25)-1</f>
        <v>5.0876335865844613E-2</v>
      </c>
      <c r="AH110" s="3">
        <f>-(N70_DESARROLLO!AG25/0.014285714)*LN(N70_DESARROLLO!AG25/N70_DESARROLLO!AF25)-1</f>
        <v>4.6175470289362641E-2</v>
      </c>
      <c r="AI110" s="3">
        <f>-(N70_DESARROLLO!AH25/0.014285714)*LN(N70_DESARROLLO!AH25/N70_DESARROLLO!AG25)-1</f>
        <v>4.2270132583539954E-2</v>
      </c>
      <c r="AJ110" s="3">
        <f>-(N70_DESARROLLO!AI25/0.014285714)*LN(N70_DESARROLLO!AI25/N70_DESARROLLO!AH25)-1</f>
        <v>3.8974076117214818E-2</v>
      </c>
      <c r="AK110" s="3">
        <f>-(N70_DESARROLLO!AJ25/0.014285714)*LN(N70_DESARROLLO!AJ25/N70_DESARROLLO!AI25)-1</f>
        <v>3.6154998464203114E-2</v>
      </c>
      <c r="AL110" s="3">
        <f>-(N70_DESARROLLO!AK25/0.014285714)*LN(N70_DESARROLLO!AK25/N70_DESARROLLO!AJ25)-1</f>
        <v>3.3716325403748026E-2</v>
      </c>
      <c r="AM110" s="3">
        <f>-(N70_DESARROLLO!AL25/0.014285714)*LN(N70_DESARROLLO!AL25/N70_DESARROLLO!AK25)-1</f>
        <v>3.158591082372797E-2</v>
      </c>
      <c r="AN110" s="3">
        <f>-(N70_DESARROLLO!AM25/0.014285714)*LN(N70_DESARROLLO!AM25/N70_DESARROLLO!AL25)-1</f>
        <v>2.9708770995509948E-2</v>
      </c>
      <c r="AO110" s="3">
        <f>-(N70_DESARROLLO!AN25/0.014285714)*LN(N70_DESARROLLO!AN25/N70_DESARROLLO!AM25)-1</f>
        <v>2.8042266924845016E-2</v>
      </c>
      <c r="AP110" s="3">
        <f>-(N70_DESARROLLO!AO25/0.014285714)*LN(N70_DESARROLLO!AO25/N70_DESARROLLO!AN25)-1</f>
        <v>2.6552823496787115E-2</v>
      </c>
      <c r="AQ110" s="3">
        <f>-(N70_DESARROLLO!AP25/0.014285714)*LN(N70_DESARROLLO!AP25/N70_DESARROLLO!AO25)-1</f>
        <v>2.5213642284827253E-2</v>
      </c>
      <c r="AR110" s="3">
        <f>-(N70_DESARROLLO!AQ25/0.014285714)*LN(N70_DESARROLLO!AQ25/N70_DESARROLLO!AP25)-1</f>
        <v>2.4003073749041315E-2</v>
      </c>
      <c r="AS110" s="3">
        <f>-(N70_DESARROLLO!AR25/0.014285714)*LN(N70_DESARROLLO!AR25/N70_DESARROLLO!AQ25)-1</f>
        <v>2.2903437185105791E-2</v>
      </c>
      <c r="AT110" s="3">
        <f>-(N70_DESARROLLO!AS25/0.014285714)*LN(N70_DESARROLLO!AS25/N70_DESARROLLO!AR25)-1</f>
        <v>2.190015102187215E-2</v>
      </c>
      <c r="AU110" s="3">
        <f>-(N70_DESARROLLO!AT25/0.014285714)*LN(N70_DESARROLLO!AT25/N70_DESARROLLO!AS25)-1</f>
        <v>2.0981082233534565E-2</v>
      </c>
      <c r="AV110" s="3">
        <f>-(N70_DESARROLLO!AU25/0.014285714)*LN(N70_DESARROLLO!AU25/N70_DESARROLLO!AT25)-1</f>
        <v>2.0136053052056457E-2</v>
      </c>
      <c r="AW110" s="3">
        <f>-(N70_DESARROLLO!AV25/0.014285714)*LN(N70_DESARROLLO!AV25/N70_DESARROLLO!AU25)-1</f>
        <v>1.9356462323721457E-2</v>
      </c>
      <c r="AX110" s="3">
        <f>-(N70_DESARROLLO!AW25/0.014285714)*LN(N70_DESARROLLO!AW25/N70_DESARROLLO!AV25)-1</f>
        <v>1.8634991582293425E-2</v>
      </c>
      <c r="AY110" s="3">
        <f>-(N70_DESARROLLO!AX25/0.014285714)*LN(N70_DESARROLLO!AX25/N70_DESARROLLO!AW25)-1</f>
        <v>1.7965374518572164E-2</v>
      </c>
      <c r="AZ110" s="3">
        <f>-(N70_DESARROLLO!AY25/0.014285714)*LN(N70_DESARROLLO!AY25/N70_DESARROLLO!AX25)-1</f>
        <v>1.7342214446335324E-2</v>
      </c>
      <c r="BA110" s="3">
        <f>-(N70_DESARROLLO!AZ25/0.014285714)*LN(N70_DESARROLLO!AZ25/N70_DESARROLLO!AY25)-1</f>
        <v>1.6760838496770569E-2</v>
      </c>
      <c r="BB110" s="3">
        <f>-(N70_DESARROLLO!BA25/0.014285714)*LN(N70_DESARROLLO!BA25/N70_DESARROLLO!AZ25)-1</f>
        <v>1.6217180198313308E-2</v>
      </c>
      <c r="BC110" s="3">
        <f>-(N70_DESARROLLO!BB25/0.014285714)*LN(N70_DESARROLLO!BB25/N70_DESARROLLO!BA25)-1</f>
        <v>1.5707684197550975E-2</v>
      </c>
      <c r="BD110" s="3">
        <f>-(N70_DESARROLLO!BC25/0.014285714)*LN(N70_DESARROLLO!BC25/N70_DESARROLLO!BB25)-1</f>
        <v>1.5229228398100814E-2</v>
      </c>
      <c r="BE110" s="3">
        <f>-(N70_DESARROLLO!BD25/0.014285714)*LN(N70_DESARROLLO!BD25/N70_DESARROLLO!BC25)-1</f>
        <v>1.4779059912703785E-2</v>
      </c>
      <c r="BF110" s="3">
        <f>-(N70_DESARROLLO!BE25/0.014285714)*LN(N70_DESARROLLO!BE25/N70_DESARROLLO!BD25)-1</f>
        <v>1.4354742051081004E-2</v>
      </c>
      <c r="BG110" s="3">
        <f>-(N70_DESARROLLO!BF25/0.014285714)*LN(N70_DESARROLLO!BF25/N70_DESARROLLO!BE25)-1</f>
        <v>1.3954110187352153E-2</v>
      </c>
      <c r="BH110" s="3">
        <f>-(N70_DESARROLLO!BG25/0.014285714)*LN(N70_DESARROLLO!BG25/N70_DESARROLLO!BF25)-1</f>
        <v>1.3575234818474557E-2</v>
      </c>
      <c r="BI110" s="3">
        <f>-(N70_DESARROLLO!BH25/0.014285714)*LN(N70_DESARROLLO!BH25/N70_DESARROLLO!BG25)-1</f>
        <v>1.3216390483202112E-2</v>
      </c>
      <c r="BJ110" s="3">
        <f>-(N70_DESARROLLO!BI25/0.014285714)*LN(N70_DESARROLLO!BI25/N70_DESARROLLO!BH25)-1</f>
        <v>1.2876029484357954E-2</v>
      </c>
      <c r="BK110" s="3">
        <f>-(N70_DESARROLLO!BJ25/0.014285714)*LN(N70_DESARROLLO!BJ25/N70_DESARROLLO!BI25)-1</f>
        <v>1.25527595704511E-2</v>
      </c>
      <c r="BL110" s="3">
        <f>-(N70_DESARROLLO!BK25/0.014285714)*LN(N70_DESARROLLO!BK25/N70_DESARROLLO!BJ25)-1</f>
        <v>1.2245324897516063E-2</v>
      </c>
      <c r="BM110" s="3">
        <f>-(N70_DESARROLLO!BL25/0.014285714)*LN(N70_DESARROLLO!BL25/N70_DESARROLLO!BK25)-1</f>
        <v>1.1952589722083351E-2</v>
      </c>
      <c r="BN110" s="3">
        <f>-(N70_DESARROLLO!BM25/0.014285714)*LN(N70_DESARROLLO!BM25/N70_DESARROLLO!BL25)-1</f>
        <v>1.1673524379102407E-2</v>
      </c>
      <c r="BO110" s="3">
        <f>-(N70_DESARROLLO!BN25/0.014285714)*LN(N70_DESARROLLO!BN25/N70_DESARROLLO!BM25)-1</f>
        <v>1.1407193179389985E-2</v>
      </c>
      <c r="BP110" s="3">
        <f>-(N70_DESARROLLO!BO25/0.014285714)*LN(N70_DESARROLLO!BO25/N70_DESARROLLO!BN25)-1</f>
        <v>1.1152743927371533E-2</v>
      </c>
      <c r="BQ110" s="3">
        <f>-(N70_DESARROLLO!BP25/0.014285714)*LN(N70_DESARROLLO!BP25/N70_DESARROLLO!BO25)-1</f>
        <v>1.0909398811058679E-2</v>
      </c>
      <c r="BR110" s="3">
        <f>-(N70_DESARROLLO!BQ25/0.014285714)*LN(N70_DESARROLLO!BQ25/N70_DESARROLLO!BP25)-1</f>
        <v>1.0676446459560784E-2</v>
      </c>
      <c r="BS110" s="3">
        <f>-(N70_DESARROLLO!BR25/0.014285714)*LN(N70_DESARROLLO!BR25/N70_DESARROLLO!BQ25)-1</f>
        <v>1.0453234996893546E-2</v>
      </c>
      <c r="BT110" s="3">
        <f>-(N70_DESARROLLO!BS25/0.014285714)*LN(N70_DESARROLLO!BS25/N70_DESARROLLO!BR25)-1</f>
        <v>1.0239165949531337E-2</v>
      </c>
      <c r="BU110" s="3">
        <f>-(N70_DESARROLLO!BT25/0.014285714)*LN(N70_DESARROLLO!BT25/N70_DESARROLLO!BS25)-1</f>
        <v>1.003368888749101E-2</v>
      </c>
      <c r="BV110" s="3">
        <f>-(N70_DESARROLLO!BU25/0.014285714)*LN(N70_DESARROLLO!BU25/N70_DESARROLLO!BT25)-1</f>
        <v>9.8362966981071498E-3</v>
      </c>
      <c r="BW110" s="3">
        <f>-(N70_DESARROLLO!BV25/0.014285714)*LN(N70_DESARROLLO!BV25/N70_DESARROLLO!BU25)-1</f>
        <v>9.6465214070291516E-3</v>
      </c>
      <c r="BX110" s="3">
        <f>-(N70_DESARROLLO!BW25/0.014285714)*LN(N70_DESARROLLO!BW25/N70_DESARROLLO!BV25)-1</f>
        <v>9.4639304737549335E-3</v>
      </c>
      <c r="BY110" s="3">
        <f>-(N70_DESARROLLO!BX25/0.014285714)*LN(N70_DESARROLLO!BX25/N70_DESARROLLO!BW25)-1</f>
        <v>17.816951546656909</v>
      </c>
      <c r="BZ110" s="10"/>
      <c r="CA110" s="10"/>
      <c r="CB110" s="10"/>
      <c r="CC110" s="10"/>
      <c r="CD110" s="1">
        <v>16</v>
      </c>
      <c r="CE110" s="1">
        <v>0</v>
      </c>
      <c r="CF110" s="1">
        <f>(1+(N70_DESARROLLO!F25/0.014285714)*LN(N70_DESARROLLO!G25/N70_DESARROLLO!F25))</f>
        <v>-3.3716325403746916E-2</v>
      </c>
      <c r="CG110" s="1">
        <f>(1+(N70_DESARROLLO!G25/0.014285714)*LN(N70_DESARROLLO!H25/N70_DESARROLLO!G25))</f>
        <v>-3.6154998464202004E-2</v>
      </c>
      <c r="CH110" s="1">
        <f>(1+(N70_DESARROLLO!H25/0.014285714)*LN(N70_DESARROLLO!I25/N70_DESARROLLO!H25))</f>
        <v>-3.8974076117213929E-2</v>
      </c>
      <c r="CI110" s="1">
        <f>(1+(N70_DESARROLLO!I25/0.014285714)*LN(N70_DESARROLLO!J25/N70_DESARROLLO!I25))</f>
        <v>-4.2270132583538622E-2</v>
      </c>
      <c r="CJ110" s="1">
        <f>(1+(N70_DESARROLLO!J25/0.014285714)*LN(N70_DESARROLLO!K25/N70_DESARROLLO!J25))</f>
        <v>-4.6175470289367082E-2</v>
      </c>
      <c r="CK110" s="1">
        <f>(1+(N70_DESARROLLO!K25/0.014285714)*LN(N70_DESARROLLO!L25/N70_DESARROLLO!K25))</f>
        <v>-5.0876335865843281E-2</v>
      </c>
      <c r="CL110" s="1">
        <f>(1+(N70_DESARROLLO!L25/0.014285714)*LN(N70_DESARROLLO!M25/N70_DESARROLLO!L25))</f>
        <v>-5.6643554680002595E-2</v>
      </c>
      <c r="CM110" s="1">
        <f>(1+(N70_DESARROLLO!M25/0.014285714)*LN(N70_DESARROLLO!N25/N70_DESARROLLO!M25))</f>
        <v>-6.3886736386786103E-2</v>
      </c>
      <c r="CN110" s="1">
        <f>(1+(N70_DESARROLLO!N25/0.014285714)*LN(N70_DESARROLLO!O25/N70_DESARROLLO!N25))</f>
        <v>-7.3256348770176727E-2</v>
      </c>
      <c r="CO110" s="1">
        <f>(1+(N70_DESARROLLO!O25/0.014285714)*LN(N70_DESARROLLO!P25/N70_DESARROLLO!O25))</f>
        <v>-8.5851572027611844E-2</v>
      </c>
      <c r="CP110" s="1">
        <f>(1+(N70_DESARROLLO!P25/0.014285714)*LN(N70_DESARROLLO!Q25/N70_DESARROLLO!P25))</f>
        <v>-0.10368884711560877</v>
      </c>
      <c r="CQ110" s="1">
        <f>(1+(N70_DESARROLLO!Q25/0.014285714)*LN(N70_DESARROLLO!R25/N70_DESARROLLO!Q25))</f>
        <v>-0.13091494988237695</v>
      </c>
      <c r="CR110" s="1">
        <f>(1+(N70_DESARROLLO!R25/0.014285714)*LN(N70_DESARROLLO!S25/N70_DESARROLLO!R25))</f>
        <v>-0.17765285172730327</v>
      </c>
      <c r="CS110" s="1">
        <f>(1+(N70_DESARROLLO!S25/0.014285714)*LN(N70_DESARROLLO!T25/N70_DESARROLLO!S25))</f>
        <v>-0.27706408495625623</v>
      </c>
      <c r="CT110" s="1">
        <f>(1+(N70_DESARROLLO!T25/0.014285714)*LN(N70_DESARROLLO!U25/N70_DESARROLLO!T25))</f>
        <v>-0.6479184659605346</v>
      </c>
      <c r="CU110" s="1">
        <v>1</v>
      </c>
      <c r="CV110" s="1">
        <f>(1+(N70_DESARROLLO!V25/0.014285714)*LN(N70_DESARROLLO!W25/N70_DESARROLLO!V25))</f>
        <v>0.45069384467982176</v>
      </c>
      <c r="CW110" s="1">
        <f>(1+(N70_DESARROLLO!W25/0.014285714)*LN(N70_DESARROLLO!X25/N70_DESARROLLO!W25))</f>
        <v>0.2337615490262458</v>
      </c>
      <c r="CX110" s="1">
        <f>(1+(N70_DESARROLLO!X25/0.014285714)*LN(N70_DESARROLLO!Y25/N70_DESARROLLO!X25))</f>
        <v>0.15881939162335523</v>
      </c>
      <c r="CY110" s="1">
        <f>(1+(N70_DESARROLLO!Y25/0.014285714)*LN(N70_DESARROLLO!Z25/N70_DESARROLLO!Y25))</f>
        <v>0.12039948342481821</v>
      </c>
      <c r="CZ110" s="1">
        <f>(1+(N70_DESARROLLO!Z25/0.014285714)*LN(N70_DESARROLLO!AA25/N70_DESARROLLO!Z25))</f>
        <v>9.69818523599566E-2</v>
      </c>
      <c r="DA110" s="1">
        <f>(1+(N70_DESARROLLO!AA25/0.014285714)*LN(N70_DESARROLLO!AB25/N70_DESARROLLO!AA25))</f>
        <v>8.120251597663608E-2</v>
      </c>
      <c r="DB110" s="1">
        <f>(1+(N70_DESARROLLO!AB25/0.014285714)*LN(N70_DESARROLLO!AC25/N70_DESARROLLO!AB25))</f>
        <v>6.9844497732512556E-2</v>
      </c>
      <c r="DC110" s="1">
        <f>(1+(N70_DESARROLLO!AC25/0.014285714)*LN(N70_DESARROLLO!AD25/N70_DESARROLLO!AC25))</f>
        <v>6.1276409070483151E-2</v>
      </c>
      <c r="DD110" s="1">
        <f>(1+(N70_DESARROLLO!AD25/0.014285714)*LN(N70_DESARROLLO!AE25/N70_DESARROLLO!AD25))</f>
        <v>5.4582082654734076E-2</v>
      </c>
      <c r="DE110" s="1">
        <f>(1+(N70_DESARROLLO!AE25/0.014285714)*LN(N70_DESARROLLO!AF25/N70_DESARROLLO!AE25))</f>
        <v>4.9207124692807414E-2</v>
      </c>
      <c r="DF110" s="1">
        <f>(1+(N70_DESARROLLO!AF25/0.014285714)*LN(N70_DESARROLLO!AG25/N70_DESARROLLO!AF25))</f>
        <v>4.4796309735798956E-2</v>
      </c>
      <c r="DG110" s="1">
        <f>(1+(N70_DESARROLLO!AG25/0.014285714)*LN(N70_DESARROLLO!AH25/N70_DESARROLLO!AG25))</f>
        <v>4.1111478023143189E-2</v>
      </c>
      <c r="DH110" s="1">
        <f>(1+(N70_DESARROLLO!AH25/0.014285714)*LN(N70_DESARROLLO!AI25/N70_DESARROLLO!AH25))</f>
        <v>3.7986966558134605E-2</v>
      </c>
      <c r="DI110" s="1">
        <f>(1+(N70_DESARROLLO!AI25/0.014285714)*LN(N70_DESARROLLO!AJ25/N70_DESARROLLO!AI25))</f>
        <v>3.5303966947121235E-2</v>
      </c>
      <c r="DJ110" s="1">
        <f>(1+(N70_DESARROLLO!AJ25/0.014285714)*LN(N70_DESARROLLO!AK25/N70_DESARROLLO!AJ25))</f>
        <v>3.297505042875204E-2</v>
      </c>
      <c r="DK110" s="1">
        <f>(1+(N70_DESARROLLO!AK25/0.014285714)*LN(N70_DESARROLLO!AL25/N70_DESARROLLO!AK25))</f>
        <v>3.0934447408012988E-2</v>
      </c>
      <c r="DL110" s="1">
        <f>(1+(N70_DESARROLLO!AL25/0.014285714)*LN(N70_DESARROLLO!AM25/N70_DESARROLLO!AL25))</f>
        <v>2.9131730204233652E-2</v>
      </c>
      <c r="DM110" s="1">
        <f>(1+(N70_DESARROLLO!AM25/0.014285714)*LN(N70_DESARROLLO!AN25/N70_DESARROLLO!AM25))</f>
        <v>2.7527585341362903E-2</v>
      </c>
      <c r="DN110" s="1">
        <f>(1+(N70_DESARROLLO!AN25/0.014285714)*LN(N70_DESARROLLO!AO25/N70_DESARROLLO!AN25))</f>
        <v>2.6090911041509512E-2</v>
      </c>
      <c r="DO110" s="1">
        <f>(1+(N70_DESARROLLO!AO25/0.014285714)*LN(N70_DESARROLLO!AP25/N70_DESARROLLO!AO25))</f>
        <v>2.4796779290042203E-2</v>
      </c>
      <c r="DP110" s="1">
        <f>(1+(N70_DESARROLLO!AP25/0.014285714)*LN(N70_DESARROLLO!AQ25/N70_DESARROLLO!AP25))</f>
        <v>2.3624976192774816E-2</v>
      </c>
      <c r="DQ110" s="1">
        <f>(1+(N70_DESARROLLO!AQ25/0.014285714)*LN(N70_DESARROLLO!AR25/N70_DESARROLLO!AQ25))</f>
        <v>2.2558937800898904E-2</v>
      </c>
      <c r="DR110" s="1">
        <f>(1+(N70_DESARROLLO!AR25/0.014285714)*LN(N70_DESARROLLO!AS25/N70_DESARROLLO!AR25))</f>
        <v>2.1584961787569412E-2</v>
      </c>
      <c r="DS110" s="1">
        <f>(1+(N70_DESARROLLO!AS25/0.014285714)*LN(N70_DESARROLLO!AT25/N70_DESARROLLO!AS25))</f>
        <v>2.0691615000487218E-2</v>
      </c>
      <c r="DT110" s="1">
        <f>(1+(N70_DESARROLLO!AT25/0.014285714)*LN(N70_DESARROLLO!AU25/N70_DESARROLLO!AT25))</f>
        <v>1.9869282361749896E-2</v>
      </c>
      <c r="DU110" s="1">
        <f>(1+(N70_DESARROLLO!AU25/0.014285714)*LN(N70_DESARROLLO!AV25/N70_DESARROLLO!AU25))</f>
        <v>1.9109819273400053E-2</v>
      </c>
      <c r="DV110" s="1">
        <f>(1+(N70_DESARROLLO!AV25/0.014285714)*LN(N70_DESARROLLO!AW25/N70_DESARROLLO!AV25))</f>
        <v>1.840628083888074E-2</v>
      </c>
      <c r="DW110" s="1">
        <f>(1+(N70_DESARROLLO!AW25/0.014285714)*LN(N70_DESARROLLO!AX25/N70_DESARROLLO!AW25))</f>
        <v>1.7752708797869166E-2</v>
      </c>
      <c r="DX110" s="1">
        <f>(1+(N70_DESARROLLO!AX25/0.014285714)*LN(N70_DESARROLLO!AY25/N70_DESARROLLO!AX25))</f>
        <v>1.7143962314557393E-2</v>
      </c>
      <c r="DY110" s="1">
        <f>(1+(N70_DESARROLLO!AY25/0.014285714)*LN(N70_DESARROLLO!AZ25/N70_DESARROLLO!AY25))</f>
        <v>1.6575582437549863E-2</v>
      </c>
      <c r="DZ110" s="1">
        <f>(1+(N70_DESARROLLO!AZ25/0.014285714)*LN(N70_DESARROLLO!BA25/N70_DESARROLLO!AZ25))</f>
        <v>1.6043682665125125E-2</v>
      </c>
      <c r="EA110" s="1">
        <f>(1+(N70_DESARROLLO!BA25/0.014285714)*LN(N70_DESARROLLO!BB25/N70_DESARROLLO!BA25))</f>
        <v>1.5544859931604593E-2</v>
      </c>
      <c r="EB110" s="1">
        <f>(1+(N70_DESARROLLO!BB25/0.014285714)*LN(N70_DESARROLLO!BC25/N70_DESARROLLO!BB25))</f>
        <v>1.5076121703334833E-2</v>
      </c>
      <c r="EC110" s="1">
        <f>(1+(N70_DESARROLLO!BC25/0.014285714)*LN(N70_DESARROLLO!BD25/N70_DESARROLLO!BC25))</f>
        <v>1.4634825881867375E-2</v>
      </c>
      <c r="ED110" s="1">
        <f>(1+(N70_DESARROLLO!BD25/0.014285714)*LN(N70_DESARROLLO!BE25/N70_DESARROLLO!BD25))</f>
        <v>1.4218630964442425E-2</v>
      </c>
      <c r="EE110" s="1">
        <f>(1+(N70_DESARROLLO!BE25/0.014285714)*LN(N70_DESARROLLO!BF25/N70_DESARROLLO!BE25))</f>
        <v>1.3825454475315135E-2</v>
      </c>
      <c r="EF110" s="1">
        <f>(1+(N70_DESARROLLO!BF25/0.014285714)*LN(N70_DESARROLLO!BG25/N70_DESARROLLO!BF25))</f>
        <v>1.3453438110017868E-2</v>
      </c>
      <c r="EG110" s="1">
        <f>(1+(N70_DESARROLLO!BG25/0.014285714)*LN(N70_DESARROLLO!BH25/N70_DESARROLLO!BG25))</f>
        <v>1.3100918360517522E-2</v>
      </c>
      <c r="EH110" s="1">
        <f>(1+(N70_DESARROLLO!BH25/0.014285714)*LN(N70_DESARROLLO!BI25/N70_DESARROLLO!BH25))</f>
        <v>1.2766401641828407E-2</v>
      </c>
      <c r="EI110" s="1">
        <f>(1+(N70_DESARROLLO!BI25/0.014285714)*LN(N70_DESARROLLO!BJ25/N70_DESARROLLO!BI25))</f>
        <v>1.2448543134991996E-2</v>
      </c>
      <c r="EJ110" s="1">
        <f>(1+(N70_DESARROLLO!BJ25/0.014285714)*LN(N70_DESARROLLO!BK25/N70_DESARROLLO!BJ25))</f>
        <v>1.2146128714472515E-2</v>
      </c>
      <c r="EK110" s="1">
        <f>(1+(N70_DESARROLLO!BK25/0.014285714)*LN(N70_DESARROLLO!BL25/N70_DESARROLLO!BK25))</f>
        <v>1.1858059447847902E-2</v>
      </c>
      <c r="EL110" s="1">
        <f>(1+(N70_DESARROLLO!BL25/0.014285714)*LN(N70_DESARROLLO!BM25/N70_DESARROLLO!BL25))</f>
        <v>1.1583338250302444E-2</v>
      </c>
      <c r="EM110" s="1">
        <f>(1+(N70_DESARROLLO!BM25/0.014285714)*LN(N70_DESARROLLO!BN25/N70_DESARROLLO!BM25))</f>
        <v>1.1321058352731117E-2</v>
      </c>
      <c r="EN110" s="1">
        <f>(1+(N70_DESARROLLO!BN25/0.014285714)*LN(N70_DESARROLLO!BO25/N70_DESARROLLO!BN25))</f>
        <v>1.1070393301801484E-2</v>
      </c>
      <c r="EO110" s="1">
        <f>(1+(N70_DESARROLLO!BO25/0.014285714)*LN(N70_DESARROLLO!BP25/N70_DESARROLLO!BO25))</f>
        <v>1.0830588260146934E-2</v>
      </c>
      <c r="EP110" s="1">
        <f>(1+(N70_DESARROLLO!BP25/0.014285714)*LN(N70_DESARROLLO!BQ25/N70_DESARROLLO!BP25))</f>
        <v>1.0600952413272191E-2</v>
      </c>
      <c r="EQ110" s="1">
        <f>(1+(N70_DESARROLLO!BQ25/0.014285714)*LN(N70_DESARROLLO!BR25/N70_DESARROLLO!BQ25))</f>
        <v>1.0380852322629863E-2</v>
      </c>
      <c r="ER110" s="1">
        <f>(1+(N70_DESARROLLO!BR25/0.014285714)*LN(N70_DESARROLLO!BS25/N70_DESARROLLO!BR25))</f>
        <v>1.0169706089853126E-2</v>
      </c>
      <c r="ES110" s="1">
        <f>(1+(N70_DESARROLLO!BS25/0.014285714)*LN(N70_DESARROLLO!BT25/N70_DESARROLLO!BS25))</f>
        <v>9.9669782191919021E-3</v>
      </c>
      <c r="ET110" s="1">
        <f>(1+(N70_DESARROLLO!BT25/0.014285714)*LN(N70_DESARROLLO!BU25/N70_DESARROLLO!BT25))</f>
        <v>9.77217508243855E-3</v>
      </c>
      <c r="EU110" s="1">
        <f>(1+(N70_DESARROLLO!BU25/0.014285714)*LN(N70_DESARROLLO!BV25/N70_DESARROLLO!BU25))</f>
        <v>9.5848409054859474E-3</v>
      </c>
      <c r="EV110" s="1">
        <f>(1+(N70_DESARROLLO!BV25/0.014285714)*LN(N70_DESARROLLO!BW25/N70_DESARROLLO!BV25))</f>
        <v>9.404554207997462E-3</v>
      </c>
      <c r="EW110" s="1">
        <f>(1+(N70_DESARROLLO!BW25/0.014285714)*LN(N70_DESARROLLO!BX25/N70_DESARROLLO!BW25))</f>
        <v>-13.381527253516351</v>
      </c>
      <c r="EX110" s="10"/>
      <c r="EY110" s="10"/>
    </row>
    <row r="111" spans="5:155" x14ac:dyDescent="0.25">
      <c r="G111" s="3">
        <v>17</v>
      </c>
      <c r="H111" s="3">
        <f>-(N70_DESARROLLO!G26/0.014285714)*LN(N70_DESARROLLO!G26/N70_DESARROLLO!F26)-1</f>
        <v>-3.0934447408011101E-2</v>
      </c>
      <c r="I111" s="3">
        <f>-(N70_DESARROLLO!H26/0.014285714)*LN(N70_DESARROLLO!H26/N70_DESARROLLO!G26)-1</f>
        <v>-3.2975050428753039E-2</v>
      </c>
      <c r="J111" s="3">
        <f>-(N70_DESARROLLO!I26/0.014285714)*LN(N70_DESARROLLO!I26/N70_DESARROLLO!H26)-1</f>
        <v>-3.5303966947122234E-2</v>
      </c>
      <c r="K111" s="3">
        <f>-(N70_DESARROLLO!J26/0.014285714)*LN(N70_DESARROLLO!J26/N70_DESARROLLO!I26)-1</f>
        <v>-3.7986966558136825E-2</v>
      </c>
      <c r="L111" s="3">
        <f>-(N70_DESARROLLO!K26/0.014285714)*LN(N70_DESARROLLO!K26/N70_DESARROLLO!J26)-1</f>
        <v>-4.1111478023141412E-2</v>
      </c>
      <c r="M111" s="3">
        <f>-(N70_DESARROLLO!L26/0.014285714)*LN(N70_DESARROLLO!L26/N70_DESARROLLO!K26)-1</f>
        <v>-4.4796309735795292E-2</v>
      </c>
      <c r="N111" s="3">
        <f>-(N70_DESARROLLO!M26/0.014285714)*LN(N70_DESARROLLO!M26/N70_DESARROLLO!L26)-1</f>
        <v>-4.9207124692809523E-2</v>
      </c>
      <c r="O111" s="3">
        <f>-(N70_DESARROLLO!N26/0.014285714)*LN(N70_DESARROLLO!N26/N70_DESARROLLO!M26)-1</f>
        <v>-5.458208265473341E-2</v>
      </c>
      <c r="P111" s="3">
        <f>-(N70_DESARROLLO!O26/0.014285714)*LN(N70_DESARROLLO!O26/N70_DESARROLLO!N26)-1</f>
        <v>-6.1276409070483817E-2</v>
      </c>
      <c r="Q111" s="3">
        <f>-(N70_DESARROLLO!P26/0.014285714)*LN(N70_DESARROLLO!P26/N70_DESARROLLO!O26)-1</f>
        <v>-6.9844497732512556E-2</v>
      </c>
      <c r="R111" s="3">
        <f>-(N70_DESARROLLO!Q26/0.014285714)*LN(N70_DESARROLLO!Q26/N70_DESARROLLO!P26)-1</f>
        <v>-8.1202515976636191E-2</v>
      </c>
      <c r="S111" s="3">
        <f>-(N70_DESARROLLO!R26/0.014285714)*LN(N70_DESARROLLO!R26/N70_DESARROLLO!Q26)-1</f>
        <v>-9.69818523599566E-2</v>
      </c>
      <c r="T111" s="3">
        <f>-(N70_DESARROLLO!S26/0.014285714)*LN(N70_DESARROLLO!S26/N70_DESARROLLO!R26)-1</f>
        <v>-0.12039948342481799</v>
      </c>
      <c r="U111" s="3">
        <f>-(N70_DESARROLLO!T26/0.014285714)*LN(N70_DESARROLLO!T26/N70_DESARROLLO!S26)-1</f>
        <v>-0.15881939162335634</v>
      </c>
      <c r="V111" s="3">
        <f>-(N70_DESARROLLO!U26/0.014285714)*LN(N70_DESARROLLO!U26/N70_DESARROLLO!T26)-1</f>
        <v>-0.23376154902624457</v>
      </c>
      <c r="W111" s="3">
        <f>-(N70_DESARROLLO!V26/0.014285714)*LN(N70_DESARROLLO!V26/N70_DESARROLLO!U26)-1</f>
        <v>-0.45069384467982176</v>
      </c>
      <c r="X111" s="3">
        <v>-1</v>
      </c>
      <c r="Y111" s="3">
        <f>-(N70_DESARROLLO!X26/0.014285714)*LN(N70_DESARROLLO!X26/N70_DESARROLLO!W26)-1</f>
        <v>0.64791846596053038</v>
      </c>
      <c r="Z111" s="3">
        <f>-(N70_DESARROLLO!Y26/0.014285714)*LN(N70_DESARROLLO!Y26/N70_DESARROLLO!X26)-1</f>
        <v>0.27706408495625956</v>
      </c>
      <c r="AA111" s="3">
        <f>-(N70_DESARROLLO!Z26/0.014285714)*LN(N70_DESARROLLO!Z26/N70_DESARROLLO!Y26)-1</f>
        <v>0.17765285172730305</v>
      </c>
      <c r="AB111" s="3">
        <f>-(N70_DESARROLLO!AA26/0.014285714)*LN(N70_DESARROLLO!AA26/N70_DESARROLLO!Z26)-1</f>
        <v>0.13091494988237651</v>
      </c>
      <c r="AC111" s="3">
        <f>-(N70_DESARROLLO!AB26/0.014285714)*LN(N70_DESARROLLO!AB26/N70_DESARROLLO!AA26)-1</f>
        <v>0.10368884711560877</v>
      </c>
      <c r="AD111" s="3">
        <f>-(N70_DESARROLLO!AC26/0.014285714)*LN(N70_DESARROLLO!AC26/N70_DESARROLLO!AB26)-1</f>
        <v>8.5851572027612066E-2</v>
      </c>
      <c r="AE111" s="3">
        <f>-(N70_DESARROLLO!AD26/0.014285714)*LN(N70_DESARROLLO!AD26/N70_DESARROLLO!AC26)-1</f>
        <v>7.3256348770177837E-2</v>
      </c>
      <c r="AF111" s="3">
        <f>-(N70_DESARROLLO!AE26/0.014285714)*LN(N70_DESARROLLO!AE26/N70_DESARROLLO!AD26)-1</f>
        <v>6.3886736386785881E-2</v>
      </c>
      <c r="AG111" s="3">
        <f>-(N70_DESARROLLO!AF26/0.014285714)*LN(N70_DESARROLLO!AF26/N70_DESARROLLO!AE26)-1</f>
        <v>5.6643554680003039E-2</v>
      </c>
      <c r="AH111" s="3">
        <f>-(N70_DESARROLLO!AG26/0.014285714)*LN(N70_DESARROLLO!AG26/N70_DESARROLLO!AF26)-1</f>
        <v>5.0876335865839728E-2</v>
      </c>
      <c r="AI111" s="3">
        <f>-(N70_DESARROLLO!AH26/0.014285714)*LN(N70_DESARROLLO!AH26/N70_DESARROLLO!AG26)-1</f>
        <v>4.6175470289367304E-2</v>
      </c>
      <c r="AJ111" s="3">
        <f>-(N70_DESARROLLO!AI26/0.014285714)*LN(N70_DESARROLLO!AI26/N70_DESARROLLO!AH26)-1</f>
        <v>4.2270132583539954E-2</v>
      </c>
      <c r="AK111" s="3">
        <f>-(N70_DESARROLLO!AJ26/0.014285714)*LN(N70_DESARROLLO!AJ26/N70_DESARROLLO!AI26)-1</f>
        <v>3.8974076117214818E-2</v>
      </c>
      <c r="AL111" s="3">
        <f>-(N70_DESARROLLO!AK26/0.014285714)*LN(N70_DESARROLLO!AK26/N70_DESARROLLO!AJ26)-1</f>
        <v>3.6154998464203114E-2</v>
      </c>
      <c r="AM111" s="3">
        <f>-(N70_DESARROLLO!AL26/0.014285714)*LN(N70_DESARROLLO!AL26/N70_DESARROLLO!AK26)-1</f>
        <v>3.3716325403748026E-2</v>
      </c>
      <c r="AN111" s="3">
        <f>-(N70_DESARROLLO!AM26/0.014285714)*LN(N70_DESARROLLO!AM26/N70_DESARROLLO!AL26)-1</f>
        <v>3.158591082372797E-2</v>
      </c>
      <c r="AO111" s="3">
        <f>-(N70_DESARROLLO!AN26/0.014285714)*LN(N70_DESARROLLO!AN26/N70_DESARROLLO!AM26)-1</f>
        <v>2.9708770995509948E-2</v>
      </c>
      <c r="AP111" s="3">
        <f>-(N70_DESARROLLO!AO26/0.014285714)*LN(N70_DESARROLLO!AO26/N70_DESARROLLO!AN26)-1</f>
        <v>2.8042266924845016E-2</v>
      </c>
      <c r="AQ111" s="3">
        <f>-(N70_DESARROLLO!AP26/0.014285714)*LN(N70_DESARROLLO!AP26/N70_DESARROLLO!AO26)-1</f>
        <v>2.6552823496782896E-2</v>
      </c>
      <c r="AR111" s="3">
        <f>-(N70_DESARROLLO!AQ26/0.014285714)*LN(N70_DESARROLLO!AQ26/N70_DESARROLLO!AP26)-1</f>
        <v>2.5213642284836135E-2</v>
      </c>
      <c r="AS111" s="3">
        <f>-(N70_DESARROLLO!AR26/0.014285714)*LN(N70_DESARROLLO!AR26/N70_DESARROLLO!AQ26)-1</f>
        <v>2.4003073749031989E-2</v>
      </c>
      <c r="AT111" s="3">
        <f>-(N70_DESARROLLO!AS26/0.014285714)*LN(N70_DESARROLLO!AS26/N70_DESARROLLO!AR26)-1</f>
        <v>2.290343718511556E-2</v>
      </c>
      <c r="AU111" s="3">
        <f>-(N70_DESARROLLO!AT26/0.014285714)*LN(N70_DESARROLLO!AT26/N70_DESARROLLO!AS26)-1</f>
        <v>2.1900151021861713E-2</v>
      </c>
      <c r="AV111" s="3">
        <f>-(N70_DESARROLLO!AU26/0.014285714)*LN(N70_DESARROLLO!AU26/N70_DESARROLLO!AT26)-1</f>
        <v>2.0981082233545001E-2</v>
      </c>
      <c r="AW111" s="3">
        <f>-(N70_DESARROLLO!AV26/0.014285714)*LN(N70_DESARROLLO!AV26/N70_DESARROLLO!AU26)-1</f>
        <v>2.0136053052045355E-2</v>
      </c>
      <c r="AX111" s="3">
        <f>-(N70_DESARROLLO!AW26/0.014285714)*LN(N70_DESARROLLO!AW26/N70_DESARROLLO!AV26)-1</f>
        <v>1.9356462323721013E-2</v>
      </c>
      <c r="AY111" s="3">
        <f>-(N70_DESARROLLO!AX26/0.014285714)*LN(N70_DESARROLLO!AX26/N70_DESARROLLO!AW26)-1</f>
        <v>1.8634991582305416E-2</v>
      </c>
      <c r="AZ111" s="3">
        <f>-(N70_DESARROLLO!AY26/0.014285714)*LN(N70_DESARROLLO!AY26/N70_DESARROLLO!AX26)-1</f>
        <v>1.7965374518559729E-2</v>
      </c>
      <c r="BA111" s="3">
        <f>-(N70_DESARROLLO!AZ26/0.014285714)*LN(N70_DESARROLLO!AZ26/N70_DESARROLLO!AY26)-1</f>
        <v>1.7342214446341764E-2</v>
      </c>
      <c r="BB111" s="3">
        <f>-(N70_DESARROLLO!BA26/0.014285714)*LN(N70_DESARROLLO!BA26/N70_DESARROLLO!AZ26)-1</f>
        <v>1.6760838496763908E-2</v>
      </c>
      <c r="BC111" s="3">
        <f>-(N70_DESARROLLO!BB26/0.014285714)*LN(N70_DESARROLLO!BB26/N70_DESARROLLO!BA26)-1</f>
        <v>1.6217180198320191E-2</v>
      </c>
      <c r="BD111" s="3">
        <f>-(N70_DESARROLLO!BC26/0.014285714)*LN(N70_DESARROLLO!BC26/N70_DESARROLLO!BB26)-1</f>
        <v>1.570768419754387E-2</v>
      </c>
      <c r="BE111" s="3">
        <f>-(N70_DESARROLLO!BD26/0.014285714)*LN(N70_DESARROLLO!BD26/N70_DESARROLLO!BC26)-1</f>
        <v>1.5229228398107919E-2</v>
      </c>
      <c r="BF111" s="3">
        <f>-(N70_DESARROLLO!BE26/0.014285714)*LN(N70_DESARROLLO!BE26/N70_DESARROLLO!BD26)-1</f>
        <v>1.4779059912696235E-2</v>
      </c>
      <c r="BG111" s="3">
        <f>-(N70_DESARROLLO!BF26/0.014285714)*LN(N70_DESARROLLO!BF26/N70_DESARROLLO!BE26)-1</f>
        <v>1.4354742051081004E-2</v>
      </c>
      <c r="BH111" s="3">
        <f>-(N70_DESARROLLO!BG26/0.014285714)*LN(N70_DESARROLLO!BG26/N70_DESARROLLO!BF26)-1</f>
        <v>1.395411018734416E-2</v>
      </c>
      <c r="BI111" s="3">
        <f>-(N70_DESARROLLO!BH26/0.014285714)*LN(N70_DESARROLLO!BH26/N70_DESARROLLO!BG26)-1</f>
        <v>1.3575234818474335E-2</v>
      </c>
      <c r="BJ111" s="3">
        <f>-(N70_DESARROLLO!BI26/0.014285714)*LN(N70_DESARROLLO!BI26/N70_DESARROLLO!BH26)-1</f>
        <v>1.3216390483218987E-2</v>
      </c>
      <c r="BK111" s="3">
        <f>-(N70_DESARROLLO!BJ26/0.014285714)*LN(N70_DESARROLLO!BJ26/N70_DESARROLLO!BI26)-1</f>
        <v>1.2876029484357954E-2</v>
      </c>
      <c r="BL111" s="3">
        <f>-(N70_DESARROLLO!BK26/0.014285714)*LN(N70_DESARROLLO!BK26/N70_DESARROLLO!BJ26)-1</f>
        <v>1.25527595704511E-2</v>
      </c>
      <c r="BM111" s="3">
        <f>-(N70_DESARROLLO!BL26/0.014285714)*LN(N70_DESARROLLO!BL26/N70_DESARROLLO!BK26)-1</f>
        <v>1.224532489750696E-2</v>
      </c>
      <c r="BN111" s="3">
        <f>-(N70_DESARROLLO!BM26/0.014285714)*LN(N70_DESARROLLO!BM26/N70_DESARROLLO!BL26)-1</f>
        <v>1.1952589722102003E-2</v>
      </c>
      <c r="BO111" s="3">
        <f>-(N70_DESARROLLO!BN26/0.014285714)*LN(N70_DESARROLLO!BN26/N70_DESARROLLO!BM26)-1</f>
        <v>1.1673524379093081E-2</v>
      </c>
      <c r="BP111" s="3">
        <f>-(N70_DESARROLLO!BO26/0.014285714)*LN(N70_DESARROLLO!BO26/N70_DESARROLLO!BN26)-1</f>
        <v>1.1407193179389985E-2</v>
      </c>
      <c r="BQ111" s="3">
        <f>-(N70_DESARROLLO!BP26/0.014285714)*LN(N70_DESARROLLO!BP26/N70_DESARROLLO!BO26)-1</f>
        <v>1.1152743927361541E-2</v>
      </c>
      <c r="BR111" s="3">
        <f>-(N70_DESARROLLO!BQ26/0.014285714)*LN(N70_DESARROLLO!BQ26/N70_DESARROLLO!BP26)-1</f>
        <v>1.0909398811078885E-2</v>
      </c>
      <c r="BS111" s="3">
        <f>-(N70_DESARROLLO!BR26/0.014285714)*LN(N70_DESARROLLO!BR26/N70_DESARROLLO!BQ26)-1</f>
        <v>1.0676446459560784E-2</v>
      </c>
      <c r="BT111" s="3">
        <f>-(N70_DESARROLLO!BS26/0.014285714)*LN(N70_DESARROLLO!BS26/N70_DESARROLLO!BR26)-1</f>
        <v>1.0453234996893546E-2</v>
      </c>
      <c r="BU111" s="3">
        <f>-(N70_DESARROLLO!BT26/0.014285714)*LN(N70_DESARROLLO!BT26/N70_DESARROLLO!BS26)-1</f>
        <v>1.0239165949531337E-2</v>
      </c>
      <c r="BV111" s="3">
        <f>-(N70_DESARROLLO!BU26/0.014285714)*LN(N70_DESARROLLO!BU26/N70_DESARROLLO!BT26)-1</f>
        <v>1.003368888748013E-2</v>
      </c>
      <c r="BW111" s="3">
        <f>-(N70_DESARROLLO!BV26/0.014285714)*LN(N70_DESARROLLO!BV26/N70_DESARROLLO!BU26)-1</f>
        <v>9.8362966981186961E-3</v>
      </c>
      <c r="BX111" s="3">
        <f>-(N70_DESARROLLO!BW26/0.014285714)*LN(N70_DESARROLLO!BW26/N70_DESARROLLO!BV26)-1</f>
        <v>9.6465214070291516E-3</v>
      </c>
      <c r="BY111" s="3">
        <f>-(N70_DESARROLLO!BX26/0.014285714)*LN(N70_DESARROLLO!BX26/N70_DESARROLLO!BW26)-1</f>
        <v>19.137745474379571</v>
      </c>
      <c r="BZ111" s="10"/>
      <c r="CA111" s="10"/>
      <c r="CB111" s="10"/>
      <c r="CC111" s="10"/>
      <c r="CD111">
        <v>17</v>
      </c>
      <c r="CE111" s="1">
        <v>0</v>
      </c>
      <c r="CF111" s="1">
        <f>(1+(N70_DESARROLLO!F26/0.014285714)*LN(N70_DESARROLLO!G26/N70_DESARROLLO!F26))</f>
        <v>-3.158591082373019E-2</v>
      </c>
      <c r="CG111" s="1">
        <f>(1+(N70_DESARROLLO!G26/0.014285714)*LN(N70_DESARROLLO!H26/N70_DESARROLLO!G26))</f>
        <v>-3.3716325403746916E-2</v>
      </c>
      <c r="CH111" s="1">
        <f>(1+(N70_DESARROLLO!H26/0.014285714)*LN(N70_DESARROLLO!I26/N70_DESARROLLO!H26))</f>
        <v>-3.6154998464202004E-2</v>
      </c>
      <c r="CI111" s="1">
        <f>(1+(N70_DESARROLLO!I26/0.014285714)*LN(N70_DESARROLLO!J26/N70_DESARROLLO!I26))</f>
        <v>-3.8974076117212153E-2</v>
      </c>
      <c r="CJ111" s="1">
        <f>(1+(N70_DESARROLLO!J26/0.014285714)*LN(N70_DESARROLLO!K26/N70_DESARROLLO!J26))</f>
        <v>-4.2270132583541953E-2</v>
      </c>
      <c r="CK111" s="1">
        <f>(1+(N70_DESARROLLO!K26/0.014285714)*LN(N70_DESARROLLO!L26/N70_DESARROLLO!K26))</f>
        <v>-4.6175470289367082E-2</v>
      </c>
      <c r="CL111" s="1">
        <f>(1+(N70_DESARROLLO!L26/0.014285714)*LN(N70_DESARROLLO!M26/N70_DESARROLLO!L26))</f>
        <v>-5.0876335865841948E-2</v>
      </c>
      <c r="CM111" s="1">
        <f>(1+(N70_DESARROLLO!M26/0.014285714)*LN(N70_DESARROLLO!N26/N70_DESARROLLO!M26))</f>
        <v>-5.6643554680003927E-2</v>
      </c>
      <c r="CN111" s="1">
        <f>(1+(N70_DESARROLLO!N26/0.014285714)*LN(N70_DESARROLLO!O26/N70_DESARROLLO!N26))</f>
        <v>-6.3886736386784992E-2</v>
      </c>
      <c r="CO111" s="1">
        <f>(1+(N70_DESARROLLO!O26/0.014285714)*LN(N70_DESARROLLO!P26/N70_DESARROLLO!O26))</f>
        <v>-7.3256348770177837E-2</v>
      </c>
      <c r="CP111" s="1">
        <f>(1+(N70_DESARROLLO!P26/0.014285714)*LN(N70_DESARROLLO!Q26/N70_DESARROLLO!P26))</f>
        <v>-8.5851572027611844E-2</v>
      </c>
      <c r="CQ111" s="1">
        <f>(1+(N70_DESARROLLO!Q26/0.014285714)*LN(N70_DESARROLLO!R26/N70_DESARROLLO!Q26))</f>
        <v>-0.10368884711560877</v>
      </c>
      <c r="CR111" s="1">
        <f>(1+(N70_DESARROLLO!R26/0.014285714)*LN(N70_DESARROLLO!S26/N70_DESARROLLO!R26))</f>
        <v>-0.13091494988237695</v>
      </c>
      <c r="CS111" s="1">
        <f>(1+(N70_DESARROLLO!S26/0.014285714)*LN(N70_DESARROLLO!T26/N70_DESARROLLO!S26))</f>
        <v>-0.17765285172730039</v>
      </c>
      <c r="CT111" s="1">
        <f>(1+(N70_DESARROLLO!T26/0.014285714)*LN(N70_DESARROLLO!U26/N70_DESARROLLO!T26))</f>
        <v>-0.27706408495625889</v>
      </c>
      <c r="CU111" s="1">
        <f>(1+(N70_DESARROLLO!U26/0.014285714)*LN(N70_DESARROLLO!V26/N70_DESARROLLO!U26))</f>
        <v>-0.6479184659605346</v>
      </c>
      <c r="CV111" s="1">
        <v>1</v>
      </c>
      <c r="CW111" s="1">
        <f>(1+(N70_DESARROLLO!W26/0.014285714)*LN(N70_DESARROLLO!X26/N70_DESARROLLO!W26))</f>
        <v>0.45069384467982243</v>
      </c>
      <c r="CX111" s="1">
        <f>(1+(N70_DESARROLLO!X26/0.014285714)*LN(N70_DESARROLLO!Y26/N70_DESARROLLO!X26))</f>
        <v>0.2337615490262448</v>
      </c>
      <c r="CY111" s="1">
        <f>(1+(N70_DESARROLLO!Y26/0.014285714)*LN(N70_DESARROLLO!Z26/N70_DESARROLLO!Y26))</f>
        <v>0.15881939162335523</v>
      </c>
      <c r="CZ111" s="1">
        <f>(1+(N70_DESARROLLO!Z26/0.014285714)*LN(N70_DESARROLLO!AA26/N70_DESARROLLO!Z26))</f>
        <v>0.12039948342481821</v>
      </c>
      <c r="DA111" s="1">
        <f>(1+(N70_DESARROLLO!AA26/0.014285714)*LN(N70_DESARROLLO!AB26/N70_DESARROLLO!AA26))</f>
        <v>9.69818523599566E-2</v>
      </c>
      <c r="DB111" s="1">
        <f>(1+(N70_DESARROLLO!AB26/0.014285714)*LN(N70_DESARROLLO!AC26/N70_DESARROLLO!AB26))</f>
        <v>8.120251597663608E-2</v>
      </c>
      <c r="DC111" s="1">
        <f>(1+(N70_DESARROLLO!AC26/0.014285714)*LN(N70_DESARROLLO!AD26/N70_DESARROLLO!AC26))</f>
        <v>6.9844497732512556E-2</v>
      </c>
      <c r="DD111" s="1">
        <f>(1+(N70_DESARROLLO!AD26/0.014285714)*LN(N70_DESARROLLO!AE26/N70_DESARROLLO!AD26))</f>
        <v>6.1276409070483151E-2</v>
      </c>
      <c r="DE111" s="1">
        <f>(1+(N70_DESARROLLO!AE26/0.014285714)*LN(N70_DESARROLLO!AF26/N70_DESARROLLO!AE26))</f>
        <v>5.4582082654734076E-2</v>
      </c>
      <c r="DF111" s="1">
        <f>(1+(N70_DESARROLLO!AF26/0.014285714)*LN(N70_DESARROLLO!AG26/N70_DESARROLLO!AF26))</f>
        <v>4.9207124692811188E-2</v>
      </c>
      <c r="DG111" s="1">
        <f>(1+(N70_DESARROLLO!AG26/0.014285714)*LN(N70_DESARROLLO!AH26/N70_DESARROLLO!AG26))</f>
        <v>4.4796309735795181E-2</v>
      </c>
      <c r="DH111" s="1">
        <f>(1+(N70_DESARROLLO!AH26/0.014285714)*LN(N70_DESARROLLO!AI26/N70_DESARROLLO!AH26))</f>
        <v>4.1111478023143189E-2</v>
      </c>
      <c r="DI111" s="1">
        <f>(1+(N70_DESARROLLO!AI26/0.014285714)*LN(N70_DESARROLLO!AJ26/N70_DESARROLLO!AI26))</f>
        <v>3.7986966558134605E-2</v>
      </c>
      <c r="DJ111" s="1">
        <f>(1+(N70_DESARROLLO!AJ26/0.014285714)*LN(N70_DESARROLLO!AK26/N70_DESARROLLO!AJ26))</f>
        <v>3.5303966947121235E-2</v>
      </c>
      <c r="DK111" s="1">
        <f>(1+(N70_DESARROLLO!AK26/0.014285714)*LN(N70_DESARROLLO!AL26/N70_DESARROLLO!AK26))</f>
        <v>3.297505042875204E-2</v>
      </c>
      <c r="DL111" s="1">
        <f>(1+(N70_DESARROLLO!AL26/0.014285714)*LN(N70_DESARROLLO!AM26/N70_DESARROLLO!AL26))</f>
        <v>3.0934447408012988E-2</v>
      </c>
      <c r="DM111" s="1">
        <f>(1+(N70_DESARROLLO!AM26/0.014285714)*LN(N70_DESARROLLO!AN26/N70_DESARROLLO!AM26))</f>
        <v>2.9131730204233652E-2</v>
      </c>
      <c r="DN111" s="1">
        <f>(1+(N70_DESARROLLO!AN26/0.014285714)*LN(N70_DESARROLLO!AO26/N70_DESARROLLO!AN26))</f>
        <v>2.7527585341362903E-2</v>
      </c>
      <c r="DO111" s="1">
        <f>(1+(N70_DESARROLLO!AO26/0.014285714)*LN(N70_DESARROLLO!AP26/N70_DESARROLLO!AO26))</f>
        <v>2.6090911041513287E-2</v>
      </c>
      <c r="DP111" s="1">
        <f>(1+(N70_DESARROLLO!AP26/0.014285714)*LN(N70_DESARROLLO!AQ26/N70_DESARROLLO!AP26))</f>
        <v>2.4796779290034099E-2</v>
      </c>
      <c r="DQ111" s="1">
        <f>(1+(N70_DESARROLLO!AQ26/0.014285714)*LN(N70_DESARROLLO!AR26/N70_DESARROLLO!AQ26))</f>
        <v>2.3624976192783254E-2</v>
      </c>
      <c r="DR111" s="1">
        <f>(1+(N70_DESARROLLO!AR26/0.014285714)*LN(N70_DESARROLLO!AS26/N70_DESARROLLO!AR26))</f>
        <v>2.25589378008898E-2</v>
      </c>
      <c r="DS111" s="1">
        <f>(1+(N70_DESARROLLO!AS26/0.014285714)*LN(N70_DESARROLLO!AT26/N70_DESARROLLO!AS26))</f>
        <v>2.1584961787578849E-2</v>
      </c>
      <c r="DT111" s="1">
        <f>(1+(N70_DESARROLLO!AT26/0.014285714)*LN(N70_DESARROLLO!AU26/N70_DESARROLLO!AT26))</f>
        <v>2.0691615000477448E-2</v>
      </c>
      <c r="DU111" s="1">
        <f>(1+(N70_DESARROLLO!AU26/0.014285714)*LN(N70_DESARROLLO!AV26/N70_DESARROLLO!AU26))</f>
        <v>1.9869282361760221E-2</v>
      </c>
      <c r="DV111" s="1">
        <f>(1+(N70_DESARROLLO!AV26/0.014285714)*LN(N70_DESARROLLO!AW26/N70_DESARROLLO!AV26))</f>
        <v>1.9109819273400275E-2</v>
      </c>
      <c r="DW111" s="1">
        <f>(1+(N70_DESARROLLO!AW26/0.014285714)*LN(N70_DESARROLLO!AX26/N70_DESARROLLO!AW26))</f>
        <v>1.8406280838869638E-2</v>
      </c>
      <c r="DX111" s="1">
        <f>(1+(N70_DESARROLLO!AX26/0.014285714)*LN(N70_DESARROLLO!AY26/N70_DESARROLLO!AX26))</f>
        <v>1.7752708797880823E-2</v>
      </c>
      <c r="DY111" s="1">
        <f>(1+(N70_DESARROLLO!AY26/0.014285714)*LN(N70_DESARROLLO!AZ26/N70_DESARROLLO!AY26))</f>
        <v>1.7143962314551398E-2</v>
      </c>
      <c r="DZ111" s="1">
        <f>(1+(N70_DESARROLLO!AZ26/0.014285714)*LN(N70_DESARROLLO!BA26/N70_DESARROLLO!AZ26))</f>
        <v>1.657558243755608E-2</v>
      </c>
      <c r="EA111" s="1">
        <f>(1+(N70_DESARROLLO!BA26/0.014285714)*LN(N70_DESARROLLO!BB26/N70_DESARROLLO!BA26))</f>
        <v>1.6043682665118797E-2</v>
      </c>
      <c r="EB111" s="1">
        <f>(1+(N70_DESARROLLO!BB26/0.014285714)*LN(N70_DESARROLLO!BC26/N70_DESARROLLO!BB26))</f>
        <v>1.5544859931611255E-2</v>
      </c>
      <c r="EC111" s="1">
        <f>(1+(N70_DESARROLLO!BC26/0.014285714)*LN(N70_DESARROLLO!BD26/N70_DESARROLLO!BC26))</f>
        <v>1.507612170332806E-2</v>
      </c>
      <c r="ED111" s="1">
        <f>(1+(N70_DESARROLLO!BD26/0.014285714)*LN(N70_DESARROLLO!BE26/N70_DESARROLLO!BD26))</f>
        <v>1.4634825881874591E-2</v>
      </c>
      <c r="EE111" s="1">
        <f>(1+(N70_DESARROLLO!BE26/0.014285714)*LN(N70_DESARROLLO!BF26/N70_DESARROLLO!BE26))</f>
        <v>1.4218630964442425E-2</v>
      </c>
      <c r="EF111" s="1">
        <f>(1+(N70_DESARROLLO!BF26/0.014285714)*LN(N70_DESARROLLO!BG26/N70_DESARROLLO!BF26))</f>
        <v>1.3825454475322685E-2</v>
      </c>
      <c r="EG111" s="1">
        <f>(1+(N70_DESARROLLO!BG26/0.014285714)*LN(N70_DESARROLLO!BH26/N70_DESARROLLO!BG26))</f>
        <v>1.345343811001809E-2</v>
      </c>
      <c r="EH111" s="1">
        <f>(1+(N70_DESARROLLO!BH26/0.014285714)*LN(N70_DESARROLLO!BI26/N70_DESARROLLO!BH26))</f>
        <v>1.3100918360501423E-2</v>
      </c>
      <c r="EI111" s="1">
        <f>(1+(N70_DESARROLLO!BI26/0.014285714)*LN(N70_DESARROLLO!BJ26/N70_DESARROLLO!BI26))</f>
        <v>1.2766401641828296E-2</v>
      </c>
      <c r="EJ111" s="1">
        <f>(1+(N70_DESARROLLO!BJ26/0.014285714)*LN(N70_DESARROLLO!BK26/N70_DESARROLLO!BJ26))</f>
        <v>1.2448543134991996E-2</v>
      </c>
      <c r="EK111" s="1">
        <f>(1+(N70_DESARROLLO!BK26/0.014285714)*LN(N70_DESARROLLO!BL26/N70_DESARROLLO!BK26))</f>
        <v>1.2146128714481286E-2</v>
      </c>
      <c r="EL111" s="1">
        <f>(1+(N70_DESARROLLO!BL26/0.014285714)*LN(N70_DESARROLLO!BM26/N70_DESARROLLO!BL26))</f>
        <v>1.1858059447830027E-2</v>
      </c>
      <c r="EM111" s="1">
        <f>(1+(N70_DESARROLLO!BM26/0.014285714)*LN(N70_DESARROLLO!BN26/N70_DESARROLLO!BM26))</f>
        <v>1.1583338250311437E-2</v>
      </c>
      <c r="EN111" s="1">
        <f>(1+(N70_DESARROLLO!BN26/0.014285714)*LN(N70_DESARROLLO!BO26/N70_DESARROLLO!BN26))</f>
        <v>1.1321058352731117E-2</v>
      </c>
      <c r="EO111" s="1">
        <f>(1+(N70_DESARROLLO!BO26/0.014285714)*LN(N70_DESARROLLO!BP26/N70_DESARROLLO!BO26))</f>
        <v>1.1070393301811032E-2</v>
      </c>
      <c r="EP111" s="1">
        <f>(1+(N70_DESARROLLO!BP26/0.014285714)*LN(N70_DESARROLLO!BQ26/N70_DESARROLLO!BP26))</f>
        <v>1.0830588260127394E-2</v>
      </c>
      <c r="EQ111" s="1">
        <f>(1+(N70_DESARROLLO!BQ26/0.014285714)*LN(N70_DESARROLLO!BR26/N70_DESARROLLO!BQ26))</f>
        <v>1.0600952413271969E-2</v>
      </c>
      <c r="ER111" s="1">
        <f>(1+(N70_DESARROLLO!BR26/0.014285714)*LN(N70_DESARROLLO!BS26/N70_DESARROLLO!BR26))</f>
        <v>1.0380852322629863E-2</v>
      </c>
      <c r="ES111" s="1">
        <f>(1+(N70_DESARROLLO!BS26/0.014285714)*LN(N70_DESARROLLO!BT26/N70_DESARROLLO!BS26))</f>
        <v>1.0169706089853126E-2</v>
      </c>
      <c r="ET111" s="1">
        <f>(1+(N70_DESARROLLO!BT26/0.014285714)*LN(N70_DESARROLLO!BU26/N70_DESARROLLO!BT26))</f>
        <v>9.9669782192025602E-3</v>
      </c>
      <c r="EU111" s="1">
        <f>(1+(N70_DESARROLLO!BU26/0.014285714)*LN(N70_DESARROLLO!BV26/N70_DESARROLLO!BU26))</f>
        <v>9.7721750824275588E-3</v>
      </c>
      <c r="EV111" s="1">
        <f>(1+(N70_DESARROLLO!BV26/0.014285714)*LN(N70_DESARROLLO!BW26/N70_DESARROLLO!BV26))</f>
        <v>9.5848409054857253E-3</v>
      </c>
      <c r="EW111" s="1">
        <f>(1+(N70_DESARROLLO!BW26/0.014285714)*LN(N70_DESARROLLO!BX26/N70_DESARROLLO!BW26))</f>
        <v>-14.103309105784676</v>
      </c>
      <c r="EX111" s="10"/>
      <c r="EY111" s="10"/>
    </row>
    <row r="112" spans="5:155" x14ac:dyDescent="0.25">
      <c r="G112" s="3">
        <v>18</v>
      </c>
      <c r="H112" s="3">
        <f>-(N70_DESARROLLO!G27/0.014285714)*LN(N70_DESARROLLO!G27/N70_DESARROLLO!F27)-1</f>
        <v>-2.9131730204232431E-2</v>
      </c>
      <c r="I112" s="3">
        <f>-(N70_DESARROLLO!H27/0.014285714)*LN(N70_DESARROLLO!H27/N70_DESARROLLO!G27)-1</f>
        <v>-3.0934447408011101E-2</v>
      </c>
      <c r="J112" s="3">
        <f>-(N70_DESARROLLO!I27/0.014285714)*LN(N70_DESARROLLO!I27/N70_DESARROLLO!H27)-1</f>
        <v>-3.2975050428753039E-2</v>
      </c>
      <c r="K112" s="3">
        <f>-(N70_DESARROLLO!J27/0.014285714)*LN(N70_DESARROLLO!J27/N70_DESARROLLO!I27)-1</f>
        <v>-3.5303966947123566E-2</v>
      </c>
      <c r="L112" s="3">
        <f>-(N70_DESARROLLO!K27/0.014285714)*LN(N70_DESARROLLO!K27/N70_DESARROLLO!J27)-1</f>
        <v>-3.7986966558135271E-2</v>
      </c>
      <c r="M112" s="3">
        <f>-(N70_DESARROLLO!L27/0.014285714)*LN(N70_DESARROLLO!L27/N70_DESARROLLO!K27)-1</f>
        <v>-4.1111478023141412E-2</v>
      </c>
      <c r="N112" s="3">
        <f>-(N70_DESARROLLO!M27/0.014285714)*LN(N70_DESARROLLO!M27/N70_DESARROLLO!L27)-1</f>
        <v>-4.4796309735797624E-2</v>
      </c>
      <c r="O112" s="3">
        <f>-(N70_DESARROLLO!N27/0.014285714)*LN(N70_DESARROLLO!N27/N70_DESARROLLO!M27)-1</f>
        <v>-4.9207124692808302E-2</v>
      </c>
      <c r="P112" s="3">
        <f>-(N70_DESARROLLO!O27/0.014285714)*LN(N70_DESARROLLO!O27/N70_DESARROLLO!N27)-1</f>
        <v>-5.4582082654734299E-2</v>
      </c>
      <c r="Q112" s="3">
        <f>-(N70_DESARROLLO!P27/0.014285714)*LN(N70_DESARROLLO!P27/N70_DESARROLLO!O27)-1</f>
        <v>-6.1276409070482818E-2</v>
      </c>
      <c r="R112" s="3">
        <f>-(N70_DESARROLLO!Q27/0.014285714)*LN(N70_DESARROLLO!Q27/N70_DESARROLLO!P27)-1</f>
        <v>-6.9844497732512556E-2</v>
      </c>
      <c r="S112" s="3">
        <f>-(N70_DESARROLLO!R27/0.014285714)*LN(N70_DESARROLLO!R27/N70_DESARROLLO!Q27)-1</f>
        <v>-8.1202515976636191E-2</v>
      </c>
      <c r="T112" s="3">
        <f>-(N70_DESARROLLO!S27/0.014285714)*LN(N70_DESARROLLO!S27/N70_DESARROLLO!R27)-1</f>
        <v>-9.69818523599566E-2</v>
      </c>
      <c r="U112" s="3">
        <f>-(N70_DESARROLLO!T27/0.014285714)*LN(N70_DESARROLLO!T27/N70_DESARROLLO!S27)-1</f>
        <v>-0.12039948342481965</v>
      </c>
      <c r="V112" s="3">
        <f>-(N70_DESARROLLO!U27/0.014285714)*LN(N70_DESARROLLO!U27/N70_DESARROLLO!T27)-1</f>
        <v>-0.15881939162335523</v>
      </c>
      <c r="W112" s="3">
        <f>-(N70_DESARROLLO!V27/0.014285714)*LN(N70_DESARROLLO!V27/N70_DESARROLLO!U27)-1</f>
        <v>-0.23376154902624457</v>
      </c>
      <c r="X112" s="3">
        <f>-(N70_DESARROLLO!W27/0.014285714)*LN(N70_DESARROLLO!W27/N70_DESARROLLO!V27)-1</f>
        <v>-0.45069384467982176</v>
      </c>
      <c r="Y112" s="3">
        <v>-1</v>
      </c>
      <c r="Z112" s="3">
        <f>-(N70_DESARROLLO!Y27/0.014285714)*LN(N70_DESARROLLO!Y27/N70_DESARROLLO!X27)-1</f>
        <v>0.64791846596053637</v>
      </c>
      <c r="AA112" s="3">
        <f>-(N70_DESARROLLO!Z27/0.014285714)*LN(N70_DESARROLLO!Z27/N70_DESARROLLO!Y27)-1</f>
        <v>0.27706408495625956</v>
      </c>
      <c r="AB112" s="3">
        <f>-(N70_DESARROLLO!AA27/0.014285714)*LN(N70_DESARROLLO!AA27/N70_DESARROLLO!Z27)-1</f>
        <v>0.17765285172730305</v>
      </c>
      <c r="AC112" s="3">
        <f>-(N70_DESARROLLO!AB27/0.014285714)*LN(N70_DESARROLLO!AB27/N70_DESARROLLO!AA27)-1</f>
        <v>0.13091494988237651</v>
      </c>
      <c r="AD112" s="3">
        <f>-(N70_DESARROLLO!AC27/0.014285714)*LN(N70_DESARROLLO!AC27/N70_DESARROLLO!AB27)-1</f>
        <v>0.10368884711560877</v>
      </c>
      <c r="AE112" s="3">
        <f>-(N70_DESARROLLO!AD27/0.014285714)*LN(N70_DESARROLLO!AD27/N70_DESARROLLO!AC27)-1</f>
        <v>8.5851572027612066E-2</v>
      </c>
      <c r="AF112" s="3">
        <f>-(N70_DESARROLLO!AE27/0.014285714)*LN(N70_DESARROLLO!AE27/N70_DESARROLLO!AD27)-1</f>
        <v>7.3256348770177837E-2</v>
      </c>
      <c r="AG112" s="3">
        <f>-(N70_DESARROLLO!AF27/0.014285714)*LN(N70_DESARROLLO!AF27/N70_DESARROLLO!AE27)-1</f>
        <v>6.3886736386785881E-2</v>
      </c>
      <c r="AH112" s="3">
        <f>-(N70_DESARROLLO!AG27/0.014285714)*LN(N70_DESARROLLO!AG27/N70_DESARROLLO!AF27)-1</f>
        <v>5.664355467999882E-2</v>
      </c>
      <c r="AI112" s="3">
        <f>-(N70_DESARROLLO!AH27/0.014285714)*LN(N70_DESARROLLO!AH27/N70_DESARROLLO!AG27)-1</f>
        <v>5.0876335865843947E-2</v>
      </c>
      <c r="AJ112" s="3">
        <f>-(N70_DESARROLLO!AI27/0.014285714)*LN(N70_DESARROLLO!AI27/N70_DESARROLLO!AH27)-1</f>
        <v>4.6175470289367304E-2</v>
      </c>
      <c r="AK112" s="3">
        <f>-(N70_DESARROLLO!AJ27/0.014285714)*LN(N70_DESARROLLO!AJ27/N70_DESARROLLO!AI27)-1</f>
        <v>4.2270132583539954E-2</v>
      </c>
      <c r="AL112" s="3">
        <f>-(N70_DESARROLLO!AK27/0.014285714)*LN(N70_DESARROLLO!AK27/N70_DESARROLLO!AJ27)-1</f>
        <v>3.8974076117214818E-2</v>
      </c>
      <c r="AM112" s="3">
        <f>-(N70_DESARROLLO!AL27/0.014285714)*LN(N70_DESARROLLO!AL27/N70_DESARROLLO!AK27)-1</f>
        <v>3.6154998464203114E-2</v>
      </c>
      <c r="AN112" s="3">
        <f>-(N70_DESARROLLO!AM27/0.014285714)*LN(N70_DESARROLLO!AM27/N70_DESARROLLO!AL27)-1</f>
        <v>3.3716325403748026E-2</v>
      </c>
      <c r="AO112" s="3">
        <f>-(N70_DESARROLLO!AN27/0.014285714)*LN(N70_DESARROLLO!AN27/N70_DESARROLLO!AM27)-1</f>
        <v>3.158591082372797E-2</v>
      </c>
      <c r="AP112" s="3">
        <f>-(N70_DESARROLLO!AO27/0.014285714)*LN(N70_DESARROLLO!AO27/N70_DESARROLLO!AN27)-1</f>
        <v>2.9708770995509948E-2</v>
      </c>
      <c r="AQ112" s="3">
        <f>-(N70_DESARROLLO!AP27/0.014285714)*LN(N70_DESARROLLO!AP27/N70_DESARROLLO!AO27)-1</f>
        <v>2.8042266924840797E-2</v>
      </c>
      <c r="AR112" s="3">
        <f>-(N70_DESARROLLO!AQ27/0.014285714)*LN(N70_DESARROLLO!AQ27/N70_DESARROLLO!AP27)-1</f>
        <v>2.6552823496791333E-2</v>
      </c>
      <c r="AS112" s="3">
        <f>-(N70_DESARROLLO!AR27/0.014285714)*LN(N70_DESARROLLO!AR27/N70_DESARROLLO!AQ27)-1</f>
        <v>2.5213642284827253E-2</v>
      </c>
      <c r="AT112" s="3">
        <f>-(N70_DESARROLLO!AS27/0.014285714)*LN(N70_DESARROLLO!AS27/N70_DESARROLLO!AR27)-1</f>
        <v>2.4003073749041315E-2</v>
      </c>
      <c r="AU112" s="3">
        <f>-(N70_DESARROLLO!AT27/0.014285714)*LN(N70_DESARROLLO!AT27/N70_DESARROLLO!AS27)-1</f>
        <v>2.2903437185105791E-2</v>
      </c>
      <c r="AV112" s="3">
        <f>-(N70_DESARROLLO!AU27/0.014285714)*LN(N70_DESARROLLO!AU27/N70_DESARROLLO!AT27)-1</f>
        <v>2.190015102187215E-2</v>
      </c>
      <c r="AW112" s="3">
        <f>-(N70_DESARROLLO!AV27/0.014285714)*LN(N70_DESARROLLO!AV27/N70_DESARROLLO!AU27)-1</f>
        <v>2.0981082233534565E-2</v>
      </c>
      <c r="AX112" s="3">
        <f>-(N70_DESARROLLO!AW27/0.014285714)*LN(N70_DESARROLLO!AW27/N70_DESARROLLO!AV27)-1</f>
        <v>2.0136053052045133E-2</v>
      </c>
      <c r="AY112" s="3">
        <f>-(N70_DESARROLLO!AX27/0.014285714)*LN(N70_DESARROLLO!AX27/N70_DESARROLLO!AW27)-1</f>
        <v>1.9356462323727008E-2</v>
      </c>
      <c r="AZ112" s="3">
        <f>-(N70_DESARROLLO!AY27/0.014285714)*LN(N70_DESARROLLO!AY27/N70_DESARROLLO!AX27)-1</f>
        <v>1.8634991582293425E-2</v>
      </c>
      <c r="BA112" s="3">
        <f>-(N70_DESARROLLO!AZ27/0.014285714)*LN(N70_DESARROLLO!AZ27/N70_DESARROLLO!AY27)-1</f>
        <v>1.7965374518572164E-2</v>
      </c>
      <c r="BB112" s="3">
        <f>-(N70_DESARROLLO!BA27/0.014285714)*LN(N70_DESARROLLO!BA27/N70_DESARROLLO!AZ27)-1</f>
        <v>1.7342214446335324E-2</v>
      </c>
      <c r="BC112" s="3">
        <f>-(N70_DESARROLLO!BB27/0.014285714)*LN(N70_DESARROLLO!BB27/N70_DESARROLLO!BA27)-1</f>
        <v>1.6760838496770569E-2</v>
      </c>
      <c r="BD112" s="3">
        <f>-(N70_DESARROLLO!BC27/0.014285714)*LN(N70_DESARROLLO!BC27/N70_DESARROLLO!BB27)-1</f>
        <v>1.6217180198313308E-2</v>
      </c>
      <c r="BE112" s="3">
        <f>-(N70_DESARROLLO!BD27/0.014285714)*LN(N70_DESARROLLO!BD27/N70_DESARROLLO!BC27)-1</f>
        <v>1.5707684197550975E-2</v>
      </c>
      <c r="BF112" s="3">
        <f>-(N70_DESARROLLO!BE27/0.014285714)*LN(N70_DESARROLLO!BE27/N70_DESARROLLO!BD27)-1</f>
        <v>1.5229228398100814E-2</v>
      </c>
      <c r="BG112" s="3">
        <f>-(N70_DESARROLLO!BF27/0.014285714)*LN(N70_DESARROLLO!BF27/N70_DESARROLLO!BE27)-1</f>
        <v>1.4779059912703785E-2</v>
      </c>
      <c r="BH112" s="3">
        <f>-(N70_DESARROLLO!BG27/0.014285714)*LN(N70_DESARROLLO!BG27/N70_DESARROLLO!BF27)-1</f>
        <v>1.4354742051081004E-2</v>
      </c>
      <c r="BI112" s="3">
        <f>-(N70_DESARROLLO!BH27/0.014285714)*LN(N70_DESARROLLO!BH27/N70_DESARROLLO!BG27)-1</f>
        <v>1.395411018734416E-2</v>
      </c>
      <c r="BJ112" s="3">
        <f>-(N70_DESARROLLO!BI27/0.014285714)*LN(N70_DESARROLLO!BI27/N70_DESARROLLO!BH27)-1</f>
        <v>1.3575234818482773E-2</v>
      </c>
      <c r="BK112" s="3">
        <f>-(N70_DESARROLLO!BJ27/0.014285714)*LN(N70_DESARROLLO!BJ27/N70_DESARROLLO!BI27)-1</f>
        <v>1.3216390483202112E-2</v>
      </c>
      <c r="BL112" s="3">
        <f>-(N70_DESARROLLO!BK27/0.014285714)*LN(N70_DESARROLLO!BK27/N70_DESARROLLO!BJ27)-1</f>
        <v>1.2876029484357954E-2</v>
      </c>
      <c r="BM112" s="3">
        <f>-(N70_DESARROLLO!BL27/0.014285714)*LN(N70_DESARROLLO!BL27/N70_DESARROLLO!BK27)-1</f>
        <v>1.25527595704511E-2</v>
      </c>
      <c r="BN112" s="3">
        <f>-(N70_DESARROLLO!BM27/0.014285714)*LN(N70_DESARROLLO!BM27/N70_DESARROLLO!BL27)-1</f>
        <v>1.2245324897516063E-2</v>
      </c>
      <c r="BO112" s="3">
        <f>-(N70_DESARROLLO!BN27/0.014285714)*LN(N70_DESARROLLO!BN27/N70_DESARROLLO!BM27)-1</f>
        <v>1.1952589722083351E-2</v>
      </c>
      <c r="BP112" s="3">
        <f>-(N70_DESARROLLO!BO27/0.014285714)*LN(N70_DESARROLLO!BO27/N70_DESARROLLO!BN27)-1</f>
        <v>1.1673524379102407E-2</v>
      </c>
      <c r="BQ112" s="3">
        <f>-(N70_DESARROLLO!BP27/0.014285714)*LN(N70_DESARROLLO!BP27/N70_DESARROLLO!BO27)-1</f>
        <v>1.1407193179389985E-2</v>
      </c>
      <c r="BR112" s="3">
        <f>-(N70_DESARROLLO!BQ27/0.014285714)*LN(N70_DESARROLLO!BQ27/N70_DESARROLLO!BP27)-1</f>
        <v>1.1152743927371533E-2</v>
      </c>
      <c r="BS112" s="3">
        <f>-(N70_DESARROLLO!BR27/0.014285714)*LN(N70_DESARROLLO!BR27/N70_DESARROLLO!BQ27)-1</f>
        <v>1.0909398811058679E-2</v>
      </c>
      <c r="BT112" s="3">
        <f>-(N70_DESARROLLO!BS27/0.014285714)*LN(N70_DESARROLLO!BS27/N70_DESARROLLO!BR27)-1</f>
        <v>1.0676446459560562E-2</v>
      </c>
      <c r="BU112" s="3">
        <f>-(N70_DESARROLLO!BT27/0.014285714)*LN(N70_DESARROLLO!BT27/N70_DESARROLLO!BS27)-1</f>
        <v>1.0453234996904204E-2</v>
      </c>
      <c r="BV112" s="3">
        <f>-(N70_DESARROLLO!BU27/0.014285714)*LN(N70_DESARROLLO!BU27/N70_DESARROLLO!BT27)-1</f>
        <v>1.0239165949531337E-2</v>
      </c>
      <c r="BW112" s="3">
        <f>-(N70_DESARROLLO!BV27/0.014285714)*LN(N70_DESARROLLO!BV27/N70_DESARROLLO!BU27)-1</f>
        <v>1.003368888749101E-2</v>
      </c>
      <c r="BX112" s="3">
        <f>-(N70_DESARROLLO!BW27/0.014285714)*LN(N70_DESARROLLO!BW27/N70_DESARROLLO!BV27)-1</f>
        <v>9.8362966981071498E-3</v>
      </c>
      <c r="BY112" s="3">
        <f>-(N70_DESARROLLO!BX27/0.014285714)*LN(N70_DESARROLLO!BX27/N70_DESARROLLO!BW27)-1</f>
        <v>20.483940836255616</v>
      </c>
      <c r="BZ112" s="10"/>
      <c r="CA112" s="10"/>
      <c r="CB112" s="10"/>
      <c r="CC112" s="10"/>
      <c r="CD112" s="1">
        <v>18</v>
      </c>
      <c r="CE112" s="1">
        <v>0</v>
      </c>
      <c r="CF112" s="1">
        <f>(1+(N70_DESARROLLO!F27/0.014285714)*LN(N70_DESARROLLO!G27/N70_DESARROLLO!F27))</f>
        <v>-2.9708770995511058E-2</v>
      </c>
      <c r="CG112" s="1">
        <f>(1+(N70_DESARROLLO!G27/0.014285714)*LN(N70_DESARROLLO!H27/N70_DESARROLLO!G27))</f>
        <v>-3.158591082373019E-2</v>
      </c>
      <c r="CH112" s="1">
        <f>(1+(N70_DESARROLLO!H27/0.014285714)*LN(N70_DESARROLLO!I27/N70_DESARROLLO!H27))</f>
        <v>-3.3716325403746916E-2</v>
      </c>
      <c r="CI112" s="1">
        <f>(1+(N70_DESARROLLO!I27/0.014285714)*LN(N70_DESARROLLO!J27/N70_DESARROLLO!I27))</f>
        <v>-3.615499846420045E-2</v>
      </c>
      <c r="CJ112" s="1">
        <f>(1+(N70_DESARROLLO!J27/0.014285714)*LN(N70_DESARROLLO!K27/N70_DESARROLLO!J27))</f>
        <v>-3.8974076117213929E-2</v>
      </c>
      <c r="CK112" s="1">
        <f>(1+(N70_DESARROLLO!K27/0.014285714)*LN(N70_DESARROLLO!L27/N70_DESARROLLO!K27))</f>
        <v>-4.2270132583541953E-2</v>
      </c>
      <c r="CL112" s="1">
        <f>(1+(N70_DESARROLLO!L27/0.014285714)*LN(N70_DESARROLLO!M27/N70_DESARROLLO!L27))</f>
        <v>-4.6175470289364196E-2</v>
      </c>
      <c r="CM112" s="1">
        <f>(1+(N70_DESARROLLO!M27/0.014285714)*LN(N70_DESARROLLO!N27/N70_DESARROLLO!M27))</f>
        <v>-5.0876335865843503E-2</v>
      </c>
      <c r="CN112" s="1">
        <f>(1+(N70_DESARROLLO!N27/0.014285714)*LN(N70_DESARROLLO!O27/N70_DESARROLLO!N27))</f>
        <v>-5.6643554680002817E-2</v>
      </c>
      <c r="CO112" s="1">
        <f>(1+(N70_DESARROLLO!O27/0.014285714)*LN(N70_DESARROLLO!P27/N70_DESARROLLO!O27))</f>
        <v>-6.3886736386786325E-2</v>
      </c>
      <c r="CP112" s="1">
        <f>(1+(N70_DESARROLLO!P27/0.014285714)*LN(N70_DESARROLLO!Q27/N70_DESARROLLO!P27))</f>
        <v>-7.3256348770177837E-2</v>
      </c>
      <c r="CQ112" s="1">
        <f>(1+(N70_DESARROLLO!Q27/0.014285714)*LN(N70_DESARROLLO!R27/N70_DESARROLLO!Q27))</f>
        <v>-8.5851572027611844E-2</v>
      </c>
      <c r="CR112" s="1">
        <f>(1+(N70_DESARROLLO!R27/0.014285714)*LN(N70_DESARROLLO!S27/N70_DESARROLLO!R27))</f>
        <v>-0.10368884711560877</v>
      </c>
      <c r="CS112" s="1">
        <f>(1+(N70_DESARROLLO!S27/0.014285714)*LN(N70_DESARROLLO!T27/N70_DESARROLLO!S27))</f>
        <v>-0.13091494988237407</v>
      </c>
      <c r="CT112" s="1">
        <f>(1+(N70_DESARROLLO!T27/0.014285714)*LN(N70_DESARROLLO!U27/N70_DESARROLLO!T27))</f>
        <v>-0.17765285172730261</v>
      </c>
      <c r="CU112" s="1">
        <f>(1+(N70_DESARROLLO!U27/0.014285714)*LN(N70_DESARROLLO!V27/N70_DESARROLLO!U27))</f>
        <v>-0.27706408495625889</v>
      </c>
      <c r="CV112" s="1">
        <f>(1+(N70_DESARROLLO!V27/0.014285714)*LN(N70_DESARROLLO!W27/N70_DESARROLLO!V27))</f>
        <v>-0.6479184659605346</v>
      </c>
      <c r="CW112" s="1">
        <v>1</v>
      </c>
      <c r="CX112" s="1">
        <f>(1+(N70_DESARROLLO!X27/0.014285714)*LN(N70_DESARROLLO!Y27/N70_DESARROLLO!X27))</f>
        <v>0.45069384467982265</v>
      </c>
      <c r="CY112" s="1">
        <f>(1+(N70_DESARROLLO!Y27/0.014285714)*LN(N70_DESARROLLO!Z27/N70_DESARROLLO!Y27))</f>
        <v>0.2337615490262448</v>
      </c>
      <c r="CZ112" s="1">
        <f>(1+(N70_DESARROLLO!Z27/0.014285714)*LN(N70_DESARROLLO!AA27/N70_DESARROLLO!Z27))</f>
        <v>0.15881939162335523</v>
      </c>
      <c r="DA112" s="1">
        <f>(1+(N70_DESARROLLO!AA27/0.014285714)*LN(N70_DESARROLLO!AB27/N70_DESARROLLO!AA27))</f>
        <v>0.12039948342481821</v>
      </c>
      <c r="DB112" s="1">
        <f>(1+(N70_DESARROLLO!AB27/0.014285714)*LN(N70_DESARROLLO!AC27/N70_DESARROLLO!AB27))</f>
        <v>9.69818523599566E-2</v>
      </c>
      <c r="DC112" s="1">
        <f>(1+(N70_DESARROLLO!AC27/0.014285714)*LN(N70_DESARROLLO!AD27/N70_DESARROLLO!AC27))</f>
        <v>8.120251597663608E-2</v>
      </c>
      <c r="DD112" s="1">
        <f>(1+(N70_DESARROLLO!AD27/0.014285714)*LN(N70_DESARROLLO!AE27/N70_DESARROLLO!AD27))</f>
        <v>6.9844497732512556E-2</v>
      </c>
      <c r="DE112" s="1">
        <f>(1+(N70_DESARROLLO!AE27/0.014285714)*LN(N70_DESARROLLO!AF27/N70_DESARROLLO!AE27))</f>
        <v>6.1276409070483151E-2</v>
      </c>
      <c r="DF112" s="1">
        <f>(1+(N70_DESARROLLO!AF27/0.014285714)*LN(N70_DESARROLLO!AG27/N70_DESARROLLO!AF27))</f>
        <v>5.4582082654737407E-2</v>
      </c>
      <c r="DG112" s="1">
        <f>(1+(N70_DESARROLLO!AG27/0.014285714)*LN(N70_DESARROLLO!AH27/N70_DESARROLLO!AG27))</f>
        <v>4.9207124692807747E-2</v>
      </c>
      <c r="DH112" s="1">
        <f>(1+(N70_DESARROLLO!AH27/0.014285714)*LN(N70_DESARROLLO!AI27/N70_DESARROLLO!AH27))</f>
        <v>4.4796309735795181E-2</v>
      </c>
      <c r="DI112" s="1">
        <f>(1+(N70_DESARROLLO!AI27/0.014285714)*LN(N70_DESARROLLO!AJ27/N70_DESARROLLO!AI27))</f>
        <v>4.1111478023143189E-2</v>
      </c>
      <c r="DJ112" s="1">
        <f>(1+(N70_DESARROLLO!AJ27/0.014285714)*LN(N70_DESARROLLO!AK27/N70_DESARROLLO!AJ27))</f>
        <v>3.7986966558134605E-2</v>
      </c>
      <c r="DK112" s="1">
        <f>(1+(N70_DESARROLLO!AK27/0.014285714)*LN(N70_DESARROLLO!AL27/N70_DESARROLLO!AK27))</f>
        <v>3.5303966947121235E-2</v>
      </c>
      <c r="DL112" s="1">
        <f>(1+(N70_DESARROLLO!AL27/0.014285714)*LN(N70_DESARROLLO!AM27/N70_DESARROLLO!AL27))</f>
        <v>3.297505042875204E-2</v>
      </c>
      <c r="DM112" s="1">
        <f>(1+(N70_DESARROLLO!AM27/0.014285714)*LN(N70_DESARROLLO!AN27/N70_DESARROLLO!AM27))</f>
        <v>3.0934447408012988E-2</v>
      </c>
      <c r="DN112" s="1">
        <f>(1+(N70_DESARROLLO!AN27/0.014285714)*LN(N70_DESARROLLO!AO27/N70_DESARROLLO!AN27))</f>
        <v>2.9131730204233652E-2</v>
      </c>
      <c r="DO112" s="1">
        <f>(1+(N70_DESARROLLO!AO27/0.014285714)*LN(N70_DESARROLLO!AP27/N70_DESARROLLO!AO27))</f>
        <v>2.7527585341366678E-2</v>
      </c>
      <c r="DP112" s="1">
        <f>(1+(N70_DESARROLLO!AP27/0.014285714)*LN(N70_DESARROLLO!AQ27/N70_DESARROLLO!AP27))</f>
        <v>2.6090911041505627E-2</v>
      </c>
      <c r="DQ112" s="1">
        <f>(1+(N70_DESARROLLO!AQ27/0.014285714)*LN(N70_DESARROLLO!AR27/N70_DESARROLLO!AQ27))</f>
        <v>2.4796779290042203E-2</v>
      </c>
      <c r="DR112" s="1">
        <f>(1+(N70_DESARROLLO!AR27/0.014285714)*LN(N70_DESARROLLO!AS27/N70_DESARROLLO!AR27))</f>
        <v>2.3624976192774816E-2</v>
      </c>
      <c r="DS112" s="1">
        <f>(1+(N70_DESARROLLO!AS27/0.014285714)*LN(N70_DESARROLLO!AT27/N70_DESARROLLO!AS27))</f>
        <v>2.2558937800898904E-2</v>
      </c>
      <c r="DT112" s="1">
        <f>(1+(N70_DESARROLLO!AT27/0.014285714)*LN(N70_DESARROLLO!AU27/N70_DESARROLLO!AT27))</f>
        <v>2.1584961787569412E-2</v>
      </c>
      <c r="DU112" s="1">
        <f>(1+(N70_DESARROLLO!AU27/0.014285714)*LN(N70_DESARROLLO!AV27/N70_DESARROLLO!AU27))</f>
        <v>2.0691615000487218E-2</v>
      </c>
      <c r="DV112" s="1">
        <f>(1+(N70_DESARROLLO!AV27/0.014285714)*LN(N70_DESARROLLO!AW27/N70_DESARROLLO!AV27))</f>
        <v>1.9869282361760443E-2</v>
      </c>
      <c r="DW112" s="1">
        <f>(1+(N70_DESARROLLO!AW27/0.014285714)*LN(N70_DESARROLLO!AX27/N70_DESARROLLO!AW27))</f>
        <v>1.9109819273394835E-2</v>
      </c>
      <c r="DX112" s="1">
        <f>(1+(N70_DESARROLLO!AX27/0.014285714)*LN(N70_DESARROLLO!AY27/N70_DESARROLLO!AX27))</f>
        <v>1.840628083888074E-2</v>
      </c>
      <c r="DY112" s="1">
        <f>(1+(N70_DESARROLLO!AY27/0.014285714)*LN(N70_DESARROLLO!AZ27/N70_DESARROLLO!AY27))</f>
        <v>1.7752708797869166E-2</v>
      </c>
      <c r="DZ112" s="1">
        <f>(1+(N70_DESARROLLO!AZ27/0.014285714)*LN(N70_DESARROLLO!BA27/N70_DESARROLLO!AZ27))</f>
        <v>1.7143962314557393E-2</v>
      </c>
      <c r="EA112" s="1">
        <f>(1+(N70_DESARROLLO!BA27/0.014285714)*LN(N70_DESARROLLO!BB27/N70_DESARROLLO!BA27))</f>
        <v>1.6575582437549863E-2</v>
      </c>
      <c r="EB112" s="1">
        <f>(1+(N70_DESARROLLO!BB27/0.014285714)*LN(N70_DESARROLLO!BC27/N70_DESARROLLO!BB27))</f>
        <v>1.6043682665125125E-2</v>
      </c>
      <c r="EC112" s="1">
        <f>(1+(N70_DESARROLLO!BC27/0.014285714)*LN(N70_DESARROLLO!BD27/N70_DESARROLLO!BC27))</f>
        <v>1.5544859931604593E-2</v>
      </c>
      <c r="ED112" s="1">
        <f>(1+(N70_DESARROLLO!BD27/0.014285714)*LN(N70_DESARROLLO!BE27/N70_DESARROLLO!BD27))</f>
        <v>1.5076121703334833E-2</v>
      </c>
      <c r="EE112" s="1">
        <f>(1+(N70_DESARROLLO!BE27/0.014285714)*LN(N70_DESARROLLO!BF27/N70_DESARROLLO!BE27))</f>
        <v>1.4634825881867375E-2</v>
      </c>
      <c r="EF112" s="1">
        <f>(1+(N70_DESARROLLO!BF27/0.014285714)*LN(N70_DESARROLLO!BG27/N70_DESARROLLO!BF27))</f>
        <v>1.4218630964442425E-2</v>
      </c>
      <c r="EG112" s="1">
        <f>(1+(N70_DESARROLLO!BG27/0.014285714)*LN(N70_DESARROLLO!BH27/N70_DESARROLLO!BG27))</f>
        <v>1.3825454475322685E-2</v>
      </c>
      <c r="EH112" s="1">
        <f>(1+(N70_DESARROLLO!BH27/0.014285714)*LN(N70_DESARROLLO!BI27/N70_DESARROLLO!BH27))</f>
        <v>1.3453438110010096E-2</v>
      </c>
      <c r="EI112" s="1">
        <f>(1+(N70_DESARROLLO!BI27/0.014285714)*LN(N70_DESARROLLO!BJ27/N70_DESARROLLO!BI27))</f>
        <v>1.3100918360517522E-2</v>
      </c>
      <c r="EJ112" s="1">
        <f>(1+(N70_DESARROLLO!BJ27/0.014285714)*LN(N70_DESARROLLO!BK27/N70_DESARROLLO!BJ27))</f>
        <v>1.2766401641828407E-2</v>
      </c>
      <c r="EK112" s="1">
        <f>(1+(N70_DESARROLLO!BK27/0.014285714)*LN(N70_DESARROLLO!BL27/N70_DESARROLLO!BK27))</f>
        <v>1.2448543134991996E-2</v>
      </c>
      <c r="EL112" s="1">
        <f>(1+(N70_DESARROLLO!BL27/0.014285714)*LN(N70_DESARROLLO!BM27/N70_DESARROLLO!BL27))</f>
        <v>1.2146128714472515E-2</v>
      </c>
      <c r="EM112" s="1">
        <f>(1+(N70_DESARROLLO!BM27/0.014285714)*LN(N70_DESARROLLO!BN27/N70_DESARROLLO!BM27))</f>
        <v>1.1858059447847902E-2</v>
      </c>
      <c r="EN112" s="1">
        <f>(1+(N70_DESARROLLO!BN27/0.014285714)*LN(N70_DESARROLLO!BO27/N70_DESARROLLO!BN27))</f>
        <v>1.1583338250302444E-2</v>
      </c>
      <c r="EO112" s="1">
        <f>(1+(N70_DESARROLLO!BO27/0.014285714)*LN(N70_DESARROLLO!BP27/N70_DESARROLLO!BO27))</f>
        <v>1.1321058352731117E-2</v>
      </c>
      <c r="EP112" s="1">
        <f>(1+(N70_DESARROLLO!BP27/0.014285714)*LN(N70_DESARROLLO!BQ27/N70_DESARROLLO!BP27))</f>
        <v>1.1070393301801484E-2</v>
      </c>
      <c r="EQ112" s="1">
        <f>(1+(N70_DESARROLLO!BQ27/0.014285714)*LN(N70_DESARROLLO!BR27/N70_DESARROLLO!BQ27))</f>
        <v>1.0830588260146934E-2</v>
      </c>
      <c r="ER112" s="1">
        <f>(1+(N70_DESARROLLO!BR27/0.014285714)*LN(N70_DESARROLLO!BS27/N70_DESARROLLO!BR27))</f>
        <v>1.0600952413272191E-2</v>
      </c>
      <c r="ES112" s="1">
        <f>(1+(N70_DESARROLLO!BS27/0.014285714)*LN(N70_DESARROLLO!BT27/N70_DESARROLLO!BS27))</f>
        <v>1.0380852322619649E-2</v>
      </c>
      <c r="ET112" s="1">
        <f>(1+(N70_DESARROLLO!BT27/0.014285714)*LN(N70_DESARROLLO!BU27/N70_DESARROLLO!BT27))</f>
        <v>1.0169706089853126E-2</v>
      </c>
      <c r="EU112" s="1">
        <f>(1+(N70_DESARROLLO!BU27/0.014285714)*LN(N70_DESARROLLO!BV27/N70_DESARROLLO!BU27))</f>
        <v>9.9669782191919021E-3</v>
      </c>
      <c r="EV112" s="1">
        <f>(1+(N70_DESARROLLO!BV27/0.014285714)*LN(N70_DESARROLLO!BW27/N70_DESARROLLO!BV27))</f>
        <v>9.77217508243855E-3</v>
      </c>
      <c r="EW112" s="1">
        <f>(1+(N70_DESARROLLO!BW27/0.014285714)*LN(N70_DESARROLLO!BX27/N70_DESARROLLO!BW27))</f>
        <v>-14.806042186673773</v>
      </c>
      <c r="EX112" s="10"/>
      <c r="EY112" s="10"/>
    </row>
    <row r="113" spans="7:155" x14ac:dyDescent="0.25">
      <c r="G113" s="3">
        <v>19</v>
      </c>
      <c r="H113" s="3">
        <f>-(N70_DESARROLLO!G28/0.014285714)*LN(N70_DESARROLLO!G28/N70_DESARROLLO!F28)-1</f>
        <v>-2.7527585341363459E-2</v>
      </c>
      <c r="I113" s="3">
        <f>-(N70_DESARROLLO!H28/0.014285714)*LN(N70_DESARROLLO!H28/N70_DESARROLLO!G28)-1</f>
        <v>-2.9131730204232653E-2</v>
      </c>
      <c r="J113" s="3">
        <f>-(N70_DESARROLLO!I28/0.014285714)*LN(N70_DESARROLLO!I28/N70_DESARROLLO!H28)-1</f>
        <v>-3.0934447408011323E-2</v>
      </c>
      <c r="K113" s="3">
        <f>-(N70_DESARROLLO!J28/0.014285714)*LN(N70_DESARROLLO!J28/N70_DESARROLLO!I28)-1</f>
        <v>-3.2975050428754926E-2</v>
      </c>
      <c r="L113" s="3">
        <f>-(N70_DESARROLLO!K28/0.014285714)*LN(N70_DESARROLLO!K28/N70_DESARROLLO!J28)-1</f>
        <v>-3.5303966947122345E-2</v>
      </c>
      <c r="M113" s="3">
        <f>-(N70_DESARROLLO!L28/0.014285714)*LN(N70_DESARROLLO!L28/N70_DESARROLLO!K28)-1</f>
        <v>-3.7986966558135604E-2</v>
      </c>
      <c r="N113" s="3">
        <f>-(N70_DESARROLLO!M28/0.014285714)*LN(N70_DESARROLLO!M28/N70_DESARROLLO!L28)-1</f>
        <v>-4.1111478023144521E-2</v>
      </c>
      <c r="O113" s="3">
        <f>-(N70_DESARROLLO!N28/0.014285714)*LN(N70_DESARROLLO!N28/N70_DESARROLLO!M28)-1</f>
        <v>-4.4796309735795514E-2</v>
      </c>
      <c r="P113" s="3">
        <f>-(N70_DESARROLLO!O28/0.014285714)*LN(N70_DESARROLLO!O28/N70_DESARROLLO!N28)-1</f>
        <v>-4.9207124692807525E-2</v>
      </c>
      <c r="Q113" s="3">
        <f>-(N70_DESARROLLO!P28/0.014285714)*LN(N70_DESARROLLO!P28/N70_DESARROLLO!O28)-1</f>
        <v>-5.4582082654733854E-2</v>
      </c>
      <c r="R113" s="3">
        <f>-(N70_DESARROLLO!Q28/0.014285714)*LN(N70_DESARROLLO!Q28/N70_DESARROLLO!P28)-1</f>
        <v>-6.1276409070483262E-2</v>
      </c>
      <c r="S113" s="3">
        <f>-(N70_DESARROLLO!R28/0.014285714)*LN(N70_DESARROLLO!R28/N70_DESARROLLO!Q28)-1</f>
        <v>-6.9844497732513111E-2</v>
      </c>
      <c r="T113" s="3">
        <f>-(N70_DESARROLLO!S28/0.014285714)*LN(N70_DESARROLLO!S28/N70_DESARROLLO!R28)-1</f>
        <v>-8.120251597663608E-2</v>
      </c>
      <c r="U113" s="3">
        <f>-(N70_DESARROLLO!T28/0.014285714)*LN(N70_DESARROLLO!T28/N70_DESARROLLO!S28)-1</f>
        <v>-9.6981852359958154E-2</v>
      </c>
      <c r="V113" s="3">
        <f>-(N70_DESARROLLO!U28/0.014285714)*LN(N70_DESARROLLO!U28/N70_DESARROLLO!T28)-1</f>
        <v>-0.12039948342481821</v>
      </c>
      <c r="W113" s="3">
        <f>-(N70_DESARROLLO!V28/0.014285714)*LN(N70_DESARROLLO!V28/N70_DESARROLLO!U28)-1</f>
        <v>-0.15881939162335534</v>
      </c>
      <c r="X113" s="3">
        <f>-(N70_DESARROLLO!W28/0.014285714)*LN(N70_DESARROLLO!W28/N70_DESARROLLO!V28)-1</f>
        <v>-0.23376154902624535</v>
      </c>
      <c r="Y113" s="3">
        <f>-(N70_DESARROLLO!X28/0.014285714)*LN(N70_DESARROLLO!X28/N70_DESARROLLO!W28)-1</f>
        <v>-0.45069384467982343</v>
      </c>
      <c r="Z113" s="3">
        <v>-1</v>
      </c>
      <c r="AA113" s="3">
        <f>-(N70_DESARROLLO!Z28/0.014285714)*LN(N70_DESARROLLO!Z28/N70_DESARROLLO!Y28)-1</f>
        <v>0.64791846596053282</v>
      </c>
      <c r="AB113" s="3">
        <f>-(N70_DESARROLLO!AA28/0.014285714)*LN(N70_DESARROLLO!AA28/N70_DESARROLLO!Z28)-1</f>
        <v>0.27706408495625845</v>
      </c>
      <c r="AC113" s="3">
        <f>-(N70_DESARROLLO!AB28/0.014285714)*LN(N70_DESARROLLO!AB28/N70_DESARROLLO!AA28)-1</f>
        <v>0.17765285172730261</v>
      </c>
      <c r="AD113" s="3">
        <f>-(N70_DESARROLLO!AC28/0.014285714)*LN(N70_DESARROLLO!AC28/N70_DESARROLLO!AB28)-1</f>
        <v>0.13091494988237695</v>
      </c>
      <c r="AE113" s="3">
        <f>-(N70_DESARROLLO!AD28/0.014285714)*LN(N70_DESARROLLO!AD28/N70_DESARROLLO!AC28)-1</f>
        <v>0.10368884711560855</v>
      </c>
      <c r="AF113" s="3">
        <f>-(N70_DESARROLLO!AE28/0.014285714)*LN(N70_DESARROLLO!AE28/N70_DESARROLLO!AD28)-1</f>
        <v>8.5851572027611622E-2</v>
      </c>
      <c r="AG113" s="3">
        <f>-(N70_DESARROLLO!AF28/0.014285714)*LN(N70_DESARROLLO!AF28/N70_DESARROLLO!AE28)-1</f>
        <v>7.3256348770176949E-2</v>
      </c>
      <c r="AH113" s="3">
        <f>-(N70_DESARROLLO!AG28/0.014285714)*LN(N70_DESARROLLO!AG28/N70_DESARROLLO!AF28)-1</f>
        <v>6.388673638678255E-2</v>
      </c>
      <c r="AI113" s="3">
        <f>-(N70_DESARROLLO!AH28/0.014285714)*LN(N70_DESARROLLO!AH28/N70_DESARROLLO!AG28)-1</f>
        <v>5.6643554680003039E-2</v>
      </c>
      <c r="AJ113" s="3">
        <f>-(N70_DESARROLLO!AI28/0.014285714)*LN(N70_DESARROLLO!AI28/N70_DESARROLLO!AH28)-1</f>
        <v>5.0876335865844613E-2</v>
      </c>
      <c r="AK113" s="3">
        <f>-(N70_DESARROLLO!AJ28/0.014285714)*LN(N70_DESARROLLO!AJ28/N70_DESARROLLO!AI28)-1</f>
        <v>4.6175470289367526E-2</v>
      </c>
      <c r="AL113" s="3">
        <f>-(N70_DESARROLLO!AK28/0.014285714)*LN(N70_DESARROLLO!AK28/N70_DESARROLLO!AJ28)-1</f>
        <v>4.2270132583540398E-2</v>
      </c>
      <c r="AM113" s="3">
        <f>-(N70_DESARROLLO!AL28/0.014285714)*LN(N70_DESARROLLO!AL28/N70_DESARROLLO!AK28)-1</f>
        <v>3.897407611721504E-2</v>
      </c>
      <c r="AN113" s="3">
        <f>-(N70_DESARROLLO!AM28/0.014285714)*LN(N70_DESARROLLO!AM28/N70_DESARROLLO!AL28)-1</f>
        <v>3.6154998464203336E-2</v>
      </c>
      <c r="AO113" s="3">
        <f>-(N70_DESARROLLO!AN28/0.014285714)*LN(N70_DESARROLLO!AN28/N70_DESARROLLO!AM28)-1</f>
        <v>3.3716325403744918E-2</v>
      </c>
      <c r="AP113" s="3">
        <f>-(N70_DESARROLLO!AO28/0.014285714)*LN(N70_DESARROLLO!AO28/N70_DESARROLLO!AN28)-1</f>
        <v>3.1585910823728192E-2</v>
      </c>
      <c r="AQ113" s="3">
        <f>-(N70_DESARROLLO!AP28/0.014285714)*LN(N70_DESARROLLO!AP28/N70_DESARROLLO!AO28)-1</f>
        <v>2.9708770995506173E-2</v>
      </c>
      <c r="AR113" s="3">
        <f>-(N70_DESARROLLO!AQ28/0.014285714)*LN(N70_DESARROLLO!AQ28/N70_DESARROLLO!AP28)-1</f>
        <v>2.8042266924849013E-2</v>
      </c>
      <c r="AS113" s="3">
        <f>-(N70_DESARROLLO!AR28/0.014285714)*LN(N70_DESARROLLO!AR28/N70_DESARROLLO!AQ28)-1</f>
        <v>2.6552823496783118E-2</v>
      </c>
      <c r="AT113" s="3">
        <f>-(N70_DESARROLLO!AS28/0.014285714)*LN(N70_DESARROLLO!AS28/N70_DESARROLLO!AR28)-1</f>
        <v>2.5213642284836357E-2</v>
      </c>
      <c r="AU113" s="3">
        <f>-(N70_DESARROLLO!AT28/0.014285714)*LN(N70_DESARROLLO!AT28/N70_DESARROLLO!AS28)-1</f>
        <v>2.4003073749032211E-2</v>
      </c>
      <c r="AV113" s="3">
        <f>-(N70_DESARROLLO!AU28/0.014285714)*LN(N70_DESARROLLO!AU28/N70_DESARROLLO!AT28)-1</f>
        <v>2.2903437185110898E-2</v>
      </c>
      <c r="AW113" s="3">
        <f>-(N70_DESARROLLO!AV28/0.014285714)*LN(N70_DESARROLLO!AV28/N70_DESARROLLO!AU28)-1</f>
        <v>2.1900151021861936E-2</v>
      </c>
      <c r="AX113" s="3">
        <f>-(N70_DESARROLLO!AW28/0.014285714)*LN(N70_DESARROLLO!AW28/N70_DESARROLLO!AV28)-1</f>
        <v>2.0981082233534565E-2</v>
      </c>
      <c r="AY113" s="3">
        <f>-(N70_DESARROLLO!AX28/0.014285714)*LN(N70_DESARROLLO!AX28/N70_DESARROLLO!AW28)-1</f>
        <v>2.0136053052056457E-2</v>
      </c>
      <c r="AZ113" s="3">
        <f>-(N70_DESARROLLO!AY28/0.014285714)*LN(N70_DESARROLLO!AY28/N70_DESARROLLO!AX28)-1</f>
        <v>1.9356462323721457E-2</v>
      </c>
      <c r="BA113" s="3">
        <f>-(N70_DESARROLLO!AZ28/0.014285714)*LN(N70_DESARROLLO!AZ28/N70_DESARROLLO!AY28)-1</f>
        <v>1.8634991582305416E-2</v>
      </c>
      <c r="BB113" s="3">
        <f>-(N70_DESARROLLO!BA28/0.014285714)*LN(N70_DESARROLLO!BA28/N70_DESARROLLO!AZ28)-1</f>
        <v>1.7965374518559951E-2</v>
      </c>
      <c r="BC113" s="3">
        <f>-(N70_DESARROLLO!BB28/0.014285714)*LN(N70_DESARROLLO!BB28/N70_DESARROLLO!BA28)-1</f>
        <v>1.7342214446341986E-2</v>
      </c>
      <c r="BD113" s="3">
        <f>-(N70_DESARROLLO!BC28/0.014285714)*LN(N70_DESARROLLO!BC28/N70_DESARROLLO!BB28)-1</f>
        <v>1.676083849676413E-2</v>
      </c>
      <c r="BE113" s="3">
        <f>-(N70_DESARROLLO!BD28/0.014285714)*LN(N70_DESARROLLO!BD28/N70_DESARROLLO!BC28)-1</f>
        <v>1.6217180198320191E-2</v>
      </c>
      <c r="BF113" s="3">
        <f>-(N70_DESARROLLO!BE28/0.014285714)*LN(N70_DESARROLLO!BE28/N70_DESARROLLO!BD28)-1</f>
        <v>1.5707684197544092E-2</v>
      </c>
      <c r="BG113" s="3">
        <f>-(N70_DESARROLLO!BF28/0.014285714)*LN(N70_DESARROLLO!BF28/N70_DESARROLLO!BE28)-1</f>
        <v>1.5229228398108141E-2</v>
      </c>
      <c r="BH113" s="3">
        <f>-(N70_DESARROLLO!BG28/0.014285714)*LN(N70_DESARROLLO!BG28/N70_DESARROLLO!BF28)-1</f>
        <v>1.4779059912696235E-2</v>
      </c>
      <c r="BI113" s="3">
        <f>-(N70_DESARROLLO!BH28/0.014285714)*LN(N70_DESARROLLO!BH28/N70_DESARROLLO!BG28)-1</f>
        <v>1.4354742051081004E-2</v>
      </c>
      <c r="BJ113" s="3">
        <f>-(N70_DESARROLLO!BI28/0.014285714)*LN(N70_DESARROLLO!BI28/N70_DESARROLLO!BH28)-1</f>
        <v>1.3954110187352153E-2</v>
      </c>
      <c r="BK113" s="3">
        <f>-(N70_DESARROLLO!BJ28/0.014285714)*LN(N70_DESARROLLO!BJ28/N70_DESARROLLO!BI28)-1</f>
        <v>1.3575234818474557E-2</v>
      </c>
      <c r="BL113" s="3">
        <f>-(N70_DESARROLLO!BK28/0.014285714)*LN(N70_DESARROLLO!BK28/N70_DESARROLLO!BJ28)-1</f>
        <v>1.3216390483210549E-2</v>
      </c>
      <c r="BM113" s="3">
        <f>-(N70_DESARROLLO!BL28/0.014285714)*LN(N70_DESARROLLO!BL28/N70_DESARROLLO!BK28)-1</f>
        <v>1.2876029484357954E-2</v>
      </c>
      <c r="BN113" s="3">
        <f>-(N70_DESARROLLO!BM28/0.014285714)*LN(N70_DESARROLLO!BM28/N70_DESARROLLO!BL28)-1</f>
        <v>1.2552759570459981E-2</v>
      </c>
      <c r="BO113" s="3">
        <f>-(N70_DESARROLLO!BN28/0.014285714)*LN(N70_DESARROLLO!BN28/N70_DESARROLLO!BM28)-1</f>
        <v>1.224532489750696E-2</v>
      </c>
      <c r="BP113" s="3">
        <f>-(N70_DESARROLLO!BO28/0.014285714)*LN(N70_DESARROLLO!BO28/N70_DESARROLLO!BN28)-1</f>
        <v>1.1952589722092677E-2</v>
      </c>
      <c r="BQ113" s="3">
        <f>-(N70_DESARROLLO!BP28/0.014285714)*LN(N70_DESARROLLO!BP28/N70_DESARROLLO!BO28)-1</f>
        <v>1.1673524379093081E-2</v>
      </c>
      <c r="BR113" s="3">
        <f>-(N70_DESARROLLO!BQ28/0.014285714)*LN(N70_DESARROLLO!BQ28/N70_DESARROLLO!BP28)-1</f>
        <v>1.1407193179399755E-2</v>
      </c>
      <c r="BS113" s="3">
        <f>-(N70_DESARROLLO!BR28/0.014285714)*LN(N70_DESARROLLO!BR28/N70_DESARROLLO!BQ28)-1</f>
        <v>1.1152743927361763E-2</v>
      </c>
      <c r="BT113" s="3">
        <f>-(N70_DESARROLLO!BS28/0.014285714)*LN(N70_DESARROLLO!BS28/N70_DESARROLLO!BR28)-1</f>
        <v>1.0909398811058679E-2</v>
      </c>
      <c r="BU113" s="3">
        <f>-(N70_DESARROLLO!BT28/0.014285714)*LN(N70_DESARROLLO!BT28/N70_DESARROLLO!BS28)-1</f>
        <v>1.0676446459560784E-2</v>
      </c>
      <c r="BV113" s="3">
        <f>-(N70_DESARROLLO!BU28/0.014285714)*LN(N70_DESARROLLO!BU28/N70_DESARROLLO!BT28)-1</f>
        <v>1.0453234996893546E-2</v>
      </c>
      <c r="BW113" s="3">
        <f>-(N70_DESARROLLO!BV28/0.014285714)*LN(N70_DESARROLLO!BV28/N70_DESARROLLO!BU28)-1</f>
        <v>1.0239165949542439E-2</v>
      </c>
      <c r="BX113" s="3">
        <f>-(N70_DESARROLLO!BW28/0.014285714)*LN(N70_DESARROLLO!BW28/N70_DESARROLLO!BV28)-1</f>
        <v>1.003368888748013E-2</v>
      </c>
      <c r="BY113" s="3">
        <f>-(N70_DESARROLLO!BX28/0.014285714)*LN(N70_DESARROLLO!BX28/N70_DESARROLLO!BW28)-1</f>
        <v>21.856533860893826</v>
      </c>
      <c r="BZ113" s="10"/>
      <c r="CA113" s="10"/>
      <c r="CB113" s="10"/>
      <c r="CC113" s="10"/>
      <c r="CD113">
        <v>19</v>
      </c>
      <c r="CE113" s="1">
        <v>0</v>
      </c>
      <c r="CF113" s="1">
        <f>(1+(N70_DESARROLLO!F28/0.014285714)*LN(N70_DESARROLLO!G28/N70_DESARROLLO!F28))</f>
        <v>-2.804226692484435E-2</v>
      </c>
      <c r="CG113" s="1">
        <f>(1+(N70_DESARROLLO!G28/0.014285714)*LN(N70_DESARROLLO!H28/N70_DESARROLLO!G28))</f>
        <v>-2.9708770995510836E-2</v>
      </c>
      <c r="CH113" s="1">
        <f>(1+(N70_DESARROLLO!H28/0.014285714)*LN(N70_DESARROLLO!I28/N70_DESARROLLO!H28))</f>
        <v>-3.1585910823729968E-2</v>
      </c>
      <c r="CI113" s="1">
        <f>(1+(N70_DESARROLLO!I28/0.014285714)*LN(N70_DESARROLLO!J28/N70_DESARROLLO!I28))</f>
        <v>-3.3716325403744696E-2</v>
      </c>
      <c r="CJ113" s="1">
        <f>(1+(N70_DESARROLLO!J28/0.014285714)*LN(N70_DESARROLLO!K28/N70_DESARROLLO!J28))</f>
        <v>-3.6154998464202004E-2</v>
      </c>
      <c r="CK113" s="1">
        <f>(1+(N70_DESARROLLO!K28/0.014285714)*LN(N70_DESARROLLO!L28/N70_DESARROLLO!K28))</f>
        <v>-3.8974076117213707E-2</v>
      </c>
      <c r="CL113" s="1">
        <f>(1+(N70_DESARROLLO!L28/0.014285714)*LN(N70_DESARROLLO!M28/N70_DESARROLLO!L28))</f>
        <v>-4.22701325835384E-2</v>
      </c>
      <c r="CM113" s="1">
        <f>(1+(N70_DESARROLLO!M28/0.014285714)*LN(N70_DESARROLLO!N28/N70_DESARROLLO!M28))</f>
        <v>-4.6175470289367082E-2</v>
      </c>
      <c r="CN113" s="1">
        <f>(1+(N70_DESARROLLO!N28/0.014285714)*LN(N70_DESARROLLO!O28/N70_DESARROLLO!N28))</f>
        <v>-5.0876335865844391E-2</v>
      </c>
      <c r="CO113" s="1">
        <f>(1+(N70_DESARROLLO!O28/0.014285714)*LN(N70_DESARROLLO!P28/N70_DESARROLLO!O28))</f>
        <v>-5.6643554680003483E-2</v>
      </c>
      <c r="CP113" s="1">
        <f>(1+(N70_DESARROLLO!P28/0.014285714)*LN(N70_DESARROLLO!Q28/N70_DESARROLLO!P28))</f>
        <v>-6.3886736386785659E-2</v>
      </c>
      <c r="CQ113" s="1">
        <f>(1+(N70_DESARROLLO!Q28/0.014285714)*LN(N70_DESARROLLO!R28/N70_DESARROLLO!Q28))</f>
        <v>-7.3256348770177393E-2</v>
      </c>
      <c r="CR113" s="1">
        <f>(1+(N70_DESARROLLO!R28/0.014285714)*LN(N70_DESARROLLO!S28/N70_DESARROLLO!R28))</f>
        <v>-8.5851572027612066E-2</v>
      </c>
      <c r="CS113" s="1">
        <f>(1+(N70_DESARROLLO!S28/0.014285714)*LN(N70_DESARROLLO!T28/N70_DESARROLLO!S28))</f>
        <v>-0.10368884711560655</v>
      </c>
      <c r="CT113" s="1">
        <f>(1+(N70_DESARROLLO!T28/0.014285714)*LN(N70_DESARROLLO!U28/N70_DESARROLLO!T28))</f>
        <v>-0.13091494988237695</v>
      </c>
      <c r="CU113" s="1">
        <f>(1+(N70_DESARROLLO!U28/0.014285714)*LN(N70_DESARROLLO!V28/N70_DESARROLLO!U28))</f>
        <v>-0.17765285172730305</v>
      </c>
      <c r="CV113" s="1">
        <f>(1+(N70_DESARROLLO!V28/0.014285714)*LN(N70_DESARROLLO!W28/N70_DESARROLLO!V28))</f>
        <v>-0.27706408495625912</v>
      </c>
      <c r="CW113" s="1">
        <f>(1+(N70_DESARROLLO!W28/0.014285714)*LN(N70_DESARROLLO!X28/N70_DESARROLLO!W28))</f>
        <v>-0.64791846596053193</v>
      </c>
      <c r="CX113" s="1">
        <v>1</v>
      </c>
      <c r="CY113" s="1">
        <f>(1+(N70_DESARROLLO!Y28/0.014285714)*LN(N70_DESARROLLO!Z28/N70_DESARROLLO!Y28))</f>
        <v>0.4506938446798211</v>
      </c>
      <c r="CZ113" s="1">
        <f>(1+(N70_DESARROLLO!Z28/0.014285714)*LN(N70_DESARROLLO!AA28/N70_DESARROLLO!Z28))</f>
        <v>0.23376154902624446</v>
      </c>
      <c r="DA113" s="1">
        <f>(1+(N70_DESARROLLO!AA28/0.014285714)*LN(N70_DESARROLLO!AB28/N70_DESARROLLO!AA28))</f>
        <v>0.15881939162335512</v>
      </c>
      <c r="DB113" s="1">
        <f>(1+(N70_DESARROLLO!AB28/0.014285714)*LN(N70_DESARROLLO!AC28/N70_DESARROLLO!AB28))</f>
        <v>0.12039948342481788</v>
      </c>
      <c r="DC113" s="1">
        <f>(1+(N70_DESARROLLO!AC28/0.014285714)*LN(N70_DESARROLLO!AD28/N70_DESARROLLO!AC28))</f>
        <v>9.69818523599566E-2</v>
      </c>
      <c r="DD113" s="1">
        <f>(1+(N70_DESARROLLO!AD28/0.014285714)*LN(N70_DESARROLLO!AE28/N70_DESARROLLO!AD28))</f>
        <v>8.1202515976636191E-2</v>
      </c>
      <c r="DE113" s="1">
        <f>(1+(N70_DESARROLLO!AE28/0.014285714)*LN(N70_DESARROLLO!AF28/N70_DESARROLLO!AE28))</f>
        <v>6.9844497732513222E-2</v>
      </c>
      <c r="DF113" s="1">
        <f>(1+(N70_DESARROLLO!AF28/0.014285714)*LN(N70_DESARROLLO!AG28/N70_DESARROLLO!AF28))</f>
        <v>6.1276409070485593E-2</v>
      </c>
      <c r="DG113" s="1">
        <f>(1+(N70_DESARROLLO!AG28/0.014285714)*LN(N70_DESARROLLO!AH28/N70_DESARROLLO!AG28))</f>
        <v>5.4582082654734076E-2</v>
      </c>
      <c r="DH113" s="1">
        <f>(1+(N70_DESARROLLO!AH28/0.014285714)*LN(N70_DESARROLLO!AI28/N70_DESARROLLO!AH28))</f>
        <v>4.9207124692807414E-2</v>
      </c>
      <c r="DI113" s="1">
        <f>(1+(N70_DESARROLLO!AI28/0.014285714)*LN(N70_DESARROLLO!AJ28/N70_DESARROLLO!AI28))</f>
        <v>4.4796309735794737E-2</v>
      </c>
      <c r="DJ113" s="1">
        <f>(1+(N70_DESARROLLO!AJ28/0.014285714)*LN(N70_DESARROLLO!AK28/N70_DESARROLLO!AJ28))</f>
        <v>4.1111478023142856E-2</v>
      </c>
      <c r="DK113" s="1">
        <f>(1+(N70_DESARROLLO!AK28/0.014285714)*LN(N70_DESARROLLO!AL28/N70_DESARROLLO!AK28))</f>
        <v>3.7986966558134161E-2</v>
      </c>
      <c r="DL113" s="1">
        <f>(1+(N70_DESARROLLO!AL28/0.014285714)*LN(N70_DESARROLLO!AM28/N70_DESARROLLO!AL28))</f>
        <v>3.5303966947121013E-2</v>
      </c>
      <c r="DM113" s="1">
        <f>(1+(N70_DESARROLLO!AM28/0.014285714)*LN(N70_DESARROLLO!AN28/N70_DESARROLLO!AM28))</f>
        <v>3.2975050428754704E-2</v>
      </c>
      <c r="DN113" s="1">
        <f>(1+(N70_DESARROLLO!AN28/0.014285714)*LN(N70_DESARROLLO!AO28/N70_DESARROLLO!AN28))</f>
        <v>3.0934447408012766E-2</v>
      </c>
      <c r="DO113" s="1">
        <f>(1+(N70_DESARROLLO!AO28/0.014285714)*LN(N70_DESARROLLO!AP28/N70_DESARROLLO!AO28))</f>
        <v>2.9131730204236872E-2</v>
      </c>
      <c r="DP113" s="1">
        <f>(1+(N70_DESARROLLO!AP28/0.014285714)*LN(N70_DESARROLLO!AQ28/N70_DESARROLLO!AP28))</f>
        <v>2.752758534135924E-2</v>
      </c>
      <c r="DQ113" s="1">
        <f>(1+(N70_DESARROLLO!AQ28/0.014285714)*LN(N70_DESARROLLO!AR28/N70_DESARROLLO!AQ28))</f>
        <v>2.6090911041513176E-2</v>
      </c>
      <c r="DR113" s="1">
        <f>(1+(N70_DESARROLLO!AR28/0.014285714)*LN(N70_DESARROLLO!AS28/N70_DESARROLLO!AR28))</f>
        <v>2.4796779290033988E-2</v>
      </c>
      <c r="DS113" s="1">
        <f>(1+(N70_DESARROLLO!AS28/0.014285714)*LN(N70_DESARROLLO!AT28/N70_DESARROLLO!AS28))</f>
        <v>2.3624976192783143E-2</v>
      </c>
      <c r="DT113" s="1">
        <f>(1+(N70_DESARROLLO!AT28/0.014285714)*LN(N70_DESARROLLO!AU28/N70_DESARROLLO!AT28))</f>
        <v>2.2558937800894241E-2</v>
      </c>
      <c r="DU113" s="1">
        <f>(1+(N70_DESARROLLO!AU28/0.014285714)*LN(N70_DESARROLLO!AV28/N70_DESARROLLO!AU28))</f>
        <v>2.1584961787578738E-2</v>
      </c>
      <c r="DV113" s="1">
        <f>(1+(N70_DESARROLLO!AV28/0.014285714)*LN(N70_DESARROLLO!AW28/N70_DESARROLLO!AV28))</f>
        <v>2.0691615000487218E-2</v>
      </c>
      <c r="DW113" s="1">
        <f>(1+(N70_DESARROLLO!AW28/0.014285714)*LN(N70_DESARROLLO!AX28/N70_DESARROLLO!AW28))</f>
        <v>1.9869282361749896E-2</v>
      </c>
      <c r="DX113" s="1">
        <f>(1+(N70_DESARROLLO!AX28/0.014285714)*LN(N70_DESARROLLO!AY28/N70_DESARROLLO!AX28))</f>
        <v>1.9109819273400053E-2</v>
      </c>
      <c r="DY113" s="1">
        <f>(1+(N70_DESARROLLO!AY28/0.014285714)*LN(N70_DESARROLLO!AZ28/N70_DESARROLLO!AY28))</f>
        <v>1.8406280838869304E-2</v>
      </c>
      <c r="DZ113" s="1">
        <f>(1+(N70_DESARROLLO!AZ28/0.014285714)*LN(N70_DESARROLLO!BA28/N70_DESARROLLO!AZ28))</f>
        <v>1.7752708797880712E-2</v>
      </c>
      <c r="EA113" s="1">
        <f>(1+(N70_DESARROLLO!BA28/0.014285714)*LN(N70_DESARROLLO!BB28/N70_DESARROLLO!BA28))</f>
        <v>1.7143962314551175E-2</v>
      </c>
      <c r="EB113" s="1">
        <f>(1+(N70_DESARROLLO!BB28/0.014285714)*LN(N70_DESARROLLO!BC28/N70_DESARROLLO!BB28))</f>
        <v>1.6575582437555969E-2</v>
      </c>
      <c r="EC113" s="1">
        <f>(1+(N70_DESARROLLO!BC28/0.014285714)*LN(N70_DESARROLLO!BD28/N70_DESARROLLO!BC28))</f>
        <v>1.6043682665118575E-2</v>
      </c>
      <c r="ED113" s="1">
        <f>(1+(N70_DESARROLLO!BD28/0.014285714)*LN(N70_DESARROLLO!BE28/N70_DESARROLLO!BD28))</f>
        <v>1.5544859931611144E-2</v>
      </c>
      <c r="EE113" s="1">
        <f>(1+(N70_DESARROLLO!BE28/0.014285714)*LN(N70_DESARROLLO!BF28/N70_DESARROLLO!BE28))</f>
        <v>1.5076121703327949E-2</v>
      </c>
      <c r="EF113" s="1">
        <f>(1+(N70_DESARROLLO!BF28/0.014285714)*LN(N70_DESARROLLO!BG28/N70_DESARROLLO!BF28))</f>
        <v>1.4634825881874369E-2</v>
      </c>
      <c r="EG113" s="1">
        <f>(1+(N70_DESARROLLO!BG28/0.014285714)*LN(N70_DESARROLLO!BH28/N70_DESARROLLO!BG28))</f>
        <v>1.4218630964442425E-2</v>
      </c>
      <c r="EH113" s="1">
        <f>(1+(N70_DESARROLLO!BH28/0.014285714)*LN(N70_DESARROLLO!BI28/N70_DESARROLLO!BH28))</f>
        <v>1.3825454475315135E-2</v>
      </c>
      <c r="EI113" s="1">
        <f>(1+(N70_DESARROLLO!BI28/0.014285714)*LN(N70_DESARROLLO!BJ28/N70_DESARROLLO!BI28))</f>
        <v>1.3453438110017868E-2</v>
      </c>
      <c r="EJ113" s="1">
        <f>(1+(N70_DESARROLLO!BJ28/0.014285714)*LN(N70_DESARROLLO!BK28/N70_DESARROLLO!BJ28))</f>
        <v>1.3100918360509306E-2</v>
      </c>
      <c r="EK113" s="1">
        <f>(1+(N70_DESARROLLO!BK28/0.014285714)*LN(N70_DESARROLLO!BL28/N70_DESARROLLO!BK28))</f>
        <v>1.2766401641828296E-2</v>
      </c>
      <c r="EL113" s="1">
        <f>(1+(N70_DESARROLLO!BL28/0.014285714)*LN(N70_DESARROLLO!BM28/N70_DESARROLLO!BL28))</f>
        <v>1.2448543134983558E-2</v>
      </c>
      <c r="EM113" s="1">
        <f>(1+(N70_DESARROLLO!BM28/0.014285714)*LN(N70_DESARROLLO!BN28/N70_DESARROLLO!BM28))</f>
        <v>1.2146128714481064E-2</v>
      </c>
      <c r="EN113" s="1">
        <f>(1+(N70_DESARROLLO!BN28/0.014285714)*LN(N70_DESARROLLO!BO28/N70_DESARROLLO!BN28))</f>
        <v>1.1858059447838909E-2</v>
      </c>
      <c r="EO113" s="1">
        <f>(1+(N70_DESARROLLO!BO28/0.014285714)*LN(N70_DESARROLLO!BP28/N70_DESARROLLO!BO28))</f>
        <v>1.1583338250311437E-2</v>
      </c>
      <c r="EP113" s="1">
        <f>(1+(N70_DESARROLLO!BP28/0.014285714)*LN(N70_DESARROLLO!BQ28/N70_DESARROLLO!BP28))</f>
        <v>1.1321058352721569E-2</v>
      </c>
      <c r="EQ113" s="1">
        <f>(1+(N70_DESARROLLO!BQ28/0.014285714)*LN(N70_DESARROLLO!BR28/N70_DESARROLLO!BQ28))</f>
        <v>1.1070393301810921E-2</v>
      </c>
      <c r="ER113" s="1">
        <f>(1+(N70_DESARROLLO!BR28/0.014285714)*LN(N70_DESARROLLO!BS28/N70_DESARROLLO!BR28))</f>
        <v>1.0830588260146934E-2</v>
      </c>
      <c r="ES113" s="1">
        <f>(1+(N70_DESARROLLO!BS28/0.014285714)*LN(N70_DESARROLLO!BT28/N70_DESARROLLO!BS28))</f>
        <v>1.0600952413272191E-2</v>
      </c>
      <c r="ET113" s="1">
        <f>(1+(N70_DESARROLLO!BT28/0.014285714)*LN(N70_DESARROLLO!BU28/N70_DESARROLLO!BT28))</f>
        <v>1.0380852322629863E-2</v>
      </c>
      <c r="EU113" s="1">
        <f>(1+(N70_DESARROLLO!BU28/0.014285714)*LN(N70_DESARROLLO!BV28/N70_DESARROLLO!BU28))</f>
        <v>1.0169706089842467E-2</v>
      </c>
      <c r="EV113" s="1">
        <f>(1+(N70_DESARROLLO!BV28/0.014285714)*LN(N70_DESARROLLO!BW28/N70_DESARROLLO!BV28))</f>
        <v>9.9669782192024492E-3</v>
      </c>
      <c r="EW113" s="1">
        <f>(1+(N70_DESARROLLO!BW28/0.014285714)*LN(N70_DESARROLLO!BX28/N70_DESARROLLO!BW28))</f>
        <v>-15.489356571073401</v>
      </c>
      <c r="EX113" s="10"/>
      <c r="EY113" s="10"/>
    </row>
    <row r="114" spans="7:155" x14ac:dyDescent="0.25">
      <c r="G114" s="3">
        <v>20</v>
      </c>
      <c r="H114" s="3">
        <f>-(N70_DESARROLLO!G29/0.014285714)*LN(N70_DESARROLLO!G29/N70_DESARROLLO!F29)-1</f>
        <v>-2.6090911041510623E-2</v>
      </c>
      <c r="I114" s="3">
        <f>-(N70_DESARROLLO!H29/0.014285714)*LN(N70_DESARROLLO!H29/N70_DESARROLLO!G29)-1</f>
        <v>-2.7527585341363237E-2</v>
      </c>
      <c r="J114" s="3">
        <f>-(N70_DESARROLLO!I29/0.014285714)*LN(N70_DESARROLLO!I29/N70_DESARROLLO!H29)-1</f>
        <v>-2.9131730204232431E-2</v>
      </c>
      <c r="K114" s="3">
        <f>-(N70_DESARROLLO!J29/0.014285714)*LN(N70_DESARROLLO!J29/N70_DESARROLLO!I29)-1</f>
        <v>-3.0934447408012877E-2</v>
      </c>
      <c r="L114" s="3">
        <f>-(N70_DESARROLLO!K29/0.014285714)*LN(N70_DESARROLLO!K29/N70_DESARROLLO!J29)-1</f>
        <v>-3.2975050428752928E-2</v>
      </c>
      <c r="M114" s="3">
        <f>-(N70_DESARROLLO!L29/0.014285714)*LN(N70_DESARROLLO!L29/N70_DESARROLLO!K29)-1</f>
        <v>-3.5303966947122123E-2</v>
      </c>
      <c r="N114" s="3">
        <f>-(N70_DESARROLLO!M29/0.014285714)*LN(N70_DESARROLLO!M29/N70_DESARROLLO!L29)-1</f>
        <v>-3.7986966558136603E-2</v>
      </c>
      <c r="O114" s="3">
        <f>-(N70_DESARROLLO!N29/0.014285714)*LN(N70_DESARROLLO!N29/N70_DESARROLLO!M29)-1</f>
        <v>-4.1111478023142745E-2</v>
      </c>
      <c r="P114" s="3">
        <f>-(N70_DESARROLLO!O29/0.014285714)*LN(N70_DESARROLLO!O29/N70_DESARROLLO!N29)-1</f>
        <v>-4.4796309735794959E-2</v>
      </c>
      <c r="Q114" s="3">
        <f>-(N70_DESARROLLO!P29/0.014285714)*LN(N70_DESARROLLO!P29/N70_DESARROLLO!O29)-1</f>
        <v>-4.9207124692808302E-2</v>
      </c>
      <c r="R114" s="3">
        <f>-(N70_DESARROLLO!Q29/0.014285714)*LN(N70_DESARROLLO!Q29/N70_DESARROLLO!P29)-1</f>
        <v>-5.4582082654734299E-2</v>
      </c>
      <c r="S114" s="3">
        <f>-(N70_DESARROLLO!R29/0.014285714)*LN(N70_DESARROLLO!R29/N70_DESARROLLO!Q29)-1</f>
        <v>-6.1276409070482818E-2</v>
      </c>
      <c r="T114" s="3">
        <f>-(N70_DESARROLLO!S29/0.014285714)*LN(N70_DESARROLLO!S29/N70_DESARROLLO!R29)-1</f>
        <v>-6.9844497732512556E-2</v>
      </c>
      <c r="U114" s="3">
        <f>-(N70_DESARROLLO!T29/0.014285714)*LN(N70_DESARROLLO!T29/N70_DESARROLLO!S29)-1</f>
        <v>-8.1202515976637413E-2</v>
      </c>
      <c r="V114" s="3">
        <f>-(N70_DESARROLLO!U29/0.014285714)*LN(N70_DESARROLLO!U29/N70_DESARROLLO!T29)-1</f>
        <v>-9.6981852359956822E-2</v>
      </c>
      <c r="W114" s="3">
        <f>-(N70_DESARROLLO!V29/0.014285714)*LN(N70_DESARROLLO!V29/N70_DESARROLLO!U29)-1</f>
        <v>-0.1203994834248181</v>
      </c>
      <c r="X114" s="3">
        <f>-(N70_DESARROLLO!W29/0.014285714)*LN(N70_DESARROLLO!W29/N70_DESARROLLO!V29)-1</f>
        <v>-0.15881939162335523</v>
      </c>
      <c r="Y114" s="3">
        <f>-(N70_DESARROLLO!X29/0.014285714)*LN(N70_DESARROLLO!X29/N70_DESARROLLO!W29)-1</f>
        <v>-0.23376154902624557</v>
      </c>
      <c r="Z114" s="3">
        <f>-(N70_DESARROLLO!Y29/0.014285714)*LN(N70_DESARROLLO!Y29/N70_DESARROLLO!X29)-1</f>
        <v>-0.4506938446798211</v>
      </c>
      <c r="AA114" s="3">
        <v>-1</v>
      </c>
      <c r="AB114" s="3">
        <f>-(N70_DESARROLLO!AA29/0.014285714)*LN(N70_DESARROLLO!AA29/N70_DESARROLLO!Z29)-1</f>
        <v>0.64791846596053637</v>
      </c>
      <c r="AC114" s="3">
        <f>-(N70_DESARROLLO!AB29/0.014285714)*LN(N70_DESARROLLO!AB29/N70_DESARROLLO!AA29)-1</f>
        <v>0.27706408495625956</v>
      </c>
      <c r="AD114" s="3">
        <f>-(N70_DESARROLLO!AC29/0.014285714)*LN(N70_DESARROLLO!AC29/N70_DESARROLLO!AB29)-1</f>
        <v>0.17765285172730305</v>
      </c>
      <c r="AE114" s="3">
        <f>-(N70_DESARROLLO!AD29/0.014285714)*LN(N70_DESARROLLO!AD29/N70_DESARROLLO!AC29)-1</f>
        <v>0.13091494988237651</v>
      </c>
      <c r="AF114" s="3">
        <f>-(N70_DESARROLLO!AE29/0.014285714)*LN(N70_DESARROLLO!AE29/N70_DESARROLLO!AD29)-1</f>
        <v>0.10368884711560877</v>
      </c>
      <c r="AG114" s="3">
        <f>-(N70_DESARROLLO!AF29/0.014285714)*LN(N70_DESARROLLO!AF29/N70_DESARROLLO!AE29)-1</f>
        <v>8.5851572027612066E-2</v>
      </c>
      <c r="AH114" s="3">
        <f>-(N70_DESARROLLO!AG29/0.014285714)*LN(N70_DESARROLLO!AG29/N70_DESARROLLO!AF29)-1</f>
        <v>7.3256348770172952E-2</v>
      </c>
      <c r="AI114" s="3">
        <f>-(N70_DESARROLLO!AH29/0.014285714)*LN(N70_DESARROLLO!AH29/N70_DESARROLLO!AG29)-1</f>
        <v>6.3886736386786769E-2</v>
      </c>
      <c r="AJ114" s="3">
        <f>-(N70_DESARROLLO!AI29/0.014285714)*LN(N70_DESARROLLO!AI29/N70_DESARROLLO!AH29)-1</f>
        <v>5.6643554680002595E-2</v>
      </c>
      <c r="AK114" s="3">
        <f>-(N70_DESARROLLO!AJ29/0.014285714)*LN(N70_DESARROLLO!AJ29/N70_DESARROLLO!AI29)-1</f>
        <v>5.0876335865843947E-2</v>
      </c>
      <c r="AL114" s="3">
        <f>-(N70_DESARROLLO!AK29/0.014285714)*LN(N70_DESARROLLO!AK29/N70_DESARROLLO!AJ29)-1</f>
        <v>4.6175470289367304E-2</v>
      </c>
      <c r="AM114" s="3">
        <f>-(N70_DESARROLLO!AL29/0.014285714)*LN(N70_DESARROLLO!AL29/N70_DESARROLLO!AK29)-1</f>
        <v>4.2270132583539954E-2</v>
      </c>
      <c r="AN114" s="3">
        <f>-(N70_DESARROLLO!AM29/0.014285714)*LN(N70_DESARROLLO!AM29/N70_DESARROLLO!AL29)-1</f>
        <v>3.8974076117214818E-2</v>
      </c>
      <c r="AO114" s="3">
        <f>-(N70_DESARROLLO!AN29/0.014285714)*LN(N70_DESARROLLO!AN29/N70_DESARROLLO!AM29)-1</f>
        <v>3.6154998464203114E-2</v>
      </c>
      <c r="AP114" s="3">
        <f>-(N70_DESARROLLO!AO29/0.014285714)*LN(N70_DESARROLLO!AO29/N70_DESARROLLO!AN29)-1</f>
        <v>3.3716325403748026E-2</v>
      </c>
      <c r="AQ114" s="3">
        <f>-(N70_DESARROLLO!AP29/0.014285714)*LN(N70_DESARROLLO!AP29/N70_DESARROLLO!AO29)-1</f>
        <v>3.1585910823724417E-2</v>
      </c>
      <c r="AR114" s="3">
        <f>-(N70_DESARROLLO!AQ29/0.014285714)*LN(N70_DESARROLLO!AQ29/N70_DESARROLLO!AP29)-1</f>
        <v>2.97087709955135E-2</v>
      </c>
      <c r="AS114" s="3">
        <f>-(N70_DESARROLLO!AR29/0.014285714)*LN(N70_DESARROLLO!AR29/N70_DESARROLLO!AQ29)-1</f>
        <v>2.8042266924840797E-2</v>
      </c>
      <c r="AT114" s="3">
        <f>-(N70_DESARROLLO!AS29/0.014285714)*LN(N70_DESARROLLO!AS29/N70_DESARROLLO!AR29)-1</f>
        <v>2.6552823496791333E-2</v>
      </c>
      <c r="AU114" s="3">
        <f>-(N70_DESARROLLO!AT29/0.014285714)*LN(N70_DESARROLLO!AT29/N70_DESARROLLO!AS29)-1</f>
        <v>2.5213642284827253E-2</v>
      </c>
      <c r="AV114" s="3">
        <f>-(N70_DESARROLLO!AU29/0.014285714)*LN(N70_DESARROLLO!AU29/N70_DESARROLLO!AT29)-1</f>
        <v>2.4003073749041315E-2</v>
      </c>
      <c r="AW114" s="3">
        <f>-(N70_DESARROLLO!AV29/0.014285714)*LN(N70_DESARROLLO!AV29/N70_DESARROLLO!AU29)-1</f>
        <v>2.2903437185105791E-2</v>
      </c>
      <c r="AX114" s="3">
        <f>-(N70_DESARROLLO!AW29/0.014285714)*LN(N70_DESARROLLO!AW29/N70_DESARROLLO!AV29)-1</f>
        <v>2.1900151021861713E-2</v>
      </c>
      <c r="AY114" s="3">
        <f>-(N70_DESARROLLO!AX29/0.014285714)*LN(N70_DESARROLLO!AX29/N70_DESARROLLO!AW29)-1</f>
        <v>2.0981082233544779E-2</v>
      </c>
      <c r="AZ114" s="3">
        <f>-(N70_DESARROLLO!AY29/0.014285714)*LN(N70_DESARROLLO!AY29/N70_DESARROLLO!AX29)-1</f>
        <v>2.0136053052045133E-2</v>
      </c>
      <c r="BA114" s="3">
        <f>-(N70_DESARROLLO!AZ29/0.014285714)*LN(N70_DESARROLLO!AZ29/N70_DESARROLLO!AY29)-1</f>
        <v>1.9356462323727008E-2</v>
      </c>
      <c r="BB114" s="3">
        <f>-(N70_DESARROLLO!BA29/0.014285714)*LN(N70_DESARROLLO!BA29/N70_DESARROLLO!AZ29)-1</f>
        <v>1.8634991582293425E-2</v>
      </c>
      <c r="BC114" s="3">
        <f>-(N70_DESARROLLO!BB29/0.014285714)*LN(N70_DESARROLLO!BB29/N70_DESARROLLO!BA29)-1</f>
        <v>1.7965374518572164E-2</v>
      </c>
      <c r="BD114" s="3">
        <f>-(N70_DESARROLLO!BC29/0.014285714)*LN(N70_DESARROLLO!BC29/N70_DESARROLLO!BB29)-1</f>
        <v>1.7342214446335324E-2</v>
      </c>
      <c r="BE114" s="3">
        <f>-(N70_DESARROLLO!BD29/0.014285714)*LN(N70_DESARROLLO!BD29/N70_DESARROLLO!BC29)-1</f>
        <v>1.6760838496770569E-2</v>
      </c>
      <c r="BF114" s="3">
        <f>-(N70_DESARROLLO!BE29/0.014285714)*LN(N70_DESARROLLO!BE29/N70_DESARROLLO!BD29)-1</f>
        <v>1.6217180198313308E-2</v>
      </c>
      <c r="BG114" s="3">
        <f>-(N70_DESARROLLO!BF29/0.014285714)*LN(N70_DESARROLLO!BF29/N70_DESARROLLO!BE29)-1</f>
        <v>1.5707684197550975E-2</v>
      </c>
      <c r="BH114" s="3">
        <f>-(N70_DESARROLLO!BG29/0.014285714)*LN(N70_DESARROLLO!BG29/N70_DESARROLLO!BF29)-1</f>
        <v>1.5229228398100814E-2</v>
      </c>
      <c r="BI114" s="3">
        <f>-(N70_DESARROLLO!BH29/0.014285714)*LN(N70_DESARROLLO!BH29/N70_DESARROLLO!BG29)-1</f>
        <v>1.4779059912696013E-2</v>
      </c>
      <c r="BJ114" s="3">
        <f>-(N70_DESARROLLO!BI29/0.014285714)*LN(N70_DESARROLLO!BI29/N70_DESARROLLO!BH29)-1</f>
        <v>1.4354742051088776E-2</v>
      </c>
      <c r="BK114" s="3">
        <f>-(N70_DESARROLLO!BJ29/0.014285714)*LN(N70_DESARROLLO!BJ29/N70_DESARROLLO!BI29)-1</f>
        <v>1.395411018734416E-2</v>
      </c>
      <c r="BL114" s="3">
        <f>-(N70_DESARROLLO!BK29/0.014285714)*LN(N70_DESARROLLO!BK29/N70_DESARROLLO!BJ29)-1</f>
        <v>1.3575234818482773E-2</v>
      </c>
      <c r="BM114" s="3">
        <f>-(N70_DESARROLLO!BL29/0.014285714)*LN(N70_DESARROLLO!BL29/N70_DESARROLLO!BK29)-1</f>
        <v>1.3216390483202112E-2</v>
      </c>
      <c r="BN114" s="3">
        <f>-(N70_DESARROLLO!BM29/0.014285714)*LN(N70_DESARROLLO!BM29/N70_DESARROLLO!BL29)-1</f>
        <v>1.2876029484357954E-2</v>
      </c>
      <c r="BO114" s="3">
        <f>-(N70_DESARROLLO!BN29/0.014285714)*LN(N70_DESARROLLO!BN29/N70_DESARROLLO!BM29)-1</f>
        <v>1.25527595704511E-2</v>
      </c>
      <c r="BP114" s="3">
        <f>-(N70_DESARROLLO!BO29/0.014285714)*LN(N70_DESARROLLO!BO29/N70_DESARROLLO!BN29)-1</f>
        <v>1.2245324897516063E-2</v>
      </c>
      <c r="BQ114" s="3">
        <f>-(N70_DESARROLLO!BP29/0.014285714)*LN(N70_DESARROLLO!BP29/N70_DESARROLLO!BO29)-1</f>
        <v>1.1952589722083351E-2</v>
      </c>
      <c r="BR114" s="3">
        <f>-(N70_DESARROLLO!BQ29/0.014285714)*LN(N70_DESARROLLO!BQ29/N70_DESARROLLO!BP29)-1</f>
        <v>1.1673524379102407E-2</v>
      </c>
      <c r="BS114" s="3">
        <f>-(N70_DESARROLLO!BR29/0.014285714)*LN(N70_DESARROLLO!BR29/N70_DESARROLLO!BQ29)-1</f>
        <v>1.1407193179389985E-2</v>
      </c>
      <c r="BT114" s="3">
        <f>-(N70_DESARROLLO!BS29/0.014285714)*LN(N70_DESARROLLO!BS29/N70_DESARROLLO!BR29)-1</f>
        <v>1.1152743927361541E-2</v>
      </c>
      <c r="BU114" s="3">
        <f>-(N70_DESARROLLO!BT29/0.014285714)*LN(N70_DESARROLLO!BT29/N70_DESARROLLO!BS29)-1</f>
        <v>1.0909398811068893E-2</v>
      </c>
      <c r="BV114" s="3">
        <f>-(N70_DESARROLLO!BU29/0.014285714)*LN(N70_DESARROLLO!BU29/N70_DESARROLLO!BT29)-1</f>
        <v>1.0676446459560562E-2</v>
      </c>
      <c r="BW114" s="3">
        <f>-(N70_DESARROLLO!BV29/0.014285714)*LN(N70_DESARROLLO!BV29/N70_DESARROLLO!BU29)-1</f>
        <v>1.0453234996904204E-2</v>
      </c>
      <c r="BX114" s="3">
        <f>-(N70_DESARROLLO!BW29/0.014285714)*LN(N70_DESARROLLO!BW29/N70_DESARROLLO!BV29)-1</f>
        <v>1.0239165949531337E-2</v>
      </c>
      <c r="BY114" s="3">
        <f>-(N70_DESARROLLO!BX29/0.014285714)*LN(N70_DESARROLLO!BX29/N70_DESARROLLO!BW29)-1</f>
        <v>23.256580558361627</v>
      </c>
      <c r="BZ114" s="10"/>
      <c r="CA114" s="10"/>
      <c r="CB114" s="10"/>
      <c r="CC114" s="10"/>
      <c r="CD114" s="1">
        <v>20</v>
      </c>
      <c r="CE114" s="1">
        <v>0</v>
      </c>
      <c r="CF114" s="1">
        <f>(1+(N70_DESARROLLO!F29/0.014285714)*LN(N70_DESARROLLO!G29/N70_DESARROLLO!F29))</f>
        <v>-2.6552823496786004E-2</v>
      </c>
      <c r="CG114" s="1">
        <f>(1+(N70_DESARROLLO!G29/0.014285714)*LN(N70_DESARROLLO!H29/N70_DESARROLLO!G29))</f>
        <v>-2.8042266924844572E-2</v>
      </c>
      <c r="CH114" s="1">
        <f>(1+(N70_DESARROLLO!H29/0.014285714)*LN(N70_DESARROLLO!I29/N70_DESARROLLO!H29))</f>
        <v>-2.9708770995511058E-2</v>
      </c>
      <c r="CI114" s="1">
        <f>(1+(N70_DESARROLLO!I29/0.014285714)*LN(N70_DESARROLLO!J29/N70_DESARROLLO!I29))</f>
        <v>-3.158591082372797E-2</v>
      </c>
      <c r="CJ114" s="1">
        <f>(1+(N70_DESARROLLO!J29/0.014285714)*LN(N70_DESARROLLO!K29/N70_DESARROLLO!J29))</f>
        <v>-3.3716325403746916E-2</v>
      </c>
      <c r="CK114" s="1">
        <f>(1+(N70_DESARROLLO!K29/0.014285714)*LN(N70_DESARROLLO!L29/N70_DESARROLLO!K29))</f>
        <v>-3.6154998464202226E-2</v>
      </c>
      <c r="CL114" s="1">
        <f>(1+(N70_DESARROLLO!L29/0.014285714)*LN(N70_DESARROLLO!M29/N70_DESARROLLO!L29))</f>
        <v>-3.8974076117212375E-2</v>
      </c>
      <c r="CM114" s="1">
        <f>(1+(N70_DESARROLLO!M29/0.014285714)*LN(N70_DESARROLLO!N29/N70_DESARROLLO!M29))</f>
        <v>-4.2270132583540621E-2</v>
      </c>
      <c r="CN114" s="1">
        <f>(1+(N70_DESARROLLO!N29/0.014285714)*LN(N70_DESARROLLO!O29/N70_DESARROLLO!N29))</f>
        <v>-4.6175470289367304E-2</v>
      </c>
      <c r="CO114" s="1">
        <f>(1+(N70_DESARROLLO!O29/0.014285714)*LN(N70_DESARROLLO!P29/N70_DESARROLLO!O29))</f>
        <v>-5.0876335865843503E-2</v>
      </c>
      <c r="CP114" s="1">
        <f>(1+(N70_DESARROLLO!P29/0.014285714)*LN(N70_DESARROLLO!Q29/N70_DESARROLLO!P29))</f>
        <v>-5.6643554680002817E-2</v>
      </c>
      <c r="CQ114" s="1">
        <f>(1+(N70_DESARROLLO!Q29/0.014285714)*LN(N70_DESARROLLO!R29/N70_DESARROLLO!Q29))</f>
        <v>-6.3886736386786325E-2</v>
      </c>
      <c r="CR114" s="1">
        <f>(1+(N70_DESARROLLO!R29/0.014285714)*LN(N70_DESARROLLO!S29/N70_DESARROLLO!R29))</f>
        <v>-7.3256348770177837E-2</v>
      </c>
      <c r="CS114" s="1">
        <f>(1+(N70_DESARROLLO!S29/0.014285714)*LN(N70_DESARROLLO!T29/N70_DESARROLLO!S29))</f>
        <v>-8.5851572027610068E-2</v>
      </c>
      <c r="CT114" s="1">
        <f>(1+(N70_DESARROLLO!T29/0.014285714)*LN(N70_DESARROLLO!U29/N70_DESARROLLO!T29))</f>
        <v>-0.10368884711560833</v>
      </c>
      <c r="CU114" s="1">
        <f>(1+(N70_DESARROLLO!U29/0.014285714)*LN(N70_DESARROLLO!V29/N70_DESARROLLO!U29))</f>
        <v>-0.13091494988237651</v>
      </c>
      <c r="CV114" s="1">
        <f>(1+(N70_DESARROLLO!V29/0.014285714)*LN(N70_DESARROLLO!W29/N70_DESARROLLO!V29))</f>
        <v>-0.17765285172730261</v>
      </c>
      <c r="CW114" s="1">
        <f>(1+(N70_DESARROLLO!W29/0.014285714)*LN(N70_DESARROLLO!X29/N70_DESARROLLO!W29))</f>
        <v>-0.27706408495625556</v>
      </c>
      <c r="CX114" s="1">
        <f>(1+(N70_DESARROLLO!X29/0.014285714)*LN(N70_DESARROLLO!Y29/N70_DESARROLLO!X29))</f>
        <v>-0.64791846596053282</v>
      </c>
      <c r="CY114" s="1">
        <v>1</v>
      </c>
      <c r="CZ114" s="1">
        <f>(1+(N70_DESARROLLO!Z29/0.014285714)*LN(N70_DESARROLLO!AA29/N70_DESARROLLO!Z29))</f>
        <v>0.45069384467982265</v>
      </c>
      <c r="DA114" s="1">
        <f>(1+(N70_DESARROLLO!AA29/0.014285714)*LN(N70_DESARROLLO!AB29/N70_DESARROLLO!AA29))</f>
        <v>0.2337615490262448</v>
      </c>
      <c r="DB114" s="1">
        <f>(1+(N70_DESARROLLO!AB29/0.014285714)*LN(N70_DESARROLLO!AC29/N70_DESARROLLO!AB29))</f>
        <v>0.15881939162335523</v>
      </c>
      <c r="DC114" s="1">
        <f>(1+(N70_DESARROLLO!AC29/0.014285714)*LN(N70_DESARROLLO!AD29/N70_DESARROLLO!AC29))</f>
        <v>0.12039948342481821</v>
      </c>
      <c r="DD114" s="1">
        <f>(1+(N70_DESARROLLO!AD29/0.014285714)*LN(N70_DESARROLLO!AE29/N70_DESARROLLO!AD29))</f>
        <v>9.69818523599566E-2</v>
      </c>
      <c r="DE114" s="1">
        <f>(1+(N70_DESARROLLO!AE29/0.014285714)*LN(N70_DESARROLLO!AF29/N70_DESARROLLO!AE29))</f>
        <v>8.120251597663608E-2</v>
      </c>
      <c r="DF114" s="1">
        <f>(1+(N70_DESARROLLO!AF29/0.014285714)*LN(N70_DESARROLLO!AG29/N70_DESARROLLO!AF29))</f>
        <v>6.9844497732516331E-2</v>
      </c>
      <c r="DG114" s="1">
        <f>(1+(N70_DESARROLLO!AG29/0.014285714)*LN(N70_DESARROLLO!AH29/N70_DESARROLLO!AG29))</f>
        <v>6.1276409070482152E-2</v>
      </c>
      <c r="DH114" s="1">
        <f>(1+(N70_DESARROLLO!AH29/0.014285714)*LN(N70_DESARROLLO!AI29/N70_DESARROLLO!AH29))</f>
        <v>5.4582082654734632E-2</v>
      </c>
      <c r="DI114" s="1">
        <f>(1+(N70_DESARROLLO!AI29/0.014285714)*LN(N70_DESARROLLO!AJ29/N70_DESARROLLO!AI29))</f>
        <v>4.9207124692807747E-2</v>
      </c>
      <c r="DJ114" s="1">
        <f>(1+(N70_DESARROLLO!AJ29/0.014285714)*LN(N70_DESARROLLO!AK29/N70_DESARROLLO!AJ29))</f>
        <v>4.4796309735795181E-2</v>
      </c>
      <c r="DK114" s="1">
        <f>(1+(N70_DESARROLLO!AK29/0.014285714)*LN(N70_DESARROLLO!AL29/N70_DESARROLLO!AK29))</f>
        <v>4.1111478023143189E-2</v>
      </c>
      <c r="DL114" s="1">
        <f>(1+(N70_DESARROLLO!AL29/0.014285714)*LN(N70_DESARROLLO!AM29/N70_DESARROLLO!AL29))</f>
        <v>3.7986966558134605E-2</v>
      </c>
      <c r="DM114" s="1">
        <f>(1+(N70_DESARROLLO!AM29/0.014285714)*LN(N70_DESARROLLO!AN29/N70_DESARROLLO!AM29))</f>
        <v>3.5303966947121235E-2</v>
      </c>
      <c r="DN114" s="1">
        <f>(1+(N70_DESARROLLO!AN29/0.014285714)*LN(N70_DESARROLLO!AO29/N70_DESARROLLO!AN29))</f>
        <v>3.297505042875204E-2</v>
      </c>
      <c r="DO114" s="1">
        <f>(1+(N70_DESARROLLO!AO29/0.014285714)*LN(N70_DESARROLLO!AP29/N70_DESARROLLO!AO29))</f>
        <v>3.0934447408016319E-2</v>
      </c>
      <c r="DP114" s="1">
        <f>(1+(N70_DESARROLLO!AP29/0.014285714)*LN(N70_DESARROLLO!AQ29/N70_DESARROLLO!AP29))</f>
        <v>2.9131730204230433E-2</v>
      </c>
      <c r="DQ114" s="1">
        <f>(1+(N70_DESARROLLO!AQ29/0.014285714)*LN(N70_DESARROLLO!AR29/N70_DESARROLLO!AQ29))</f>
        <v>2.7527585341366678E-2</v>
      </c>
      <c r="DR114" s="1">
        <f>(1+(N70_DESARROLLO!AR29/0.014285714)*LN(N70_DESARROLLO!AS29/N70_DESARROLLO!AR29))</f>
        <v>2.6090911041505627E-2</v>
      </c>
      <c r="DS114" s="1">
        <f>(1+(N70_DESARROLLO!AS29/0.014285714)*LN(N70_DESARROLLO!AT29/N70_DESARROLLO!AS29))</f>
        <v>2.4796779290042203E-2</v>
      </c>
      <c r="DT114" s="1">
        <f>(1+(N70_DESARROLLO!AT29/0.014285714)*LN(N70_DESARROLLO!AU29/N70_DESARROLLO!AT29))</f>
        <v>2.3624976192774816E-2</v>
      </c>
      <c r="DU114" s="1">
        <f>(1+(N70_DESARROLLO!AU29/0.014285714)*LN(N70_DESARROLLO!AV29/N70_DESARROLLO!AU29))</f>
        <v>2.2558937800898904E-2</v>
      </c>
      <c r="DV114" s="1">
        <f>(1+(N70_DESARROLLO!AV29/0.014285714)*LN(N70_DESARROLLO!AW29/N70_DESARROLLO!AV29))</f>
        <v>2.1584961787579071E-2</v>
      </c>
      <c r="DW114" s="1">
        <f>(1+(N70_DESARROLLO!AW29/0.014285714)*LN(N70_DESARROLLO!AX29/N70_DESARROLLO!AW29))</f>
        <v>2.0691615000477559E-2</v>
      </c>
      <c r="DX114" s="1">
        <f>(1+(N70_DESARROLLO!AX29/0.014285714)*LN(N70_DESARROLLO!AY29/N70_DESARROLLO!AX29))</f>
        <v>1.9869282361760443E-2</v>
      </c>
      <c r="DY114" s="1">
        <f>(1+(N70_DESARROLLO!AY29/0.014285714)*LN(N70_DESARROLLO!AZ29/N70_DESARROLLO!AY29))</f>
        <v>1.9109819273394835E-2</v>
      </c>
      <c r="DZ114" s="1">
        <f>(1+(N70_DESARROLLO!AZ29/0.014285714)*LN(N70_DESARROLLO!BA29/N70_DESARROLLO!AZ29))</f>
        <v>1.840628083888074E-2</v>
      </c>
      <c r="EA114" s="1">
        <f>(1+(N70_DESARROLLO!BA29/0.014285714)*LN(N70_DESARROLLO!BB29/N70_DESARROLLO!BA29))</f>
        <v>1.7752708797869166E-2</v>
      </c>
      <c r="EB114" s="1">
        <f>(1+(N70_DESARROLLO!BB29/0.014285714)*LN(N70_DESARROLLO!BC29/N70_DESARROLLO!BB29))</f>
        <v>1.7143962314557393E-2</v>
      </c>
      <c r="EC114" s="1">
        <f>(1+(N70_DESARROLLO!BC29/0.014285714)*LN(N70_DESARROLLO!BD29/N70_DESARROLLO!BC29))</f>
        <v>1.6575582437549863E-2</v>
      </c>
      <c r="ED114" s="1">
        <f>(1+(N70_DESARROLLO!BD29/0.014285714)*LN(N70_DESARROLLO!BE29/N70_DESARROLLO!BD29))</f>
        <v>1.6043682665125125E-2</v>
      </c>
      <c r="EE114" s="1">
        <f>(1+(N70_DESARROLLO!BE29/0.014285714)*LN(N70_DESARROLLO!BF29/N70_DESARROLLO!BE29))</f>
        <v>1.5544859931604593E-2</v>
      </c>
      <c r="EF114" s="1">
        <f>(1+(N70_DESARROLLO!BF29/0.014285714)*LN(N70_DESARROLLO!BG29/N70_DESARROLLO!BF29))</f>
        <v>1.5076121703334833E-2</v>
      </c>
      <c r="EG114" s="1">
        <f>(1+(N70_DESARROLLO!BG29/0.014285714)*LN(N70_DESARROLLO!BH29/N70_DESARROLLO!BG29))</f>
        <v>1.4634825881874591E-2</v>
      </c>
      <c r="EH114" s="1">
        <f>(1+(N70_DESARROLLO!BH29/0.014285714)*LN(N70_DESARROLLO!BI29/N70_DESARROLLO!BH29))</f>
        <v>1.4218630964435208E-2</v>
      </c>
      <c r="EI114" s="1">
        <f>(1+(N70_DESARROLLO!BI29/0.014285714)*LN(N70_DESARROLLO!BJ29/N70_DESARROLLO!BI29))</f>
        <v>1.3825454475322685E-2</v>
      </c>
      <c r="EJ114" s="1">
        <f>(1+(N70_DESARROLLO!BJ29/0.014285714)*LN(N70_DESARROLLO!BK29/N70_DESARROLLO!BJ29))</f>
        <v>1.3453438110010096E-2</v>
      </c>
      <c r="EK114" s="1">
        <f>(1+(N70_DESARROLLO!BK29/0.014285714)*LN(N70_DESARROLLO!BL29/N70_DESARROLLO!BK29))</f>
        <v>1.3100918360517522E-2</v>
      </c>
      <c r="EL114" s="1">
        <f>(1+(N70_DESARROLLO!BL29/0.014285714)*LN(N70_DESARROLLO!BM29/N70_DESARROLLO!BL29))</f>
        <v>1.2766401641828407E-2</v>
      </c>
      <c r="EM114" s="1">
        <f>(1+(N70_DESARROLLO!BM29/0.014285714)*LN(N70_DESARROLLO!BN29/N70_DESARROLLO!BM29))</f>
        <v>1.2448543134991996E-2</v>
      </c>
      <c r="EN114" s="1">
        <f>(1+(N70_DESARROLLO!BN29/0.014285714)*LN(N70_DESARROLLO!BO29/N70_DESARROLLO!BN29))</f>
        <v>1.2146128714472515E-2</v>
      </c>
      <c r="EO114" s="1">
        <f>(1+(N70_DESARROLLO!BO29/0.014285714)*LN(N70_DESARROLLO!BP29/N70_DESARROLLO!BO29))</f>
        <v>1.1858059447847902E-2</v>
      </c>
      <c r="EP114" s="1">
        <f>(1+(N70_DESARROLLO!BP29/0.014285714)*LN(N70_DESARROLLO!BQ29/N70_DESARROLLO!BP29))</f>
        <v>1.1583338250302444E-2</v>
      </c>
      <c r="EQ114" s="1">
        <f>(1+(N70_DESARROLLO!BQ29/0.014285714)*LN(N70_DESARROLLO!BR29/N70_DESARROLLO!BQ29))</f>
        <v>1.1321058352731117E-2</v>
      </c>
      <c r="ER114" s="1">
        <f>(1+(N70_DESARROLLO!BR29/0.014285714)*LN(N70_DESARROLLO!BS29/N70_DESARROLLO!BR29))</f>
        <v>1.1070393301811032E-2</v>
      </c>
      <c r="ES114" s="1">
        <f>(1+(N70_DESARROLLO!BS29/0.014285714)*LN(N70_DESARROLLO!BT29/N70_DESARROLLO!BS29))</f>
        <v>1.0830588260137164E-2</v>
      </c>
      <c r="ET114" s="1">
        <f>(1+(N70_DESARROLLO!BT29/0.014285714)*LN(N70_DESARROLLO!BU29/N70_DESARROLLO!BT29))</f>
        <v>1.0600952413272191E-2</v>
      </c>
      <c r="EU114" s="1">
        <f>(1+(N70_DESARROLLO!BU29/0.014285714)*LN(N70_DESARROLLO!BV29/N70_DESARROLLO!BU29))</f>
        <v>1.0380852322619649E-2</v>
      </c>
      <c r="EV114" s="1">
        <f>(1+(N70_DESARROLLO!BV29/0.014285714)*LN(N70_DESARROLLO!BW29/N70_DESARROLLO!BV29))</f>
        <v>1.0169706089853126E-2</v>
      </c>
      <c r="EW114" s="1">
        <f>(1+(N70_DESARROLLO!BW29/0.014285714)*LN(N70_DESARROLLO!BX29/N70_DESARROLLO!BW29))</f>
        <v>-16.152867680555723</v>
      </c>
      <c r="EX114" s="10"/>
      <c r="EY114" s="10"/>
    </row>
    <row r="115" spans="7:155" x14ac:dyDescent="0.25">
      <c r="G115" s="3">
        <v>21</v>
      </c>
      <c r="H115" s="3">
        <f>-(N70_DESARROLLO!G30/0.014285714)*LN(N70_DESARROLLO!G30/N70_DESARROLLO!F30)-1</f>
        <v>-2.4796779290038096E-2</v>
      </c>
      <c r="I115" s="3">
        <f>-(N70_DESARROLLO!H30/0.014285714)*LN(N70_DESARROLLO!H30/N70_DESARROLLO!G30)-1</f>
        <v>-2.6090911041510845E-2</v>
      </c>
      <c r="J115" s="3">
        <f>-(N70_DESARROLLO!I30/0.014285714)*LN(N70_DESARROLLO!I30/N70_DESARROLLO!H30)-1</f>
        <v>-2.7527585341363459E-2</v>
      </c>
      <c r="K115" s="3">
        <f>-(N70_DESARROLLO!J30/0.014285714)*LN(N70_DESARROLLO!J30/N70_DESARROLLO!I30)-1</f>
        <v>-2.9131730204234429E-2</v>
      </c>
      <c r="L115" s="3">
        <f>-(N70_DESARROLLO!K30/0.014285714)*LN(N70_DESARROLLO!K30/N70_DESARROLLO!J30)-1</f>
        <v>-3.0934447408011212E-2</v>
      </c>
      <c r="M115" s="3">
        <f>-(N70_DESARROLLO!L30/0.014285714)*LN(N70_DESARROLLO!L30/N70_DESARROLLO!K30)-1</f>
        <v>-3.297505042875315E-2</v>
      </c>
      <c r="N115" s="3">
        <f>-(N70_DESARROLLO!M30/0.014285714)*LN(N70_DESARROLLO!M30/N70_DESARROLLO!L30)-1</f>
        <v>-3.5303966947123677E-2</v>
      </c>
      <c r="O115" s="3">
        <f>-(N70_DESARROLLO!N30/0.014285714)*LN(N70_DESARROLLO!N30/N70_DESARROLLO!M30)-1</f>
        <v>-3.7986966558135382E-2</v>
      </c>
      <c r="P115" s="3">
        <f>-(N70_DESARROLLO!O30/0.014285714)*LN(N70_DESARROLLO!O30/N70_DESARROLLO!N30)-1</f>
        <v>-4.1111478023141634E-2</v>
      </c>
      <c r="Q115" s="3">
        <f>-(N70_DESARROLLO!P30/0.014285714)*LN(N70_DESARROLLO!P30/N70_DESARROLLO!O30)-1</f>
        <v>-4.4796309735795514E-2</v>
      </c>
      <c r="R115" s="3">
        <f>-(N70_DESARROLLO!Q30/0.014285714)*LN(N70_DESARROLLO!Q30/N70_DESARROLLO!P30)-1</f>
        <v>-4.9207124692807525E-2</v>
      </c>
      <c r="S115" s="3">
        <f>-(N70_DESARROLLO!R30/0.014285714)*LN(N70_DESARROLLO!R30/N70_DESARROLLO!Q30)-1</f>
        <v>-5.4582082654733854E-2</v>
      </c>
      <c r="T115" s="3">
        <f>-(N70_DESARROLLO!S30/0.014285714)*LN(N70_DESARROLLO!S30/N70_DESARROLLO!R30)-1</f>
        <v>-6.1276409070483262E-2</v>
      </c>
      <c r="U115" s="3">
        <f>-(N70_DESARROLLO!T30/0.014285714)*LN(N70_DESARROLLO!T30/N70_DESARROLLO!S30)-1</f>
        <v>-6.9844497732514665E-2</v>
      </c>
      <c r="V115" s="3">
        <f>-(N70_DESARROLLO!U30/0.014285714)*LN(N70_DESARROLLO!U30/N70_DESARROLLO!T30)-1</f>
        <v>-8.1202515976635747E-2</v>
      </c>
      <c r="W115" s="3">
        <f>-(N70_DESARROLLO!V30/0.014285714)*LN(N70_DESARROLLO!V30/N70_DESARROLLO!U30)-1</f>
        <v>-9.6981852359956267E-2</v>
      </c>
      <c r="X115" s="3">
        <f>-(N70_DESARROLLO!W30/0.014285714)*LN(N70_DESARROLLO!W30/N70_DESARROLLO!V30)-1</f>
        <v>-0.12039948342481821</v>
      </c>
      <c r="Y115" s="3">
        <f>-(N70_DESARROLLO!X30/0.014285714)*LN(N70_DESARROLLO!X30/N70_DESARROLLO!W30)-1</f>
        <v>-0.15881939162335657</v>
      </c>
      <c r="Z115" s="3">
        <f>-(N70_DESARROLLO!Y30/0.014285714)*LN(N70_DESARROLLO!Y30/N70_DESARROLLO!X30)-1</f>
        <v>-0.2337615490262448</v>
      </c>
      <c r="AA115" s="3">
        <f>-(N70_DESARROLLO!Z30/0.014285714)*LN(N70_DESARROLLO!Z30/N70_DESARROLLO!Y30)-1</f>
        <v>-0.45069384467982276</v>
      </c>
      <c r="AB115" s="3">
        <v>-1</v>
      </c>
      <c r="AC115" s="3">
        <f>-(N70_DESARROLLO!AB30/0.014285714)*LN(N70_DESARROLLO!AB30/N70_DESARROLLO!AA30)-1</f>
        <v>0.64791846596053282</v>
      </c>
      <c r="AD115" s="3">
        <f>-(N70_DESARROLLO!AC30/0.014285714)*LN(N70_DESARROLLO!AC30/N70_DESARROLLO!AB30)-1</f>
        <v>0.27706408495625845</v>
      </c>
      <c r="AE115" s="3">
        <f>-(N70_DESARROLLO!AD30/0.014285714)*LN(N70_DESARROLLO!AD30/N70_DESARROLLO!AC30)-1</f>
        <v>0.17765285172730261</v>
      </c>
      <c r="AF115" s="3">
        <f>-(N70_DESARROLLO!AE30/0.014285714)*LN(N70_DESARROLLO!AE30/N70_DESARROLLO!AD30)-1</f>
        <v>0.13091494988237695</v>
      </c>
      <c r="AG115" s="3">
        <f>-(N70_DESARROLLO!AF30/0.014285714)*LN(N70_DESARROLLO!AF30/N70_DESARROLLO!AE30)-1</f>
        <v>0.10368884711560855</v>
      </c>
      <c r="AH115" s="3">
        <f>-(N70_DESARROLLO!AG30/0.014285714)*LN(N70_DESARROLLO!AG30/N70_DESARROLLO!AF30)-1</f>
        <v>8.5851572027607181E-2</v>
      </c>
      <c r="AI115" s="3">
        <f>-(N70_DESARROLLO!AH30/0.014285714)*LN(N70_DESARROLLO!AH30/N70_DESARROLLO!AG30)-1</f>
        <v>7.3256348770177837E-2</v>
      </c>
      <c r="AJ115" s="3">
        <f>-(N70_DESARROLLO!AI30/0.014285714)*LN(N70_DESARROLLO!AI30/N70_DESARROLLO!AH30)-1</f>
        <v>6.3886736386785881E-2</v>
      </c>
      <c r="AK115" s="3">
        <f>-(N70_DESARROLLO!AJ30/0.014285714)*LN(N70_DESARROLLO!AJ30/N70_DESARROLLO!AI30)-1</f>
        <v>5.6643554680003039E-2</v>
      </c>
      <c r="AL115" s="3">
        <f>-(N70_DESARROLLO!AK30/0.014285714)*LN(N70_DESARROLLO!AK30/N70_DESARROLLO!AJ30)-1</f>
        <v>5.0876335865844613E-2</v>
      </c>
      <c r="AM115" s="3">
        <f>-(N70_DESARROLLO!AL30/0.014285714)*LN(N70_DESARROLLO!AL30/N70_DESARROLLO!AK30)-1</f>
        <v>4.6175470289367526E-2</v>
      </c>
      <c r="AN115" s="3">
        <f>-(N70_DESARROLLO!AM30/0.014285714)*LN(N70_DESARROLLO!AM30/N70_DESARROLLO!AL30)-1</f>
        <v>4.2270132583540398E-2</v>
      </c>
      <c r="AO115" s="3">
        <f>-(N70_DESARROLLO!AN30/0.014285714)*LN(N70_DESARROLLO!AN30/N70_DESARROLLO!AM30)-1</f>
        <v>3.897407611721504E-2</v>
      </c>
      <c r="AP115" s="3">
        <f>-(N70_DESARROLLO!AO30/0.014285714)*LN(N70_DESARROLLO!AO30/N70_DESARROLLO!AN30)-1</f>
        <v>3.6154998464203336E-2</v>
      </c>
      <c r="AQ115" s="3">
        <f>-(N70_DESARROLLO!AP30/0.014285714)*LN(N70_DESARROLLO!AP30/N70_DESARROLLO!AO30)-1</f>
        <v>3.3716325403741587E-2</v>
      </c>
      <c r="AR115" s="3">
        <f>-(N70_DESARROLLO!AQ30/0.014285714)*LN(N70_DESARROLLO!AQ30/N70_DESARROLLO!AP30)-1</f>
        <v>3.1585910823731744E-2</v>
      </c>
      <c r="AS115" s="3">
        <f>-(N70_DESARROLLO!AR30/0.014285714)*LN(N70_DESARROLLO!AR30/N70_DESARROLLO!AQ30)-1</f>
        <v>2.9708770995506173E-2</v>
      </c>
      <c r="AT115" s="3">
        <f>-(N70_DESARROLLO!AS30/0.014285714)*LN(N70_DESARROLLO!AS30/N70_DESARROLLO!AR30)-1</f>
        <v>2.8042266924849013E-2</v>
      </c>
      <c r="AU115" s="3">
        <f>-(N70_DESARROLLO!AT30/0.014285714)*LN(N70_DESARROLLO!AT30/N70_DESARROLLO!AS30)-1</f>
        <v>2.6552823496783118E-2</v>
      </c>
      <c r="AV115" s="3">
        <f>-(N70_DESARROLLO!AU30/0.014285714)*LN(N70_DESARROLLO!AU30/N70_DESARROLLO!AT30)-1</f>
        <v>2.5213642284836357E-2</v>
      </c>
      <c r="AW115" s="3">
        <f>-(N70_DESARROLLO!AV30/0.014285714)*LN(N70_DESARROLLO!AV30/N70_DESARROLLO!AU30)-1</f>
        <v>2.4003073749032211E-2</v>
      </c>
      <c r="AX115" s="3">
        <f>-(N70_DESARROLLO!AW30/0.014285714)*LN(N70_DESARROLLO!AW30/N70_DESARROLLO!AV30)-1</f>
        <v>2.2903437185105791E-2</v>
      </c>
      <c r="AY115" s="3">
        <f>-(N70_DESARROLLO!AX30/0.014285714)*LN(N70_DESARROLLO!AX30/N70_DESARROLLO!AW30)-1</f>
        <v>2.190015102187215E-2</v>
      </c>
      <c r="AZ115" s="3">
        <f>-(N70_DESARROLLO!AY30/0.014285714)*LN(N70_DESARROLLO!AY30/N70_DESARROLLO!AX30)-1</f>
        <v>2.0981082233534565E-2</v>
      </c>
      <c r="BA115" s="3">
        <f>-(N70_DESARROLLO!AZ30/0.014285714)*LN(N70_DESARROLLO!AZ30/N70_DESARROLLO!AY30)-1</f>
        <v>2.0136053052056457E-2</v>
      </c>
      <c r="BB115" s="3">
        <f>-(N70_DESARROLLO!BA30/0.014285714)*LN(N70_DESARROLLO!BA30/N70_DESARROLLO!AZ30)-1</f>
        <v>1.9356462323721457E-2</v>
      </c>
      <c r="BC115" s="3">
        <f>-(N70_DESARROLLO!BB30/0.014285714)*LN(N70_DESARROLLO!BB30/N70_DESARROLLO!BA30)-1</f>
        <v>1.8634991582305416E-2</v>
      </c>
      <c r="BD115" s="3">
        <f>-(N70_DESARROLLO!BC30/0.014285714)*LN(N70_DESARROLLO!BC30/N70_DESARROLLO!BB30)-1</f>
        <v>1.7965374518559951E-2</v>
      </c>
      <c r="BE115" s="3">
        <f>-(N70_DESARROLLO!BD30/0.014285714)*LN(N70_DESARROLLO!BD30/N70_DESARROLLO!BC30)-1</f>
        <v>1.7342214446341986E-2</v>
      </c>
      <c r="BF115" s="3">
        <f>-(N70_DESARROLLO!BE30/0.014285714)*LN(N70_DESARROLLO!BE30/N70_DESARROLLO!BD30)-1</f>
        <v>1.676083849676413E-2</v>
      </c>
      <c r="BG115" s="3">
        <f>-(N70_DESARROLLO!BF30/0.014285714)*LN(N70_DESARROLLO!BF30/N70_DESARROLLO!BE30)-1</f>
        <v>1.6217180198320191E-2</v>
      </c>
      <c r="BH115" s="3">
        <f>-(N70_DESARROLLO!BG30/0.014285714)*LN(N70_DESARROLLO!BG30/N70_DESARROLLO!BF30)-1</f>
        <v>1.5707684197544092E-2</v>
      </c>
      <c r="BI115" s="3">
        <f>-(N70_DESARROLLO!BH30/0.014285714)*LN(N70_DESARROLLO!BH30/N70_DESARROLLO!BG30)-1</f>
        <v>1.5229228398100814E-2</v>
      </c>
      <c r="BJ115" s="3">
        <f>-(N70_DESARROLLO!BI30/0.014285714)*LN(N70_DESARROLLO!BI30/N70_DESARROLLO!BH30)-1</f>
        <v>1.4779059912703785E-2</v>
      </c>
      <c r="BK115" s="3">
        <f>-(N70_DESARROLLO!BJ30/0.014285714)*LN(N70_DESARROLLO!BJ30/N70_DESARROLLO!BI30)-1</f>
        <v>1.4354742051081004E-2</v>
      </c>
      <c r="BL115" s="3">
        <f>-(N70_DESARROLLO!BK30/0.014285714)*LN(N70_DESARROLLO!BK30/N70_DESARROLLO!BJ30)-1</f>
        <v>1.3954110187352153E-2</v>
      </c>
      <c r="BM115" s="3">
        <f>-(N70_DESARROLLO!BL30/0.014285714)*LN(N70_DESARROLLO!BL30/N70_DESARROLLO!BK30)-1</f>
        <v>1.3575234818474557E-2</v>
      </c>
      <c r="BN115" s="3">
        <f>-(N70_DESARROLLO!BM30/0.014285714)*LN(N70_DESARROLLO!BM30/N70_DESARROLLO!BL30)-1</f>
        <v>1.3216390483210549E-2</v>
      </c>
      <c r="BO115" s="3">
        <f>-(N70_DESARROLLO!BN30/0.014285714)*LN(N70_DESARROLLO!BN30/N70_DESARROLLO!BM30)-1</f>
        <v>1.2876029484357954E-2</v>
      </c>
      <c r="BP115" s="3">
        <f>-(N70_DESARROLLO!BO30/0.014285714)*LN(N70_DESARROLLO!BO30/N70_DESARROLLO!BN30)-1</f>
        <v>1.2552759570459981E-2</v>
      </c>
      <c r="BQ115" s="3">
        <f>-(N70_DESARROLLO!BP30/0.014285714)*LN(N70_DESARROLLO!BP30/N70_DESARROLLO!BO30)-1</f>
        <v>1.224532489750696E-2</v>
      </c>
      <c r="BR115" s="3">
        <f>-(N70_DESARROLLO!BQ30/0.014285714)*LN(N70_DESARROLLO!BQ30/N70_DESARROLLO!BP30)-1</f>
        <v>1.1952589722092677E-2</v>
      </c>
      <c r="BS115" s="3">
        <f>-(N70_DESARROLLO!BR30/0.014285714)*LN(N70_DESARROLLO!BR30/N70_DESARROLLO!BQ30)-1</f>
        <v>1.1673524379093081E-2</v>
      </c>
      <c r="BT115" s="3">
        <f>-(N70_DESARROLLO!BS30/0.014285714)*LN(N70_DESARROLLO!BS30/N70_DESARROLLO!BR30)-1</f>
        <v>1.1407193179389985E-2</v>
      </c>
      <c r="BU115" s="3">
        <f>-(N70_DESARROLLO!BT30/0.014285714)*LN(N70_DESARROLLO!BT30/N70_DESARROLLO!BS30)-1</f>
        <v>1.1152743927371533E-2</v>
      </c>
      <c r="BV115" s="3">
        <f>-(N70_DESARROLLO!BU30/0.014285714)*LN(N70_DESARROLLO!BU30/N70_DESARROLLO!BT30)-1</f>
        <v>1.0909398811058679E-2</v>
      </c>
      <c r="BW115" s="3">
        <f>-(N70_DESARROLLO!BV30/0.014285714)*LN(N70_DESARROLLO!BV30/N70_DESARROLLO!BU30)-1</f>
        <v>1.0676446459560784E-2</v>
      </c>
      <c r="BX115" s="3">
        <f>-(N70_DESARROLLO!BW30/0.014285714)*LN(N70_DESARROLLO!BW30/N70_DESARROLLO!BV30)-1</f>
        <v>1.0453234996893546E-2</v>
      </c>
      <c r="BY115" s="3">
        <f>-(N70_DESARROLLO!BX30/0.014285714)*LN(N70_DESARROLLO!BX30/N70_DESARROLLO!BW30)-1</f>
        <v>24.685201601118536</v>
      </c>
      <c r="BZ115" s="10"/>
      <c r="CA115" s="10"/>
      <c r="CB115" s="10"/>
      <c r="CC115" s="10"/>
      <c r="CD115">
        <v>21</v>
      </c>
      <c r="CE115" s="1">
        <v>0</v>
      </c>
      <c r="CF115" s="1">
        <f>(1+(N70_DESARROLLO!F30/0.014285714)*LN(N70_DESARROLLO!G30/N70_DESARROLLO!F30))</f>
        <v>-2.5213642284831916E-2</v>
      </c>
      <c r="CG115" s="1">
        <f>(1+(N70_DESARROLLO!G30/0.014285714)*LN(N70_DESARROLLO!H30/N70_DESARROLLO!G30))</f>
        <v>-2.6552823496785782E-2</v>
      </c>
      <c r="CH115" s="1">
        <f>(1+(N70_DESARROLLO!H30/0.014285714)*LN(N70_DESARROLLO!I30/N70_DESARROLLO!H30))</f>
        <v>-2.804226692484435E-2</v>
      </c>
      <c r="CI115" s="1">
        <f>(1+(N70_DESARROLLO!I30/0.014285714)*LN(N70_DESARROLLO!J30/N70_DESARROLLO!I30))</f>
        <v>-2.9708770995508837E-2</v>
      </c>
      <c r="CJ115" s="1">
        <f>(1+(N70_DESARROLLO!J30/0.014285714)*LN(N70_DESARROLLO!K30/N70_DESARROLLO!J30))</f>
        <v>-3.158591082373019E-2</v>
      </c>
      <c r="CK115" s="1">
        <f>(1+(N70_DESARROLLO!K30/0.014285714)*LN(N70_DESARROLLO!L30/N70_DESARROLLO!K30))</f>
        <v>-3.3716325403746694E-2</v>
      </c>
      <c r="CL115" s="1">
        <f>(1+(N70_DESARROLLO!L30/0.014285714)*LN(N70_DESARROLLO!M30/N70_DESARROLLO!L30))</f>
        <v>-3.6154998464200228E-2</v>
      </c>
      <c r="CM115" s="1">
        <f>(1+(N70_DESARROLLO!M30/0.014285714)*LN(N70_DESARROLLO!N30/N70_DESARROLLO!M30))</f>
        <v>-3.8974076117213929E-2</v>
      </c>
      <c r="CN115" s="1">
        <f>(1+(N70_DESARROLLO!N30/0.014285714)*LN(N70_DESARROLLO!O30/N70_DESARROLLO!N30))</f>
        <v>-4.2270132583541731E-2</v>
      </c>
      <c r="CO115" s="1">
        <f>(1+(N70_DESARROLLO!O30/0.014285714)*LN(N70_DESARROLLO!P30/N70_DESARROLLO!O30))</f>
        <v>-4.6175470289367082E-2</v>
      </c>
      <c r="CP115" s="1">
        <f>(1+(N70_DESARROLLO!P30/0.014285714)*LN(N70_DESARROLLO!Q30/N70_DESARROLLO!P30))</f>
        <v>-5.0876335865844391E-2</v>
      </c>
      <c r="CQ115" s="1">
        <f>(1+(N70_DESARROLLO!Q30/0.014285714)*LN(N70_DESARROLLO!R30/N70_DESARROLLO!Q30))</f>
        <v>-5.6643554680003483E-2</v>
      </c>
      <c r="CR115" s="1">
        <f>(1+(N70_DESARROLLO!R30/0.014285714)*LN(N70_DESARROLLO!S30/N70_DESARROLLO!R30))</f>
        <v>-6.3886736386785659E-2</v>
      </c>
      <c r="CS115" s="1">
        <f>(1+(N70_DESARROLLO!S30/0.014285714)*LN(N70_DESARROLLO!T30/N70_DESARROLLO!S30))</f>
        <v>-7.3256348770175173E-2</v>
      </c>
      <c r="CT115" s="1">
        <f>(1+(N70_DESARROLLO!T30/0.014285714)*LN(N70_DESARROLLO!U30/N70_DESARROLLO!T30))</f>
        <v>-8.585157202761251E-2</v>
      </c>
      <c r="CU115" s="1">
        <f>(1+(N70_DESARROLLO!U30/0.014285714)*LN(N70_DESARROLLO!V30/N70_DESARROLLO!U30))</f>
        <v>-0.10368884711560922</v>
      </c>
      <c r="CV115" s="1">
        <f>(1+(N70_DESARROLLO!V30/0.014285714)*LN(N70_DESARROLLO!W30/N70_DESARROLLO!V30))</f>
        <v>-0.13091494988237695</v>
      </c>
      <c r="CW115" s="1">
        <f>(1+(N70_DESARROLLO!W30/0.014285714)*LN(N70_DESARROLLO!X30/N70_DESARROLLO!W30))</f>
        <v>-0.17765285172730039</v>
      </c>
      <c r="CX115" s="1">
        <f>(1+(N70_DESARROLLO!X30/0.014285714)*LN(N70_DESARROLLO!Y30/N70_DESARROLLO!X30))</f>
        <v>-0.27706408495625956</v>
      </c>
      <c r="CY115" s="1">
        <f>(1+(N70_DESARROLLO!Y30/0.014285714)*LN(N70_DESARROLLO!Z30/N70_DESARROLLO!Y30))</f>
        <v>-0.64791846596053615</v>
      </c>
      <c r="CZ115" s="1">
        <v>1</v>
      </c>
      <c r="DA115" s="1">
        <f>(1+(N70_DESARROLLO!AA30/0.014285714)*LN(N70_DESARROLLO!AB30/N70_DESARROLLO!AA30))</f>
        <v>0.4506938446798211</v>
      </c>
      <c r="DB115" s="1">
        <f>(1+(N70_DESARROLLO!AB30/0.014285714)*LN(N70_DESARROLLO!AC30/N70_DESARROLLO!AB30))</f>
        <v>0.23376154902624446</v>
      </c>
      <c r="DC115" s="1">
        <f>(1+(N70_DESARROLLO!AC30/0.014285714)*LN(N70_DESARROLLO!AD30/N70_DESARROLLO!AC30))</f>
        <v>0.15881939162335512</v>
      </c>
      <c r="DD115" s="1">
        <f>(1+(N70_DESARROLLO!AD30/0.014285714)*LN(N70_DESARROLLO!AE30/N70_DESARROLLO!AD30))</f>
        <v>0.12039948342481788</v>
      </c>
      <c r="DE115" s="1">
        <f>(1+(N70_DESARROLLO!AE30/0.014285714)*LN(N70_DESARROLLO!AF30/N70_DESARROLLO!AE30))</f>
        <v>9.69818523599566E-2</v>
      </c>
      <c r="DF115" s="1">
        <f>(1+(N70_DESARROLLO!AF30/0.014285714)*LN(N70_DESARROLLO!AG30/N70_DESARROLLO!AF30))</f>
        <v>8.1202515976639411E-2</v>
      </c>
      <c r="DG115" s="1">
        <f>(1+(N70_DESARROLLO!AG30/0.014285714)*LN(N70_DESARROLLO!AH30/N70_DESARROLLO!AG30))</f>
        <v>6.9844497732512556E-2</v>
      </c>
      <c r="DH115" s="1">
        <f>(1+(N70_DESARROLLO!AH30/0.014285714)*LN(N70_DESARROLLO!AI30/N70_DESARROLLO!AH30))</f>
        <v>6.1276409070483151E-2</v>
      </c>
      <c r="DI115" s="1">
        <f>(1+(N70_DESARROLLO!AI30/0.014285714)*LN(N70_DESARROLLO!AJ30/N70_DESARROLLO!AI30))</f>
        <v>5.4582082654734076E-2</v>
      </c>
      <c r="DJ115" s="1">
        <f>(1+(N70_DESARROLLO!AJ30/0.014285714)*LN(N70_DESARROLLO!AK30/N70_DESARROLLO!AJ30))</f>
        <v>4.9207124692807414E-2</v>
      </c>
      <c r="DK115" s="1">
        <f>(1+(N70_DESARROLLO!AK30/0.014285714)*LN(N70_DESARROLLO!AL30/N70_DESARROLLO!AK30))</f>
        <v>4.4796309735794737E-2</v>
      </c>
      <c r="DL115" s="1">
        <f>(1+(N70_DESARROLLO!AL30/0.014285714)*LN(N70_DESARROLLO!AM30/N70_DESARROLLO!AL30))</f>
        <v>4.1111478023142856E-2</v>
      </c>
      <c r="DM115" s="1">
        <f>(1+(N70_DESARROLLO!AM30/0.014285714)*LN(N70_DESARROLLO!AN30/N70_DESARROLLO!AM30))</f>
        <v>3.7986966558134161E-2</v>
      </c>
      <c r="DN115" s="1">
        <f>(1+(N70_DESARROLLO!AN30/0.014285714)*LN(N70_DESARROLLO!AO30/N70_DESARROLLO!AN30))</f>
        <v>3.5303966947121013E-2</v>
      </c>
      <c r="DO115" s="1">
        <f>(1+(N70_DESARROLLO!AO30/0.014285714)*LN(N70_DESARROLLO!AP30/N70_DESARROLLO!AO30))</f>
        <v>3.2975050428757702E-2</v>
      </c>
      <c r="DP115" s="1">
        <f>(1+(N70_DESARROLLO!AP30/0.014285714)*LN(N70_DESARROLLO!AQ30/N70_DESARROLLO!AP30))</f>
        <v>3.0934447408009769E-2</v>
      </c>
      <c r="DQ115" s="1">
        <f>(1+(N70_DESARROLLO!AQ30/0.014285714)*LN(N70_DESARROLLO!AR30/N70_DESARROLLO!AQ30))</f>
        <v>2.9131730204236872E-2</v>
      </c>
      <c r="DR115" s="1">
        <f>(1+(N70_DESARROLLO!AR30/0.014285714)*LN(N70_DESARROLLO!AS30/N70_DESARROLLO!AR30))</f>
        <v>2.752758534135924E-2</v>
      </c>
      <c r="DS115" s="1">
        <f>(1+(N70_DESARROLLO!AS30/0.014285714)*LN(N70_DESARROLLO!AT30/N70_DESARROLLO!AS30))</f>
        <v>2.6090911041513176E-2</v>
      </c>
      <c r="DT115" s="1">
        <f>(1+(N70_DESARROLLO!AT30/0.014285714)*LN(N70_DESARROLLO!AU30/N70_DESARROLLO!AT30))</f>
        <v>2.4796779290033988E-2</v>
      </c>
      <c r="DU115" s="1">
        <f>(1+(N70_DESARROLLO!AU30/0.014285714)*LN(N70_DESARROLLO!AV30/N70_DESARROLLO!AU30))</f>
        <v>2.3624976192783143E-2</v>
      </c>
      <c r="DV115" s="1">
        <f>(1+(N70_DESARROLLO!AV30/0.014285714)*LN(N70_DESARROLLO!AW30/N70_DESARROLLO!AV30))</f>
        <v>2.2558937800898904E-2</v>
      </c>
      <c r="DW115" s="1">
        <f>(1+(N70_DESARROLLO!AW30/0.014285714)*LN(N70_DESARROLLO!AX30/N70_DESARROLLO!AW30))</f>
        <v>2.1584961787569412E-2</v>
      </c>
      <c r="DX115" s="1">
        <f>(1+(N70_DESARROLLO!AX30/0.014285714)*LN(N70_DESARROLLO!AY30/N70_DESARROLLO!AX30))</f>
        <v>2.0691615000487218E-2</v>
      </c>
      <c r="DY115" s="1">
        <f>(1+(N70_DESARROLLO!AY30/0.014285714)*LN(N70_DESARROLLO!AZ30/N70_DESARROLLO!AY30))</f>
        <v>1.9869282361749896E-2</v>
      </c>
      <c r="DZ115" s="1">
        <f>(1+(N70_DESARROLLO!AZ30/0.014285714)*LN(N70_DESARROLLO!BA30/N70_DESARROLLO!AZ30))</f>
        <v>1.9109819273400053E-2</v>
      </c>
      <c r="EA115" s="1">
        <f>(1+(N70_DESARROLLO!BA30/0.014285714)*LN(N70_DESARROLLO!BB30/N70_DESARROLLO!BA30))</f>
        <v>1.8406280838869304E-2</v>
      </c>
      <c r="EB115" s="1">
        <f>(1+(N70_DESARROLLO!BB30/0.014285714)*LN(N70_DESARROLLO!BC30/N70_DESARROLLO!BB30))</f>
        <v>1.7752708797880712E-2</v>
      </c>
      <c r="EC115" s="1">
        <f>(1+(N70_DESARROLLO!BC30/0.014285714)*LN(N70_DESARROLLO!BD30/N70_DESARROLLO!BC30))</f>
        <v>1.7143962314551175E-2</v>
      </c>
      <c r="ED115" s="1">
        <f>(1+(N70_DESARROLLO!BD30/0.014285714)*LN(N70_DESARROLLO!BE30/N70_DESARROLLO!BD30))</f>
        <v>1.6575582437555969E-2</v>
      </c>
      <c r="EE115" s="1">
        <f>(1+(N70_DESARROLLO!BE30/0.014285714)*LN(N70_DESARROLLO!BF30/N70_DESARROLLO!BE30))</f>
        <v>1.6043682665118575E-2</v>
      </c>
      <c r="EF115" s="1">
        <f>(1+(N70_DESARROLLO!BF30/0.014285714)*LN(N70_DESARROLLO!BG30/N70_DESARROLLO!BF30))</f>
        <v>1.5544859931611144E-2</v>
      </c>
      <c r="EG115" s="1">
        <f>(1+(N70_DESARROLLO!BG30/0.014285714)*LN(N70_DESARROLLO!BH30/N70_DESARROLLO!BG30))</f>
        <v>1.5076121703334833E-2</v>
      </c>
      <c r="EH115" s="1">
        <f>(1+(N70_DESARROLLO!BH30/0.014285714)*LN(N70_DESARROLLO!BI30/N70_DESARROLLO!BH30))</f>
        <v>1.4634825881867375E-2</v>
      </c>
      <c r="EI115" s="1">
        <f>(1+(N70_DESARROLLO!BI30/0.014285714)*LN(N70_DESARROLLO!BJ30/N70_DESARROLLO!BI30))</f>
        <v>1.4218630964442425E-2</v>
      </c>
      <c r="EJ115" s="1">
        <f>(1+(N70_DESARROLLO!BJ30/0.014285714)*LN(N70_DESARROLLO!BK30/N70_DESARROLLO!BJ30))</f>
        <v>1.3825454475315135E-2</v>
      </c>
      <c r="EK115" s="1">
        <f>(1+(N70_DESARROLLO!BK30/0.014285714)*LN(N70_DESARROLLO!BL30/N70_DESARROLLO!BK30))</f>
        <v>1.3453438110017868E-2</v>
      </c>
      <c r="EL115" s="1">
        <f>(1+(N70_DESARROLLO!BL30/0.014285714)*LN(N70_DESARROLLO!BM30/N70_DESARROLLO!BL30))</f>
        <v>1.3100918360509306E-2</v>
      </c>
      <c r="EM115" s="1">
        <f>(1+(N70_DESARROLLO!BM30/0.014285714)*LN(N70_DESARROLLO!BN30/N70_DESARROLLO!BM30))</f>
        <v>1.2766401641828296E-2</v>
      </c>
      <c r="EN115" s="1">
        <f>(1+(N70_DESARROLLO!BN30/0.014285714)*LN(N70_DESARROLLO!BO30/N70_DESARROLLO!BN30))</f>
        <v>1.2448543134983558E-2</v>
      </c>
      <c r="EO115" s="1">
        <f>(1+(N70_DESARROLLO!BO30/0.014285714)*LN(N70_DESARROLLO!BP30/N70_DESARROLLO!BO30))</f>
        <v>1.2146128714481064E-2</v>
      </c>
      <c r="EP115" s="1">
        <f>(1+(N70_DESARROLLO!BP30/0.014285714)*LN(N70_DESARROLLO!BQ30/N70_DESARROLLO!BP30))</f>
        <v>1.1858059447838909E-2</v>
      </c>
      <c r="EQ115" s="1">
        <f>(1+(N70_DESARROLLO!BQ30/0.014285714)*LN(N70_DESARROLLO!BR30/N70_DESARROLLO!BQ30))</f>
        <v>1.1583338250311437E-2</v>
      </c>
      <c r="ER115" s="1">
        <f>(1+(N70_DESARROLLO!BR30/0.014285714)*LN(N70_DESARROLLO!BS30/N70_DESARROLLO!BR30))</f>
        <v>1.1321058352731117E-2</v>
      </c>
      <c r="ES115" s="1">
        <f>(1+(N70_DESARROLLO!BS30/0.014285714)*LN(N70_DESARROLLO!BT30/N70_DESARROLLO!BS30))</f>
        <v>1.1070393301801484E-2</v>
      </c>
      <c r="ET115" s="1">
        <f>(1+(N70_DESARROLLO!BT30/0.014285714)*LN(N70_DESARROLLO!BU30/N70_DESARROLLO!BT30))</f>
        <v>1.0830588260146934E-2</v>
      </c>
      <c r="EU115" s="1">
        <f>(1+(N70_DESARROLLO!BU30/0.014285714)*LN(N70_DESARROLLO!BV30/N70_DESARROLLO!BU30))</f>
        <v>1.0600952413272191E-2</v>
      </c>
      <c r="EV115" s="1">
        <f>(1+(N70_DESARROLLO!BV30/0.014285714)*LN(N70_DESARROLLO!BW30/N70_DESARROLLO!BV30))</f>
        <v>1.0380852322629863E-2</v>
      </c>
      <c r="EW115" s="1">
        <f>(1+(N70_DESARROLLO!BW30/0.014285714)*LN(N70_DESARROLLO!BX30/N70_DESARROLLO!BW30))</f>
        <v>-16.7961753950607</v>
      </c>
      <c r="EX115" s="10"/>
      <c r="EY115" s="10"/>
    </row>
    <row r="116" spans="7:155" x14ac:dyDescent="0.25">
      <c r="G116" s="3">
        <v>22</v>
      </c>
      <c r="H116" s="3">
        <f>-(N70_DESARROLLO!G31/0.014285714)*LN(N70_DESARROLLO!G31/N70_DESARROLLO!F31)-1</f>
        <v>-2.3624976192780478E-2</v>
      </c>
      <c r="I116" s="3">
        <f>-(N70_DESARROLLO!H31/0.014285714)*LN(N70_DESARROLLO!H31/N70_DESARROLLO!G31)-1</f>
        <v>-2.4796779290037874E-2</v>
      </c>
      <c r="J116" s="3">
        <f>-(N70_DESARROLLO!I31/0.014285714)*LN(N70_DESARROLLO!I31/N70_DESARROLLO!H31)-1</f>
        <v>-2.6090911041510623E-2</v>
      </c>
      <c r="K116" s="3">
        <f>-(N70_DESARROLLO!J31/0.014285714)*LN(N70_DESARROLLO!J31/N70_DESARROLLO!I31)-1</f>
        <v>-2.7527585341363237E-2</v>
      </c>
      <c r="L116" s="3">
        <f>-(N70_DESARROLLO!K31/0.014285714)*LN(N70_DESARROLLO!K31/N70_DESARROLLO!J31)-1</f>
        <v>-2.9131730204234207E-2</v>
      </c>
      <c r="M116" s="3">
        <f>-(N70_DESARROLLO!L31/0.014285714)*LN(N70_DESARROLLO!L31/N70_DESARROLLO!K31)-1</f>
        <v>-3.093444740801099E-2</v>
      </c>
      <c r="N116" s="3">
        <f>-(N70_DESARROLLO!M31/0.014285714)*LN(N70_DESARROLLO!M31/N70_DESARROLLO!L31)-1</f>
        <v>-3.2975050428754482E-2</v>
      </c>
      <c r="O116" s="3">
        <f>-(N70_DESARROLLO!N31/0.014285714)*LN(N70_DESARROLLO!N31/N70_DESARROLLO!M31)-1</f>
        <v>-3.5303966947122012E-2</v>
      </c>
      <c r="P116" s="3">
        <f>-(N70_DESARROLLO!O31/0.014285714)*LN(N70_DESARROLLO!O31/N70_DESARROLLO!N31)-1</f>
        <v>-3.7986966558135049E-2</v>
      </c>
      <c r="Q116" s="3">
        <f>-(N70_DESARROLLO!P31/0.014285714)*LN(N70_DESARROLLO!P31/N70_DESARROLLO!O31)-1</f>
        <v>-4.1111478023142745E-2</v>
      </c>
      <c r="R116" s="3">
        <f>-(N70_DESARROLLO!Q31/0.014285714)*LN(N70_DESARROLLO!Q31/N70_DESARROLLO!P31)-1</f>
        <v>-4.4796309735794959E-2</v>
      </c>
      <c r="S116" s="3">
        <f>-(N70_DESARROLLO!R31/0.014285714)*LN(N70_DESARROLLO!R31/N70_DESARROLLO!Q31)-1</f>
        <v>-4.9207124692808302E-2</v>
      </c>
      <c r="T116" s="3">
        <f>-(N70_DESARROLLO!S31/0.014285714)*LN(N70_DESARROLLO!S31/N70_DESARROLLO!R31)-1</f>
        <v>-5.4582082654734299E-2</v>
      </c>
      <c r="U116" s="3">
        <f>-(N70_DESARROLLO!T31/0.014285714)*LN(N70_DESARROLLO!T31/N70_DESARROLLO!S31)-1</f>
        <v>-6.1276409070484372E-2</v>
      </c>
      <c r="V116" s="3">
        <f>-(N70_DESARROLLO!U31/0.014285714)*LN(N70_DESARROLLO!U31/N70_DESARROLLO!T31)-1</f>
        <v>-6.9844497732513222E-2</v>
      </c>
      <c r="W116" s="3">
        <f>-(N70_DESARROLLO!V31/0.014285714)*LN(N70_DESARROLLO!V31/N70_DESARROLLO!U31)-1</f>
        <v>-8.1202515976635858E-2</v>
      </c>
      <c r="X116" s="3">
        <f>-(N70_DESARROLLO!W31/0.014285714)*LN(N70_DESARROLLO!W31/N70_DESARROLLO!V31)-1</f>
        <v>-9.6981852359956822E-2</v>
      </c>
      <c r="Y116" s="3">
        <f>-(N70_DESARROLLO!X31/0.014285714)*LN(N70_DESARROLLO!X31/N70_DESARROLLO!W31)-1</f>
        <v>-0.12039948342481965</v>
      </c>
      <c r="Z116" s="3">
        <f>-(N70_DESARROLLO!Y31/0.014285714)*LN(N70_DESARROLLO!Y31/N70_DESARROLLO!X31)-1</f>
        <v>-0.15881939162335512</v>
      </c>
      <c r="AA116" s="3">
        <f>-(N70_DESARROLLO!Z31/0.014285714)*LN(N70_DESARROLLO!Z31/N70_DESARROLLO!Y31)-1</f>
        <v>-0.23376154902624446</v>
      </c>
      <c r="AB116" s="3">
        <f>-(N70_DESARROLLO!AA31/0.014285714)*LN(N70_DESARROLLO!AA31/N70_DESARROLLO!Z31)-1</f>
        <v>-0.4506938446798211</v>
      </c>
      <c r="AC116" s="3">
        <v>-1</v>
      </c>
      <c r="AD116" s="3">
        <f>-(N70_DESARROLLO!AC31/0.014285714)*LN(N70_DESARROLLO!AC31/N70_DESARROLLO!AB31)-1</f>
        <v>0.64791846596053637</v>
      </c>
      <c r="AE116" s="3">
        <f>-(N70_DESARROLLO!AD31/0.014285714)*LN(N70_DESARROLLO!AD31/N70_DESARROLLO!AC31)-1</f>
        <v>0.27706408495625956</v>
      </c>
      <c r="AF116" s="3">
        <f>-(N70_DESARROLLO!AE31/0.014285714)*LN(N70_DESARROLLO!AE31/N70_DESARROLLO!AD31)-1</f>
        <v>0.17765285172730305</v>
      </c>
      <c r="AG116" s="3">
        <f>-(N70_DESARROLLO!AF31/0.014285714)*LN(N70_DESARROLLO!AF31/N70_DESARROLLO!AE31)-1</f>
        <v>0.13091494988237651</v>
      </c>
      <c r="AH116" s="3">
        <f>-(N70_DESARROLLO!AG31/0.014285714)*LN(N70_DESARROLLO!AG31/N70_DESARROLLO!AF31)-1</f>
        <v>0.10368884711560411</v>
      </c>
      <c r="AI116" s="3">
        <f>-(N70_DESARROLLO!AH31/0.014285714)*LN(N70_DESARROLLO!AH31/N70_DESARROLLO!AG31)-1</f>
        <v>8.5851572027612733E-2</v>
      </c>
      <c r="AJ116" s="3">
        <f>-(N70_DESARROLLO!AI31/0.014285714)*LN(N70_DESARROLLO!AI31/N70_DESARROLLO!AH31)-1</f>
        <v>7.3256348770177393E-2</v>
      </c>
      <c r="AK116" s="3">
        <f>-(N70_DESARROLLO!AJ31/0.014285714)*LN(N70_DESARROLLO!AJ31/N70_DESARROLLO!AI31)-1</f>
        <v>6.3886736386786769E-2</v>
      </c>
      <c r="AL116" s="3">
        <f>-(N70_DESARROLLO!AK31/0.014285714)*LN(N70_DESARROLLO!AK31/N70_DESARROLLO!AJ31)-1</f>
        <v>5.6643554680002595E-2</v>
      </c>
      <c r="AM116" s="3">
        <f>-(N70_DESARROLLO!AL31/0.014285714)*LN(N70_DESARROLLO!AL31/N70_DESARROLLO!AK31)-1</f>
        <v>5.0876335865843947E-2</v>
      </c>
      <c r="AN116" s="3">
        <f>-(N70_DESARROLLO!AM31/0.014285714)*LN(N70_DESARROLLO!AM31/N70_DESARROLLO!AL31)-1</f>
        <v>4.6175470289367304E-2</v>
      </c>
      <c r="AO116" s="3">
        <f>-(N70_DESARROLLO!AN31/0.014285714)*LN(N70_DESARROLLO!AN31/N70_DESARROLLO!AM31)-1</f>
        <v>4.2270132583539954E-2</v>
      </c>
      <c r="AP116" s="3">
        <f>-(N70_DESARROLLO!AO31/0.014285714)*LN(N70_DESARROLLO!AO31/N70_DESARROLLO!AN31)-1</f>
        <v>3.8974076117214818E-2</v>
      </c>
      <c r="AQ116" s="3">
        <f>-(N70_DESARROLLO!AP31/0.014285714)*LN(N70_DESARROLLO!AP31/N70_DESARROLLO!AO31)-1</f>
        <v>3.6154998464196897E-2</v>
      </c>
      <c r="AR116" s="3">
        <f>-(N70_DESARROLLO!AQ31/0.014285714)*LN(N70_DESARROLLO!AQ31/N70_DESARROLLO!AP31)-1</f>
        <v>3.3716325403751135E-2</v>
      </c>
      <c r="AS116" s="3">
        <f>-(N70_DESARROLLO!AR31/0.014285714)*LN(N70_DESARROLLO!AR31/N70_DESARROLLO!AQ31)-1</f>
        <v>3.1585910823724417E-2</v>
      </c>
      <c r="AT116" s="3">
        <f>-(N70_DESARROLLO!AS31/0.014285714)*LN(N70_DESARROLLO!AS31/N70_DESARROLLO!AR31)-1</f>
        <v>2.97087709955135E-2</v>
      </c>
      <c r="AU116" s="3">
        <f>-(N70_DESARROLLO!AT31/0.014285714)*LN(N70_DESARROLLO!AT31/N70_DESARROLLO!AS31)-1</f>
        <v>2.8042266924840797E-2</v>
      </c>
      <c r="AV116" s="3">
        <f>-(N70_DESARROLLO!AU31/0.014285714)*LN(N70_DESARROLLO!AU31/N70_DESARROLLO!AT31)-1</f>
        <v>2.6552823496791333E-2</v>
      </c>
      <c r="AW116" s="3">
        <f>-(N70_DESARROLLO!AV31/0.014285714)*LN(N70_DESARROLLO!AV31/N70_DESARROLLO!AU31)-1</f>
        <v>2.5213642284827253E-2</v>
      </c>
      <c r="AX116" s="3">
        <f>-(N70_DESARROLLO!AW31/0.014285714)*LN(N70_DESARROLLO!AW31/N70_DESARROLLO!AV31)-1</f>
        <v>2.4003073749031767E-2</v>
      </c>
      <c r="AY116" s="3">
        <f>-(N70_DESARROLLO!AX31/0.014285714)*LN(N70_DESARROLLO!AX31/N70_DESARROLLO!AW31)-1</f>
        <v>2.2903437185115338E-2</v>
      </c>
      <c r="AZ116" s="3">
        <f>-(N70_DESARROLLO!AY31/0.014285714)*LN(N70_DESARROLLO!AY31/N70_DESARROLLO!AX31)-1</f>
        <v>2.1900151021861713E-2</v>
      </c>
      <c r="BA116" s="3">
        <f>-(N70_DESARROLLO!AZ31/0.014285714)*LN(N70_DESARROLLO!AZ31/N70_DESARROLLO!AY31)-1</f>
        <v>2.0981082233544779E-2</v>
      </c>
      <c r="BB116" s="3">
        <f>-(N70_DESARROLLO!BA31/0.014285714)*LN(N70_DESARROLLO!BA31/N70_DESARROLLO!AZ31)-1</f>
        <v>2.0136053052045133E-2</v>
      </c>
      <c r="BC116" s="3">
        <f>-(N70_DESARROLLO!BB31/0.014285714)*LN(N70_DESARROLLO!BB31/N70_DESARROLLO!BA31)-1</f>
        <v>1.9356462323727008E-2</v>
      </c>
      <c r="BD116" s="3">
        <f>-(N70_DESARROLLO!BC31/0.014285714)*LN(N70_DESARROLLO!BC31/N70_DESARROLLO!BB31)-1</f>
        <v>1.8634991582293425E-2</v>
      </c>
      <c r="BE116" s="3">
        <f>-(N70_DESARROLLO!BD31/0.014285714)*LN(N70_DESARROLLO!BD31/N70_DESARROLLO!BC31)-1</f>
        <v>1.7965374518572164E-2</v>
      </c>
      <c r="BF116" s="3">
        <f>-(N70_DESARROLLO!BE31/0.014285714)*LN(N70_DESARROLLO!BE31/N70_DESARROLLO!BD31)-1</f>
        <v>1.7342214446335324E-2</v>
      </c>
      <c r="BG116" s="3">
        <f>-(N70_DESARROLLO!BF31/0.014285714)*LN(N70_DESARROLLO!BF31/N70_DESARROLLO!BE31)-1</f>
        <v>1.6760838496770569E-2</v>
      </c>
      <c r="BH116" s="3">
        <f>-(N70_DESARROLLO!BG31/0.014285714)*LN(N70_DESARROLLO!BG31/N70_DESARROLLO!BF31)-1</f>
        <v>1.6217180198313308E-2</v>
      </c>
      <c r="BI116" s="3">
        <f>-(N70_DESARROLLO!BH31/0.014285714)*LN(N70_DESARROLLO!BH31/N70_DESARROLLO!BG31)-1</f>
        <v>1.5707684197543648E-2</v>
      </c>
      <c r="BJ116" s="3">
        <f>-(N70_DESARROLLO!BI31/0.014285714)*LN(N70_DESARROLLO!BI31/N70_DESARROLLO!BH31)-1</f>
        <v>1.5229228398107919E-2</v>
      </c>
      <c r="BK116" s="3">
        <f>-(N70_DESARROLLO!BJ31/0.014285714)*LN(N70_DESARROLLO!BJ31/N70_DESARROLLO!BI31)-1</f>
        <v>1.4779059912696013E-2</v>
      </c>
      <c r="BL116" s="3">
        <f>-(N70_DESARROLLO!BK31/0.014285714)*LN(N70_DESARROLLO!BK31/N70_DESARROLLO!BJ31)-1</f>
        <v>1.4354742051088776E-2</v>
      </c>
      <c r="BM116" s="3">
        <f>-(N70_DESARROLLO!BL31/0.014285714)*LN(N70_DESARROLLO!BL31/N70_DESARROLLO!BK31)-1</f>
        <v>1.395411018734416E-2</v>
      </c>
      <c r="BN116" s="3">
        <f>-(N70_DESARROLLO!BM31/0.014285714)*LN(N70_DESARROLLO!BM31/N70_DESARROLLO!BL31)-1</f>
        <v>1.3575234818482773E-2</v>
      </c>
      <c r="BO116" s="3">
        <f>-(N70_DESARROLLO!BN31/0.014285714)*LN(N70_DESARROLLO!BN31/N70_DESARROLLO!BM31)-1</f>
        <v>1.3216390483202112E-2</v>
      </c>
      <c r="BP116" s="3">
        <f>-(N70_DESARROLLO!BO31/0.014285714)*LN(N70_DESARROLLO!BO31/N70_DESARROLLO!BN31)-1</f>
        <v>1.2876029484357954E-2</v>
      </c>
      <c r="BQ116" s="3">
        <f>-(N70_DESARROLLO!BP31/0.014285714)*LN(N70_DESARROLLO!BP31/N70_DESARROLLO!BO31)-1</f>
        <v>1.25527595704511E-2</v>
      </c>
      <c r="BR116" s="3">
        <f>-(N70_DESARROLLO!BQ31/0.014285714)*LN(N70_DESARROLLO!BQ31/N70_DESARROLLO!BP31)-1</f>
        <v>1.2245324897516063E-2</v>
      </c>
      <c r="BS116" s="3">
        <f>-(N70_DESARROLLO!BR31/0.014285714)*LN(N70_DESARROLLO!BR31/N70_DESARROLLO!BQ31)-1</f>
        <v>1.1952589722083351E-2</v>
      </c>
      <c r="BT116" s="3">
        <f>-(N70_DESARROLLO!BS31/0.014285714)*LN(N70_DESARROLLO!BS31/N70_DESARROLLO!BR31)-1</f>
        <v>1.1673524379092637E-2</v>
      </c>
      <c r="BU116" s="3">
        <f>-(N70_DESARROLLO!BT31/0.014285714)*LN(N70_DESARROLLO!BT31/N70_DESARROLLO!BS31)-1</f>
        <v>1.1407193179399533E-2</v>
      </c>
      <c r="BV116" s="3">
        <f>-(N70_DESARROLLO!BU31/0.014285714)*LN(N70_DESARROLLO!BU31/N70_DESARROLLO!BT31)-1</f>
        <v>1.1152743927361541E-2</v>
      </c>
      <c r="BW116" s="3">
        <f>-(N70_DESARROLLO!BV31/0.014285714)*LN(N70_DESARROLLO!BV31/N70_DESARROLLO!BU31)-1</f>
        <v>1.0909398811068893E-2</v>
      </c>
      <c r="BX116" s="3">
        <f>-(N70_DESARROLLO!BW31/0.014285714)*LN(N70_DESARROLLO!BW31/N70_DESARROLLO!BV31)-1</f>
        <v>1.0676446459560562E-2</v>
      </c>
      <c r="BY116" s="3">
        <f>-(N70_DESARROLLO!BX31/0.014285714)*LN(N70_DESARROLLO!BX31/N70_DESARROLLO!BW31)-1</f>
        <v>26.143587713485203</v>
      </c>
      <c r="BZ116" s="10"/>
      <c r="CA116" s="10"/>
      <c r="CB116" s="10"/>
      <c r="CC116" s="10"/>
      <c r="CD116" s="1">
        <v>22</v>
      </c>
      <c r="CE116" s="1">
        <v>0</v>
      </c>
      <c r="CF116" s="1">
        <f>(1+(N70_DESARROLLO!F31/0.014285714)*LN(N70_DESARROLLO!G31/N70_DESARROLLO!F31))</f>
        <v>-2.4003073749035098E-2</v>
      </c>
      <c r="CG116" s="1">
        <f>(1+(N70_DESARROLLO!G31/0.014285714)*LN(N70_DESARROLLO!H31/N70_DESARROLLO!G31))</f>
        <v>-2.5213642284832138E-2</v>
      </c>
      <c r="CH116" s="1">
        <f>(1+(N70_DESARROLLO!H31/0.014285714)*LN(N70_DESARROLLO!I31/N70_DESARROLLO!H31))</f>
        <v>-2.6552823496786004E-2</v>
      </c>
      <c r="CI116" s="1">
        <f>(1+(N70_DESARROLLO!I31/0.014285714)*LN(N70_DESARROLLO!J31/N70_DESARROLLO!I31))</f>
        <v>-2.8042266924844572E-2</v>
      </c>
      <c r="CJ116" s="1">
        <f>(1+(N70_DESARROLLO!J31/0.014285714)*LN(N70_DESARROLLO!K31/N70_DESARROLLO!J31))</f>
        <v>-2.970877099550906E-2</v>
      </c>
      <c r="CK116" s="1">
        <f>(1+(N70_DESARROLLO!K31/0.014285714)*LN(N70_DESARROLLO!L31/N70_DESARROLLO!K31))</f>
        <v>-3.1585910823730412E-2</v>
      </c>
      <c r="CL116" s="1">
        <f>(1+(N70_DESARROLLO!L31/0.014285714)*LN(N70_DESARROLLO!M31/N70_DESARROLLO!L31))</f>
        <v>-3.371632540374514E-2</v>
      </c>
      <c r="CM116" s="1">
        <f>(1+(N70_DESARROLLO!M31/0.014285714)*LN(N70_DESARROLLO!N31/N70_DESARROLLO!M31))</f>
        <v>-3.6154998464202448E-2</v>
      </c>
      <c r="CN116" s="1">
        <f>(1+(N70_DESARROLLO!N31/0.014285714)*LN(N70_DESARROLLO!O31/N70_DESARROLLO!N31))</f>
        <v>-3.8974076117214151E-2</v>
      </c>
      <c r="CO116" s="1">
        <f>(1+(N70_DESARROLLO!O31/0.014285714)*LN(N70_DESARROLLO!P31/N70_DESARROLLO!O31))</f>
        <v>-4.2270132583540621E-2</v>
      </c>
      <c r="CP116" s="1">
        <f>(1+(N70_DESARROLLO!P31/0.014285714)*LN(N70_DESARROLLO!Q31/N70_DESARROLLO!P31))</f>
        <v>-4.6175470289367304E-2</v>
      </c>
      <c r="CQ116" s="1">
        <f>(1+(N70_DESARROLLO!Q31/0.014285714)*LN(N70_DESARROLLO!R31/N70_DESARROLLO!Q31))</f>
        <v>-5.0876335865843503E-2</v>
      </c>
      <c r="CR116" s="1">
        <f>(1+(N70_DESARROLLO!R31/0.014285714)*LN(N70_DESARROLLO!S31/N70_DESARROLLO!R31))</f>
        <v>-5.6643554680002817E-2</v>
      </c>
      <c r="CS116" s="1">
        <f>(1+(N70_DESARROLLO!S31/0.014285714)*LN(N70_DESARROLLO!T31/N70_DESARROLLO!S31))</f>
        <v>-6.3886736386784326E-2</v>
      </c>
      <c r="CT116" s="1">
        <f>(1+(N70_DESARROLLO!T31/0.014285714)*LN(N70_DESARROLLO!U31/N70_DESARROLLO!T31))</f>
        <v>-7.3256348770176949E-2</v>
      </c>
      <c r="CU116" s="1">
        <f>(1+(N70_DESARROLLO!U31/0.014285714)*LN(N70_DESARROLLO!V31/N70_DESARROLLO!U31))</f>
        <v>-8.5851572027612066E-2</v>
      </c>
      <c r="CV116" s="1">
        <f>(1+(N70_DESARROLLO!V31/0.014285714)*LN(N70_DESARROLLO!W31/N70_DESARROLLO!V31))</f>
        <v>-0.10368884711560833</v>
      </c>
      <c r="CW116" s="1">
        <f>(1+(N70_DESARROLLO!W31/0.014285714)*LN(N70_DESARROLLO!X31/N70_DESARROLLO!W31))</f>
        <v>-0.13091494988237407</v>
      </c>
      <c r="CX116" s="1">
        <f>(1+(N70_DESARROLLO!X31/0.014285714)*LN(N70_DESARROLLO!Y31/N70_DESARROLLO!X31))</f>
        <v>-0.17765285172730261</v>
      </c>
      <c r="CY116" s="1">
        <f>(1+(N70_DESARROLLO!Y31/0.014285714)*LN(N70_DESARROLLO!Z31/N70_DESARROLLO!Y31))</f>
        <v>-0.27706408495625845</v>
      </c>
      <c r="CZ116" s="1">
        <f>(1+(N70_DESARROLLO!Z31/0.014285714)*LN(N70_DESARROLLO!AA31/N70_DESARROLLO!Z31))</f>
        <v>-0.64791846596053282</v>
      </c>
      <c r="DA116" s="1">
        <v>1</v>
      </c>
      <c r="DB116" s="1">
        <f>(1+(N70_DESARROLLO!AB31/0.014285714)*LN(N70_DESARROLLO!AC31/N70_DESARROLLO!AB31))</f>
        <v>0.45069384467982265</v>
      </c>
      <c r="DC116" s="1">
        <f>(1+(N70_DESARROLLO!AC31/0.014285714)*LN(N70_DESARROLLO!AD31/N70_DESARROLLO!AC31))</f>
        <v>0.2337615490262448</v>
      </c>
      <c r="DD116" s="1">
        <f>(1+(N70_DESARROLLO!AD31/0.014285714)*LN(N70_DESARROLLO!AE31/N70_DESARROLLO!AD31))</f>
        <v>0.15881939162335523</v>
      </c>
      <c r="DE116" s="1">
        <f>(1+(N70_DESARROLLO!AE31/0.014285714)*LN(N70_DESARROLLO!AF31/N70_DESARROLLO!AE31))</f>
        <v>0.12039948342481821</v>
      </c>
      <c r="DF116" s="1">
        <f>(1+(N70_DESARROLLO!AF31/0.014285714)*LN(N70_DESARROLLO!AG31/N70_DESARROLLO!AF31))</f>
        <v>9.6981852359959819E-2</v>
      </c>
      <c r="DG116" s="1">
        <f>(1+(N70_DESARROLLO!AG31/0.014285714)*LN(N70_DESARROLLO!AH31/N70_DESARROLLO!AG31))</f>
        <v>8.1202515976635636E-2</v>
      </c>
      <c r="DH116" s="1">
        <f>(1+(N70_DESARROLLO!AH31/0.014285714)*LN(N70_DESARROLLO!AI31/N70_DESARROLLO!AH31))</f>
        <v>6.9844497732513111E-2</v>
      </c>
      <c r="DI116" s="1">
        <f>(1+(N70_DESARROLLO!AI31/0.014285714)*LN(N70_DESARROLLO!AJ31/N70_DESARROLLO!AI31))</f>
        <v>6.1276409070482152E-2</v>
      </c>
      <c r="DJ116" s="1">
        <f>(1+(N70_DESARROLLO!AJ31/0.014285714)*LN(N70_DESARROLLO!AK31/N70_DESARROLLO!AJ31))</f>
        <v>5.4582082654734632E-2</v>
      </c>
      <c r="DK116" s="1">
        <f>(1+(N70_DESARROLLO!AK31/0.014285714)*LN(N70_DESARROLLO!AL31/N70_DESARROLLO!AK31))</f>
        <v>4.9207124692807747E-2</v>
      </c>
      <c r="DL116" s="1">
        <f>(1+(N70_DESARROLLO!AL31/0.014285714)*LN(N70_DESARROLLO!AM31/N70_DESARROLLO!AL31))</f>
        <v>4.4796309735795181E-2</v>
      </c>
      <c r="DM116" s="1">
        <f>(1+(N70_DESARROLLO!AM31/0.014285714)*LN(N70_DESARROLLO!AN31/N70_DESARROLLO!AM31))</f>
        <v>4.1111478023143189E-2</v>
      </c>
      <c r="DN116" s="1">
        <f>(1+(N70_DESARROLLO!AN31/0.014285714)*LN(N70_DESARROLLO!AO31/N70_DESARROLLO!AN31))</f>
        <v>3.7986966558134605E-2</v>
      </c>
      <c r="DO116" s="1">
        <f>(1+(N70_DESARROLLO!AO31/0.014285714)*LN(N70_DESARROLLO!AP31/N70_DESARROLLO!AO31))</f>
        <v>3.5303966947126675E-2</v>
      </c>
      <c r="DP116" s="1">
        <f>(1+(N70_DESARROLLO!AP31/0.014285714)*LN(N70_DESARROLLO!AQ31/N70_DESARROLLO!AP31))</f>
        <v>3.2975050428749264E-2</v>
      </c>
      <c r="DQ116" s="1">
        <f>(1+(N70_DESARROLLO!AQ31/0.014285714)*LN(N70_DESARROLLO!AR31/N70_DESARROLLO!AQ31))</f>
        <v>3.0934447408016319E-2</v>
      </c>
      <c r="DR116" s="1">
        <f>(1+(N70_DESARROLLO!AR31/0.014285714)*LN(N70_DESARROLLO!AS31/N70_DESARROLLO!AR31))</f>
        <v>2.9131730204230433E-2</v>
      </c>
      <c r="DS116" s="1">
        <f>(1+(N70_DESARROLLO!AS31/0.014285714)*LN(N70_DESARROLLO!AT31/N70_DESARROLLO!AS31))</f>
        <v>2.7527585341366678E-2</v>
      </c>
      <c r="DT116" s="1">
        <f>(1+(N70_DESARROLLO!AT31/0.014285714)*LN(N70_DESARROLLO!AU31/N70_DESARROLLO!AT31))</f>
        <v>2.6090911041505627E-2</v>
      </c>
      <c r="DU116" s="1">
        <f>(1+(N70_DESARROLLO!AU31/0.014285714)*LN(N70_DESARROLLO!AV31/N70_DESARROLLO!AU31))</f>
        <v>2.4796779290042203E-2</v>
      </c>
      <c r="DV116" s="1">
        <f>(1+(N70_DESARROLLO!AV31/0.014285714)*LN(N70_DESARROLLO!AW31/N70_DESARROLLO!AV31))</f>
        <v>2.3624976192783476E-2</v>
      </c>
      <c r="DW116" s="1">
        <f>(1+(N70_DESARROLLO!AW31/0.014285714)*LN(N70_DESARROLLO!AX31/N70_DESARROLLO!AW31))</f>
        <v>2.2558937800890022E-2</v>
      </c>
      <c r="DX116" s="1">
        <f>(1+(N70_DESARROLLO!AX31/0.014285714)*LN(N70_DESARROLLO!AY31/N70_DESARROLLO!AX31))</f>
        <v>2.1584961787579071E-2</v>
      </c>
      <c r="DY116" s="1">
        <f>(1+(N70_DESARROLLO!AY31/0.014285714)*LN(N70_DESARROLLO!AZ31/N70_DESARROLLO!AY31))</f>
        <v>2.0691615000477559E-2</v>
      </c>
      <c r="DZ116" s="1">
        <f>(1+(N70_DESARROLLO!AZ31/0.014285714)*LN(N70_DESARROLLO!BA31/N70_DESARROLLO!AZ31))</f>
        <v>1.9869282361760443E-2</v>
      </c>
      <c r="EA116" s="1">
        <f>(1+(N70_DESARROLLO!BA31/0.014285714)*LN(N70_DESARROLLO!BB31/N70_DESARROLLO!BA31))</f>
        <v>1.9109819273394835E-2</v>
      </c>
      <c r="EB116" s="1">
        <f>(1+(N70_DESARROLLO!BB31/0.014285714)*LN(N70_DESARROLLO!BC31/N70_DESARROLLO!BB31))</f>
        <v>1.840628083888074E-2</v>
      </c>
      <c r="EC116" s="1">
        <f>(1+(N70_DESARROLLO!BC31/0.014285714)*LN(N70_DESARROLLO!BD31/N70_DESARROLLO!BC31))</f>
        <v>1.7752708797869166E-2</v>
      </c>
      <c r="ED116" s="1">
        <f>(1+(N70_DESARROLLO!BD31/0.014285714)*LN(N70_DESARROLLO!BE31/N70_DESARROLLO!BD31))</f>
        <v>1.7143962314557393E-2</v>
      </c>
      <c r="EE116" s="1">
        <f>(1+(N70_DESARROLLO!BE31/0.014285714)*LN(N70_DESARROLLO!BF31/N70_DESARROLLO!BE31))</f>
        <v>1.6575582437549863E-2</v>
      </c>
      <c r="EF116" s="1">
        <f>(1+(N70_DESARROLLO!BF31/0.014285714)*LN(N70_DESARROLLO!BG31/N70_DESARROLLO!BF31))</f>
        <v>1.6043682665125125E-2</v>
      </c>
      <c r="EG116" s="1">
        <f>(1+(N70_DESARROLLO!BG31/0.014285714)*LN(N70_DESARROLLO!BH31/N70_DESARROLLO!BG31))</f>
        <v>1.5544859931611366E-2</v>
      </c>
      <c r="EH116" s="1">
        <f>(1+(N70_DESARROLLO!BH31/0.014285714)*LN(N70_DESARROLLO!BI31/N70_DESARROLLO!BH31))</f>
        <v>1.5076121703328282E-2</v>
      </c>
      <c r="EI116" s="1">
        <f>(1+(N70_DESARROLLO!BI31/0.014285714)*LN(N70_DESARROLLO!BJ31/N70_DESARROLLO!BI31))</f>
        <v>1.4634825881874591E-2</v>
      </c>
      <c r="EJ116" s="1">
        <f>(1+(N70_DESARROLLO!BJ31/0.014285714)*LN(N70_DESARROLLO!BK31/N70_DESARROLLO!BJ31))</f>
        <v>1.4218630964435208E-2</v>
      </c>
      <c r="EK116" s="1">
        <f>(1+(N70_DESARROLLO!BK31/0.014285714)*LN(N70_DESARROLLO!BL31/N70_DESARROLLO!BK31))</f>
        <v>1.3825454475322685E-2</v>
      </c>
      <c r="EL116" s="1">
        <f>(1+(N70_DESARROLLO!BL31/0.014285714)*LN(N70_DESARROLLO!BM31/N70_DESARROLLO!BL31))</f>
        <v>1.3453438110010096E-2</v>
      </c>
      <c r="EM116" s="1">
        <f>(1+(N70_DESARROLLO!BM31/0.014285714)*LN(N70_DESARROLLO!BN31/N70_DESARROLLO!BM31))</f>
        <v>1.3100918360517522E-2</v>
      </c>
      <c r="EN116" s="1">
        <f>(1+(N70_DESARROLLO!BN31/0.014285714)*LN(N70_DESARROLLO!BO31/N70_DESARROLLO!BN31))</f>
        <v>1.2766401641828407E-2</v>
      </c>
      <c r="EO116" s="1">
        <f>(1+(N70_DESARROLLO!BO31/0.014285714)*LN(N70_DESARROLLO!BP31/N70_DESARROLLO!BO31))</f>
        <v>1.2448543134991996E-2</v>
      </c>
      <c r="EP116" s="1">
        <f>(1+(N70_DESARROLLO!BP31/0.014285714)*LN(N70_DESARROLLO!BQ31/N70_DESARROLLO!BP31))</f>
        <v>1.2146128714472515E-2</v>
      </c>
      <c r="EQ116" s="1">
        <f>(1+(N70_DESARROLLO!BQ31/0.014285714)*LN(N70_DESARROLLO!BR31/N70_DESARROLLO!BQ31))</f>
        <v>1.1858059447847902E-2</v>
      </c>
      <c r="ER116" s="1">
        <f>(1+(N70_DESARROLLO!BR31/0.014285714)*LN(N70_DESARROLLO!BS31/N70_DESARROLLO!BR31))</f>
        <v>1.1583338250311548E-2</v>
      </c>
      <c r="ES116" s="1">
        <f>(1+(N70_DESARROLLO!BS31/0.014285714)*LN(N70_DESARROLLO!BT31/N70_DESARROLLO!BS31))</f>
        <v>1.1321058352721902E-2</v>
      </c>
      <c r="ET116" s="1">
        <f>(1+(N70_DESARROLLO!BT31/0.014285714)*LN(N70_DESARROLLO!BU31/N70_DESARROLLO!BT31))</f>
        <v>1.1070393301811032E-2</v>
      </c>
      <c r="EU116" s="1">
        <f>(1+(N70_DESARROLLO!BU31/0.014285714)*LN(N70_DESARROLLO!BV31/N70_DESARROLLO!BU31))</f>
        <v>1.0830588260137164E-2</v>
      </c>
      <c r="EV116" s="1">
        <f>(1+(N70_DESARROLLO!BV31/0.014285714)*LN(N70_DESARROLLO!BW31/N70_DESARROLLO!BV31))</f>
        <v>1.0600952413272191E-2</v>
      </c>
      <c r="EW116" s="1">
        <f>(1+(N70_DESARROLLO!BW31/0.014285714)*LN(N70_DESARROLLO!BX31/N70_DESARROLLO!BW31))</f>
        <v>-17.418863091293527</v>
      </c>
      <c r="EX116" s="10"/>
      <c r="EY116" s="10"/>
    </row>
    <row r="117" spans="7:155" x14ac:dyDescent="0.25">
      <c r="G117" s="3">
        <v>23</v>
      </c>
      <c r="H117" s="3">
        <f>-(N70_DESARROLLO!G32/0.014285714)*LN(N70_DESARROLLO!G32/N70_DESARROLLO!F32)-1</f>
        <v>-2.2558937800894796E-2</v>
      </c>
      <c r="I117" s="3">
        <f>-(N70_DESARROLLO!H32/0.014285714)*LN(N70_DESARROLLO!H32/N70_DESARROLLO!G32)-1</f>
        <v>-2.3624976192780589E-2</v>
      </c>
      <c r="J117" s="3">
        <f>-(N70_DESARROLLO!I32/0.014285714)*LN(N70_DESARROLLO!I32/N70_DESARROLLO!H32)-1</f>
        <v>-2.4796779290038096E-2</v>
      </c>
      <c r="K117" s="3">
        <f>-(N70_DESARROLLO!J32/0.014285714)*LN(N70_DESARROLLO!J32/N70_DESARROLLO!I32)-1</f>
        <v>-2.6090911041510845E-2</v>
      </c>
      <c r="L117" s="3">
        <f>-(N70_DESARROLLO!K32/0.014285714)*LN(N70_DESARROLLO!K32/N70_DESARROLLO!J32)-1</f>
        <v>-2.7527585341365457E-2</v>
      </c>
      <c r="M117" s="3">
        <f>-(N70_DESARROLLO!L32/0.014285714)*LN(N70_DESARROLLO!L32/N70_DESARROLLO!K32)-1</f>
        <v>-2.9131730204232431E-2</v>
      </c>
      <c r="N117" s="3">
        <f>-(N70_DESARROLLO!M32/0.014285714)*LN(N70_DESARROLLO!M32/N70_DESARROLLO!L32)-1</f>
        <v>-3.0934447408012988E-2</v>
      </c>
      <c r="O117" s="3">
        <f>-(N70_DESARROLLO!N32/0.014285714)*LN(N70_DESARROLLO!N32/N70_DESARROLLO!M32)-1</f>
        <v>-3.2975050428753039E-2</v>
      </c>
      <c r="P117" s="3">
        <f>-(N70_DESARROLLO!O32/0.014285714)*LN(N70_DESARROLLO!O32/N70_DESARROLLO!N32)-1</f>
        <v>-3.5303966947122234E-2</v>
      </c>
      <c r="Q117" s="3">
        <f>-(N70_DESARROLLO!P32/0.014285714)*LN(N70_DESARROLLO!P32/N70_DESARROLLO!O32)-1</f>
        <v>-3.7986966558135382E-2</v>
      </c>
      <c r="R117" s="3">
        <f>-(N70_DESARROLLO!Q32/0.014285714)*LN(N70_DESARROLLO!Q32/N70_DESARROLLO!P32)-1</f>
        <v>-4.1111478023141634E-2</v>
      </c>
      <c r="S117" s="3">
        <f>-(N70_DESARROLLO!R32/0.014285714)*LN(N70_DESARROLLO!R32/N70_DESARROLLO!Q32)-1</f>
        <v>-4.4796309735795514E-2</v>
      </c>
      <c r="T117" s="3">
        <f>-(N70_DESARROLLO!S32/0.014285714)*LN(N70_DESARROLLO!S32/N70_DESARROLLO!R32)-1</f>
        <v>-4.9207124692807525E-2</v>
      </c>
      <c r="U117" s="3">
        <f>-(N70_DESARROLLO!T32/0.014285714)*LN(N70_DESARROLLO!T32/N70_DESARROLLO!S32)-1</f>
        <v>-5.458208265473552E-2</v>
      </c>
      <c r="V117" s="3">
        <f>-(N70_DESARROLLO!U32/0.014285714)*LN(N70_DESARROLLO!U32/N70_DESARROLLO!T32)-1</f>
        <v>-6.127640907048304E-2</v>
      </c>
      <c r="W117" s="3">
        <f>-(N70_DESARROLLO!V32/0.014285714)*LN(N70_DESARROLLO!V32/N70_DESARROLLO!U32)-1</f>
        <v>-6.9844497732512889E-2</v>
      </c>
      <c r="X117" s="3">
        <f>-(N70_DESARROLLO!W32/0.014285714)*LN(N70_DESARROLLO!W32/N70_DESARROLLO!V32)-1</f>
        <v>-8.1202515976635747E-2</v>
      </c>
      <c r="Y117" s="3">
        <f>-(N70_DESARROLLO!X32/0.014285714)*LN(N70_DESARROLLO!X32/N70_DESARROLLO!W32)-1</f>
        <v>-9.6981852359958487E-2</v>
      </c>
      <c r="Z117" s="3">
        <f>-(N70_DESARROLLO!Y32/0.014285714)*LN(N70_DESARROLLO!Y32/N70_DESARROLLO!X32)-1</f>
        <v>-0.12039948342481799</v>
      </c>
      <c r="AA117" s="3">
        <f>-(N70_DESARROLLO!Z32/0.014285714)*LN(N70_DESARROLLO!Z32/N70_DESARROLLO!Y32)-1</f>
        <v>-0.15881939162335501</v>
      </c>
      <c r="AB117" s="3">
        <f>-(N70_DESARROLLO!AA32/0.014285714)*LN(N70_DESARROLLO!AA32/N70_DESARROLLO!Z32)-1</f>
        <v>-0.2337615490262448</v>
      </c>
      <c r="AC117" s="3">
        <f>-(N70_DESARROLLO!AB32/0.014285714)*LN(N70_DESARROLLO!AB32/N70_DESARROLLO!AA32)-1</f>
        <v>-0.45069384467982276</v>
      </c>
      <c r="AD117" s="3">
        <v>-1</v>
      </c>
      <c r="AE117" s="3">
        <f>-(N70_DESARROLLO!AD32/0.014285714)*LN(N70_DESARROLLO!AD32/N70_DESARROLLO!AC32)-1</f>
        <v>0.64791846596053282</v>
      </c>
      <c r="AF117" s="3">
        <f>-(N70_DESARROLLO!AE32/0.014285714)*LN(N70_DESARROLLO!AE32/N70_DESARROLLO!AD32)-1</f>
        <v>0.27706408495625845</v>
      </c>
      <c r="AG117" s="3">
        <f>-(N70_DESARROLLO!AF32/0.014285714)*LN(N70_DESARROLLO!AF32/N70_DESARROLLO!AE32)-1</f>
        <v>0.17765285172730261</v>
      </c>
      <c r="AH117" s="3">
        <f>-(N70_DESARROLLO!AG32/0.014285714)*LN(N70_DESARROLLO!AG32/N70_DESARROLLO!AF32)-1</f>
        <v>0.13091494988237184</v>
      </c>
      <c r="AI117" s="3">
        <f>-(N70_DESARROLLO!AH32/0.014285714)*LN(N70_DESARROLLO!AH32/N70_DESARROLLO!AG32)-1</f>
        <v>0.10368884711560877</v>
      </c>
      <c r="AJ117" s="3">
        <f>-(N70_DESARROLLO!AI32/0.014285714)*LN(N70_DESARROLLO!AI32/N70_DESARROLLO!AH32)-1</f>
        <v>8.5851572027612066E-2</v>
      </c>
      <c r="AK117" s="3">
        <f>-(N70_DESARROLLO!AJ32/0.014285714)*LN(N70_DESARROLLO!AJ32/N70_DESARROLLO!AI32)-1</f>
        <v>7.3256348770177837E-2</v>
      </c>
      <c r="AL117" s="3">
        <f>-(N70_DESARROLLO!AK32/0.014285714)*LN(N70_DESARROLLO!AK32/N70_DESARROLLO!AJ32)-1</f>
        <v>6.3886736386785881E-2</v>
      </c>
      <c r="AM117" s="3">
        <f>-(N70_DESARROLLO!AL32/0.014285714)*LN(N70_DESARROLLO!AL32/N70_DESARROLLO!AK32)-1</f>
        <v>5.6643554680003039E-2</v>
      </c>
      <c r="AN117" s="3">
        <f>-(N70_DESARROLLO!AM32/0.014285714)*LN(N70_DESARROLLO!AM32/N70_DESARROLLO!AL32)-1</f>
        <v>5.0876335865844613E-2</v>
      </c>
      <c r="AO117" s="3">
        <f>-(N70_DESARROLLO!AN32/0.014285714)*LN(N70_DESARROLLO!AN32/N70_DESARROLLO!AM32)-1</f>
        <v>4.6175470289367526E-2</v>
      </c>
      <c r="AP117" s="3">
        <f>-(N70_DESARROLLO!AO32/0.014285714)*LN(N70_DESARROLLO!AO32/N70_DESARROLLO!AN32)-1</f>
        <v>4.2270132583540398E-2</v>
      </c>
      <c r="AQ117" s="3">
        <f>-(N70_DESARROLLO!AP32/0.014285714)*LN(N70_DESARROLLO!AP32/N70_DESARROLLO!AO32)-1</f>
        <v>3.8974076117209266E-2</v>
      </c>
      <c r="AR117" s="3">
        <f>-(N70_DESARROLLO!AQ32/0.014285714)*LN(N70_DESARROLLO!AQ32/N70_DESARROLLO!AP32)-1</f>
        <v>3.6154998464206445E-2</v>
      </c>
      <c r="AS117" s="3">
        <f>-(N70_DESARROLLO!AR32/0.014285714)*LN(N70_DESARROLLO!AR32/N70_DESARROLLO!AQ32)-1</f>
        <v>3.3716325403741587E-2</v>
      </c>
      <c r="AT117" s="3">
        <f>-(N70_DESARROLLO!AS32/0.014285714)*LN(N70_DESARROLLO!AS32/N70_DESARROLLO!AR32)-1</f>
        <v>3.1585910823731744E-2</v>
      </c>
      <c r="AU117" s="3">
        <f>-(N70_DESARROLLO!AT32/0.014285714)*LN(N70_DESARROLLO!AT32/N70_DESARROLLO!AS32)-1</f>
        <v>2.9708770995506173E-2</v>
      </c>
      <c r="AV117" s="3">
        <f>-(N70_DESARROLLO!AU32/0.014285714)*LN(N70_DESARROLLO!AU32/N70_DESARROLLO!AT32)-1</f>
        <v>2.8042266924849013E-2</v>
      </c>
      <c r="AW117" s="3">
        <f>-(N70_DESARROLLO!AV32/0.014285714)*LN(N70_DESARROLLO!AV32/N70_DESARROLLO!AU32)-1</f>
        <v>2.6552823496783118E-2</v>
      </c>
      <c r="AX117" s="3">
        <f>-(N70_DESARROLLO!AW32/0.014285714)*LN(N70_DESARROLLO!AW32/N70_DESARROLLO!AV32)-1</f>
        <v>2.5213642284827253E-2</v>
      </c>
      <c r="AY117" s="3">
        <f>-(N70_DESARROLLO!AX32/0.014285714)*LN(N70_DESARROLLO!AX32/N70_DESARROLLO!AW32)-1</f>
        <v>2.4003073749041315E-2</v>
      </c>
      <c r="AZ117" s="3">
        <f>-(N70_DESARROLLO!AY32/0.014285714)*LN(N70_DESARROLLO!AY32/N70_DESARROLLO!AX32)-1</f>
        <v>2.2903437185105791E-2</v>
      </c>
      <c r="BA117" s="3">
        <f>-(N70_DESARROLLO!AZ32/0.014285714)*LN(N70_DESARROLLO!AZ32/N70_DESARROLLO!AY32)-1</f>
        <v>2.190015102187215E-2</v>
      </c>
      <c r="BB117" s="3">
        <f>-(N70_DESARROLLO!BA32/0.014285714)*LN(N70_DESARROLLO!BA32/N70_DESARROLLO!AZ32)-1</f>
        <v>2.0981082233534565E-2</v>
      </c>
      <c r="BC117" s="3">
        <f>-(N70_DESARROLLO!BB32/0.014285714)*LN(N70_DESARROLLO!BB32/N70_DESARROLLO!BA32)-1</f>
        <v>2.0136053052056457E-2</v>
      </c>
      <c r="BD117" s="3">
        <f>-(N70_DESARROLLO!BC32/0.014285714)*LN(N70_DESARROLLO!BC32/N70_DESARROLLO!BB32)-1</f>
        <v>1.9356462323721457E-2</v>
      </c>
      <c r="BE117" s="3">
        <f>-(N70_DESARROLLO!BD32/0.014285714)*LN(N70_DESARROLLO!BD32/N70_DESARROLLO!BC32)-1</f>
        <v>1.8634991582305416E-2</v>
      </c>
      <c r="BF117" s="3">
        <f>-(N70_DESARROLLO!BE32/0.014285714)*LN(N70_DESARROLLO!BE32/N70_DESARROLLO!BD32)-1</f>
        <v>1.7965374518559951E-2</v>
      </c>
      <c r="BG117" s="3">
        <f>-(N70_DESARROLLO!BF32/0.014285714)*LN(N70_DESARROLLO!BF32/N70_DESARROLLO!BE32)-1</f>
        <v>1.7342214446341986E-2</v>
      </c>
      <c r="BH117" s="3">
        <f>-(N70_DESARROLLO!BG32/0.014285714)*LN(N70_DESARROLLO!BG32/N70_DESARROLLO!BF32)-1</f>
        <v>1.676083849676413E-2</v>
      </c>
      <c r="BI117" s="3">
        <f>-(N70_DESARROLLO!BH32/0.014285714)*LN(N70_DESARROLLO!BH32/N70_DESARROLLO!BG32)-1</f>
        <v>1.6217180198313308E-2</v>
      </c>
      <c r="BJ117" s="3">
        <f>-(N70_DESARROLLO!BI32/0.014285714)*LN(N70_DESARROLLO!BI32/N70_DESARROLLO!BH32)-1</f>
        <v>1.5707684197550975E-2</v>
      </c>
      <c r="BK117" s="3">
        <f>-(N70_DESARROLLO!BJ32/0.014285714)*LN(N70_DESARROLLO!BJ32/N70_DESARROLLO!BI32)-1</f>
        <v>1.5229228398100814E-2</v>
      </c>
      <c r="BL117" s="3">
        <f>-(N70_DESARROLLO!BK32/0.014285714)*LN(N70_DESARROLLO!BK32/N70_DESARROLLO!BJ32)-1</f>
        <v>1.4779059912703785E-2</v>
      </c>
      <c r="BM117" s="3">
        <f>-(N70_DESARROLLO!BL32/0.014285714)*LN(N70_DESARROLLO!BL32/N70_DESARROLLO!BK32)-1</f>
        <v>1.4354742051081004E-2</v>
      </c>
      <c r="BN117" s="3">
        <f>-(N70_DESARROLLO!BM32/0.014285714)*LN(N70_DESARROLLO!BM32/N70_DESARROLLO!BL32)-1</f>
        <v>1.3954110187352153E-2</v>
      </c>
      <c r="BO117" s="3">
        <f>-(N70_DESARROLLO!BN32/0.014285714)*LN(N70_DESARROLLO!BN32/N70_DESARROLLO!BM32)-1</f>
        <v>1.3575234818474557E-2</v>
      </c>
      <c r="BP117" s="3">
        <f>-(N70_DESARROLLO!BO32/0.014285714)*LN(N70_DESARROLLO!BO32/N70_DESARROLLO!BN32)-1</f>
        <v>1.3216390483210549E-2</v>
      </c>
      <c r="BQ117" s="3">
        <f>-(N70_DESARROLLO!BP32/0.014285714)*LN(N70_DESARROLLO!BP32/N70_DESARROLLO!BO32)-1</f>
        <v>1.2876029484357954E-2</v>
      </c>
      <c r="BR117" s="3">
        <f>-(N70_DESARROLLO!BQ32/0.014285714)*LN(N70_DESARROLLO!BQ32/N70_DESARROLLO!BP32)-1</f>
        <v>1.2552759570459981E-2</v>
      </c>
      <c r="BS117" s="3">
        <f>-(N70_DESARROLLO!BR32/0.014285714)*LN(N70_DESARROLLO!BR32/N70_DESARROLLO!BQ32)-1</f>
        <v>1.224532489750696E-2</v>
      </c>
      <c r="BT117" s="3">
        <f>-(N70_DESARROLLO!BS32/0.014285714)*LN(N70_DESARROLLO!BS32/N70_DESARROLLO!BR32)-1</f>
        <v>1.1952589722083351E-2</v>
      </c>
      <c r="BU117" s="3">
        <f>-(N70_DESARROLLO!BT32/0.014285714)*LN(N70_DESARROLLO!BT32/N70_DESARROLLO!BS32)-1</f>
        <v>1.1673524379102407E-2</v>
      </c>
      <c r="BV117" s="3">
        <f>-(N70_DESARROLLO!BU32/0.014285714)*LN(N70_DESARROLLO!BU32/N70_DESARROLLO!BT32)-1</f>
        <v>1.1407193179389985E-2</v>
      </c>
      <c r="BW117" s="3">
        <f>-(N70_DESARROLLO!BV32/0.014285714)*LN(N70_DESARROLLO!BV32/N70_DESARROLLO!BU32)-1</f>
        <v>1.1152743927371533E-2</v>
      </c>
      <c r="BX117" s="3">
        <f>-(N70_DESARROLLO!BW32/0.014285714)*LN(N70_DESARROLLO!BW32/N70_DESARROLLO!BV32)-1</f>
        <v>1.0909398811058679E-2</v>
      </c>
      <c r="BY117" s="3">
        <f>-(N70_DESARROLLO!BX32/0.014285714)*LN(N70_DESARROLLO!BX32/N70_DESARROLLO!BW32)-1</f>
        <v>27.633005634583498</v>
      </c>
      <c r="BZ117" s="10"/>
      <c r="CA117" s="10"/>
      <c r="CB117" s="10"/>
      <c r="CC117" s="10"/>
      <c r="CD117">
        <v>23</v>
      </c>
      <c r="CE117" s="1">
        <v>0</v>
      </c>
      <c r="CF117" s="1">
        <f>(1+(N70_DESARROLLO!F32/0.014285714)*LN(N70_DESARROLLO!G32/N70_DESARROLLO!F32))</f>
        <v>-2.2903437185110231E-2</v>
      </c>
      <c r="CG117" s="1">
        <f>(1+(N70_DESARROLLO!G32/0.014285714)*LN(N70_DESARROLLO!H32/N70_DESARROLLO!G32))</f>
        <v>-2.4003073749035098E-2</v>
      </c>
      <c r="CH117" s="1">
        <f>(1+(N70_DESARROLLO!H32/0.014285714)*LN(N70_DESARROLLO!I32/N70_DESARROLLO!H32))</f>
        <v>-2.5213642284831916E-2</v>
      </c>
      <c r="CI117" s="1">
        <f>(1+(N70_DESARROLLO!I32/0.014285714)*LN(N70_DESARROLLO!J32/N70_DESARROLLO!I32))</f>
        <v>-2.6552823496785782E-2</v>
      </c>
      <c r="CJ117" s="1">
        <f>(1+(N70_DESARROLLO!J32/0.014285714)*LN(N70_DESARROLLO!K32/N70_DESARROLLO!J32))</f>
        <v>-2.8042266924842352E-2</v>
      </c>
      <c r="CK117" s="1">
        <f>(1+(N70_DESARROLLO!K32/0.014285714)*LN(N70_DESARROLLO!L32/N70_DESARROLLO!K32))</f>
        <v>-2.9708770995510836E-2</v>
      </c>
      <c r="CL117" s="1">
        <f>(1+(N70_DESARROLLO!L32/0.014285714)*LN(N70_DESARROLLO!M32/N70_DESARROLLO!L32))</f>
        <v>-3.158591082372797E-2</v>
      </c>
      <c r="CM117" s="1">
        <f>(1+(N70_DESARROLLO!M32/0.014285714)*LN(N70_DESARROLLO!N32/N70_DESARROLLO!M32))</f>
        <v>-3.3716325403746916E-2</v>
      </c>
      <c r="CN117" s="1">
        <f>(1+(N70_DESARROLLO!N32/0.014285714)*LN(N70_DESARROLLO!O32/N70_DESARROLLO!N32))</f>
        <v>-3.6154998464202004E-2</v>
      </c>
      <c r="CO117" s="1">
        <f>(1+(N70_DESARROLLO!O32/0.014285714)*LN(N70_DESARROLLO!P32/N70_DESARROLLO!O32))</f>
        <v>-3.8974076117213929E-2</v>
      </c>
      <c r="CP117" s="1">
        <f>(1+(N70_DESARROLLO!P32/0.014285714)*LN(N70_DESARROLLO!Q32/N70_DESARROLLO!P32))</f>
        <v>-4.2270132583541731E-2</v>
      </c>
      <c r="CQ117" s="1">
        <f>(1+(N70_DESARROLLO!Q32/0.014285714)*LN(N70_DESARROLLO!R32/N70_DESARROLLO!Q32))</f>
        <v>-4.6175470289367082E-2</v>
      </c>
      <c r="CR117" s="1">
        <f>(1+(N70_DESARROLLO!R32/0.014285714)*LN(N70_DESARROLLO!S32/N70_DESARROLLO!R32))</f>
        <v>-5.0876335865844391E-2</v>
      </c>
      <c r="CS117" s="1">
        <f>(1+(N70_DESARROLLO!S32/0.014285714)*LN(N70_DESARROLLO!T32/N70_DESARROLLO!S32))</f>
        <v>-5.6643554680001262E-2</v>
      </c>
      <c r="CT117" s="1">
        <f>(1+(N70_DESARROLLO!T32/0.014285714)*LN(N70_DESARROLLO!U32/N70_DESARROLLO!T32))</f>
        <v>-6.3886736386786103E-2</v>
      </c>
      <c r="CU117" s="1">
        <f>(1+(N70_DESARROLLO!U32/0.014285714)*LN(N70_DESARROLLO!V32/N70_DESARROLLO!U32))</f>
        <v>-7.3256348770177615E-2</v>
      </c>
      <c r="CV117" s="1">
        <f>(1+(N70_DESARROLLO!V32/0.014285714)*LN(N70_DESARROLLO!W32/N70_DESARROLLO!V32))</f>
        <v>-8.585157202761251E-2</v>
      </c>
      <c r="CW117" s="1">
        <f>(1+(N70_DESARROLLO!W32/0.014285714)*LN(N70_DESARROLLO!X32/N70_DESARROLLO!W32))</f>
        <v>-0.10368884711560611</v>
      </c>
      <c r="CX117" s="1">
        <f>(1+(N70_DESARROLLO!X32/0.014285714)*LN(N70_DESARROLLO!Y32/N70_DESARROLLO!X32))</f>
        <v>-0.13091494988237695</v>
      </c>
      <c r="CY117" s="1">
        <f>(1+(N70_DESARROLLO!Y32/0.014285714)*LN(N70_DESARROLLO!Z32/N70_DESARROLLO!Y32))</f>
        <v>-0.17765285172730327</v>
      </c>
      <c r="CZ117" s="1">
        <f>(1+(N70_DESARROLLO!Z32/0.014285714)*LN(N70_DESARROLLO!AA32/N70_DESARROLLO!Z32))</f>
        <v>-0.27706408495625956</v>
      </c>
      <c r="DA117" s="1">
        <f>(1+(N70_DESARROLLO!AA32/0.014285714)*LN(N70_DESARROLLO!AB32/N70_DESARROLLO!AA32))</f>
        <v>-0.64791846596053615</v>
      </c>
      <c r="DB117" s="1">
        <v>1</v>
      </c>
      <c r="DC117" s="1">
        <f>(1+(N70_DESARROLLO!AC32/0.014285714)*LN(N70_DESARROLLO!AD32/N70_DESARROLLO!AC32))</f>
        <v>0.4506938446798211</v>
      </c>
      <c r="DD117" s="1">
        <f>(1+(N70_DESARROLLO!AD32/0.014285714)*LN(N70_DESARROLLO!AE32/N70_DESARROLLO!AD32))</f>
        <v>0.23376154902624446</v>
      </c>
      <c r="DE117" s="1">
        <f>(1+(N70_DESARROLLO!AE32/0.014285714)*LN(N70_DESARROLLO!AF32/N70_DESARROLLO!AE32))</f>
        <v>0.15881939162335512</v>
      </c>
      <c r="DF117" s="1">
        <f>(1+(N70_DESARROLLO!AF32/0.014285714)*LN(N70_DESARROLLO!AG32/N70_DESARROLLO!AF32))</f>
        <v>0.12039948342482099</v>
      </c>
      <c r="DG117" s="1">
        <f>(1+(N70_DESARROLLO!AG32/0.014285714)*LN(N70_DESARROLLO!AH32/N70_DESARROLLO!AG32))</f>
        <v>9.69818523599566E-2</v>
      </c>
      <c r="DH117" s="1">
        <f>(1+(N70_DESARROLLO!AH32/0.014285714)*LN(N70_DESARROLLO!AI32/N70_DESARROLLO!AH32))</f>
        <v>8.120251597663608E-2</v>
      </c>
      <c r="DI117" s="1">
        <f>(1+(N70_DESARROLLO!AI32/0.014285714)*LN(N70_DESARROLLO!AJ32/N70_DESARROLLO!AI32))</f>
        <v>6.9844497732512556E-2</v>
      </c>
      <c r="DJ117" s="1">
        <f>(1+(N70_DESARROLLO!AJ32/0.014285714)*LN(N70_DESARROLLO!AK32/N70_DESARROLLO!AJ32))</f>
        <v>6.1276409070483151E-2</v>
      </c>
      <c r="DK117" s="1">
        <f>(1+(N70_DESARROLLO!AK32/0.014285714)*LN(N70_DESARROLLO!AL32/N70_DESARROLLO!AK32))</f>
        <v>5.4582082654734076E-2</v>
      </c>
      <c r="DL117" s="1">
        <f>(1+(N70_DESARROLLO!AL32/0.014285714)*LN(N70_DESARROLLO!AM32/N70_DESARROLLO!AL32))</f>
        <v>4.9207124692807414E-2</v>
      </c>
      <c r="DM117" s="1">
        <f>(1+(N70_DESARROLLO!AM32/0.014285714)*LN(N70_DESARROLLO!AN32/N70_DESARROLLO!AM32))</f>
        <v>4.4796309735794737E-2</v>
      </c>
      <c r="DN117" s="1">
        <f>(1+(N70_DESARROLLO!AN32/0.014285714)*LN(N70_DESARROLLO!AO32/N70_DESARROLLO!AN32))</f>
        <v>4.1111478023142856E-2</v>
      </c>
      <c r="DO117" s="1">
        <f>(1+(N70_DESARROLLO!AO32/0.014285714)*LN(N70_DESARROLLO!AP32/N70_DESARROLLO!AO32))</f>
        <v>3.7986966558139379E-2</v>
      </c>
      <c r="DP117" s="1">
        <f>(1+(N70_DESARROLLO!AP32/0.014285714)*LN(N70_DESARROLLO!AQ32/N70_DESARROLLO!AP32))</f>
        <v>3.5303966947118459E-2</v>
      </c>
      <c r="DQ117" s="1">
        <f>(1+(N70_DESARROLLO!AQ32/0.014285714)*LN(N70_DESARROLLO!AR32/N70_DESARROLLO!AQ32))</f>
        <v>3.2975050428757702E-2</v>
      </c>
      <c r="DR117" s="1">
        <f>(1+(N70_DESARROLLO!AR32/0.014285714)*LN(N70_DESARROLLO!AS32/N70_DESARROLLO!AR32))</f>
        <v>3.0934447408009769E-2</v>
      </c>
      <c r="DS117" s="1">
        <f>(1+(N70_DESARROLLO!AS32/0.014285714)*LN(N70_DESARROLLO!AT32/N70_DESARROLLO!AS32))</f>
        <v>2.9131730204236872E-2</v>
      </c>
      <c r="DT117" s="1">
        <f>(1+(N70_DESARROLLO!AT32/0.014285714)*LN(N70_DESARROLLO!AU32/N70_DESARROLLO!AT32))</f>
        <v>2.752758534135924E-2</v>
      </c>
      <c r="DU117" s="1">
        <f>(1+(N70_DESARROLLO!AU32/0.014285714)*LN(N70_DESARROLLO!AV32/N70_DESARROLLO!AU32))</f>
        <v>2.6090911041513176E-2</v>
      </c>
      <c r="DV117" s="1">
        <f>(1+(N70_DESARROLLO!AV32/0.014285714)*LN(N70_DESARROLLO!AW32/N70_DESARROLLO!AV32))</f>
        <v>2.4796779290042203E-2</v>
      </c>
      <c r="DW117" s="1">
        <f>(1+(N70_DESARROLLO!AW32/0.014285714)*LN(N70_DESARROLLO!AX32/N70_DESARROLLO!AW32))</f>
        <v>2.3624976192774816E-2</v>
      </c>
      <c r="DX117" s="1">
        <f>(1+(N70_DESARROLLO!AX32/0.014285714)*LN(N70_DESARROLLO!AY32/N70_DESARROLLO!AX32))</f>
        <v>2.2558937800898904E-2</v>
      </c>
      <c r="DY117" s="1">
        <f>(1+(N70_DESARROLLO!AY32/0.014285714)*LN(N70_DESARROLLO!AZ32/N70_DESARROLLO!AY32))</f>
        <v>2.1584961787569412E-2</v>
      </c>
      <c r="DZ117" s="1">
        <f>(1+(N70_DESARROLLO!AZ32/0.014285714)*LN(N70_DESARROLLO!BA32/N70_DESARROLLO!AZ32))</f>
        <v>2.0691615000487218E-2</v>
      </c>
      <c r="EA117" s="1">
        <f>(1+(N70_DESARROLLO!BA32/0.014285714)*LN(N70_DESARROLLO!BB32/N70_DESARROLLO!BA32))</f>
        <v>1.9869282361749896E-2</v>
      </c>
      <c r="EB117" s="1">
        <f>(1+(N70_DESARROLLO!BB32/0.014285714)*LN(N70_DESARROLLO!BC32/N70_DESARROLLO!BB32))</f>
        <v>1.9109819273400053E-2</v>
      </c>
      <c r="EC117" s="1">
        <f>(1+(N70_DESARROLLO!BC32/0.014285714)*LN(N70_DESARROLLO!BD32/N70_DESARROLLO!BC32))</f>
        <v>1.8406280838869304E-2</v>
      </c>
      <c r="ED117" s="1">
        <f>(1+(N70_DESARROLLO!BD32/0.014285714)*LN(N70_DESARROLLO!BE32/N70_DESARROLLO!BD32))</f>
        <v>1.7752708797880712E-2</v>
      </c>
      <c r="EE117" s="1">
        <f>(1+(N70_DESARROLLO!BE32/0.014285714)*LN(N70_DESARROLLO!BF32/N70_DESARROLLO!BE32))</f>
        <v>1.7143962314551175E-2</v>
      </c>
      <c r="EF117" s="1">
        <f>(1+(N70_DESARROLLO!BF32/0.014285714)*LN(N70_DESARROLLO!BG32/N70_DESARROLLO!BF32))</f>
        <v>1.6575582437555969E-2</v>
      </c>
      <c r="EG117" s="1">
        <f>(1+(N70_DESARROLLO!BG32/0.014285714)*LN(N70_DESARROLLO!BH32/N70_DESARROLLO!BG32))</f>
        <v>1.6043682665125125E-2</v>
      </c>
      <c r="EH117" s="1">
        <f>(1+(N70_DESARROLLO!BH32/0.014285714)*LN(N70_DESARROLLO!BI32/N70_DESARROLLO!BH32))</f>
        <v>1.5544859931604593E-2</v>
      </c>
      <c r="EI117" s="1">
        <f>(1+(N70_DESARROLLO!BI32/0.014285714)*LN(N70_DESARROLLO!BJ32/N70_DESARROLLO!BI32))</f>
        <v>1.5076121703334833E-2</v>
      </c>
      <c r="EJ117" s="1">
        <f>(1+(N70_DESARROLLO!BJ32/0.014285714)*LN(N70_DESARROLLO!BK32/N70_DESARROLLO!BJ32))</f>
        <v>1.4634825881867375E-2</v>
      </c>
      <c r="EK117" s="1">
        <f>(1+(N70_DESARROLLO!BK32/0.014285714)*LN(N70_DESARROLLO!BL32/N70_DESARROLLO!BK32))</f>
        <v>1.4218630964442425E-2</v>
      </c>
      <c r="EL117" s="1">
        <f>(1+(N70_DESARROLLO!BL32/0.014285714)*LN(N70_DESARROLLO!BM32/N70_DESARROLLO!BL32))</f>
        <v>1.3825454475315135E-2</v>
      </c>
      <c r="EM117" s="1">
        <f>(1+(N70_DESARROLLO!BM32/0.014285714)*LN(N70_DESARROLLO!BN32/N70_DESARROLLO!BM32))</f>
        <v>1.3453438110017868E-2</v>
      </c>
      <c r="EN117" s="1">
        <f>(1+(N70_DESARROLLO!BN32/0.014285714)*LN(N70_DESARROLLO!BO32/N70_DESARROLLO!BN32))</f>
        <v>1.3100918360509306E-2</v>
      </c>
      <c r="EO117" s="1">
        <f>(1+(N70_DESARROLLO!BO32/0.014285714)*LN(N70_DESARROLLO!BP32/N70_DESARROLLO!BO32))</f>
        <v>1.2766401641828296E-2</v>
      </c>
      <c r="EP117" s="1">
        <f>(1+(N70_DESARROLLO!BP32/0.014285714)*LN(N70_DESARROLLO!BQ32/N70_DESARROLLO!BP32))</f>
        <v>1.2448543134983558E-2</v>
      </c>
      <c r="EQ117" s="1">
        <f>(1+(N70_DESARROLLO!BQ32/0.014285714)*LN(N70_DESARROLLO!BR32/N70_DESARROLLO!BQ32))</f>
        <v>1.2146128714481064E-2</v>
      </c>
      <c r="ER117" s="1">
        <f>(1+(N70_DESARROLLO!BR32/0.014285714)*LN(N70_DESARROLLO!BS32/N70_DESARROLLO!BR32))</f>
        <v>1.1858059447847902E-2</v>
      </c>
      <c r="ES117" s="1">
        <f>(1+(N70_DESARROLLO!BS32/0.014285714)*LN(N70_DESARROLLO!BT32/N70_DESARROLLO!BS32))</f>
        <v>1.1583338250302444E-2</v>
      </c>
      <c r="ET117" s="1">
        <f>(1+(N70_DESARROLLO!BT32/0.014285714)*LN(N70_DESARROLLO!BU32/N70_DESARROLLO!BT32))</f>
        <v>1.1321058352731117E-2</v>
      </c>
      <c r="EU117" s="1">
        <f>(1+(N70_DESARROLLO!BU32/0.014285714)*LN(N70_DESARROLLO!BV32/N70_DESARROLLO!BU32))</f>
        <v>1.1070393301801484E-2</v>
      </c>
      <c r="EV117" s="1">
        <f>(1+(N70_DESARROLLO!BV32/0.014285714)*LN(N70_DESARROLLO!BW32/N70_DESARROLLO!BV32))</f>
        <v>1.0830588260146934E-2</v>
      </c>
      <c r="EW117" s="1">
        <f>(1+(N70_DESARROLLO!BW32/0.014285714)*LN(N70_DESARROLLO!BX32/N70_DESARROLLO!BW32))</f>
        <v>-18.020496600116182</v>
      </c>
      <c r="EX117" s="10"/>
      <c r="EY117" s="10"/>
    </row>
    <row r="118" spans="7:155" x14ac:dyDescent="0.25">
      <c r="G118" s="3">
        <v>24</v>
      </c>
      <c r="H118" s="3">
        <f>-(N70_DESARROLLO!G33/0.014285714)*LN(N70_DESARROLLO!G33/N70_DESARROLLO!F33)-1</f>
        <v>-2.1584961787574075E-2</v>
      </c>
      <c r="I118" s="3">
        <f>-(N70_DESARROLLO!H33/0.014285714)*LN(N70_DESARROLLO!H33/N70_DESARROLLO!G33)-1</f>
        <v>-2.2558937800894574E-2</v>
      </c>
      <c r="J118" s="3">
        <f>-(N70_DESARROLLO!I33/0.014285714)*LN(N70_DESARROLLO!I33/N70_DESARROLLO!H33)-1</f>
        <v>-2.3624976192780478E-2</v>
      </c>
      <c r="K118" s="3">
        <f>-(N70_DESARROLLO!J33/0.014285714)*LN(N70_DESARROLLO!J33/N70_DESARROLLO!I33)-1</f>
        <v>-2.4796779290037874E-2</v>
      </c>
      <c r="L118" s="3">
        <f>-(N70_DESARROLLO!K33/0.014285714)*LN(N70_DESARROLLO!K33/N70_DESARROLLO!J33)-1</f>
        <v>-2.6090911041514842E-2</v>
      </c>
      <c r="M118" s="3">
        <f>-(N70_DESARROLLO!L33/0.014285714)*LN(N70_DESARROLLO!L33/N70_DESARROLLO!K33)-1</f>
        <v>-2.7527585341359129E-2</v>
      </c>
      <c r="N118" s="3">
        <f>-(N70_DESARROLLO!M33/0.014285714)*LN(N70_DESARROLLO!M33/N70_DESARROLLO!L33)-1</f>
        <v>-2.9131730204236206E-2</v>
      </c>
      <c r="O118" s="3">
        <f>-(N70_DESARROLLO!N33/0.014285714)*LN(N70_DESARROLLO!N33/N70_DESARROLLO!M33)-1</f>
        <v>-3.0934447408010879E-2</v>
      </c>
      <c r="P118" s="3">
        <f>-(N70_DESARROLLO!O33/0.014285714)*LN(N70_DESARROLLO!O33/N70_DESARROLLO!N33)-1</f>
        <v>-3.2975050428752706E-2</v>
      </c>
      <c r="Q118" s="3">
        <f>-(N70_DESARROLLO!P33/0.014285714)*LN(N70_DESARROLLO!P33/N70_DESARROLLO!O33)-1</f>
        <v>-3.5303966947122012E-2</v>
      </c>
      <c r="R118" s="3">
        <f>-(N70_DESARROLLO!Q33/0.014285714)*LN(N70_DESARROLLO!Q33/N70_DESARROLLO!P33)-1</f>
        <v>-3.7986966558135049E-2</v>
      </c>
      <c r="S118" s="3">
        <f>-(N70_DESARROLLO!R33/0.014285714)*LN(N70_DESARROLLO!R33/N70_DESARROLLO!Q33)-1</f>
        <v>-4.1111478023142745E-2</v>
      </c>
      <c r="T118" s="3">
        <f>-(N70_DESARROLLO!S33/0.014285714)*LN(N70_DESARROLLO!S33/N70_DESARROLLO!R33)-1</f>
        <v>-4.4796309735794959E-2</v>
      </c>
      <c r="U118" s="3">
        <f>-(N70_DESARROLLO!T33/0.014285714)*LN(N70_DESARROLLO!T33/N70_DESARROLLO!S33)-1</f>
        <v>-4.9207124692809301E-2</v>
      </c>
      <c r="V118" s="3">
        <f>-(N70_DESARROLLO!U33/0.014285714)*LN(N70_DESARROLLO!U33/N70_DESARROLLO!T33)-1</f>
        <v>-5.4582082654734076E-2</v>
      </c>
      <c r="W118" s="3">
        <f>-(N70_DESARROLLO!V33/0.014285714)*LN(N70_DESARROLLO!V33/N70_DESARROLLO!U33)-1</f>
        <v>-6.1276409070482596E-2</v>
      </c>
      <c r="X118" s="3">
        <f>-(N70_DESARROLLO!W33/0.014285714)*LN(N70_DESARROLLO!W33/N70_DESARROLLO!V33)-1</f>
        <v>-6.9844497732513222E-2</v>
      </c>
      <c r="Y118" s="3">
        <f>-(N70_DESARROLLO!X33/0.014285714)*LN(N70_DESARROLLO!X33/N70_DESARROLLO!W33)-1</f>
        <v>-8.1202515976637635E-2</v>
      </c>
      <c r="Z118" s="3">
        <f>-(N70_DESARROLLO!Y33/0.014285714)*LN(N70_DESARROLLO!Y33/N70_DESARROLLO!X33)-1</f>
        <v>-9.6981852359956267E-2</v>
      </c>
      <c r="AA118" s="3">
        <f>-(N70_DESARROLLO!Z33/0.014285714)*LN(N70_DESARROLLO!Z33/N70_DESARROLLO!Y33)-1</f>
        <v>-0.1203994834248181</v>
      </c>
      <c r="AB118" s="3">
        <f>-(N70_DESARROLLO!AA33/0.014285714)*LN(N70_DESARROLLO!AA33/N70_DESARROLLO!Z33)-1</f>
        <v>-0.15881939162335512</v>
      </c>
      <c r="AC118" s="3">
        <f>-(N70_DESARROLLO!AB33/0.014285714)*LN(N70_DESARROLLO!AB33/N70_DESARROLLO!AA33)-1</f>
        <v>-0.23376154902624446</v>
      </c>
      <c r="AD118" s="3">
        <f>-(N70_DESARROLLO!AC33/0.014285714)*LN(N70_DESARROLLO!AC33/N70_DESARROLLO!AB33)-1</f>
        <v>-0.4506938446798211</v>
      </c>
      <c r="AE118" s="3">
        <v>-1</v>
      </c>
      <c r="AF118" s="3">
        <f>-(N70_DESARROLLO!AE33/0.014285714)*LN(N70_DESARROLLO!AE33/N70_DESARROLLO!AD33)-1</f>
        <v>0.64791846596053637</v>
      </c>
      <c r="AG118" s="3">
        <f>-(N70_DESARROLLO!AF33/0.014285714)*LN(N70_DESARROLLO!AF33/N70_DESARROLLO!AE33)-1</f>
        <v>0.27706408495625956</v>
      </c>
      <c r="AH118" s="3">
        <f>-(N70_DESARROLLO!AG33/0.014285714)*LN(N70_DESARROLLO!AG33/N70_DESARROLLO!AF33)-1</f>
        <v>0.17765285172729772</v>
      </c>
      <c r="AI118" s="3">
        <f>-(N70_DESARROLLO!AH33/0.014285714)*LN(N70_DESARROLLO!AH33/N70_DESARROLLO!AG33)-1</f>
        <v>0.13091494988237717</v>
      </c>
      <c r="AJ118" s="3">
        <f>-(N70_DESARROLLO!AI33/0.014285714)*LN(N70_DESARROLLO!AI33/N70_DESARROLLO!AH33)-1</f>
        <v>0.103688847115609</v>
      </c>
      <c r="AK118" s="3">
        <f>-(N70_DESARROLLO!AJ33/0.014285714)*LN(N70_DESARROLLO!AJ33/N70_DESARROLLO!AI33)-1</f>
        <v>8.5851572027612733E-2</v>
      </c>
      <c r="AL118" s="3">
        <f>-(N70_DESARROLLO!AK33/0.014285714)*LN(N70_DESARROLLO!AK33/N70_DESARROLLO!AJ33)-1</f>
        <v>7.3256348770177393E-2</v>
      </c>
      <c r="AM118" s="3">
        <f>-(N70_DESARROLLO!AL33/0.014285714)*LN(N70_DESARROLLO!AL33/N70_DESARROLLO!AK33)-1</f>
        <v>6.3886736386786769E-2</v>
      </c>
      <c r="AN118" s="3">
        <f>-(N70_DESARROLLO!AM33/0.014285714)*LN(N70_DESARROLLO!AM33/N70_DESARROLLO!AL33)-1</f>
        <v>5.6643554680002595E-2</v>
      </c>
      <c r="AO118" s="3">
        <f>-(N70_DESARROLLO!AN33/0.014285714)*LN(N70_DESARROLLO!AN33/N70_DESARROLLO!AM33)-1</f>
        <v>5.0876335865843947E-2</v>
      </c>
      <c r="AP118" s="3">
        <f>-(N70_DESARROLLO!AO33/0.014285714)*LN(N70_DESARROLLO!AO33/N70_DESARROLLO!AN33)-1</f>
        <v>4.6175470289367304E-2</v>
      </c>
      <c r="AQ118" s="3">
        <f>-(N70_DESARROLLO!AP33/0.014285714)*LN(N70_DESARROLLO!AP33/N70_DESARROLLO!AO33)-1</f>
        <v>4.227013258353729E-2</v>
      </c>
      <c r="AR118" s="3">
        <f>-(N70_DESARROLLO!AQ33/0.014285714)*LN(N70_DESARROLLO!AQ33/N70_DESARROLLO!AP33)-1</f>
        <v>3.8974076117217482E-2</v>
      </c>
      <c r="AS118" s="3">
        <f>-(N70_DESARROLLO!AR33/0.014285714)*LN(N70_DESARROLLO!AR33/N70_DESARROLLO!AQ33)-1</f>
        <v>3.6154998464196897E-2</v>
      </c>
      <c r="AT118" s="3">
        <f>-(N70_DESARROLLO!AS33/0.014285714)*LN(N70_DESARROLLO!AS33/N70_DESARROLLO!AR33)-1</f>
        <v>3.3716325403751135E-2</v>
      </c>
      <c r="AU118" s="3">
        <f>-(N70_DESARROLLO!AT33/0.014285714)*LN(N70_DESARROLLO!AT33/N70_DESARROLLO!AS33)-1</f>
        <v>3.1585910823724417E-2</v>
      </c>
      <c r="AV118" s="3">
        <f>-(N70_DESARROLLO!AU33/0.014285714)*LN(N70_DESARROLLO!AU33/N70_DESARROLLO!AT33)-1</f>
        <v>2.97087709955135E-2</v>
      </c>
      <c r="AW118" s="3">
        <f>-(N70_DESARROLLO!AV33/0.014285714)*LN(N70_DESARROLLO!AV33/N70_DESARROLLO!AU33)-1</f>
        <v>2.8042266924840797E-2</v>
      </c>
      <c r="AX118" s="3">
        <f>-(N70_DESARROLLO!AW33/0.014285714)*LN(N70_DESARROLLO!AW33/N70_DESARROLLO!AV33)-1</f>
        <v>2.6552823496782674E-2</v>
      </c>
      <c r="AY118" s="3">
        <f>-(N70_DESARROLLO!AX33/0.014285714)*LN(N70_DESARROLLO!AX33/N70_DESARROLLO!AW33)-1</f>
        <v>2.5213642284835913E-2</v>
      </c>
      <c r="AZ118" s="3">
        <f>-(N70_DESARROLLO!AY33/0.014285714)*LN(N70_DESARROLLO!AY33/N70_DESARROLLO!AX33)-1</f>
        <v>2.4003073749031767E-2</v>
      </c>
      <c r="BA118" s="3">
        <f>-(N70_DESARROLLO!AZ33/0.014285714)*LN(N70_DESARROLLO!AZ33/N70_DESARROLLO!AY33)-1</f>
        <v>2.2903437185115338E-2</v>
      </c>
      <c r="BB118" s="3">
        <f>-(N70_DESARROLLO!BA33/0.014285714)*LN(N70_DESARROLLO!BA33/N70_DESARROLLO!AZ33)-1</f>
        <v>2.1900151021861713E-2</v>
      </c>
      <c r="BC118" s="3">
        <f>-(N70_DESARROLLO!BB33/0.014285714)*LN(N70_DESARROLLO!BB33/N70_DESARROLLO!BA33)-1</f>
        <v>2.0981082233544779E-2</v>
      </c>
      <c r="BD118" s="3">
        <f>-(N70_DESARROLLO!BC33/0.014285714)*LN(N70_DESARROLLO!BC33/N70_DESARROLLO!BB33)-1</f>
        <v>2.0136053052045133E-2</v>
      </c>
      <c r="BE118" s="3">
        <f>-(N70_DESARROLLO!BD33/0.014285714)*LN(N70_DESARROLLO!BD33/N70_DESARROLLO!BC33)-1</f>
        <v>1.9356462323727008E-2</v>
      </c>
      <c r="BF118" s="3">
        <f>-(N70_DESARROLLO!BE33/0.014285714)*LN(N70_DESARROLLO!BE33/N70_DESARROLLO!BD33)-1</f>
        <v>1.8634991582293425E-2</v>
      </c>
      <c r="BG118" s="3">
        <f>-(N70_DESARROLLO!BF33/0.014285714)*LN(N70_DESARROLLO!BF33/N70_DESARROLLO!BE33)-1</f>
        <v>1.7965374518572164E-2</v>
      </c>
      <c r="BH118" s="3">
        <f>-(N70_DESARROLLO!BG33/0.014285714)*LN(N70_DESARROLLO!BG33/N70_DESARROLLO!BF33)-1</f>
        <v>1.7342214446335324E-2</v>
      </c>
      <c r="BI118" s="3">
        <f>-(N70_DESARROLLO!BH33/0.014285714)*LN(N70_DESARROLLO!BH33/N70_DESARROLLO!BG33)-1</f>
        <v>1.6760838496763686E-2</v>
      </c>
      <c r="BJ118" s="3">
        <f>-(N70_DESARROLLO!BI33/0.014285714)*LN(N70_DESARROLLO!BI33/N70_DESARROLLO!BH33)-1</f>
        <v>1.6217180198319969E-2</v>
      </c>
      <c r="BK118" s="3">
        <f>-(N70_DESARROLLO!BJ33/0.014285714)*LN(N70_DESARROLLO!BJ33/N70_DESARROLLO!BI33)-1</f>
        <v>1.5707684197543648E-2</v>
      </c>
      <c r="BL118" s="3">
        <f>-(N70_DESARROLLO!BK33/0.014285714)*LN(N70_DESARROLLO!BK33/N70_DESARROLLO!BJ33)-1</f>
        <v>1.5229228398107919E-2</v>
      </c>
      <c r="BM118" s="3">
        <f>-(N70_DESARROLLO!BL33/0.014285714)*LN(N70_DESARROLLO!BL33/N70_DESARROLLO!BK33)-1</f>
        <v>1.4779059912696013E-2</v>
      </c>
      <c r="BN118" s="3">
        <f>-(N70_DESARROLLO!BM33/0.014285714)*LN(N70_DESARROLLO!BM33/N70_DESARROLLO!BL33)-1</f>
        <v>1.4354742051088776E-2</v>
      </c>
      <c r="BO118" s="3">
        <f>-(N70_DESARROLLO!BN33/0.014285714)*LN(N70_DESARROLLO!BN33/N70_DESARROLLO!BM33)-1</f>
        <v>1.395411018734416E-2</v>
      </c>
      <c r="BP118" s="3">
        <f>-(N70_DESARROLLO!BO33/0.014285714)*LN(N70_DESARROLLO!BO33/N70_DESARROLLO!BN33)-1</f>
        <v>1.3575234818482773E-2</v>
      </c>
      <c r="BQ118" s="3">
        <f>-(N70_DESARROLLO!BP33/0.014285714)*LN(N70_DESARROLLO!BP33/N70_DESARROLLO!BO33)-1</f>
        <v>1.3216390483202112E-2</v>
      </c>
      <c r="BR118" s="3">
        <f>-(N70_DESARROLLO!BQ33/0.014285714)*LN(N70_DESARROLLO!BQ33/N70_DESARROLLO!BP33)-1</f>
        <v>1.2876029484357954E-2</v>
      </c>
      <c r="BS118" s="3">
        <f>-(N70_DESARROLLO!BR33/0.014285714)*LN(N70_DESARROLLO!BR33/N70_DESARROLLO!BQ33)-1</f>
        <v>1.25527595704511E-2</v>
      </c>
      <c r="BT118" s="3">
        <f>-(N70_DESARROLLO!BS33/0.014285714)*LN(N70_DESARROLLO!BS33/N70_DESARROLLO!BR33)-1</f>
        <v>1.224532489750696E-2</v>
      </c>
      <c r="BU118" s="3">
        <f>-(N70_DESARROLLO!BT33/0.014285714)*LN(N70_DESARROLLO!BT33/N70_DESARROLLO!BS33)-1</f>
        <v>1.1952589722092455E-2</v>
      </c>
      <c r="BV118" s="3">
        <f>-(N70_DESARROLLO!BU33/0.014285714)*LN(N70_DESARROLLO!BU33/N70_DESARROLLO!BT33)-1</f>
        <v>1.1673524379092637E-2</v>
      </c>
      <c r="BW118" s="3">
        <f>-(N70_DESARROLLO!BV33/0.014285714)*LN(N70_DESARROLLO!BV33/N70_DESARROLLO!BU33)-1</f>
        <v>1.1407193179399533E-2</v>
      </c>
      <c r="BX118" s="3">
        <f>-(N70_DESARROLLO!BW33/0.014285714)*LN(N70_DESARROLLO!BW33/N70_DESARROLLO!BV33)-1</f>
        <v>1.1152743927361541E-2</v>
      </c>
      <c r="BY118" s="3">
        <f>-(N70_DESARROLLO!BX33/0.014285714)*LN(N70_DESARROLLO!BX33/N70_DESARROLLO!BW33)-1</f>
        <v>29.154804729567907</v>
      </c>
      <c r="BZ118" s="10"/>
      <c r="CA118" s="10"/>
      <c r="CB118" s="10"/>
      <c r="CC118" s="10"/>
      <c r="CD118" s="1">
        <v>24</v>
      </c>
      <c r="CE118" s="1">
        <v>0</v>
      </c>
      <c r="CF118" s="1">
        <f>(1+(N70_DESARROLLO!F33/0.014285714)*LN(N70_DESARROLLO!G33/N70_DESARROLLO!F33))</f>
        <v>-2.1900151021867043E-2</v>
      </c>
      <c r="CG118" s="1">
        <f>(1+(N70_DESARROLLO!G33/0.014285714)*LN(N70_DESARROLLO!H33/N70_DESARROLLO!G33))</f>
        <v>-2.2903437185110453E-2</v>
      </c>
      <c r="CH118" s="1">
        <f>(1+(N70_DESARROLLO!H33/0.014285714)*LN(N70_DESARROLLO!I33/N70_DESARROLLO!H33))</f>
        <v>-2.4003073749035098E-2</v>
      </c>
      <c r="CI118" s="1">
        <f>(1+(N70_DESARROLLO!I33/0.014285714)*LN(N70_DESARROLLO!J33/N70_DESARROLLO!I33))</f>
        <v>-2.5213642284832138E-2</v>
      </c>
      <c r="CJ118" s="1">
        <f>(1+(N70_DESARROLLO!J33/0.014285714)*LN(N70_DESARROLLO!K33/N70_DESARROLLO!J33))</f>
        <v>-2.6552823496781341E-2</v>
      </c>
      <c r="CK118" s="1">
        <f>(1+(N70_DESARROLLO!K33/0.014285714)*LN(N70_DESARROLLO!L33/N70_DESARROLLO!K33))</f>
        <v>-2.8042266924849235E-2</v>
      </c>
      <c r="CL118" s="1">
        <f>(1+(N70_DESARROLLO!L33/0.014285714)*LN(N70_DESARROLLO!M33/N70_DESARROLLO!L33))</f>
        <v>-2.9708770995507061E-2</v>
      </c>
      <c r="CM118" s="1">
        <f>(1+(N70_DESARROLLO!M33/0.014285714)*LN(N70_DESARROLLO!N33/N70_DESARROLLO!M33))</f>
        <v>-3.1585910823730412E-2</v>
      </c>
      <c r="CN118" s="1">
        <f>(1+(N70_DESARROLLO!N33/0.014285714)*LN(N70_DESARROLLO!O33/N70_DESARROLLO!N33))</f>
        <v>-3.3716325403747138E-2</v>
      </c>
      <c r="CO118" s="1">
        <f>(1+(N70_DESARROLLO!O33/0.014285714)*LN(N70_DESARROLLO!P33/N70_DESARROLLO!O33))</f>
        <v>-3.6154998464202448E-2</v>
      </c>
      <c r="CP118" s="1">
        <f>(1+(N70_DESARROLLO!P33/0.014285714)*LN(N70_DESARROLLO!Q33/N70_DESARROLLO!P33))</f>
        <v>-3.8974076117214151E-2</v>
      </c>
      <c r="CQ118" s="1">
        <f>(1+(N70_DESARROLLO!Q33/0.014285714)*LN(N70_DESARROLLO!R33/N70_DESARROLLO!Q33))</f>
        <v>-4.2270132583540621E-2</v>
      </c>
      <c r="CR118" s="1">
        <f>(1+(N70_DESARROLLO!R33/0.014285714)*LN(N70_DESARROLLO!S33/N70_DESARROLLO!R33))</f>
        <v>-4.6175470289367304E-2</v>
      </c>
      <c r="CS118" s="1">
        <f>(1+(N70_DESARROLLO!S33/0.014285714)*LN(N70_DESARROLLO!T33/N70_DESARROLLO!S33))</f>
        <v>-5.087633586584217E-2</v>
      </c>
      <c r="CT118" s="1">
        <f>(1+(N70_DESARROLLO!T33/0.014285714)*LN(N70_DESARROLLO!U33/N70_DESARROLLO!T33))</f>
        <v>-5.6643554680003039E-2</v>
      </c>
      <c r="CU118" s="1">
        <f>(1+(N70_DESARROLLO!U33/0.014285714)*LN(N70_DESARROLLO!V33/N70_DESARROLLO!U33))</f>
        <v>-6.3886736386786547E-2</v>
      </c>
      <c r="CV118" s="1">
        <f>(1+(N70_DESARROLLO!V33/0.014285714)*LN(N70_DESARROLLO!W33/N70_DESARROLLO!V33))</f>
        <v>-7.3256348770176949E-2</v>
      </c>
      <c r="CW118" s="1">
        <f>(1+(N70_DESARROLLO!W33/0.014285714)*LN(N70_DESARROLLO!X33/N70_DESARROLLO!W33))</f>
        <v>-8.5851572027609624E-2</v>
      </c>
      <c r="CX118" s="1">
        <f>(1+(N70_DESARROLLO!X33/0.014285714)*LN(N70_DESARROLLO!Y33/N70_DESARROLLO!X33))</f>
        <v>-0.10368884711560877</v>
      </c>
      <c r="CY118" s="1">
        <f>(1+(N70_DESARROLLO!Y33/0.014285714)*LN(N70_DESARROLLO!Z33/N70_DESARROLLO!Y33))</f>
        <v>-0.13091494988237673</v>
      </c>
      <c r="CZ118" s="1">
        <f>(1+(N70_DESARROLLO!Z33/0.014285714)*LN(N70_DESARROLLO!AA33/N70_DESARROLLO!Z33))</f>
        <v>-0.17765285172730261</v>
      </c>
      <c r="DA118" s="1">
        <f>(1+(N70_DESARROLLO!AA33/0.014285714)*LN(N70_DESARROLLO!AB33/N70_DESARROLLO!AA33))</f>
        <v>-0.27706408495625845</v>
      </c>
      <c r="DB118" s="1">
        <f>(1+(N70_DESARROLLO!AB33/0.014285714)*LN(N70_DESARROLLO!AC33/N70_DESARROLLO!AB33))</f>
        <v>-0.64791846596053282</v>
      </c>
      <c r="DC118" s="1">
        <v>1</v>
      </c>
      <c r="DD118" s="1">
        <f>(1+(N70_DESARROLLO!AD33/0.014285714)*LN(N70_DESARROLLO!AE33/N70_DESARROLLO!AD33))</f>
        <v>0.45069384467982265</v>
      </c>
      <c r="DE118" s="1">
        <f>(1+(N70_DESARROLLO!AE33/0.014285714)*LN(N70_DESARROLLO!AF33/N70_DESARROLLO!AE33))</f>
        <v>0.2337615490262448</v>
      </c>
      <c r="DF118" s="1">
        <f>(1+(N70_DESARROLLO!AF33/0.014285714)*LN(N70_DESARROLLO!AG33/N70_DESARROLLO!AF33))</f>
        <v>0.15881939162335801</v>
      </c>
      <c r="DG118" s="1">
        <f>(1+(N70_DESARROLLO!AG33/0.014285714)*LN(N70_DESARROLLO!AH33/N70_DESARROLLO!AG33))</f>
        <v>0.1203994834248181</v>
      </c>
      <c r="DH118" s="1">
        <f>(1+(N70_DESARROLLO!AH33/0.014285714)*LN(N70_DESARROLLO!AI33/N70_DESARROLLO!AH33))</f>
        <v>9.6981852359956489E-2</v>
      </c>
      <c r="DI118" s="1">
        <f>(1+(N70_DESARROLLO!AI33/0.014285714)*LN(N70_DESARROLLO!AJ33/N70_DESARROLLO!AI33))</f>
        <v>8.1202515976635636E-2</v>
      </c>
      <c r="DJ118" s="1">
        <f>(1+(N70_DESARROLLO!AJ33/0.014285714)*LN(N70_DESARROLLO!AK33/N70_DESARROLLO!AJ33))</f>
        <v>6.9844497732513111E-2</v>
      </c>
      <c r="DK118" s="1">
        <f>(1+(N70_DESARROLLO!AK33/0.014285714)*LN(N70_DESARROLLO!AL33/N70_DESARROLLO!AK33))</f>
        <v>6.1276409070482152E-2</v>
      </c>
      <c r="DL118" s="1">
        <f>(1+(N70_DESARROLLO!AL33/0.014285714)*LN(N70_DESARROLLO!AM33/N70_DESARROLLO!AL33))</f>
        <v>5.4582082654734632E-2</v>
      </c>
      <c r="DM118" s="1">
        <f>(1+(N70_DESARROLLO!AM33/0.014285714)*LN(N70_DESARROLLO!AN33/N70_DESARROLLO!AM33))</f>
        <v>4.9207124692807747E-2</v>
      </c>
      <c r="DN118" s="1">
        <f>(1+(N70_DESARROLLO!AN33/0.014285714)*LN(N70_DESARROLLO!AO33/N70_DESARROLLO!AN33))</f>
        <v>4.4796309735795181E-2</v>
      </c>
      <c r="DO118" s="1">
        <f>(1+(N70_DESARROLLO!AO33/0.014285714)*LN(N70_DESARROLLO!AP33/N70_DESARROLLO!AO33))</f>
        <v>4.1111478023145409E-2</v>
      </c>
      <c r="DP118" s="1">
        <f>(1+(N70_DESARROLLO!AP33/0.014285714)*LN(N70_DESARROLLO!AQ33/N70_DESARROLLO!AP33))</f>
        <v>3.7986966558132274E-2</v>
      </c>
      <c r="DQ118" s="1">
        <f>(1+(N70_DESARROLLO!AQ33/0.014285714)*LN(N70_DESARROLLO!AR33/N70_DESARROLLO!AQ33))</f>
        <v>3.5303966947126675E-2</v>
      </c>
      <c r="DR118" s="1">
        <f>(1+(N70_DESARROLLO!AR33/0.014285714)*LN(N70_DESARROLLO!AS33/N70_DESARROLLO!AR33))</f>
        <v>3.2975050428749264E-2</v>
      </c>
      <c r="DS118" s="1">
        <f>(1+(N70_DESARROLLO!AS33/0.014285714)*LN(N70_DESARROLLO!AT33/N70_DESARROLLO!AS33))</f>
        <v>3.0934447408016319E-2</v>
      </c>
      <c r="DT118" s="1">
        <f>(1+(N70_DESARROLLO!AT33/0.014285714)*LN(N70_DESARROLLO!AU33/N70_DESARROLLO!AT33))</f>
        <v>2.9131730204230433E-2</v>
      </c>
      <c r="DU118" s="1">
        <f>(1+(N70_DESARROLLO!AU33/0.014285714)*LN(N70_DESARROLLO!AV33/N70_DESARROLLO!AU33))</f>
        <v>2.7527585341366678E-2</v>
      </c>
      <c r="DV118" s="1">
        <f>(1+(N70_DESARROLLO!AV33/0.014285714)*LN(N70_DESARROLLO!AW33/N70_DESARROLLO!AV33))</f>
        <v>2.6090911041513509E-2</v>
      </c>
      <c r="DW118" s="1">
        <f>(1+(N70_DESARROLLO!AW33/0.014285714)*LN(N70_DESARROLLO!AX33/N70_DESARROLLO!AW33))</f>
        <v>2.4796779290034321E-2</v>
      </c>
      <c r="DX118" s="1">
        <f>(1+(N70_DESARROLLO!AX33/0.014285714)*LN(N70_DESARROLLO!AY33/N70_DESARROLLO!AX33))</f>
        <v>2.3624976192783476E-2</v>
      </c>
      <c r="DY118" s="1">
        <f>(1+(N70_DESARROLLO!AY33/0.014285714)*LN(N70_DESARROLLO!AZ33/N70_DESARROLLO!AY33))</f>
        <v>2.2558937800890022E-2</v>
      </c>
      <c r="DZ118" s="1">
        <f>(1+(N70_DESARROLLO!AZ33/0.014285714)*LN(N70_DESARROLLO!BA33/N70_DESARROLLO!AZ33))</f>
        <v>2.1584961787579071E-2</v>
      </c>
      <c r="EA118" s="1">
        <f>(1+(N70_DESARROLLO!BA33/0.014285714)*LN(N70_DESARROLLO!BB33/N70_DESARROLLO!BA33))</f>
        <v>2.0691615000477559E-2</v>
      </c>
      <c r="EB118" s="1">
        <f>(1+(N70_DESARROLLO!BB33/0.014285714)*LN(N70_DESARROLLO!BC33/N70_DESARROLLO!BB33))</f>
        <v>1.9869282361760443E-2</v>
      </c>
      <c r="EC118" s="1">
        <f>(1+(N70_DESARROLLO!BC33/0.014285714)*LN(N70_DESARROLLO!BD33/N70_DESARROLLO!BC33))</f>
        <v>1.9109819273394835E-2</v>
      </c>
      <c r="ED118" s="1">
        <f>(1+(N70_DESARROLLO!BD33/0.014285714)*LN(N70_DESARROLLO!BE33/N70_DESARROLLO!BD33))</f>
        <v>1.840628083888074E-2</v>
      </c>
      <c r="EE118" s="1">
        <f>(1+(N70_DESARROLLO!BE33/0.014285714)*LN(N70_DESARROLLO!BF33/N70_DESARROLLO!BE33))</f>
        <v>1.7752708797869166E-2</v>
      </c>
      <c r="EF118" s="1">
        <f>(1+(N70_DESARROLLO!BF33/0.014285714)*LN(N70_DESARROLLO!BG33/N70_DESARROLLO!BF33))</f>
        <v>1.7143962314557393E-2</v>
      </c>
      <c r="EG118" s="1">
        <f>(1+(N70_DESARROLLO!BG33/0.014285714)*LN(N70_DESARROLLO!BH33/N70_DESARROLLO!BG33))</f>
        <v>1.6575582437556191E-2</v>
      </c>
      <c r="EH118" s="1">
        <f>(1+(N70_DESARROLLO!BH33/0.014285714)*LN(N70_DESARROLLO!BI33/N70_DESARROLLO!BH33))</f>
        <v>1.6043682665118908E-2</v>
      </c>
      <c r="EI118" s="1">
        <f>(1+(N70_DESARROLLO!BI33/0.014285714)*LN(N70_DESARROLLO!BJ33/N70_DESARROLLO!BI33))</f>
        <v>1.5544859931611366E-2</v>
      </c>
      <c r="EJ118" s="1">
        <f>(1+(N70_DESARROLLO!BJ33/0.014285714)*LN(N70_DESARROLLO!BK33/N70_DESARROLLO!BJ33))</f>
        <v>1.5076121703328282E-2</v>
      </c>
      <c r="EK118" s="1">
        <f>(1+(N70_DESARROLLO!BK33/0.014285714)*LN(N70_DESARROLLO!BL33/N70_DESARROLLO!BK33))</f>
        <v>1.4634825881874591E-2</v>
      </c>
      <c r="EL118" s="1">
        <f>(1+(N70_DESARROLLO!BL33/0.014285714)*LN(N70_DESARROLLO!BM33/N70_DESARROLLO!BL33))</f>
        <v>1.4218630964435208E-2</v>
      </c>
      <c r="EM118" s="1">
        <f>(1+(N70_DESARROLLO!BM33/0.014285714)*LN(N70_DESARROLLO!BN33/N70_DESARROLLO!BM33))</f>
        <v>1.3825454475322685E-2</v>
      </c>
      <c r="EN118" s="1">
        <f>(1+(N70_DESARROLLO!BN33/0.014285714)*LN(N70_DESARROLLO!BO33/N70_DESARROLLO!BN33))</f>
        <v>1.3453438110010096E-2</v>
      </c>
      <c r="EO118" s="1">
        <f>(1+(N70_DESARROLLO!BO33/0.014285714)*LN(N70_DESARROLLO!BP33/N70_DESARROLLO!BO33))</f>
        <v>1.3100918360517522E-2</v>
      </c>
      <c r="EP118" s="1">
        <f>(1+(N70_DESARROLLO!BP33/0.014285714)*LN(N70_DESARROLLO!BQ33/N70_DESARROLLO!BP33))</f>
        <v>1.2766401641828407E-2</v>
      </c>
      <c r="EQ118" s="1">
        <f>(1+(N70_DESARROLLO!BQ33/0.014285714)*LN(N70_DESARROLLO!BR33/N70_DESARROLLO!BQ33))</f>
        <v>1.2448543134991996E-2</v>
      </c>
      <c r="ER118" s="1">
        <f>(1+(N70_DESARROLLO!BR33/0.014285714)*LN(N70_DESARROLLO!BS33/N70_DESARROLLO!BR33))</f>
        <v>1.2146128714481286E-2</v>
      </c>
      <c r="ES118" s="1">
        <f>(1+(N70_DESARROLLO!BS33/0.014285714)*LN(N70_DESARROLLO!BT33/N70_DESARROLLO!BS33))</f>
        <v>1.1858059447839131E-2</v>
      </c>
      <c r="ET118" s="1">
        <f>(1+(N70_DESARROLLO!BT33/0.014285714)*LN(N70_DESARROLLO!BU33/N70_DESARROLLO!BT33))</f>
        <v>1.1583338250311548E-2</v>
      </c>
      <c r="EU118" s="1">
        <f>(1+(N70_DESARROLLO!BU33/0.014285714)*LN(N70_DESARROLLO!BV33/N70_DESARROLLO!BU33))</f>
        <v>1.1321058352721902E-2</v>
      </c>
      <c r="EV118" s="1">
        <f>(1+(N70_DESARROLLO!BV33/0.014285714)*LN(N70_DESARROLLO!BW33/N70_DESARROLLO!BV33))</f>
        <v>1.1070393301811032E-2</v>
      </c>
      <c r="EW118" s="1">
        <f>(1+(N70_DESARROLLO!BW33/0.014285714)*LN(N70_DESARROLLO!BX33/N70_DESARROLLO!BW33))</f>
        <v>-18.600623074219136</v>
      </c>
      <c r="EX118" s="10"/>
      <c r="EY118" s="10"/>
    </row>
    <row r="119" spans="7:155" x14ac:dyDescent="0.25">
      <c r="G119" s="3">
        <v>25</v>
      </c>
      <c r="H119" s="3">
        <f>-(N70_DESARROLLO!G34/0.014285714)*LN(N70_DESARROLLO!G34/N70_DESARROLLO!F34)-1</f>
        <v>-2.0691615000482666E-2</v>
      </c>
      <c r="I119" s="3">
        <f>-(N70_DESARROLLO!H34/0.014285714)*LN(N70_DESARROLLO!H34/N70_DESARROLLO!G34)-1</f>
        <v>-2.1584961787574186E-2</v>
      </c>
      <c r="J119" s="3">
        <f>-(N70_DESARROLLO!I34/0.014285714)*LN(N70_DESARROLLO!I34/N70_DESARROLLO!H34)-1</f>
        <v>-2.2558937800894796E-2</v>
      </c>
      <c r="K119" s="3">
        <f>-(N70_DESARROLLO!J34/0.014285714)*LN(N70_DESARROLLO!J34/N70_DESARROLLO!I34)-1</f>
        <v>-2.3624976192780589E-2</v>
      </c>
      <c r="L119" s="3">
        <f>-(N70_DESARROLLO!K34/0.014285714)*LN(N70_DESARROLLO!K34/N70_DESARROLLO!J34)-1</f>
        <v>-2.4796779290042426E-2</v>
      </c>
      <c r="M119" s="3">
        <f>-(N70_DESARROLLO!L34/0.014285714)*LN(N70_DESARROLLO!L34/N70_DESARROLLO!K34)-1</f>
        <v>-2.6090911041506626E-2</v>
      </c>
      <c r="N119" s="3">
        <f>-(N70_DESARROLLO!M34/0.014285714)*LN(N70_DESARROLLO!M34/N70_DESARROLLO!L34)-1</f>
        <v>-2.7527585341367344E-2</v>
      </c>
      <c r="O119" s="3">
        <f>-(N70_DESARROLLO!N34/0.014285714)*LN(N70_DESARROLLO!N34/N70_DESARROLLO!M34)-1</f>
        <v>-2.9131730204232431E-2</v>
      </c>
      <c r="P119" s="3">
        <f>-(N70_DESARROLLO!O34/0.014285714)*LN(N70_DESARROLLO!O34/N70_DESARROLLO!N34)-1</f>
        <v>-3.0934447408011101E-2</v>
      </c>
      <c r="Q119" s="3">
        <f>-(N70_DESARROLLO!P34/0.014285714)*LN(N70_DESARROLLO!P34/N70_DESARROLLO!O34)-1</f>
        <v>-3.2975050428753039E-2</v>
      </c>
      <c r="R119" s="3">
        <f>-(N70_DESARROLLO!Q34/0.014285714)*LN(N70_DESARROLLO!Q34/N70_DESARROLLO!P34)-1</f>
        <v>-3.5303966947122234E-2</v>
      </c>
      <c r="S119" s="3">
        <f>-(N70_DESARROLLO!R34/0.014285714)*LN(N70_DESARROLLO!R34/N70_DESARROLLO!Q34)-1</f>
        <v>-3.7986966558135382E-2</v>
      </c>
      <c r="T119" s="3">
        <f>-(N70_DESARROLLO!S34/0.014285714)*LN(N70_DESARROLLO!S34/N70_DESARROLLO!R34)-1</f>
        <v>-4.1111478023141634E-2</v>
      </c>
      <c r="U119" s="3">
        <f>-(N70_DESARROLLO!T34/0.014285714)*LN(N70_DESARROLLO!T34/N70_DESARROLLO!S34)-1</f>
        <v>-4.4796309735797957E-2</v>
      </c>
      <c r="V119" s="3">
        <f>-(N70_DESARROLLO!U34/0.014285714)*LN(N70_DESARROLLO!U34/N70_DESARROLLO!T34)-1</f>
        <v>-4.9207124692808524E-2</v>
      </c>
      <c r="W119" s="3">
        <f>-(N70_DESARROLLO!V34/0.014285714)*LN(N70_DESARROLLO!V34/N70_DESARROLLO!U34)-1</f>
        <v>-5.4582082654734521E-2</v>
      </c>
      <c r="X119" s="3">
        <f>-(N70_DESARROLLO!W34/0.014285714)*LN(N70_DESARROLLO!W34/N70_DESARROLLO!V34)-1</f>
        <v>-6.127640907048304E-2</v>
      </c>
      <c r="Y119" s="3">
        <f>-(N70_DESARROLLO!X34/0.014285714)*LN(N70_DESARROLLO!X34/N70_DESARROLLO!W34)-1</f>
        <v>-6.9844497732514443E-2</v>
      </c>
      <c r="Z119" s="3">
        <f>-(N70_DESARROLLO!Y34/0.014285714)*LN(N70_DESARROLLO!Y34/N70_DESARROLLO!X34)-1</f>
        <v>-8.1202515976636191E-2</v>
      </c>
      <c r="AA119" s="3">
        <f>-(N70_DESARROLLO!Z34/0.014285714)*LN(N70_DESARROLLO!Z34/N70_DESARROLLO!Y34)-1</f>
        <v>-9.69818523599566E-2</v>
      </c>
      <c r="AB119" s="3">
        <f>-(N70_DESARROLLO!AA34/0.014285714)*LN(N70_DESARROLLO!AA34/N70_DESARROLLO!Z34)-1</f>
        <v>-0.12039948342481799</v>
      </c>
      <c r="AC119" s="3">
        <f>-(N70_DESARROLLO!AB34/0.014285714)*LN(N70_DESARROLLO!AB34/N70_DESARROLLO!AA34)-1</f>
        <v>-0.15881939162335501</v>
      </c>
      <c r="AD119" s="3">
        <f>-(N70_DESARROLLO!AC34/0.014285714)*LN(N70_DESARROLLO!AC34/N70_DESARROLLO!AB34)-1</f>
        <v>-0.2337615490262448</v>
      </c>
      <c r="AE119" s="3">
        <f>-(N70_DESARROLLO!AD34/0.014285714)*LN(N70_DESARROLLO!AD34/N70_DESARROLLO!AC34)-1</f>
        <v>-0.45069384467982276</v>
      </c>
      <c r="AF119" s="3">
        <v>-1</v>
      </c>
      <c r="AG119" s="3">
        <f>-(N70_DESARROLLO!AF34/0.014285714)*LN(N70_DESARROLLO!AF34/N70_DESARROLLO!AE34)-1</f>
        <v>0.64791846596053282</v>
      </c>
      <c r="AH119" s="3">
        <f>-(N70_DESARROLLO!AG34/0.014285714)*LN(N70_DESARROLLO!AG34/N70_DESARROLLO!AF34)-1</f>
        <v>0.2770640849562529</v>
      </c>
      <c r="AI119" s="3">
        <f>-(N70_DESARROLLO!AH34/0.014285714)*LN(N70_DESARROLLO!AH34/N70_DESARROLLO!AG34)-1</f>
        <v>0.17765285172730305</v>
      </c>
      <c r="AJ119" s="3">
        <f>-(N70_DESARROLLO!AI34/0.014285714)*LN(N70_DESARROLLO!AI34/N70_DESARROLLO!AH34)-1</f>
        <v>0.13091494988237651</v>
      </c>
      <c r="AK119" s="3">
        <f>-(N70_DESARROLLO!AJ34/0.014285714)*LN(N70_DESARROLLO!AJ34/N70_DESARROLLO!AI34)-1</f>
        <v>0.10368884711560877</v>
      </c>
      <c r="AL119" s="3">
        <f>-(N70_DESARROLLO!AK34/0.014285714)*LN(N70_DESARROLLO!AK34/N70_DESARROLLO!AJ34)-1</f>
        <v>8.5851572027612066E-2</v>
      </c>
      <c r="AM119" s="3">
        <f>-(N70_DESARROLLO!AL34/0.014285714)*LN(N70_DESARROLLO!AL34/N70_DESARROLLO!AK34)-1</f>
        <v>7.3256348770177837E-2</v>
      </c>
      <c r="AN119" s="3">
        <f>-(N70_DESARROLLO!AM34/0.014285714)*LN(N70_DESARROLLO!AM34/N70_DESARROLLO!AL34)-1</f>
        <v>6.3886736386785881E-2</v>
      </c>
      <c r="AO119" s="3">
        <f>-(N70_DESARROLLO!AN34/0.014285714)*LN(N70_DESARROLLO!AN34/N70_DESARROLLO!AM34)-1</f>
        <v>5.6643554680003039E-2</v>
      </c>
      <c r="AP119" s="3">
        <f>-(N70_DESARROLLO!AO34/0.014285714)*LN(N70_DESARROLLO!AO34/N70_DESARROLLO!AN34)-1</f>
        <v>5.0876335865844613E-2</v>
      </c>
      <c r="AQ119" s="3">
        <f>-(N70_DESARROLLO!AP34/0.014285714)*LN(N70_DESARROLLO!AP34/N70_DESARROLLO!AO34)-1</f>
        <v>4.6175470289362641E-2</v>
      </c>
      <c r="AR119" s="3">
        <f>-(N70_DESARROLLO!AQ34/0.014285714)*LN(N70_DESARROLLO!AQ34/N70_DESARROLLO!AP34)-1</f>
        <v>4.2270132583545728E-2</v>
      </c>
      <c r="AS119" s="3">
        <f>-(N70_DESARROLLO!AR34/0.014285714)*LN(N70_DESARROLLO!AR34/N70_DESARROLLO!AQ34)-1</f>
        <v>3.8974076117209266E-2</v>
      </c>
      <c r="AT119" s="3">
        <f>-(N70_DESARROLLO!AS34/0.014285714)*LN(N70_DESARROLLO!AS34/N70_DESARROLLO!AR34)-1</f>
        <v>3.6154998464206445E-2</v>
      </c>
      <c r="AU119" s="3">
        <f>-(N70_DESARROLLO!AT34/0.014285714)*LN(N70_DESARROLLO!AT34/N70_DESARROLLO!AS34)-1</f>
        <v>3.3716325403741587E-2</v>
      </c>
      <c r="AV119" s="3">
        <f>-(N70_DESARROLLO!AU34/0.014285714)*LN(N70_DESARROLLO!AU34/N70_DESARROLLO!AT34)-1</f>
        <v>3.1585910823731744E-2</v>
      </c>
      <c r="AW119" s="3">
        <f>-(N70_DESARROLLO!AV34/0.014285714)*LN(N70_DESARROLLO!AV34/N70_DESARROLLO!AU34)-1</f>
        <v>2.9708770995506173E-2</v>
      </c>
      <c r="AX119" s="3">
        <f>-(N70_DESARROLLO!AW34/0.014285714)*LN(N70_DESARROLLO!AW34/N70_DESARROLLO!AV34)-1</f>
        <v>2.8042266924840797E-2</v>
      </c>
      <c r="AY119" s="3">
        <f>-(N70_DESARROLLO!AX34/0.014285714)*LN(N70_DESARROLLO!AX34/N70_DESARROLLO!AW34)-1</f>
        <v>2.6552823496791333E-2</v>
      </c>
      <c r="AZ119" s="3">
        <f>-(N70_DESARROLLO!AY34/0.014285714)*LN(N70_DESARROLLO!AY34/N70_DESARROLLO!AX34)-1</f>
        <v>2.5213642284827253E-2</v>
      </c>
      <c r="BA119" s="3">
        <f>-(N70_DESARROLLO!AZ34/0.014285714)*LN(N70_DESARROLLO!AZ34/N70_DESARROLLO!AY34)-1</f>
        <v>2.4003073749041315E-2</v>
      </c>
      <c r="BB119" s="3">
        <f>-(N70_DESARROLLO!BA34/0.014285714)*LN(N70_DESARROLLO!BA34/N70_DESARROLLO!AZ34)-1</f>
        <v>2.2903437185105791E-2</v>
      </c>
      <c r="BC119" s="3">
        <f>-(N70_DESARROLLO!BB34/0.014285714)*LN(N70_DESARROLLO!BB34/N70_DESARROLLO!BA34)-1</f>
        <v>2.190015102187215E-2</v>
      </c>
      <c r="BD119" s="3">
        <f>-(N70_DESARROLLO!BC34/0.014285714)*LN(N70_DESARROLLO!BC34/N70_DESARROLLO!BB34)-1</f>
        <v>2.0981082233534565E-2</v>
      </c>
      <c r="BE119" s="3">
        <f>-(N70_DESARROLLO!BD34/0.014285714)*LN(N70_DESARROLLO!BD34/N70_DESARROLLO!BC34)-1</f>
        <v>2.0136053052056457E-2</v>
      </c>
      <c r="BF119" s="3">
        <f>-(N70_DESARROLLO!BE34/0.014285714)*LN(N70_DESARROLLO!BE34/N70_DESARROLLO!BD34)-1</f>
        <v>1.9356462323721457E-2</v>
      </c>
      <c r="BG119" s="3">
        <f>-(N70_DESARROLLO!BF34/0.014285714)*LN(N70_DESARROLLO!BF34/N70_DESARROLLO!BE34)-1</f>
        <v>1.8634991582305416E-2</v>
      </c>
      <c r="BH119" s="3">
        <f>-(N70_DESARROLLO!BG34/0.014285714)*LN(N70_DESARROLLO!BG34/N70_DESARROLLO!BF34)-1</f>
        <v>1.7965374518559951E-2</v>
      </c>
      <c r="BI119" s="3">
        <f>-(N70_DESARROLLO!BH34/0.014285714)*LN(N70_DESARROLLO!BH34/N70_DESARROLLO!BG34)-1</f>
        <v>1.7342214446335324E-2</v>
      </c>
      <c r="BJ119" s="3">
        <f>-(N70_DESARROLLO!BI34/0.014285714)*LN(N70_DESARROLLO!BI34/N70_DESARROLLO!BH34)-1</f>
        <v>1.6760838496770569E-2</v>
      </c>
      <c r="BK119" s="3">
        <f>-(N70_DESARROLLO!BJ34/0.014285714)*LN(N70_DESARROLLO!BJ34/N70_DESARROLLO!BI34)-1</f>
        <v>1.6217180198313308E-2</v>
      </c>
      <c r="BL119" s="3">
        <f>-(N70_DESARROLLO!BK34/0.014285714)*LN(N70_DESARROLLO!BK34/N70_DESARROLLO!BJ34)-1</f>
        <v>1.5707684197550975E-2</v>
      </c>
      <c r="BM119" s="3">
        <f>-(N70_DESARROLLO!BL34/0.014285714)*LN(N70_DESARROLLO!BL34/N70_DESARROLLO!BK34)-1</f>
        <v>1.5229228398100814E-2</v>
      </c>
      <c r="BN119" s="3">
        <f>-(N70_DESARROLLO!BM34/0.014285714)*LN(N70_DESARROLLO!BM34/N70_DESARROLLO!BL34)-1</f>
        <v>1.4779059912703785E-2</v>
      </c>
      <c r="BO119" s="3">
        <f>-(N70_DESARROLLO!BN34/0.014285714)*LN(N70_DESARROLLO!BN34/N70_DESARROLLO!BM34)-1</f>
        <v>1.4354742051081004E-2</v>
      </c>
      <c r="BP119" s="3">
        <f>-(N70_DESARROLLO!BO34/0.014285714)*LN(N70_DESARROLLO!BO34/N70_DESARROLLO!BN34)-1</f>
        <v>1.3954110187352153E-2</v>
      </c>
      <c r="BQ119" s="3">
        <f>-(N70_DESARROLLO!BP34/0.014285714)*LN(N70_DESARROLLO!BP34/N70_DESARROLLO!BO34)-1</f>
        <v>1.3575234818474557E-2</v>
      </c>
      <c r="BR119" s="3">
        <f>-(N70_DESARROLLO!BQ34/0.014285714)*LN(N70_DESARROLLO!BQ34/N70_DESARROLLO!BP34)-1</f>
        <v>1.3216390483210549E-2</v>
      </c>
      <c r="BS119" s="3">
        <f>-(N70_DESARROLLO!BR34/0.014285714)*LN(N70_DESARROLLO!BR34/N70_DESARROLLO!BQ34)-1</f>
        <v>1.2876029484357954E-2</v>
      </c>
      <c r="BT119" s="3">
        <f>-(N70_DESARROLLO!BS34/0.014285714)*LN(N70_DESARROLLO!BS34/N70_DESARROLLO!BR34)-1</f>
        <v>1.25527595704511E-2</v>
      </c>
      <c r="BU119" s="3">
        <f>-(N70_DESARROLLO!BT34/0.014285714)*LN(N70_DESARROLLO!BT34/N70_DESARROLLO!BS34)-1</f>
        <v>1.2245324897516063E-2</v>
      </c>
      <c r="BV119" s="3">
        <f>-(N70_DESARROLLO!BU34/0.014285714)*LN(N70_DESARROLLO!BU34/N70_DESARROLLO!BT34)-1</f>
        <v>1.1952589722083351E-2</v>
      </c>
      <c r="BW119" s="3">
        <f>-(N70_DESARROLLO!BV34/0.014285714)*LN(N70_DESARROLLO!BV34/N70_DESARROLLO!BU34)-1</f>
        <v>1.1673524379102407E-2</v>
      </c>
      <c r="BX119" s="3">
        <f>-(N70_DESARROLLO!BW34/0.014285714)*LN(N70_DESARROLLO!BW34/N70_DESARROLLO!BV34)-1</f>
        <v>1.1407193179389985E-2</v>
      </c>
      <c r="BY119" s="3">
        <f>-(N70_DESARROLLO!BX34/0.014285714)*LN(N70_DESARROLLO!BX34/N70_DESARROLLO!BW34)-1</f>
        <v>30.710424335610004</v>
      </c>
      <c r="BZ119" s="10"/>
      <c r="CA119" s="10"/>
      <c r="CB119" s="10"/>
      <c r="CC119" s="10"/>
      <c r="CD119">
        <v>25</v>
      </c>
      <c r="CE119" s="1">
        <v>0</v>
      </c>
      <c r="CF119" s="1">
        <f>(1+(N70_DESARROLLO!F34/0.014285714)*LN(N70_DESARROLLO!G34/N70_DESARROLLO!F34))</f>
        <v>-2.098108223353945E-2</v>
      </c>
      <c r="CG119" s="1">
        <f>(1+(N70_DESARROLLO!G34/0.014285714)*LN(N70_DESARROLLO!H34/N70_DESARROLLO!G34))</f>
        <v>-2.190015102186682E-2</v>
      </c>
      <c r="CH119" s="1">
        <f>(1+(N70_DESARROLLO!H34/0.014285714)*LN(N70_DESARROLLO!I34/N70_DESARROLLO!H34))</f>
        <v>-2.2903437185110231E-2</v>
      </c>
      <c r="CI119" s="1">
        <f>(1+(N70_DESARROLLO!I34/0.014285714)*LN(N70_DESARROLLO!J34/N70_DESARROLLO!I34))</f>
        <v>-2.4003073749035098E-2</v>
      </c>
      <c r="CJ119" s="1">
        <f>(1+(N70_DESARROLLO!J34/0.014285714)*LN(N70_DESARROLLO!K34/N70_DESARROLLO!J34))</f>
        <v>-2.5213642284827031E-2</v>
      </c>
      <c r="CK119" s="1">
        <f>(1+(N70_DESARROLLO!K34/0.014285714)*LN(N70_DESARROLLO!L34/N70_DESARROLLO!K34))</f>
        <v>-2.6552823496790445E-2</v>
      </c>
      <c r="CL119" s="1">
        <f>(1+(N70_DESARROLLO!L34/0.014285714)*LN(N70_DESARROLLO!M34/N70_DESARROLLO!L34))</f>
        <v>-2.8042266924840131E-2</v>
      </c>
      <c r="CM119" s="1">
        <f>(1+(N70_DESARROLLO!M34/0.014285714)*LN(N70_DESARROLLO!N34/N70_DESARROLLO!M34))</f>
        <v>-2.9708770995511058E-2</v>
      </c>
      <c r="CN119" s="1">
        <f>(1+(N70_DESARROLLO!N34/0.014285714)*LN(N70_DESARROLLO!O34/N70_DESARROLLO!N34))</f>
        <v>-3.158591082373019E-2</v>
      </c>
      <c r="CO119" s="1">
        <f>(1+(N70_DESARROLLO!O34/0.014285714)*LN(N70_DESARROLLO!P34/N70_DESARROLLO!O34))</f>
        <v>-3.3716325403746916E-2</v>
      </c>
      <c r="CP119" s="1">
        <f>(1+(N70_DESARROLLO!P34/0.014285714)*LN(N70_DESARROLLO!Q34/N70_DESARROLLO!P34))</f>
        <v>-3.6154998464202004E-2</v>
      </c>
      <c r="CQ119" s="1">
        <f>(1+(N70_DESARROLLO!Q34/0.014285714)*LN(N70_DESARROLLO!R34/N70_DESARROLLO!Q34))</f>
        <v>-3.8974076117213929E-2</v>
      </c>
      <c r="CR119" s="1">
        <f>(1+(N70_DESARROLLO!R34/0.014285714)*LN(N70_DESARROLLO!S34/N70_DESARROLLO!R34))</f>
        <v>-4.2270132583541731E-2</v>
      </c>
      <c r="CS119" s="1">
        <f>(1+(N70_DESARROLLO!S34/0.014285714)*LN(N70_DESARROLLO!T34/N70_DESARROLLO!S34))</f>
        <v>-4.6175470289364196E-2</v>
      </c>
      <c r="CT119" s="1">
        <f>(1+(N70_DESARROLLO!T34/0.014285714)*LN(N70_DESARROLLO!U34/N70_DESARROLLO!T34))</f>
        <v>-5.0876335865843281E-2</v>
      </c>
      <c r="CU119" s="1">
        <f>(1+(N70_DESARROLLO!U34/0.014285714)*LN(N70_DESARROLLO!V34/N70_DESARROLLO!U34))</f>
        <v>-5.6643554680002595E-2</v>
      </c>
      <c r="CV119" s="1">
        <f>(1+(N70_DESARROLLO!V34/0.014285714)*LN(N70_DESARROLLO!W34/N70_DESARROLLO!V34))</f>
        <v>-6.3886736386786103E-2</v>
      </c>
      <c r="CW119" s="1">
        <f>(1+(N70_DESARROLLO!W34/0.014285714)*LN(N70_DESARROLLO!X34/N70_DESARROLLO!W34))</f>
        <v>-7.3256348770175395E-2</v>
      </c>
      <c r="CX119" s="1">
        <f>(1+(N70_DESARROLLO!X34/0.014285714)*LN(N70_DESARROLLO!Y34/N70_DESARROLLO!X34))</f>
        <v>-8.5851572027611844E-2</v>
      </c>
      <c r="CY119" s="1">
        <f>(1+(N70_DESARROLLO!Y34/0.014285714)*LN(N70_DESARROLLO!Z34/N70_DESARROLLO!Y34))</f>
        <v>-0.10368884711560877</v>
      </c>
      <c r="CZ119" s="1">
        <f>(1+(N70_DESARROLLO!Z34/0.014285714)*LN(N70_DESARROLLO!AA34/N70_DESARROLLO!Z34))</f>
        <v>-0.13091494988237695</v>
      </c>
      <c r="DA119" s="1">
        <f>(1+(N70_DESARROLLO!AA34/0.014285714)*LN(N70_DESARROLLO!AB34/N70_DESARROLLO!AA34))</f>
        <v>-0.17765285172730327</v>
      </c>
      <c r="DB119" s="1">
        <f>(1+(N70_DESARROLLO!AB34/0.014285714)*LN(N70_DESARROLLO!AC34/N70_DESARROLLO!AB34))</f>
        <v>-0.27706408495625956</v>
      </c>
      <c r="DC119" s="1">
        <f>(1+(N70_DESARROLLO!AC34/0.014285714)*LN(N70_DESARROLLO!AD34/N70_DESARROLLO!AC34))</f>
        <v>-0.64791846596053615</v>
      </c>
      <c r="DD119" s="1">
        <v>1</v>
      </c>
      <c r="DE119" s="1">
        <f>(1+(N70_DESARROLLO!AE34/0.014285714)*LN(N70_DESARROLLO!AF34/N70_DESARROLLO!AE34))</f>
        <v>0.4506938446798211</v>
      </c>
      <c r="DF119" s="1">
        <f>(1+(N70_DESARROLLO!AF34/0.014285714)*LN(N70_DESARROLLO!AG34/N70_DESARROLLO!AF34))</f>
        <v>0.2337615490262468</v>
      </c>
      <c r="DG119" s="1">
        <f>(1+(N70_DESARROLLO!AG34/0.014285714)*LN(N70_DESARROLLO!AH34/N70_DESARROLLO!AG34))</f>
        <v>0.15881939162335523</v>
      </c>
      <c r="DH119" s="1">
        <f>(1+(N70_DESARROLLO!AH34/0.014285714)*LN(N70_DESARROLLO!AI34/N70_DESARROLLO!AH34))</f>
        <v>0.12039948342481821</v>
      </c>
      <c r="DI119" s="1">
        <f>(1+(N70_DESARROLLO!AI34/0.014285714)*LN(N70_DESARROLLO!AJ34/N70_DESARROLLO!AI34))</f>
        <v>9.69818523599566E-2</v>
      </c>
      <c r="DJ119" s="1">
        <f>(1+(N70_DESARROLLO!AJ34/0.014285714)*LN(N70_DESARROLLO!AK34/N70_DESARROLLO!AJ34))</f>
        <v>8.120251597663608E-2</v>
      </c>
      <c r="DK119" s="1">
        <f>(1+(N70_DESARROLLO!AK34/0.014285714)*LN(N70_DESARROLLO!AL34/N70_DESARROLLO!AK34))</f>
        <v>6.9844497732512556E-2</v>
      </c>
      <c r="DL119" s="1">
        <f>(1+(N70_DESARROLLO!AL34/0.014285714)*LN(N70_DESARROLLO!AM34/N70_DESARROLLO!AL34))</f>
        <v>6.1276409070483151E-2</v>
      </c>
      <c r="DM119" s="1">
        <f>(1+(N70_DESARROLLO!AM34/0.014285714)*LN(N70_DESARROLLO!AN34/N70_DESARROLLO!AM34))</f>
        <v>5.4582082654734076E-2</v>
      </c>
      <c r="DN119" s="1">
        <f>(1+(N70_DESARROLLO!AN34/0.014285714)*LN(N70_DESARROLLO!AO34/N70_DESARROLLO!AN34))</f>
        <v>4.9207124692807414E-2</v>
      </c>
      <c r="DO119" s="1">
        <f>(1+(N70_DESARROLLO!AO34/0.014285714)*LN(N70_DESARROLLO!AP34/N70_DESARROLLO!AO34))</f>
        <v>4.4796309735798956E-2</v>
      </c>
      <c r="DP119" s="1">
        <f>(1+(N70_DESARROLLO!AP34/0.014285714)*LN(N70_DESARROLLO!AQ34/N70_DESARROLLO!AP34))</f>
        <v>4.1111478023138415E-2</v>
      </c>
      <c r="DQ119" s="1">
        <f>(1+(N70_DESARROLLO!AQ34/0.014285714)*LN(N70_DESARROLLO!AR34/N70_DESARROLLO!AQ34))</f>
        <v>3.7986966558139379E-2</v>
      </c>
      <c r="DR119" s="1">
        <f>(1+(N70_DESARROLLO!AR34/0.014285714)*LN(N70_DESARROLLO!AS34/N70_DESARROLLO!AR34))</f>
        <v>3.5303966947118459E-2</v>
      </c>
      <c r="DS119" s="1">
        <f>(1+(N70_DESARROLLO!AS34/0.014285714)*LN(N70_DESARROLLO!AT34/N70_DESARROLLO!AS34))</f>
        <v>3.2975050428757702E-2</v>
      </c>
      <c r="DT119" s="1">
        <f>(1+(N70_DESARROLLO!AT34/0.014285714)*LN(N70_DESARROLLO!AU34/N70_DESARROLLO!AT34))</f>
        <v>3.0934447408009769E-2</v>
      </c>
      <c r="DU119" s="1">
        <f>(1+(N70_DESARROLLO!AU34/0.014285714)*LN(N70_DESARROLLO!AV34/N70_DESARROLLO!AU34))</f>
        <v>2.9131730204236872E-2</v>
      </c>
      <c r="DV119" s="1">
        <f>(1+(N70_DESARROLLO!AV34/0.014285714)*LN(N70_DESARROLLO!AW34/N70_DESARROLLO!AV34))</f>
        <v>2.7527585341366678E-2</v>
      </c>
      <c r="DW119" s="1">
        <f>(1+(N70_DESARROLLO!AW34/0.014285714)*LN(N70_DESARROLLO!AX34/N70_DESARROLLO!AW34))</f>
        <v>2.6090911041505627E-2</v>
      </c>
      <c r="DX119" s="1">
        <f>(1+(N70_DESARROLLO!AX34/0.014285714)*LN(N70_DESARROLLO!AY34/N70_DESARROLLO!AX34))</f>
        <v>2.4796779290042203E-2</v>
      </c>
      <c r="DY119" s="1">
        <f>(1+(N70_DESARROLLO!AY34/0.014285714)*LN(N70_DESARROLLO!AZ34/N70_DESARROLLO!AY34))</f>
        <v>2.3624976192774816E-2</v>
      </c>
      <c r="DZ119" s="1">
        <f>(1+(N70_DESARROLLO!AZ34/0.014285714)*LN(N70_DESARROLLO!BA34/N70_DESARROLLO!AZ34))</f>
        <v>2.2558937800898904E-2</v>
      </c>
      <c r="EA119" s="1">
        <f>(1+(N70_DESARROLLO!BA34/0.014285714)*LN(N70_DESARROLLO!BB34/N70_DESARROLLO!BA34))</f>
        <v>2.1584961787569412E-2</v>
      </c>
      <c r="EB119" s="1">
        <f>(1+(N70_DESARROLLO!BB34/0.014285714)*LN(N70_DESARROLLO!BC34/N70_DESARROLLO!BB34))</f>
        <v>2.0691615000487218E-2</v>
      </c>
      <c r="EC119" s="1">
        <f>(1+(N70_DESARROLLO!BC34/0.014285714)*LN(N70_DESARROLLO!BD34/N70_DESARROLLO!BC34))</f>
        <v>1.9869282361749896E-2</v>
      </c>
      <c r="ED119" s="1">
        <f>(1+(N70_DESARROLLO!BD34/0.014285714)*LN(N70_DESARROLLO!BE34/N70_DESARROLLO!BD34))</f>
        <v>1.9109819273400053E-2</v>
      </c>
      <c r="EE119" s="1">
        <f>(1+(N70_DESARROLLO!BE34/0.014285714)*LN(N70_DESARROLLO!BF34/N70_DESARROLLO!BE34))</f>
        <v>1.8406280838869304E-2</v>
      </c>
      <c r="EF119" s="1">
        <f>(1+(N70_DESARROLLO!BF34/0.014285714)*LN(N70_DESARROLLO!BG34/N70_DESARROLLO!BF34))</f>
        <v>1.7752708797880712E-2</v>
      </c>
      <c r="EG119" s="1">
        <f>(1+(N70_DESARROLLO!BG34/0.014285714)*LN(N70_DESARROLLO!BH34/N70_DESARROLLO!BG34))</f>
        <v>1.7143962314557393E-2</v>
      </c>
      <c r="EH119" s="1">
        <f>(1+(N70_DESARROLLO!BH34/0.014285714)*LN(N70_DESARROLLO!BI34/N70_DESARROLLO!BH34))</f>
        <v>1.6575582437549863E-2</v>
      </c>
      <c r="EI119" s="1">
        <f>(1+(N70_DESARROLLO!BI34/0.014285714)*LN(N70_DESARROLLO!BJ34/N70_DESARROLLO!BI34))</f>
        <v>1.6043682665125125E-2</v>
      </c>
      <c r="EJ119" s="1">
        <f>(1+(N70_DESARROLLO!BJ34/0.014285714)*LN(N70_DESARROLLO!BK34/N70_DESARROLLO!BJ34))</f>
        <v>1.5544859931604593E-2</v>
      </c>
      <c r="EK119" s="1">
        <f>(1+(N70_DESARROLLO!BK34/0.014285714)*LN(N70_DESARROLLO!BL34/N70_DESARROLLO!BK34))</f>
        <v>1.5076121703334833E-2</v>
      </c>
      <c r="EL119" s="1">
        <f>(1+(N70_DESARROLLO!BL34/0.014285714)*LN(N70_DESARROLLO!BM34/N70_DESARROLLO!BL34))</f>
        <v>1.4634825881867375E-2</v>
      </c>
      <c r="EM119" s="1">
        <f>(1+(N70_DESARROLLO!BM34/0.014285714)*LN(N70_DESARROLLO!BN34/N70_DESARROLLO!BM34))</f>
        <v>1.4218630964442425E-2</v>
      </c>
      <c r="EN119" s="1">
        <f>(1+(N70_DESARROLLO!BN34/0.014285714)*LN(N70_DESARROLLO!BO34/N70_DESARROLLO!BN34))</f>
        <v>1.3825454475315135E-2</v>
      </c>
      <c r="EO119" s="1">
        <f>(1+(N70_DESARROLLO!BO34/0.014285714)*LN(N70_DESARROLLO!BP34/N70_DESARROLLO!BO34))</f>
        <v>1.3453438110017868E-2</v>
      </c>
      <c r="EP119" s="1">
        <f>(1+(N70_DESARROLLO!BP34/0.014285714)*LN(N70_DESARROLLO!BQ34/N70_DESARROLLO!BP34))</f>
        <v>1.3100918360509306E-2</v>
      </c>
      <c r="EQ119" s="1">
        <f>(1+(N70_DESARROLLO!BQ34/0.014285714)*LN(N70_DESARROLLO!BR34/N70_DESARROLLO!BQ34))</f>
        <v>1.2766401641828296E-2</v>
      </c>
      <c r="ER119" s="1">
        <f>(1+(N70_DESARROLLO!BR34/0.014285714)*LN(N70_DESARROLLO!BS34/N70_DESARROLLO!BR34))</f>
        <v>1.2448543134991996E-2</v>
      </c>
      <c r="ES119" s="1">
        <f>(1+(N70_DESARROLLO!BS34/0.014285714)*LN(N70_DESARROLLO!BT34/N70_DESARROLLO!BS34))</f>
        <v>1.2146128714472515E-2</v>
      </c>
      <c r="ET119" s="1">
        <f>(1+(N70_DESARROLLO!BT34/0.014285714)*LN(N70_DESARROLLO!BU34/N70_DESARROLLO!BT34))</f>
        <v>1.1858059447847902E-2</v>
      </c>
      <c r="EU119" s="1">
        <f>(1+(N70_DESARROLLO!BU34/0.014285714)*LN(N70_DESARROLLO!BV34/N70_DESARROLLO!BU34))</f>
        <v>1.1583338250302444E-2</v>
      </c>
      <c r="EV119" s="1">
        <f>(1+(N70_DESARROLLO!BV34/0.014285714)*LN(N70_DESARROLLO!BW34/N70_DESARROLLO!BV34))</f>
        <v>1.1321058352731117E-2</v>
      </c>
      <c r="EW119" s="1">
        <f>(1+(N70_DESARROLLO!BW34/0.014285714)*LN(N70_DESARROLLO!BX34/N70_DESARROLLO!BW34))</f>
        <v>-19.158769756209214</v>
      </c>
      <c r="EX119" s="10"/>
      <c r="EY119" s="10"/>
    </row>
    <row r="120" spans="7:155" x14ac:dyDescent="0.25">
      <c r="G120" s="3">
        <v>26</v>
      </c>
      <c r="H120" s="3">
        <f>-(N70_DESARROLLO!G35/0.014285714)*LN(N70_DESARROLLO!G35/N70_DESARROLLO!F35)-1</f>
        <v>-1.986928236175689E-2</v>
      </c>
      <c r="I120" s="3">
        <f>-(N70_DESARROLLO!H35/0.014285714)*LN(N70_DESARROLLO!H35/N70_DESARROLLO!G35)-1</f>
        <v>-2.0691615000482555E-2</v>
      </c>
      <c r="J120" s="3">
        <f>-(N70_DESARROLLO!I35/0.014285714)*LN(N70_DESARROLLO!I35/N70_DESARROLLO!H35)-1</f>
        <v>-2.1584961787574075E-2</v>
      </c>
      <c r="K120" s="3">
        <f>-(N70_DESARROLLO!J35/0.014285714)*LN(N70_DESARROLLO!J35/N70_DESARROLLO!I35)-1</f>
        <v>-2.2558937800894574E-2</v>
      </c>
      <c r="L120" s="3">
        <f>-(N70_DESARROLLO!K35/0.014285714)*LN(N70_DESARROLLO!K35/N70_DESARROLLO!J35)-1</f>
        <v>-2.3624976192782587E-2</v>
      </c>
      <c r="M120" s="3">
        <f>-(N70_DESARROLLO!L35/0.014285714)*LN(N70_DESARROLLO!L35/N70_DESARROLLO!K35)-1</f>
        <v>-2.4796779290035542E-2</v>
      </c>
      <c r="N120" s="3">
        <f>-(N70_DESARROLLO!M35/0.014285714)*LN(N70_DESARROLLO!M35/N70_DESARROLLO!L35)-1</f>
        <v>-2.6090911041514842E-2</v>
      </c>
      <c r="O120" s="3">
        <f>-(N70_DESARROLLO!N35/0.014285714)*LN(N70_DESARROLLO!N35/N70_DESARROLLO!M35)-1</f>
        <v>-2.7527585341363126E-2</v>
      </c>
      <c r="P120" s="3">
        <f>-(N70_DESARROLLO!O35/0.014285714)*LN(N70_DESARROLLO!O35/N70_DESARROLLO!N35)-1</f>
        <v>-2.913173020423232E-2</v>
      </c>
      <c r="Q120" s="3">
        <f>-(N70_DESARROLLO!P35/0.014285714)*LN(N70_DESARROLLO!P35/N70_DESARROLLO!O35)-1</f>
        <v>-3.0934447408010879E-2</v>
      </c>
      <c r="R120" s="3">
        <f>-(N70_DESARROLLO!Q35/0.014285714)*LN(N70_DESARROLLO!Q35/N70_DESARROLLO!P35)-1</f>
        <v>-3.2975050428752706E-2</v>
      </c>
      <c r="S120" s="3">
        <f>-(N70_DESARROLLO!R35/0.014285714)*LN(N70_DESARROLLO!R35/N70_DESARROLLO!Q35)-1</f>
        <v>-3.5303966947122012E-2</v>
      </c>
      <c r="T120" s="3">
        <f>-(N70_DESARROLLO!S35/0.014285714)*LN(N70_DESARROLLO!S35/N70_DESARROLLO!R35)-1</f>
        <v>-3.7986966558135049E-2</v>
      </c>
      <c r="U120" s="3">
        <f>-(N70_DESARROLLO!T35/0.014285714)*LN(N70_DESARROLLO!T35/N70_DESARROLLO!S35)-1</f>
        <v>-4.1111478023144077E-2</v>
      </c>
      <c r="V120" s="3">
        <f>-(N70_DESARROLLO!U35/0.014285714)*LN(N70_DESARROLLO!U35/N70_DESARROLLO!T35)-1</f>
        <v>-4.4796309735794848E-2</v>
      </c>
      <c r="W120" s="3">
        <f>-(N70_DESARROLLO!V35/0.014285714)*LN(N70_DESARROLLO!V35/N70_DESARROLLO!U35)-1</f>
        <v>-4.9207124692808191E-2</v>
      </c>
      <c r="X120" s="3">
        <f>-(N70_DESARROLLO!W35/0.014285714)*LN(N70_DESARROLLO!W35/N70_DESARROLLO!V35)-1</f>
        <v>-5.4582082654734076E-2</v>
      </c>
      <c r="Y120" s="3">
        <f>-(N70_DESARROLLO!X35/0.014285714)*LN(N70_DESARROLLO!X35/N70_DESARROLLO!W35)-1</f>
        <v>-6.1276409070484039E-2</v>
      </c>
      <c r="Z120" s="3">
        <f>-(N70_DESARROLLO!Y35/0.014285714)*LN(N70_DESARROLLO!Y35/N70_DESARROLLO!X35)-1</f>
        <v>-6.9844497732512889E-2</v>
      </c>
      <c r="AA120" s="3">
        <f>-(N70_DESARROLLO!Z35/0.014285714)*LN(N70_DESARROLLO!Z35/N70_DESARROLLO!Y35)-1</f>
        <v>-8.1202515976635414E-2</v>
      </c>
      <c r="AB120" s="3">
        <f>-(N70_DESARROLLO!AA35/0.014285714)*LN(N70_DESARROLLO!AA35/N70_DESARROLLO!Z35)-1</f>
        <v>-9.6981852359956267E-2</v>
      </c>
      <c r="AC120" s="3">
        <f>-(N70_DESARROLLO!AB35/0.014285714)*LN(N70_DESARROLLO!AB35/N70_DESARROLLO!AA35)-1</f>
        <v>-0.1203994834248181</v>
      </c>
      <c r="AD120" s="3">
        <f>-(N70_DESARROLLO!AC35/0.014285714)*LN(N70_DESARROLLO!AC35/N70_DESARROLLO!AB35)-1</f>
        <v>-0.15881939162335512</v>
      </c>
      <c r="AE120" s="3">
        <f>-(N70_DESARROLLO!AD35/0.014285714)*LN(N70_DESARROLLO!AD35/N70_DESARROLLO!AC35)-1</f>
        <v>-0.23376154902624446</v>
      </c>
      <c r="AF120" s="3">
        <f>-(N70_DESARROLLO!AE35/0.014285714)*LN(N70_DESARROLLO!AE35/N70_DESARROLLO!AD35)-1</f>
        <v>-0.4506938446798211</v>
      </c>
      <c r="AG120" s="3">
        <v>-1</v>
      </c>
      <c r="AH120" s="3">
        <f>-(N70_DESARROLLO!AG35/0.014285714)*LN(N70_DESARROLLO!AG35/N70_DESARROLLO!AF35)-1</f>
        <v>0.64791846596052816</v>
      </c>
      <c r="AI120" s="3">
        <f>-(N70_DESARROLLO!AH35/0.014285714)*LN(N70_DESARROLLO!AH35/N70_DESARROLLO!AG35)-1</f>
        <v>0.27706408495625956</v>
      </c>
      <c r="AJ120" s="3">
        <f>-(N70_DESARROLLO!AI35/0.014285714)*LN(N70_DESARROLLO!AI35/N70_DESARROLLO!AH35)-1</f>
        <v>0.17765285172730327</v>
      </c>
      <c r="AK120" s="3">
        <f>-(N70_DESARROLLO!AJ35/0.014285714)*LN(N70_DESARROLLO!AJ35/N70_DESARROLLO!AI35)-1</f>
        <v>0.13091494988237717</v>
      </c>
      <c r="AL120" s="3">
        <f>-(N70_DESARROLLO!AK35/0.014285714)*LN(N70_DESARROLLO!AK35/N70_DESARROLLO!AJ35)-1</f>
        <v>0.103688847115609</v>
      </c>
      <c r="AM120" s="3">
        <f>-(N70_DESARROLLO!AL35/0.014285714)*LN(N70_DESARROLLO!AL35/N70_DESARROLLO!AK35)-1</f>
        <v>8.5851572027612733E-2</v>
      </c>
      <c r="AN120" s="3">
        <f>-(N70_DESARROLLO!AM35/0.014285714)*LN(N70_DESARROLLO!AM35/N70_DESARROLLO!AL35)-1</f>
        <v>7.3256348770177393E-2</v>
      </c>
      <c r="AO120" s="3">
        <f>-(N70_DESARROLLO!AN35/0.014285714)*LN(N70_DESARROLLO!AN35/N70_DESARROLLO!AM35)-1</f>
        <v>6.3886736386786769E-2</v>
      </c>
      <c r="AP120" s="3">
        <f>-(N70_DESARROLLO!AO35/0.014285714)*LN(N70_DESARROLLO!AO35/N70_DESARROLLO!AN35)-1</f>
        <v>5.6643554680002595E-2</v>
      </c>
      <c r="AQ120" s="3">
        <f>-(N70_DESARROLLO!AP35/0.014285714)*LN(N70_DESARROLLO!AP35/N70_DESARROLLO!AO35)-1</f>
        <v>5.0876335865839506E-2</v>
      </c>
      <c r="AR120" s="3">
        <f>-(N70_DESARROLLO!AQ35/0.014285714)*LN(N70_DESARROLLO!AQ35/N70_DESARROLLO!AP35)-1</f>
        <v>4.6175470289372189E-2</v>
      </c>
      <c r="AS120" s="3">
        <f>-(N70_DESARROLLO!AR35/0.014285714)*LN(N70_DESARROLLO!AR35/N70_DESARROLLO!AQ35)-1</f>
        <v>4.227013258353729E-2</v>
      </c>
      <c r="AT120" s="3">
        <f>-(N70_DESARROLLO!AS35/0.014285714)*LN(N70_DESARROLLO!AS35/N70_DESARROLLO!AR35)-1</f>
        <v>3.8974076117217482E-2</v>
      </c>
      <c r="AU120" s="3">
        <f>-(N70_DESARROLLO!AT35/0.014285714)*LN(N70_DESARROLLO!AT35/N70_DESARROLLO!AS35)-1</f>
        <v>3.6154998464196897E-2</v>
      </c>
      <c r="AV120" s="3">
        <f>-(N70_DESARROLLO!AU35/0.014285714)*LN(N70_DESARROLLO!AU35/N70_DESARROLLO!AT35)-1</f>
        <v>3.3716325403751135E-2</v>
      </c>
      <c r="AW120" s="3">
        <f>-(N70_DESARROLLO!AV35/0.014285714)*LN(N70_DESARROLLO!AV35/N70_DESARROLLO!AU35)-1</f>
        <v>3.1585910823724417E-2</v>
      </c>
      <c r="AX120" s="3">
        <f>-(N70_DESARROLLO!AW35/0.014285714)*LN(N70_DESARROLLO!AW35/N70_DESARROLLO!AV35)-1</f>
        <v>2.9708770995505729E-2</v>
      </c>
      <c r="AY120" s="3">
        <f>-(N70_DESARROLLO!AX35/0.014285714)*LN(N70_DESARROLLO!AX35/N70_DESARROLLO!AW35)-1</f>
        <v>2.8042266924848569E-2</v>
      </c>
      <c r="AZ120" s="3">
        <f>-(N70_DESARROLLO!AY35/0.014285714)*LN(N70_DESARROLLO!AY35/N70_DESARROLLO!AX35)-1</f>
        <v>2.6552823496782674E-2</v>
      </c>
      <c r="BA120" s="3">
        <f>-(N70_DESARROLLO!AZ35/0.014285714)*LN(N70_DESARROLLO!AZ35/N70_DESARROLLO!AY35)-1</f>
        <v>2.5213642284835913E-2</v>
      </c>
      <c r="BB120" s="3">
        <f>-(N70_DESARROLLO!BA35/0.014285714)*LN(N70_DESARROLLO!BA35/N70_DESARROLLO!AZ35)-1</f>
        <v>2.4003073749031767E-2</v>
      </c>
      <c r="BC120" s="3">
        <f>-(N70_DESARROLLO!BB35/0.014285714)*LN(N70_DESARROLLO!BB35/N70_DESARROLLO!BA35)-1</f>
        <v>2.2903437185115338E-2</v>
      </c>
      <c r="BD120" s="3">
        <f>-(N70_DESARROLLO!BC35/0.014285714)*LN(N70_DESARROLLO!BC35/N70_DESARROLLO!BB35)-1</f>
        <v>2.1900151021861713E-2</v>
      </c>
      <c r="BE120" s="3">
        <f>-(N70_DESARROLLO!BD35/0.014285714)*LN(N70_DESARROLLO!BD35/N70_DESARROLLO!BC35)-1</f>
        <v>2.0981082233544779E-2</v>
      </c>
      <c r="BF120" s="3">
        <f>-(N70_DESARROLLO!BE35/0.014285714)*LN(N70_DESARROLLO!BE35/N70_DESARROLLO!BD35)-1</f>
        <v>2.0136053052045133E-2</v>
      </c>
      <c r="BG120" s="3">
        <f>-(N70_DESARROLLO!BF35/0.014285714)*LN(N70_DESARROLLO!BF35/N70_DESARROLLO!BE35)-1</f>
        <v>1.9356462323727008E-2</v>
      </c>
      <c r="BH120" s="3">
        <f>-(N70_DESARROLLO!BG35/0.014285714)*LN(N70_DESARROLLO!BG35/N70_DESARROLLO!BF35)-1</f>
        <v>1.8634991582293425E-2</v>
      </c>
      <c r="BI120" s="3">
        <f>-(N70_DESARROLLO!BH35/0.014285714)*LN(N70_DESARROLLO!BH35/N70_DESARROLLO!BG35)-1</f>
        <v>1.7965374518559729E-2</v>
      </c>
      <c r="BJ120" s="3">
        <f>-(N70_DESARROLLO!BI35/0.014285714)*LN(N70_DESARROLLO!BI35/N70_DESARROLLO!BH35)-1</f>
        <v>1.7342214446341542E-2</v>
      </c>
      <c r="BK120" s="3">
        <f>-(N70_DESARROLLO!BJ35/0.014285714)*LN(N70_DESARROLLO!BJ35/N70_DESARROLLO!BI35)-1</f>
        <v>1.6760838496763686E-2</v>
      </c>
      <c r="BL120" s="3">
        <f>-(N70_DESARROLLO!BK35/0.014285714)*LN(N70_DESARROLLO!BK35/N70_DESARROLLO!BJ35)-1</f>
        <v>1.6217180198319969E-2</v>
      </c>
      <c r="BM120" s="3">
        <f>-(N70_DESARROLLO!BL35/0.014285714)*LN(N70_DESARROLLO!BL35/N70_DESARROLLO!BK35)-1</f>
        <v>1.5707684197543648E-2</v>
      </c>
      <c r="BN120" s="3">
        <f>-(N70_DESARROLLO!BM35/0.014285714)*LN(N70_DESARROLLO!BM35/N70_DESARROLLO!BL35)-1</f>
        <v>1.5229228398107919E-2</v>
      </c>
      <c r="BO120" s="3">
        <f>-(N70_DESARROLLO!BN35/0.014285714)*LN(N70_DESARROLLO!BN35/N70_DESARROLLO!BM35)-1</f>
        <v>1.4779059912696013E-2</v>
      </c>
      <c r="BP120" s="3">
        <f>-(N70_DESARROLLO!BO35/0.014285714)*LN(N70_DESARROLLO!BO35/N70_DESARROLLO!BN35)-1</f>
        <v>1.4354742051088776E-2</v>
      </c>
      <c r="BQ120" s="3">
        <f>-(N70_DESARROLLO!BP35/0.014285714)*LN(N70_DESARROLLO!BP35/N70_DESARROLLO!BO35)-1</f>
        <v>1.395411018734416E-2</v>
      </c>
      <c r="BR120" s="3">
        <f>-(N70_DESARROLLO!BQ35/0.014285714)*LN(N70_DESARROLLO!BQ35/N70_DESARROLLO!BP35)-1</f>
        <v>1.3575234818482773E-2</v>
      </c>
      <c r="BS120" s="3">
        <f>-(N70_DESARROLLO!BR35/0.014285714)*LN(N70_DESARROLLO!BR35/N70_DESARROLLO!BQ35)-1</f>
        <v>1.3216390483202112E-2</v>
      </c>
      <c r="BT120" s="3">
        <f>-(N70_DESARROLLO!BS35/0.014285714)*LN(N70_DESARROLLO!BS35/N70_DESARROLLO!BR35)-1</f>
        <v>1.2876029484357732E-2</v>
      </c>
      <c r="BU120" s="3">
        <f>-(N70_DESARROLLO!BT35/0.014285714)*LN(N70_DESARROLLO!BT35/N70_DESARROLLO!BS35)-1</f>
        <v>1.2552759570459759E-2</v>
      </c>
      <c r="BV120" s="3">
        <f>-(N70_DESARROLLO!BU35/0.014285714)*LN(N70_DESARROLLO!BU35/N70_DESARROLLO!BT35)-1</f>
        <v>1.224532489750696E-2</v>
      </c>
      <c r="BW120" s="3">
        <f>-(N70_DESARROLLO!BV35/0.014285714)*LN(N70_DESARROLLO!BV35/N70_DESARROLLO!BU35)-1</f>
        <v>1.1952589722092455E-2</v>
      </c>
      <c r="BX120" s="3">
        <f>-(N70_DESARROLLO!BW35/0.014285714)*LN(N70_DESARROLLO!BW35/N70_DESARROLLO!BV35)-1</f>
        <v>1.1673524379092637E-2</v>
      </c>
      <c r="BY120" s="3">
        <f>-(N70_DESARROLLO!BX35/0.014285714)*LN(N70_DESARROLLO!BX35/N70_DESARROLLO!BW35)-1</f>
        <v>32.30140194285849</v>
      </c>
      <c r="BZ120" s="10"/>
      <c r="CA120" s="10"/>
      <c r="CB120" s="10"/>
      <c r="CC120" s="10"/>
      <c r="CD120" s="1">
        <v>26</v>
      </c>
      <c r="CE120" s="1">
        <v>0</v>
      </c>
      <c r="CF120" s="1">
        <f>(1+(N70_DESARROLLO!F35/0.014285714)*LN(N70_DESARROLLO!G35/N70_DESARROLLO!F35))</f>
        <v>-2.0136053052048908E-2</v>
      </c>
      <c r="CG120" s="1">
        <f>(1+(N70_DESARROLLO!G35/0.014285714)*LN(N70_DESARROLLO!H35/N70_DESARROLLO!G35))</f>
        <v>-2.098108223353945E-2</v>
      </c>
      <c r="CH120" s="1">
        <f>(1+(N70_DESARROLLO!H35/0.014285714)*LN(N70_DESARROLLO!I35/N70_DESARROLLO!H35))</f>
        <v>-2.1900151021867043E-2</v>
      </c>
      <c r="CI120" s="1">
        <f>(1+(N70_DESARROLLO!I35/0.014285714)*LN(N70_DESARROLLO!J35/N70_DESARROLLO!I35))</f>
        <v>-2.2903437185110453E-2</v>
      </c>
      <c r="CJ120" s="1">
        <f>(1+(N70_DESARROLLO!J35/0.014285714)*LN(N70_DESARROLLO!K35/N70_DESARROLLO!J35))</f>
        <v>-2.4003073749032877E-2</v>
      </c>
      <c r="CK120" s="1">
        <f>(1+(N70_DESARROLLO!K35/0.014285714)*LN(N70_DESARROLLO!L35/N70_DESARROLLO!K35))</f>
        <v>-2.5213642284834581E-2</v>
      </c>
      <c r="CL120" s="1">
        <f>(1+(N70_DESARROLLO!L35/0.014285714)*LN(N70_DESARROLLO!M35/N70_DESARROLLO!L35))</f>
        <v>-2.6552823496781341E-2</v>
      </c>
      <c r="CM120" s="1">
        <f>(1+(N70_DESARROLLO!M35/0.014285714)*LN(N70_DESARROLLO!N35/N70_DESARROLLO!M35))</f>
        <v>-2.8042266924844794E-2</v>
      </c>
      <c r="CN120" s="1">
        <f>(1+(N70_DESARROLLO!N35/0.014285714)*LN(N70_DESARROLLO!O35/N70_DESARROLLO!N35))</f>
        <v>-2.970877099551128E-2</v>
      </c>
      <c r="CO120" s="1">
        <f>(1+(N70_DESARROLLO!O35/0.014285714)*LN(N70_DESARROLLO!P35/N70_DESARROLLO!O35))</f>
        <v>-3.1585910823730412E-2</v>
      </c>
      <c r="CP120" s="1">
        <f>(1+(N70_DESARROLLO!P35/0.014285714)*LN(N70_DESARROLLO!Q35/N70_DESARROLLO!P35))</f>
        <v>-3.3716325403747138E-2</v>
      </c>
      <c r="CQ120" s="1">
        <f>(1+(N70_DESARROLLO!Q35/0.014285714)*LN(N70_DESARROLLO!R35/N70_DESARROLLO!Q35))</f>
        <v>-3.6154998464202448E-2</v>
      </c>
      <c r="CR120" s="1">
        <f>(1+(N70_DESARROLLO!R35/0.014285714)*LN(N70_DESARROLLO!S35/N70_DESARROLLO!R35))</f>
        <v>-3.8974076117214151E-2</v>
      </c>
      <c r="CS120" s="1">
        <f>(1+(N70_DESARROLLO!S35/0.014285714)*LN(N70_DESARROLLO!T35/N70_DESARROLLO!S35))</f>
        <v>-4.2270132583539066E-2</v>
      </c>
      <c r="CT120" s="1">
        <f>(1+(N70_DESARROLLO!T35/0.014285714)*LN(N70_DESARROLLO!U35/N70_DESARROLLO!T35))</f>
        <v>-4.6175470289367526E-2</v>
      </c>
      <c r="CU120" s="1">
        <f>(1+(N70_DESARROLLO!U35/0.014285714)*LN(N70_DESARROLLO!V35/N70_DESARROLLO!U35))</f>
        <v>-5.0876335865843725E-2</v>
      </c>
      <c r="CV120" s="1">
        <f>(1+(N70_DESARROLLO!V35/0.014285714)*LN(N70_DESARROLLO!W35/N70_DESARROLLO!V35))</f>
        <v>-5.6643554680003039E-2</v>
      </c>
      <c r="CW120" s="1">
        <f>(1+(N70_DESARROLLO!W35/0.014285714)*LN(N70_DESARROLLO!X35/N70_DESARROLLO!W35))</f>
        <v>-6.3886736386784548E-2</v>
      </c>
      <c r="CX120" s="1">
        <f>(1+(N70_DESARROLLO!X35/0.014285714)*LN(N70_DESARROLLO!Y35/N70_DESARROLLO!X35))</f>
        <v>-7.3256348770177393E-2</v>
      </c>
      <c r="CY120" s="1">
        <f>(1+(N70_DESARROLLO!Y35/0.014285714)*LN(N70_DESARROLLO!Z35/N70_DESARROLLO!Y35))</f>
        <v>-8.585157202761251E-2</v>
      </c>
      <c r="CZ120" s="1">
        <f>(1+(N70_DESARROLLO!Z35/0.014285714)*LN(N70_DESARROLLO!AA35/N70_DESARROLLO!Z35))</f>
        <v>-0.10368884711560877</v>
      </c>
      <c r="DA120" s="1">
        <f>(1+(N70_DESARROLLO!AA35/0.014285714)*LN(N70_DESARROLLO!AB35/N70_DESARROLLO!AA35))</f>
        <v>-0.13091494988237673</v>
      </c>
      <c r="DB120" s="1">
        <f>(1+(N70_DESARROLLO!AB35/0.014285714)*LN(N70_DESARROLLO!AC35/N70_DESARROLLO!AB35))</f>
        <v>-0.17765285172730261</v>
      </c>
      <c r="DC120" s="1">
        <f>(1+(N70_DESARROLLO!AC35/0.014285714)*LN(N70_DESARROLLO!AD35/N70_DESARROLLO!AC35))</f>
        <v>-0.27706408495625845</v>
      </c>
      <c r="DD120" s="1">
        <f>(1+(N70_DESARROLLO!AD35/0.014285714)*LN(N70_DESARROLLO!AE35/N70_DESARROLLO!AD35))</f>
        <v>-0.64791846596053282</v>
      </c>
      <c r="DE120" s="1">
        <v>1</v>
      </c>
      <c r="DF120" s="1">
        <f>(1+(N70_DESARROLLO!AF35/0.014285714)*LN(N70_DESARROLLO!AG35/N70_DESARROLLO!AF35))</f>
        <v>0.45069384467982399</v>
      </c>
      <c r="DG120" s="1">
        <f>(1+(N70_DESARROLLO!AG35/0.014285714)*LN(N70_DESARROLLO!AH35/N70_DESARROLLO!AG35))</f>
        <v>0.23376154902624535</v>
      </c>
      <c r="DH120" s="1">
        <f>(1+(N70_DESARROLLO!AH35/0.014285714)*LN(N70_DESARROLLO!AI35/N70_DESARROLLO!AH35))</f>
        <v>0.15881939162335523</v>
      </c>
      <c r="DI120" s="1">
        <f>(1+(N70_DESARROLLO!AI35/0.014285714)*LN(N70_DESARROLLO!AJ35/N70_DESARROLLO!AI35))</f>
        <v>0.1203994834248181</v>
      </c>
      <c r="DJ120" s="1">
        <f>(1+(N70_DESARROLLO!AJ35/0.014285714)*LN(N70_DESARROLLO!AK35/N70_DESARROLLO!AJ35))</f>
        <v>9.6981852359956489E-2</v>
      </c>
      <c r="DK120" s="1">
        <f>(1+(N70_DESARROLLO!AK35/0.014285714)*LN(N70_DESARROLLO!AL35/N70_DESARROLLO!AK35))</f>
        <v>8.1202515976635636E-2</v>
      </c>
      <c r="DL120" s="1">
        <f>(1+(N70_DESARROLLO!AL35/0.014285714)*LN(N70_DESARROLLO!AM35/N70_DESARROLLO!AL35))</f>
        <v>6.9844497732513111E-2</v>
      </c>
      <c r="DM120" s="1">
        <f>(1+(N70_DESARROLLO!AM35/0.014285714)*LN(N70_DESARROLLO!AN35/N70_DESARROLLO!AM35))</f>
        <v>6.1276409070482152E-2</v>
      </c>
      <c r="DN120" s="1">
        <f>(1+(N70_DESARROLLO!AN35/0.014285714)*LN(N70_DESARROLLO!AO35/N70_DESARROLLO!AN35))</f>
        <v>5.4582082654734632E-2</v>
      </c>
      <c r="DO120" s="1">
        <f>(1+(N70_DESARROLLO!AO35/0.014285714)*LN(N70_DESARROLLO!AP35/N70_DESARROLLO!AO35))</f>
        <v>4.9207124692811632E-2</v>
      </c>
      <c r="DP120" s="1">
        <f>(1+(N70_DESARROLLO!AP35/0.014285714)*LN(N70_DESARROLLO!AQ35/N70_DESARROLLO!AP35))</f>
        <v>4.4796309735791184E-2</v>
      </c>
      <c r="DQ120" s="1">
        <f>(1+(N70_DESARROLLO!AQ35/0.014285714)*LN(N70_DESARROLLO!AR35/N70_DESARROLLO!AQ35))</f>
        <v>4.1111478023145409E-2</v>
      </c>
      <c r="DR120" s="1">
        <f>(1+(N70_DESARROLLO!AR35/0.014285714)*LN(N70_DESARROLLO!AS35/N70_DESARROLLO!AR35))</f>
        <v>3.7986966558132274E-2</v>
      </c>
      <c r="DS120" s="1">
        <f>(1+(N70_DESARROLLO!AS35/0.014285714)*LN(N70_DESARROLLO!AT35/N70_DESARROLLO!AS35))</f>
        <v>3.5303966947126675E-2</v>
      </c>
      <c r="DT120" s="1">
        <f>(1+(N70_DESARROLLO!AT35/0.014285714)*LN(N70_DESARROLLO!AU35/N70_DESARROLLO!AT35))</f>
        <v>3.2975050428749264E-2</v>
      </c>
      <c r="DU120" s="1">
        <f>(1+(N70_DESARROLLO!AU35/0.014285714)*LN(N70_DESARROLLO!AV35/N70_DESARROLLO!AU35))</f>
        <v>3.0934447408016319E-2</v>
      </c>
      <c r="DV120" s="1">
        <f>(1+(N70_DESARROLLO!AV35/0.014285714)*LN(N70_DESARROLLO!AW35/N70_DESARROLLO!AV35))</f>
        <v>2.9131730204237316E-2</v>
      </c>
      <c r="DW120" s="1">
        <f>(1+(N70_DESARROLLO!AW35/0.014285714)*LN(N70_DESARROLLO!AX35/N70_DESARROLLO!AW35))</f>
        <v>2.7527585341359684E-2</v>
      </c>
      <c r="DX120" s="1">
        <f>(1+(N70_DESARROLLO!AX35/0.014285714)*LN(N70_DESARROLLO!AY35/N70_DESARROLLO!AX35))</f>
        <v>2.6090911041513509E-2</v>
      </c>
      <c r="DY120" s="1">
        <f>(1+(N70_DESARROLLO!AY35/0.014285714)*LN(N70_DESARROLLO!AZ35/N70_DESARROLLO!AY35))</f>
        <v>2.4796779290034321E-2</v>
      </c>
      <c r="DZ120" s="1">
        <f>(1+(N70_DESARROLLO!AZ35/0.014285714)*LN(N70_DESARROLLO!BA35/N70_DESARROLLO!AZ35))</f>
        <v>2.3624976192783476E-2</v>
      </c>
      <c r="EA120" s="1">
        <f>(1+(N70_DESARROLLO!BA35/0.014285714)*LN(N70_DESARROLLO!BB35/N70_DESARROLLO!BA35))</f>
        <v>2.2558937800890022E-2</v>
      </c>
      <c r="EB120" s="1">
        <f>(1+(N70_DESARROLLO!BB35/0.014285714)*LN(N70_DESARROLLO!BC35/N70_DESARROLLO!BB35))</f>
        <v>2.1584961787579071E-2</v>
      </c>
      <c r="EC120" s="1">
        <f>(1+(N70_DESARROLLO!BC35/0.014285714)*LN(N70_DESARROLLO!BD35/N70_DESARROLLO!BC35))</f>
        <v>2.0691615000477559E-2</v>
      </c>
      <c r="ED120" s="1">
        <f>(1+(N70_DESARROLLO!BD35/0.014285714)*LN(N70_DESARROLLO!BE35/N70_DESARROLLO!BD35))</f>
        <v>1.9869282361760443E-2</v>
      </c>
      <c r="EE120" s="1">
        <f>(1+(N70_DESARROLLO!BE35/0.014285714)*LN(N70_DESARROLLO!BF35/N70_DESARROLLO!BE35))</f>
        <v>1.9109819273394835E-2</v>
      </c>
      <c r="EF120" s="1">
        <f>(1+(N70_DESARROLLO!BF35/0.014285714)*LN(N70_DESARROLLO!BG35/N70_DESARROLLO!BF35))</f>
        <v>1.840628083888074E-2</v>
      </c>
      <c r="EG120" s="1">
        <f>(1+(N70_DESARROLLO!BG35/0.014285714)*LN(N70_DESARROLLO!BH35/N70_DESARROLLO!BG35))</f>
        <v>1.7752708797881045E-2</v>
      </c>
      <c r="EH120" s="1">
        <f>(1+(N70_DESARROLLO!BH35/0.014285714)*LN(N70_DESARROLLO!BI35/N70_DESARROLLO!BH35))</f>
        <v>1.7143962314551509E-2</v>
      </c>
      <c r="EI120" s="1">
        <f>(1+(N70_DESARROLLO!BI35/0.014285714)*LN(N70_DESARROLLO!BJ35/N70_DESARROLLO!BI35))</f>
        <v>1.6575582437556191E-2</v>
      </c>
      <c r="EJ120" s="1">
        <f>(1+(N70_DESARROLLO!BJ35/0.014285714)*LN(N70_DESARROLLO!BK35/N70_DESARROLLO!BJ35))</f>
        <v>1.6043682665118908E-2</v>
      </c>
      <c r="EK120" s="1">
        <f>(1+(N70_DESARROLLO!BK35/0.014285714)*LN(N70_DESARROLLO!BL35/N70_DESARROLLO!BK35))</f>
        <v>1.5544859931611366E-2</v>
      </c>
      <c r="EL120" s="1">
        <f>(1+(N70_DESARROLLO!BL35/0.014285714)*LN(N70_DESARROLLO!BM35/N70_DESARROLLO!BL35))</f>
        <v>1.5076121703328282E-2</v>
      </c>
      <c r="EM120" s="1">
        <f>(1+(N70_DESARROLLO!BM35/0.014285714)*LN(N70_DESARROLLO!BN35/N70_DESARROLLO!BM35))</f>
        <v>1.4634825881874591E-2</v>
      </c>
      <c r="EN120" s="1">
        <f>(1+(N70_DESARROLLO!BN35/0.014285714)*LN(N70_DESARROLLO!BO35/N70_DESARROLLO!BN35))</f>
        <v>1.4218630964435208E-2</v>
      </c>
      <c r="EO120" s="1">
        <f>(1+(N70_DESARROLLO!BO35/0.014285714)*LN(N70_DESARROLLO!BP35/N70_DESARROLLO!BO35))</f>
        <v>1.3825454475322685E-2</v>
      </c>
      <c r="EP120" s="1">
        <f>(1+(N70_DESARROLLO!BP35/0.014285714)*LN(N70_DESARROLLO!BQ35/N70_DESARROLLO!BP35))</f>
        <v>1.3453438110010096E-2</v>
      </c>
      <c r="EQ120" s="1">
        <f>(1+(N70_DESARROLLO!BQ35/0.014285714)*LN(N70_DESARROLLO!BR35/N70_DESARROLLO!BQ35))</f>
        <v>1.3100918360517522E-2</v>
      </c>
      <c r="ER120" s="1">
        <f>(1+(N70_DESARROLLO!BR35/0.014285714)*LN(N70_DESARROLLO!BS35/N70_DESARROLLO!BR35))</f>
        <v>1.2766401641828407E-2</v>
      </c>
      <c r="ES120" s="1">
        <f>(1+(N70_DESARROLLO!BS35/0.014285714)*LN(N70_DESARROLLO!BT35/N70_DESARROLLO!BS35))</f>
        <v>1.2448543134983669E-2</v>
      </c>
      <c r="ET120" s="1">
        <f>(1+(N70_DESARROLLO!BT35/0.014285714)*LN(N70_DESARROLLO!BU35/N70_DESARROLLO!BT35))</f>
        <v>1.2146128714481286E-2</v>
      </c>
      <c r="EU120" s="1">
        <f>(1+(N70_DESARROLLO!BU35/0.014285714)*LN(N70_DESARROLLO!BV35/N70_DESARROLLO!BU35))</f>
        <v>1.1858059447839131E-2</v>
      </c>
      <c r="EV120" s="1">
        <f>(1+(N70_DESARROLLO!BV35/0.014285714)*LN(N70_DESARROLLO!BW35/N70_DESARROLLO!BV35))</f>
        <v>1.1583338250311548E-2</v>
      </c>
      <c r="EW120" s="1">
        <f>(1+(N70_DESARROLLO!BW35/0.014285714)*LN(N70_DESARROLLO!BX35/N70_DESARROLLO!BW35))</f>
        <v>-19.694442635919199</v>
      </c>
      <c r="EX120" s="10"/>
      <c r="EY120" s="10"/>
    </row>
    <row r="121" spans="7:155" x14ac:dyDescent="0.25">
      <c r="G121" s="3">
        <v>27</v>
      </c>
      <c r="H121" s="3">
        <f>-(N70_DESARROLLO!G36/0.014285714)*LN(N70_DESARROLLO!G36/N70_DESARROLLO!F36)-1</f>
        <v>-1.9109819273397055E-2</v>
      </c>
      <c r="I121" s="3">
        <f>-(N70_DESARROLLO!H36/0.014285714)*LN(N70_DESARROLLO!H36/N70_DESARROLLO!G36)-1</f>
        <v>-1.9869282361757001E-2</v>
      </c>
      <c r="J121" s="3">
        <f>-(N70_DESARROLLO!I36/0.014285714)*LN(N70_DESARROLLO!I36/N70_DESARROLLO!H36)-1</f>
        <v>-2.0691615000482666E-2</v>
      </c>
      <c r="K121" s="3">
        <f>-(N70_DESARROLLO!J36/0.014285714)*LN(N70_DESARROLLO!J36/N70_DESARROLLO!I36)-1</f>
        <v>-2.1584961787574186E-2</v>
      </c>
      <c r="L121" s="3">
        <f>-(N70_DESARROLLO!K36/0.014285714)*LN(N70_DESARROLLO!K36/N70_DESARROLLO!J36)-1</f>
        <v>-2.2558937800899459E-2</v>
      </c>
      <c r="M121" s="3">
        <f>-(N70_DESARROLLO!L36/0.014285714)*LN(N70_DESARROLLO!L36/N70_DESARROLLO!K36)-1</f>
        <v>-2.3624976192775815E-2</v>
      </c>
      <c r="N121" s="3">
        <f>-(N70_DESARROLLO!M36/0.014285714)*LN(N70_DESARROLLO!M36/N70_DESARROLLO!L36)-1</f>
        <v>-2.4796779290042426E-2</v>
      </c>
      <c r="O121" s="3">
        <f>-(N70_DESARROLLO!N36/0.014285714)*LN(N70_DESARROLLO!N36/N70_DESARROLLO!M36)-1</f>
        <v>-2.6090911041510623E-2</v>
      </c>
      <c r="P121" s="3">
        <f>-(N70_DESARROLLO!O36/0.014285714)*LN(N70_DESARROLLO!O36/N70_DESARROLLO!N36)-1</f>
        <v>-2.7527585341363237E-2</v>
      </c>
      <c r="Q121" s="3">
        <f>-(N70_DESARROLLO!P36/0.014285714)*LN(N70_DESARROLLO!P36/N70_DESARROLLO!O36)-1</f>
        <v>-2.9131730204232431E-2</v>
      </c>
      <c r="R121" s="3">
        <f>-(N70_DESARROLLO!Q36/0.014285714)*LN(N70_DESARROLLO!Q36/N70_DESARROLLO!P36)-1</f>
        <v>-3.0934447408011101E-2</v>
      </c>
      <c r="S121" s="3">
        <f>-(N70_DESARROLLO!R36/0.014285714)*LN(N70_DESARROLLO!R36/N70_DESARROLLO!Q36)-1</f>
        <v>-3.2975050428753039E-2</v>
      </c>
      <c r="T121" s="3">
        <f>-(N70_DESARROLLO!S36/0.014285714)*LN(N70_DESARROLLO!S36/N70_DESARROLLO!R36)-1</f>
        <v>-3.5303966947122234E-2</v>
      </c>
      <c r="U121" s="3">
        <f>-(N70_DESARROLLO!T36/0.014285714)*LN(N70_DESARROLLO!T36/N70_DESARROLLO!S36)-1</f>
        <v>-3.7986966558136825E-2</v>
      </c>
      <c r="V121" s="3">
        <f>-(N70_DESARROLLO!U36/0.014285714)*LN(N70_DESARROLLO!U36/N70_DESARROLLO!T36)-1</f>
        <v>-4.1111478023141412E-2</v>
      </c>
      <c r="W121" s="3">
        <f>-(N70_DESARROLLO!V36/0.014285714)*LN(N70_DESARROLLO!V36/N70_DESARROLLO!U36)-1</f>
        <v>-4.4796309735795292E-2</v>
      </c>
      <c r="X121" s="3">
        <f>-(N70_DESARROLLO!W36/0.014285714)*LN(N70_DESARROLLO!W36/N70_DESARROLLO!V36)-1</f>
        <v>-4.9207124692808524E-2</v>
      </c>
      <c r="Y121" s="3">
        <f>-(N70_DESARROLLO!X36/0.014285714)*LN(N70_DESARROLLO!X36/N70_DESARROLLO!W36)-1</f>
        <v>-5.4582082654735298E-2</v>
      </c>
      <c r="Z121" s="3">
        <f>-(N70_DESARROLLO!Y36/0.014285714)*LN(N70_DESARROLLO!Y36/N70_DESARROLLO!X36)-1</f>
        <v>-6.1276409070482818E-2</v>
      </c>
      <c r="AA121" s="3">
        <f>-(N70_DESARROLLO!Z36/0.014285714)*LN(N70_DESARROLLO!Z36/N70_DESARROLLO!Y36)-1</f>
        <v>-6.9844497732512556E-2</v>
      </c>
      <c r="AB121" s="3">
        <f>-(N70_DESARROLLO!AA36/0.014285714)*LN(N70_DESARROLLO!AA36/N70_DESARROLLO!Z36)-1</f>
        <v>-8.1202515976636191E-2</v>
      </c>
      <c r="AC121" s="3">
        <f>-(N70_DESARROLLO!AB36/0.014285714)*LN(N70_DESARROLLO!AB36/N70_DESARROLLO!AA36)-1</f>
        <v>-9.69818523599566E-2</v>
      </c>
      <c r="AD121" s="3">
        <f>-(N70_DESARROLLO!AC36/0.014285714)*LN(N70_DESARROLLO!AC36/N70_DESARROLLO!AB36)-1</f>
        <v>-0.12039948342481799</v>
      </c>
      <c r="AE121" s="3">
        <f>-(N70_DESARROLLO!AD36/0.014285714)*LN(N70_DESARROLLO!AD36/N70_DESARROLLO!AC36)-1</f>
        <v>-0.15881939162335501</v>
      </c>
      <c r="AF121" s="3">
        <f>-(N70_DESARROLLO!AE36/0.014285714)*LN(N70_DESARROLLO!AE36/N70_DESARROLLO!AD36)-1</f>
        <v>-0.2337615490262448</v>
      </c>
      <c r="AG121" s="3">
        <f>-(N70_DESARROLLO!AF36/0.014285714)*LN(N70_DESARROLLO!AF36/N70_DESARROLLO!AE36)-1</f>
        <v>-0.45069384467982276</v>
      </c>
      <c r="AH121" s="3">
        <v>-1</v>
      </c>
      <c r="AI121" s="3">
        <f>-(N70_DESARROLLO!AH36/0.014285714)*LN(N70_DESARROLLO!AH36/N70_DESARROLLO!AG36)-1</f>
        <v>0.64791846596053637</v>
      </c>
      <c r="AJ121" s="3">
        <f>-(N70_DESARROLLO!AI36/0.014285714)*LN(N70_DESARROLLO!AI36/N70_DESARROLLO!AH36)-1</f>
        <v>0.27706408495625956</v>
      </c>
      <c r="AK121" s="3">
        <f>-(N70_DESARROLLO!AJ36/0.014285714)*LN(N70_DESARROLLO!AJ36/N70_DESARROLLO!AI36)-1</f>
        <v>0.17765285172730305</v>
      </c>
      <c r="AL121" s="3">
        <f>-(N70_DESARROLLO!AK36/0.014285714)*LN(N70_DESARROLLO!AK36/N70_DESARROLLO!AJ36)-1</f>
        <v>0.13091494988237651</v>
      </c>
      <c r="AM121" s="3">
        <f>-(N70_DESARROLLO!AL36/0.014285714)*LN(N70_DESARROLLO!AL36/N70_DESARROLLO!AK36)-1</f>
        <v>0.10368884711560877</v>
      </c>
      <c r="AN121" s="3">
        <f>-(N70_DESARROLLO!AM36/0.014285714)*LN(N70_DESARROLLO!AM36/N70_DESARROLLO!AL36)-1</f>
        <v>8.5851572027612066E-2</v>
      </c>
      <c r="AO121" s="3">
        <f>-(N70_DESARROLLO!AN36/0.014285714)*LN(N70_DESARROLLO!AN36/N70_DESARROLLO!AM36)-1</f>
        <v>7.3256348770177837E-2</v>
      </c>
      <c r="AP121" s="3">
        <f>-(N70_DESARROLLO!AO36/0.014285714)*LN(N70_DESARROLLO!AO36/N70_DESARROLLO!AN36)-1</f>
        <v>6.3886736386785881E-2</v>
      </c>
      <c r="AQ121" s="3">
        <f>-(N70_DESARROLLO!AP36/0.014285714)*LN(N70_DESARROLLO!AP36/N70_DESARROLLO!AO36)-1</f>
        <v>5.664355467999882E-2</v>
      </c>
      <c r="AR121" s="3">
        <f>-(N70_DESARROLLO!AQ36/0.014285714)*LN(N70_DESARROLLO!AQ36/N70_DESARROLLO!AP36)-1</f>
        <v>5.0876335865848832E-2</v>
      </c>
      <c r="AS121" s="3">
        <f>-(N70_DESARROLLO!AR36/0.014285714)*LN(N70_DESARROLLO!AR36/N70_DESARROLLO!AQ36)-1</f>
        <v>4.6175470289362641E-2</v>
      </c>
      <c r="AT121" s="3">
        <f>-(N70_DESARROLLO!AS36/0.014285714)*LN(N70_DESARROLLO!AS36/N70_DESARROLLO!AR36)-1</f>
        <v>4.2270132583545728E-2</v>
      </c>
      <c r="AU121" s="3">
        <f>-(N70_DESARROLLO!AT36/0.014285714)*LN(N70_DESARROLLO!AT36/N70_DESARROLLO!AS36)-1</f>
        <v>3.8974076117209266E-2</v>
      </c>
      <c r="AV121" s="3">
        <f>-(N70_DESARROLLO!AU36/0.014285714)*LN(N70_DESARROLLO!AU36/N70_DESARROLLO!AT36)-1</f>
        <v>3.6154998464206445E-2</v>
      </c>
      <c r="AW121" s="3">
        <f>-(N70_DESARROLLO!AV36/0.014285714)*LN(N70_DESARROLLO!AV36/N70_DESARROLLO!AU36)-1</f>
        <v>3.3716325403741587E-2</v>
      </c>
      <c r="AX121" s="3">
        <f>-(N70_DESARROLLO!AW36/0.014285714)*LN(N70_DESARROLLO!AW36/N70_DESARROLLO!AV36)-1</f>
        <v>3.1585910823724417E-2</v>
      </c>
      <c r="AY121" s="3">
        <f>-(N70_DESARROLLO!AX36/0.014285714)*LN(N70_DESARROLLO!AX36/N70_DESARROLLO!AW36)-1</f>
        <v>2.97087709955135E-2</v>
      </c>
      <c r="AZ121" s="3">
        <f>-(N70_DESARROLLO!AY36/0.014285714)*LN(N70_DESARROLLO!AY36/N70_DESARROLLO!AX36)-1</f>
        <v>2.8042266924840797E-2</v>
      </c>
      <c r="BA121" s="3">
        <f>-(N70_DESARROLLO!AZ36/0.014285714)*LN(N70_DESARROLLO!AZ36/N70_DESARROLLO!AY36)-1</f>
        <v>2.6552823496791333E-2</v>
      </c>
      <c r="BB121" s="3">
        <f>-(N70_DESARROLLO!BA36/0.014285714)*LN(N70_DESARROLLO!BA36/N70_DESARROLLO!AZ36)-1</f>
        <v>2.5213642284827253E-2</v>
      </c>
      <c r="BC121" s="3">
        <f>-(N70_DESARROLLO!BB36/0.014285714)*LN(N70_DESARROLLO!BB36/N70_DESARROLLO!BA36)-1</f>
        <v>2.4003073749041315E-2</v>
      </c>
      <c r="BD121" s="3">
        <f>-(N70_DESARROLLO!BC36/0.014285714)*LN(N70_DESARROLLO!BC36/N70_DESARROLLO!BB36)-1</f>
        <v>2.2903437185105791E-2</v>
      </c>
      <c r="BE121" s="3">
        <f>-(N70_DESARROLLO!BD36/0.014285714)*LN(N70_DESARROLLO!BD36/N70_DESARROLLO!BC36)-1</f>
        <v>2.190015102187215E-2</v>
      </c>
      <c r="BF121" s="3">
        <f>-(N70_DESARROLLO!BE36/0.014285714)*LN(N70_DESARROLLO!BE36/N70_DESARROLLO!BD36)-1</f>
        <v>2.0981082233534565E-2</v>
      </c>
      <c r="BG121" s="3">
        <f>-(N70_DESARROLLO!BF36/0.014285714)*LN(N70_DESARROLLO!BF36/N70_DESARROLLO!BE36)-1</f>
        <v>2.0136053052056457E-2</v>
      </c>
      <c r="BH121" s="3">
        <f>-(N70_DESARROLLO!BG36/0.014285714)*LN(N70_DESARROLLO!BG36/N70_DESARROLLO!BF36)-1</f>
        <v>1.9356462323721457E-2</v>
      </c>
      <c r="BI121" s="3">
        <f>-(N70_DESARROLLO!BH36/0.014285714)*LN(N70_DESARROLLO!BH36/N70_DESARROLLO!BG36)-1</f>
        <v>1.8634991582293425E-2</v>
      </c>
      <c r="BJ121" s="3">
        <f>-(N70_DESARROLLO!BI36/0.014285714)*LN(N70_DESARROLLO!BI36/N70_DESARROLLO!BH36)-1</f>
        <v>1.7965374518572164E-2</v>
      </c>
      <c r="BK121" s="3">
        <f>-(N70_DESARROLLO!BJ36/0.014285714)*LN(N70_DESARROLLO!BJ36/N70_DESARROLLO!BI36)-1</f>
        <v>1.7342214446335324E-2</v>
      </c>
      <c r="BL121" s="3">
        <f>-(N70_DESARROLLO!BK36/0.014285714)*LN(N70_DESARROLLO!BK36/N70_DESARROLLO!BJ36)-1</f>
        <v>1.6760838496770569E-2</v>
      </c>
      <c r="BM121" s="3">
        <f>-(N70_DESARROLLO!BL36/0.014285714)*LN(N70_DESARROLLO!BL36/N70_DESARROLLO!BK36)-1</f>
        <v>1.6217180198313308E-2</v>
      </c>
      <c r="BN121" s="3">
        <f>-(N70_DESARROLLO!BM36/0.014285714)*LN(N70_DESARROLLO!BM36/N70_DESARROLLO!BL36)-1</f>
        <v>1.5707684197550975E-2</v>
      </c>
      <c r="BO121" s="3">
        <f>-(N70_DESARROLLO!BN36/0.014285714)*LN(N70_DESARROLLO!BN36/N70_DESARROLLO!BM36)-1</f>
        <v>1.5229228398100814E-2</v>
      </c>
      <c r="BP121" s="3">
        <f>-(N70_DESARROLLO!BO36/0.014285714)*LN(N70_DESARROLLO!BO36/N70_DESARROLLO!BN36)-1</f>
        <v>1.4779059912703785E-2</v>
      </c>
      <c r="BQ121" s="3">
        <f>-(N70_DESARROLLO!BP36/0.014285714)*LN(N70_DESARROLLO!BP36/N70_DESARROLLO!BO36)-1</f>
        <v>1.4354742051081004E-2</v>
      </c>
      <c r="BR121" s="3">
        <f>-(N70_DESARROLLO!BQ36/0.014285714)*LN(N70_DESARROLLO!BQ36/N70_DESARROLLO!BP36)-1</f>
        <v>1.3954110187352153E-2</v>
      </c>
      <c r="BS121" s="3">
        <f>-(N70_DESARROLLO!BR36/0.014285714)*LN(N70_DESARROLLO!BR36/N70_DESARROLLO!BQ36)-1</f>
        <v>1.3575234818474557E-2</v>
      </c>
      <c r="BT121" s="3">
        <f>-(N70_DESARROLLO!BS36/0.014285714)*LN(N70_DESARROLLO!BS36/N70_DESARROLLO!BR36)-1</f>
        <v>1.3216390483202112E-2</v>
      </c>
      <c r="BU121" s="3">
        <f>-(N70_DESARROLLO!BT36/0.014285714)*LN(N70_DESARROLLO!BT36/N70_DESARROLLO!BS36)-1</f>
        <v>1.2876029484357954E-2</v>
      </c>
      <c r="BV121" s="3">
        <f>-(N70_DESARROLLO!BU36/0.014285714)*LN(N70_DESARROLLO!BU36/N70_DESARROLLO!BT36)-1</f>
        <v>1.25527595704511E-2</v>
      </c>
      <c r="BW121" s="3">
        <f>-(N70_DESARROLLO!BV36/0.014285714)*LN(N70_DESARROLLO!BV36/N70_DESARROLLO!BU36)-1</f>
        <v>1.2245324897516063E-2</v>
      </c>
      <c r="BX121" s="3">
        <f>-(N70_DESARROLLO!BW36/0.014285714)*LN(N70_DESARROLLO!BW36/N70_DESARROLLO!BV36)-1</f>
        <v>1.1952589722083351E-2</v>
      </c>
      <c r="BY121" s="3">
        <f>-(N70_DESARROLLO!BX36/0.014285714)*LN(N70_DESARROLLO!BX36/N70_DESARROLLO!BW36)-1</f>
        <v>33.929382326916802</v>
      </c>
      <c r="BZ121" s="10"/>
      <c r="CA121" s="10"/>
      <c r="CB121" s="10"/>
      <c r="CC121" s="10"/>
      <c r="CD121">
        <v>27</v>
      </c>
      <c r="CE121" s="1">
        <v>0</v>
      </c>
      <c r="CF121" s="1">
        <f>(1+(N70_DESARROLLO!F36/0.014285714)*LN(N70_DESARROLLO!G36/N70_DESARROLLO!F36))</f>
        <v>-1.9356462323724788E-2</v>
      </c>
      <c r="CG121" s="1">
        <f>(1+(N70_DESARROLLO!G36/0.014285714)*LN(N70_DESARROLLO!H36/N70_DESARROLLO!G36))</f>
        <v>-2.0136053052048908E-2</v>
      </c>
      <c r="CH121" s="1">
        <f>(1+(N70_DESARROLLO!H36/0.014285714)*LN(N70_DESARROLLO!I36/N70_DESARROLLO!H36))</f>
        <v>-2.098108223353945E-2</v>
      </c>
      <c r="CI121" s="1">
        <f>(1+(N70_DESARROLLO!I36/0.014285714)*LN(N70_DESARROLLO!J36/N70_DESARROLLO!I36))</f>
        <v>-2.190015102186682E-2</v>
      </c>
      <c r="CJ121" s="1">
        <f>(1+(N70_DESARROLLO!J36/0.014285714)*LN(N70_DESARROLLO!K36/N70_DESARROLLO!J36))</f>
        <v>-2.2903437185105124E-2</v>
      </c>
      <c r="CK121" s="1">
        <f>(1+(N70_DESARROLLO!K36/0.014285714)*LN(N70_DESARROLLO!L36/N70_DESARROLLO!K36))</f>
        <v>-2.4003073749040205E-2</v>
      </c>
      <c r="CL121" s="1">
        <f>(1+(N70_DESARROLLO!L36/0.014285714)*LN(N70_DESARROLLO!M36/N70_DESARROLLO!L36))</f>
        <v>-2.5213642284827031E-2</v>
      </c>
      <c r="CM121" s="1">
        <f>(1+(N70_DESARROLLO!M36/0.014285714)*LN(N70_DESARROLLO!N36/N70_DESARROLLO!M36))</f>
        <v>-2.6552823496786004E-2</v>
      </c>
      <c r="CN121" s="1">
        <f>(1+(N70_DESARROLLO!N36/0.014285714)*LN(N70_DESARROLLO!O36/N70_DESARROLLO!N36))</f>
        <v>-2.8042266924844572E-2</v>
      </c>
      <c r="CO121" s="1">
        <f>(1+(N70_DESARROLLO!O36/0.014285714)*LN(N70_DESARROLLO!P36/N70_DESARROLLO!O36))</f>
        <v>-2.9708770995511058E-2</v>
      </c>
      <c r="CP121" s="1">
        <f>(1+(N70_DESARROLLO!P36/0.014285714)*LN(N70_DESARROLLO!Q36/N70_DESARROLLO!P36))</f>
        <v>-3.158591082373019E-2</v>
      </c>
      <c r="CQ121" s="1">
        <f>(1+(N70_DESARROLLO!Q36/0.014285714)*LN(N70_DESARROLLO!R36/N70_DESARROLLO!Q36))</f>
        <v>-3.3716325403746916E-2</v>
      </c>
      <c r="CR121" s="1">
        <f>(1+(N70_DESARROLLO!R36/0.014285714)*LN(N70_DESARROLLO!S36/N70_DESARROLLO!R36))</f>
        <v>-3.6154998464202004E-2</v>
      </c>
      <c r="CS121" s="1">
        <f>(1+(N70_DESARROLLO!S36/0.014285714)*LN(N70_DESARROLLO!T36/N70_DESARROLLO!S36))</f>
        <v>-3.8974076117212153E-2</v>
      </c>
      <c r="CT121" s="1">
        <f>(1+(N70_DESARROLLO!T36/0.014285714)*LN(N70_DESARROLLO!U36/N70_DESARROLLO!T36))</f>
        <v>-4.2270132583541953E-2</v>
      </c>
      <c r="CU121" s="1">
        <f>(1+(N70_DESARROLLO!U36/0.014285714)*LN(N70_DESARROLLO!V36/N70_DESARROLLO!U36))</f>
        <v>-4.6175470289367082E-2</v>
      </c>
      <c r="CV121" s="1">
        <f>(1+(N70_DESARROLLO!V36/0.014285714)*LN(N70_DESARROLLO!W36/N70_DESARROLLO!V36))</f>
        <v>-5.0876335865843281E-2</v>
      </c>
      <c r="CW121" s="1">
        <f>(1+(N70_DESARROLLO!W36/0.014285714)*LN(N70_DESARROLLO!X36/N70_DESARROLLO!W36))</f>
        <v>-5.6643554680001484E-2</v>
      </c>
      <c r="CX121" s="1">
        <f>(1+(N70_DESARROLLO!X36/0.014285714)*LN(N70_DESARROLLO!Y36/N70_DESARROLLO!X36))</f>
        <v>-6.3886736386786325E-2</v>
      </c>
      <c r="CY121" s="1">
        <f>(1+(N70_DESARROLLO!Y36/0.014285714)*LN(N70_DESARROLLO!Z36/N70_DESARROLLO!Y36))</f>
        <v>-7.3256348770177837E-2</v>
      </c>
      <c r="CZ121" s="1">
        <f>(1+(N70_DESARROLLO!Z36/0.014285714)*LN(N70_DESARROLLO!AA36/N70_DESARROLLO!Z36))</f>
        <v>-8.5851572027611844E-2</v>
      </c>
      <c r="DA121" s="1">
        <f>(1+(N70_DESARROLLO!AA36/0.014285714)*LN(N70_DESARROLLO!AB36/N70_DESARROLLO!AA36))</f>
        <v>-0.10368884711560877</v>
      </c>
      <c r="DB121" s="1">
        <f>(1+(N70_DESARROLLO!AB36/0.014285714)*LN(N70_DESARROLLO!AC36/N70_DESARROLLO!AB36))</f>
        <v>-0.13091494988237695</v>
      </c>
      <c r="DC121" s="1">
        <f>(1+(N70_DESARROLLO!AC36/0.014285714)*LN(N70_DESARROLLO!AD36/N70_DESARROLLO!AC36))</f>
        <v>-0.17765285172730327</v>
      </c>
      <c r="DD121" s="1">
        <f>(1+(N70_DESARROLLO!AD36/0.014285714)*LN(N70_DESARROLLO!AE36/N70_DESARROLLO!AD36))</f>
        <v>-0.27706408495625956</v>
      </c>
      <c r="DE121" s="1">
        <f>(1+(N70_DESARROLLO!AE36/0.014285714)*LN(N70_DESARROLLO!AF36/N70_DESARROLLO!AE36))</f>
        <v>-0.64791846596053615</v>
      </c>
      <c r="DF121" s="1">
        <v>1</v>
      </c>
      <c r="DG121" s="1">
        <f>(1+(N70_DESARROLLO!AG36/0.014285714)*LN(N70_DESARROLLO!AH36/N70_DESARROLLO!AG36))</f>
        <v>0.45069384467982265</v>
      </c>
      <c r="DH121" s="1">
        <f>(1+(N70_DESARROLLO!AH36/0.014285714)*LN(N70_DESARROLLO!AI36/N70_DESARROLLO!AH36))</f>
        <v>0.2337615490262448</v>
      </c>
      <c r="DI121" s="1">
        <f>(1+(N70_DESARROLLO!AI36/0.014285714)*LN(N70_DESARROLLO!AJ36/N70_DESARROLLO!AI36))</f>
        <v>0.15881939162335523</v>
      </c>
      <c r="DJ121" s="1">
        <f>(1+(N70_DESARROLLO!AJ36/0.014285714)*LN(N70_DESARROLLO!AK36/N70_DESARROLLO!AJ36))</f>
        <v>0.12039948342481821</v>
      </c>
      <c r="DK121" s="1">
        <f>(1+(N70_DESARROLLO!AK36/0.014285714)*LN(N70_DESARROLLO!AL36/N70_DESARROLLO!AK36))</f>
        <v>9.69818523599566E-2</v>
      </c>
      <c r="DL121" s="1">
        <f>(1+(N70_DESARROLLO!AL36/0.014285714)*LN(N70_DESARROLLO!AM36/N70_DESARROLLO!AL36))</f>
        <v>8.120251597663608E-2</v>
      </c>
      <c r="DM121" s="1">
        <f>(1+(N70_DESARROLLO!AM36/0.014285714)*LN(N70_DESARROLLO!AN36/N70_DESARROLLO!AM36))</f>
        <v>6.9844497732512556E-2</v>
      </c>
      <c r="DN121" s="1">
        <f>(1+(N70_DESARROLLO!AN36/0.014285714)*LN(N70_DESARROLLO!AO36/N70_DESARROLLO!AN36))</f>
        <v>6.1276409070483151E-2</v>
      </c>
      <c r="DO121" s="1">
        <f>(1+(N70_DESARROLLO!AO36/0.014285714)*LN(N70_DESARROLLO!AP36/N70_DESARROLLO!AO36))</f>
        <v>5.4582082654737407E-2</v>
      </c>
      <c r="DP121" s="1">
        <f>(1+(N70_DESARROLLO!AP36/0.014285714)*LN(N70_DESARROLLO!AQ36/N70_DESARROLLO!AP36))</f>
        <v>4.9207124692803972E-2</v>
      </c>
      <c r="DQ121" s="1">
        <f>(1+(N70_DESARROLLO!AQ36/0.014285714)*LN(N70_DESARROLLO!AR36/N70_DESARROLLO!AQ36))</f>
        <v>4.4796309735798956E-2</v>
      </c>
      <c r="DR121" s="1">
        <f>(1+(N70_DESARROLLO!AR36/0.014285714)*LN(N70_DESARROLLO!AS36/N70_DESARROLLO!AR36))</f>
        <v>4.1111478023138415E-2</v>
      </c>
      <c r="DS121" s="1">
        <f>(1+(N70_DESARROLLO!AS36/0.014285714)*LN(N70_DESARROLLO!AT36/N70_DESARROLLO!AS36))</f>
        <v>3.7986966558139379E-2</v>
      </c>
      <c r="DT121" s="1">
        <f>(1+(N70_DESARROLLO!AT36/0.014285714)*LN(N70_DESARROLLO!AU36/N70_DESARROLLO!AT36))</f>
        <v>3.5303966947118459E-2</v>
      </c>
      <c r="DU121" s="1">
        <f>(1+(N70_DESARROLLO!AU36/0.014285714)*LN(N70_DESARROLLO!AV36/N70_DESARROLLO!AU36))</f>
        <v>3.2975050428757702E-2</v>
      </c>
      <c r="DV121" s="1">
        <f>(1+(N70_DESARROLLO!AV36/0.014285714)*LN(N70_DESARROLLO!AW36/N70_DESARROLLO!AV36))</f>
        <v>3.0934447408016319E-2</v>
      </c>
      <c r="DW121" s="1">
        <f>(1+(N70_DESARROLLO!AW36/0.014285714)*LN(N70_DESARROLLO!AX36/N70_DESARROLLO!AW36))</f>
        <v>2.9131730204230433E-2</v>
      </c>
      <c r="DX121" s="1">
        <f>(1+(N70_DESARROLLO!AX36/0.014285714)*LN(N70_DESARROLLO!AY36/N70_DESARROLLO!AX36))</f>
        <v>2.7527585341366678E-2</v>
      </c>
      <c r="DY121" s="1">
        <f>(1+(N70_DESARROLLO!AY36/0.014285714)*LN(N70_DESARROLLO!AZ36/N70_DESARROLLO!AY36))</f>
        <v>2.6090911041505627E-2</v>
      </c>
      <c r="DZ121" s="1">
        <f>(1+(N70_DESARROLLO!AZ36/0.014285714)*LN(N70_DESARROLLO!BA36/N70_DESARROLLO!AZ36))</f>
        <v>2.4796779290042203E-2</v>
      </c>
      <c r="EA121" s="1">
        <f>(1+(N70_DESARROLLO!BA36/0.014285714)*LN(N70_DESARROLLO!BB36/N70_DESARROLLO!BA36))</f>
        <v>2.3624976192774816E-2</v>
      </c>
      <c r="EB121" s="1">
        <f>(1+(N70_DESARROLLO!BB36/0.014285714)*LN(N70_DESARROLLO!BC36/N70_DESARROLLO!BB36))</f>
        <v>2.2558937800898904E-2</v>
      </c>
      <c r="EC121" s="1">
        <f>(1+(N70_DESARROLLO!BC36/0.014285714)*LN(N70_DESARROLLO!BD36/N70_DESARROLLO!BC36))</f>
        <v>2.1584961787569412E-2</v>
      </c>
      <c r="ED121" s="1">
        <f>(1+(N70_DESARROLLO!BD36/0.014285714)*LN(N70_DESARROLLO!BE36/N70_DESARROLLO!BD36))</f>
        <v>2.0691615000487218E-2</v>
      </c>
      <c r="EE121" s="1">
        <f>(1+(N70_DESARROLLO!BE36/0.014285714)*LN(N70_DESARROLLO!BF36/N70_DESARROLLO!BE36))</f>
        <v>1.9869282361749896E-2</v>
      </c>
      <c r="EF121" s="1">
        <f>(1+(N70_DESARROLLO!BF36/0.014285714)*LN(N70_DESARROLLO!BG36/N70_DESARROLLO!BF36))</f>
        <v>1.9109819273400053E-2</v>
      </c>
      <c r="EG121" s="1">
        <f>(1+(N70_DESARROLLO!BG36/0.014285714)*LN(N70_DESARROLLO!BH36/N70_DESARROLLO!BG36))</f>
        <v>1.840628083888074E-2</v>
      </c>
      <c r="EH121" s="1">
        <f>(1+(N70_DESARROLLO!BH36/0.014285714)*LN(N70_DESARROLLO!BI36/N70_DESARROLLO!BH36))</f>
        <v>1.7752708797869166E-2</v>
      </c>
      <c r="EI121" s="1">
        <f>(1+(N70_DESARROLLO!BI36/0.014285714)*LN(N70_DESARROLLO!BJ36/N70_DESARROLLO!BI36))</f>
        <v>1.7143962314557393E-2</v>
      </c>
      <c r="EJ121" s="1">
        <f>(1+(N70_DESARROLLO!BJ36/0.014285714)*LN(N70_DESARROLLO!BK36/N70_DESARROLLO!BJ36))</f>
        <v>1.6575582437549863E-2</v>
      </c>
      <c r="EK121" s="1">
        <f>(1+(N70_DESARROLLO!BK36/0.014285714)*LN(N70_DESARROLLO!BL36/N70_DESARROLLO!BK36))</f>
        <v>1.6043682665125125E-2</v>
      </c>
      <c r="EL121" s="1">
        <f>(1+(N70_DESARROLLO!BL36/0.014285714)*LN(N70_DESARROLLO!BM36/N70_DESARROLLO!BL36))</f>
        <v>1.5544859931604593E-2</v>
      </c>
      <c r="EM121" s="1">
        <f>(1+(N70_DESARROLLO!BM36/0.014285714)*LN(N70_DESARROLLO!BN36/N70_DESARROLLO!BM36))</f>
        <v>1.5076121703334833E-2</v>
      </c>
      <c r="EN121" s="1">
        <f>(1+(N70_DESARROLLO!BN36/0.014285714)*LN(N70_DESARROLLO!BO36/N70_DESARROLLO!BN36))</f>
        <v>1.4634825881867375E-2</v>
      </c>
      <c r="EO121" s="1">
        <f>(1+(N70_DESARROLLO!BO36/0.014285714)*LN(N70_DESARROLLO!BP36/N70_DESARROLLO!BO36))</f>
        <v>1.4218630964442425E-2</v>
      </c>
      <c r="EP121" s="1">
        <f>(1+(N70_DESARROLLO!BP36/0.014285714)*LN(N70_DESARROLLO!BQ36/N70_DESARROLLO!BP36))</f>
        <v>1.3825454475315135E-2</v>
      </c>
      <c r="EQ121" s="1">
        <f>(1+(N70_DESARROLLO!BQ36/0.014285714)*LN(N70_DESARROLLO!BR36/N70_DESARROLLO!BQ36))</f>
        <v>1.3453438110017868E-2</v>
      </c>
      <c r="ER121" s="1">
        <f>(1+(N70_DESARROLLO!BR36/0.014285714)*LN(N70_DESARROLLO!BS36/N70_DESARROLLO!BR36))</f>
        <v>1.3100918360517522E-2</v>
      </c>
      <c r="ES121" s="1">
        <f>(1+(N70_DESARROLLO!BS36/0.014285714)*LN(N70_DESARROLLO!BT36/N70_DESARROLLO!BS36))</f>
        <v>1.2766401641828407E-2</v>
      </c>
      <c r="ET121" s="1">
        <f>(1+(N70_DESARROLLO!BT36/0.014285714)*LN(N70_DESARROLLO!BU36/N70_DESARROLLO!BT36))</f>
        <v>1.2448543134991996E-2</v>
      </c>
      <c r="EU121" s="1">
        <f>(1+(N70_DESARROLLO!BU36/0.014285714)*LN(N70_DESARROLLO!BV36/N70_DESARROLLO!BU36))</f>
        <v>1.2146128714472515E-2</v>
      </c>
      <c r="EV121" s="1">
        <f>(1+(N70_DESARROLLO!BV36/0.014285714)*LN(N70_DESARROLLO!BW36/N70_DESARROLLO!BV36))</f>
        <v>1.1858059447847902E-2</v>
      </c>
      <c r="EW121" s="1">
        <f>(1+(N70_DESARROLLO!BW36/0.014285714)*LN(N70_DESARROLLO!BX36/N70_DESARROLLO!BW36))</f>
        <v>-20.207124984199485</v>
      </c>
      <c r="EX121" s="10"/>
      <c r="EY121" s="10"/>
    </row>
    <row r="122" spans="7:155" x14ac:dyDescent="0.25">
      <c r="G122" s="3">
        <v>28</v>
      </c>
      <c r="H122" s="3">
        <f>-(N70_DESARROLLO!G37/0.014285714)*LN(N70_DESARROLLO!G37/N70_DESARROLLO!F37)-1</f>
        <v>-1.8406280838874745E-2</v>
      </c>
      <c r="I122" s="3">
        <f>-(N70_DESARROLLO!H37/0.014285714)*LN(N70_DESARROLLO!H37/N70_DESARROLLO!G37)-1</f>
        <v>-1.9109819273397166E-2</v>
      </c>
      <c r="J122" s="3">
        <f>-(N70_DESARROLLO!I37/0.014285714)*LN(N70_DESARROLLO!I37/N70_DESARROLLO!H37)-1</f>
        <v>-1.9869282361757112E-2</v>
      </c>
      <c r="K122" s="3">
        <f>-(N70_DESARROLLO!J37/0.014285714)*LN(N70_DESARROLLO!J37/N70_DESARROLLO!I37)-1</f>
        <v>-2.0691615000482777E-2</v>
      </c>
      <c r="L122" s="3">
        <f>-(N70_DESARROLLO!K37/0.014285714)*LN(N70_DESARROLLO!K37/N70_DESARROLLO!J37)-1</f>
        <v>-2.1584961787579404E-2</v>
      </c>
      <c r="M122" s="3">
        <f>-(N70_DESARROLLO!L37/0.014285714)*LN(N70_DESARROLLO!L37/N70_DESARROLLO!K37)-1</f>
        <v>-2.2558937800892354E-2</v>
      </c>
      <c r="N122" s="3">
        <f>-(N70_DESARROLLO!M37/0.014285714)*LN(N70_DESARROLLO!M37/N70_DESARROLLO!L37)-1</f>
        <v>-2.362497619278292E-2</v>
      </c>
      <c r="O122" s="3">
        <f>-(N70_DESARROLLO!N37/0.014285714)*LN(N70_DESARROLLO!N37/N70_DESARROLLO!M37)-1</f>
        <v>-2.4796779290038096E-2</v>
      </c>
      <c r="P122" s="3">
        <f>-(N70_DESARROLLO!O37/0.014285714)*LN(N70_DESARROLLO!O37/N70_DESARROLLO!N37)-1</f>
        <v>-2.6090911041510845E-2</v>
      </c>
      <c r="Q122" s="3">
        <f>-(N70_DESARROLLO!P37/0.014285714)*LN(N70_DESARROLLO!P37/N70_DESARROLLO!O37)-1</f>
        <v>-2.7527585341363459E-2</v>
      </c>
      <c r="R122" s="3">
        <f>-(N70_DESARROLLO!Q37/0.014285714)*LN(N70_DESARROLLO!Q37/N70_DESARROLLO!P37)-1</f>
        <v>-2.9131730204232653E-2</v>
      </c>
      <c r="S122" s="3">
        <f>-(N70_DESARROLLO!R37/0.014285714)*LN(N70_DESARROLLO!R37/N70_DESARROLLO!Q37)-1</f>
        <v>-3.0934447408011323E-2</v>
      </c>
      <c r="T122" s="3">
        <f>-(N70_DESARROLLO!S37/0.014285714)*LN(N70_DESARROLLO!S37/N70_DESARROLLO!R37)-1</f>
        <v>-3.2975050428753261E-2</v>
      </c>
      <c r="U122" s="3">
        <f>-(N70_DESARROLLO!T37/0.014285714)*LN(N70_DESARROLLO!T37/N70_DESARROLLO!S37)-1</f>
        <v>-3.5303966947123788E-2</v>
      </c>
      <c r="V122" s="3">
        <f>-(N70_DESARROLLO!U37/0.014285714)*LN(N70_DESARROLLO!U37/N70_DESARROLLO!T37)-1</f>
        <v>-3.7986966558135604E-2</v>
      </c>
      <c r="W122" s="3">
        <f>-(N70_DESARROLLO!V37/0.014285714)*LN(N70_DESARROLLO!V37/N70_DESARROLLO!U37)-1</f>
        <v>-4.1111478023141745E-2</v>
      </c>
      <c r="X122" s="3">
        <f>-(N70_DESARROLLO!W37/0.014285714)*LN(N70_DESARROLLO!W37/N70_DESARROLLO!V37)-1</f>
        <v>-4.4796309735795625E-2</v>
      </c>
      <c r="Y122" s="3">
        <f>-(N70_DESARROLLO!X37/0.014285714)*LN(N70_DESARROLLO!X37/N70_DESARROLLO!W37)-1</f>
        <v>-4.9207124692809856E-2</v>
      </c>
      <c r="Z122" s="3">
        <f>-(N70_DESARROLLO!Y37/0.014285714)*LN(N70_DESARROLLO!Y37/N70_DESARROLLO!X37)-1</f>
        <v>-5.4582082654733854E-2</v>
      </c>
      <c r="AA122" s="3">
        <f>-(N70_DESARROLLO!Z37/0.014285714)*LN(N70_DESARROLLO!Z37/N70_DESARROLLO!Y37)-1</f>
        <v>-6.1276409070483262E-2</v>
      </c>
      <c r="AB122" s="3">
        <f>-(N70_DESARROLLO!AA37/0.014285714)*LN(N70_DESARROLLO!AA37/N70_DESARROLLO!Z37)-1</f>
        <v>-6.9844497732513111E-2</v>
      </c>
      <c r="AC122" s="3">
        <f>-(N70_DESARROLLO!AB37/0.014285714)*LN(N70_DESARROLLO!AB37/N70_DESARROLLO!AA37)-1</f>
        <v>-8.120251597663608E-2</v>
      </c>
      <c r="AD122" s="3">
        <f>-(N70_DESARROLLO!AC37/0.014285714)*LN(N70_DESARROLLO!AC37/N70_DESARROLLO!AB37)-1</f>
        <v>-9.69818523599566E-2</v>
      </c>
      <c r="AE122" s="3">
        <f>-(N70_DESARROLLO!AD37/0.014285714)*LN(N70_DESARROLLO!AD37/N70_DESARROLLO!AC37)-1</f>
        <v>-0.1203994834248181</v>
      </c>
      <c r="AF122" s="3">
        <f>-(N70_DESARROLLO!AE37/0.014285714)*LN(N70_DESARROLLO!AE37/N70_DESARROLLO!AD37)-1</f>
        <v>-0.15881939162335568</v>
      </c>
      <c r="AG122" s="3">
        <f>-(N70_DESARROLLO!AF37/0.014285714)*LN(N70_DESARROLLO!AF37/N70_DESARROLLO!AE37)-1</f>
        <v>-0.23376154902624535</v>
      </c>
      <c r="AH122" s="3">
        <f>-(N70_DESARROLLO!AG37/0.014285714)*LN(N70_DESARROLLO!AG37/N70_DESARROLLO!AF37)-1</f>
        <v>-0.45069384467982399</v>
      </c>
      <c r="AI122" s="3">
        <v>-1</v>
      </c>
      <c r="AJ122" s="3">
        <f>-(N70_DESARROLLO!AI37/0.014285714)*LN(N70_DESARROLLO!AI37/N70_DESARROLLO!AH37)-1</f>
        <v>0.64791846596053282</v>
      </c>
      <c r="AK122" s="3">
        <f>-(N70_DESARROLLO!AJ37/0.014285714)*LN(N70_DESARROLLO!AJ37/N70_DESARROLLO!AI37)-1</f>
        <v>0.27706408495625845</v>
      </c>
      <c r="AL122" s="3">
        <f>-(N70_DESARROLLO!AK37/0.014285714)*LN(N70_DESARROLLO!AK37/N70_DESARROLLO!AJ37)-1</f>
        <v>0.17765285172730261</v>
      </c>
      <c r="AM122" s="3">
        <f>-(N70_DESARROLLO!AL37/0.014285714)*LN(N70_DESARROLLO!AL37/N70_DESARROLLO!AK37)-1</f>
        <v>0.13091494988237695</v>
      </c>
      <c r="AN122" s="3">
        <f>-(N70_DESARROLLO!AM37/0.014285714)*LN(N70_DESARROLLO!AM37/N70_DESARROLLO!AL37)-1</f>
        <v>0.10368884711560855</v>
      </c>
      <c r="AO122" s="3">
        <f>-(N70_DESARROLLO!AN37/0.014285714)*LN(N70_DESARROLLO!AN37/N70_DESARROLLO!AM37)-1</f>
        <v>8.5851572027611622E-2</v>
      </c>
      <c r="AP122" s="3">
        <f>-(N70_DESARROLLO!AO37/0.014285714)*LN(N70_DESARROLLO!AO37/N70_DESARROLLO!AN37)-1</f>
        <v>7.3256348770176949E-2</v>
      </c>
      <c r="AQ122" s="3">
        <f>-(N70_DESARROLLO!AP37/0.014285714)*LN(N70_DESARROLLO!AP37/N70_DESARROLLO!AO37)-1</f>
        <v>6.388673638678255E-2</v>
      </c>
      <c r="AR122" s="3">
        <f>-(N70_DESARROLLO!AQ37/0.014285714)*LN(N70_DESARROLLO!AQ37/N70_DESARROLLO!AP37)-1</f>
        <v>5.6643554680007258E-2</v>
      </c>
      <c r="AS122" s="3">
        <f>-(N70_DESARROLLO!AR37/0.014285714)*LN(N70_DESARROLLO!AR37/N70_DESARROLLO!AQ37)-1</f>
        <v>5.0876335865840394E-2</v>
      </c>
      <c r="AT122" s="3">
        <f>-(N70_DESARROLLO!AS37/0.014285714)*LN(N70_DESARROLLO!AS37/N70_DESARROLLO!AR37)-1</f>
        <v>4.6175470289370413E-2</v>
      </c>
      <c r="AU122" s="3">
        <f>-(N70_DESARROLLO!AT37/0.014285714)*LN(N70_DESARROLLO!AT37/N70_DESARROLLO!AS37)-1</f>
        <v>4.2270132583537956E-2</v>
      </c>
      <c r="AV122" s="3">
        <f>-(N70_DESARROLLO!AU37/0.014285714)*LN(N70_DESARROLLO!AU37/N70_DESARROLLO!AT37)-1</f>
        <v>3.8974076117218148E-2</v>
      </c>
      <c r="AW122" s="3">
        <f>-(N70_DESARROLLO!AV37/0.014285714)*LN(N70_DESARROLLO!AV37/N70_DESARROLLO!AU37)-1</f>
        <v>3.6154998464197563E-2</v>
      </c>
      <c r="AX122" s="3">
        <f>-(N70_DESARROLLO!AW37/0.014285714)*LN(N70_DESARROLLO!AW37/N70_DESARROLLO!AV37)-1</f>
        <v>3.3716325403741587E-2</v>
      </c>
      <c r="AY122" s="3">
        <f>-(N70_DESARROLLO!AX37/0.014285714)*LN(N70_DESARROLLO!AX37/N70_DESARROLLO!AW37)-1</f>
        <v>3.1585910823731744E-2</v>
      </c>
      <c r="AZ122" s="3">
        <f>-(N70_DESARROLLO!AY37/0.014285714)*LN(N70_DESARROLLO!AY37/N70_DESARROLLO!AX37)-1</f>
        <v>2.9708770995506173E-2</v>
      </c>
      <c r="BA122" s="3">
        <f>-(N70_DESARROLLO!AZ37/0.014285714)*LN(N70_DESARROLLO!AZ37/N70_DESARROLLO!AY37)-1</f>
        <v>2.8042266924849013E-2</v>
      </c>
      <c r="BB122" s="3">
        <f>-(N70_DESARROLLO!BA37/0.014285714)*LN(N70_DESARROLLO!BA37/N70_DESARROLLO!AZ37)-1</f>
        <v>2.6552823496783118E-2</v>
      </c>
      <c r="BC122" s="3">
        <f>-(N70_DESARROLLO!BB37/0.014285714)*LN(N70_DESARROLLO!BB37/N70_DESARROLLO!BA37)-1</f>
        <v>2.5213642284836357E-2</v>
      </c>
      <c r="BD122" s="3">
        <f>-(N70_DESARROLLO!BC37/0.014285714)*LN(N70_DESARROLLO!BC37/N70_DESARROLLO!BB37)-1</f>
        <v>2.4003073749032211E-2</v>
      </c>
      <c r="BE122" s="3">
        <f>-(N70_DESARROLLO!BD37/0.014285714)*LN(N70_DESARROLLO!BD37/N70_DESARROLLO!BC37)-1</f>
        <v>2.2903437185110898E-2</v>
      </c>
      <c r="BF122" s="3">
        <f>-(N70_DESARROLLO!BE37/0.014285714)*LN(N70_DESARROLLO!BE37/N70_DESARROLLO!BD37)-1</f>
        <v>2.1900151021861936E-2</v>
      </c>
      <c r="BG122" s="3">
        <f>-(N70_DESARROLLO!BF37/0.014285714)*LN(N70_DESARROLLO!BF37/N70_DESARROLLO!BE37)-1</f>
        <v>2.0981082233545223E-2</v>
      </c>
      <c r="BH122" s="3">
        <f>-(N70_DESARROLLO!BG37/0.014285714)*LN(N70_DESARROLLO!BG37/N70_DESARROLLO!BF37)-1</f>
        <v>2.0136053052045577E-2</v>
      </c>
      <c r="BI122" s="3">
        <f>-(N70_DESARROLLO!BH37/0.014285714)*LN(N70_DESARROLLO!BH37/N70_DESARROLLO!BG37)-1</f>
        <v>1.9356462323721457E-2</v>
      </c>
      <c r="BJ122" s="3">
        <f>-(N70_DESARROLLO!BI37/0.014285714)*LN(N70_DESARROLLO!BI37/N70_DESARROLLO!BH37)-1</f>
        <v>1.8634991582305416E-2</v>
      </c>
      <c r="BK122" s="3">
        <f>-(N70_DESARROLLO!BJ37/0.014285714)*LN(N70_DESARROLLO!BJ37/N70_DESARROLLO!BI37)-1</f>
        <v>1.7965374518559951E-2</v>
      </c>
      <c r="BL122" s="3">
        <f>-(N70_DESARROLLO!BK37/0.014285714)*LN(N70_DESARROLLO!BK37/N70_DESARROLLO!BJ37)-1</f>
        <v>1.7342214446341986E-2</v>
      </c>
      <c r="BM122" s="3">
        <f>-(N70_DESARROLLO!BL37/0.014285714)*LN(N70_DESARROLLO!BL37/N70_DESARROLLO!BK37)-1</f>
        <v>1.676083849676413E-2</v>
      </c>
      <c r="BN122" s="3">
        <f>-(N70_DESARROLLO!BM37/0.014285714)*LN(N70_DESARROLLO!BM37/N70_DESARROLLO!BL37)-1</f>
        <v>1.6217180198320191E-2</v>
      </c>
      <c r="BO122" s="3">
        <f>-(N70_DESARROLLO!BN37/0.014285714)*LN(N70_DESARROLLO!BN37/N70_DESARROLLO!BM37)-1</f>
        <v>1.5707684197544092E-2</v>
      </c>
      <c r="BP122" s="3">
        <f>-(N70_DESARROLLO!BO37/0.014285714)*LN(N70_DESARROLLO!BO37/N70_DESARROLLO!BN37)-1</f>
        <v>1.5229228398108141E-2</v>
      </c>
      <c r="BQ122" s="3">
        <f>-(N70_DESARROLLO!BP37/0.014285714)*LN(N70_DESARROLLO!BP37/N70_DESARROLLO!BO37)-1</f>
        <v>1.4779059912696235E-2</v>
      </c>
      <c r="BR122" s="3">
        <f>-(N70_DESARROLLO!BQ37/0.014285714)*LN(N70_DESARROLLO!BQ37/N70_DESARROLLO!BP37)-1</f>
        <v>1.4354742051088776E-2</v>
      </c>
      <c r="BS122" s="3">
        <f>-(N70_DESARROLLO!BR37/0.014285714)*LN(N70_DESARROLLO!BR37/N70_DESARROLLO!BQ37)-1</f>
        <v>1.3954110187344382E-2</v>
      </c>
      <c r="BT122" s="3">
        <f>-(N70_DESARROLLO!BS37/0.014285714)*LN(N70_DESARROLLO!BS37/N70_DESARROLLO!BR37)-1</f>
        <v>1.3575234818474557E-2</v>
      </c>
      <c r="BU122" s="3">
        <f>-(N70_DESARROLLO!BT37/0.014285714)*LN(N70_DESARROLLO!BT37/N70_DESARROLLO!BS37)-1</f>
        <v>1.3216390483210549E-2</v>
      </c>
      <c r="BV122" s="3">
        <f>-(N70_DESARROLLO!BU37/0.014285714)*LN(N70_DESARROLLO!BU37/N70_DESARROLLO!BT37)-1</f>
        <v>1.2876029484357954E-2</v>
      </c>
      <c r="BW122" s="3">
        <f>-(N70_DESARROLLO!BV37/0.014285714)*LN(N70_DESARROLLO!BV37/N70_DESARROLLO!BU37)-1</f>
        <v>1.2552759570459981E-2</v>
      </c>
      <c r="BX122" s="3">
        <f>-(N70_DESARROLLO!BW37/0.014285714)*LN(N70_DESARROLLO!BW37/N70_DESARROLLO!BV37)-1</f>
        <v>1.224532489750696E-2</v>
      </c>
      <c r="BY122" s="3">
        <f>-(N70_DESARROLLO!BX37/0.014285714)*LN(N70_DESARROLLO!BX37/N70_DESARROLLO!BW37)-1</f>
        <v>35.596127768812011</v>
      </c>
      <c r="BZ122" s="10"/>
      <c r="CA122" s="10"/>
      <c r="CB122" s="10"/>
      <c r="CC122" s="10"/>
      <c r="CD122" s="1">
        <v>28</v>
      </c>
      <c r="CE122" s="1">
        <v>0</v>
      </c>
      <c r="CF122" s="1">
        <f>(1+(N70_DESARROLLO!F37/0.014285714)*LN(N70_DESARROLLO!G37/N70_DESARROLLO!F37))</f>
        <v>-1.8634991582299865E-2</v>
      </c>
      <c r="CG122" s="1">
        <f>(1+(N70_DESARROLLO!G37/0.014285714)*LN(N70_DESARROLLO!H37/N70_DESARROLLO!G37))</f>
        <v>-1.9356462323724344E-2</v>
      </c>
      <c r="CH122" s="1">
        <f>(1+(N70_DESARROLLO!H37/0.014285714)*LN(N70_DESARROLLO!I37/N70_DESARROLLO!H37))</f>
        <v>-2.0136053052048686E-2</v>
      </c>
      <c r="CI122" s="1">
        <f>(1+(N70_DESARROLLO!I37/0.014285714)*LN(N70_DESARROLLO!J37/N70_DESARROLLO!I37))</f>
        <v>-2.0981082233539228E-2</v>
      </c>
      <c r="CJ122" s="1">
        <f>(1+(N70_DESARROLLO!J37/0.014285714)*LN(N70_DESARROLLO!K37/N70_DESARROLLO!J37))</f>
        <v>-2.1900151021861269E-2</v>
      </c>
      <c r="CK122" s="1">
        <f>(1+(N70_DESARROLLO!K37/0.014285714)*LN(N70_DESARROLLO!L37/N70_DESARROLLO!K37))</f>
        <v>-2.2903437185112896E-2</v>
      </c>
      <c r="CL122" s="1">
        <f>(1+(N70_DESARROLLO!L37/0.014285714)*LN(N70_DESARROLLO!M37/N70_DESARROLLO!L37))</f>
        <v>-2.4003073749032433E-2</v>
      </c>
      <c r="CM122" s="1">
        <f>(1+(N70_DESARROLLO!M37/0.014285714)*LN(N70_DESARROLLO!N37/N70_DESARROLLO!M37))</f>
        <v>-2.5213642284831916E-2</v>
      </c>
      <c r="CN122" s="1">
        <f>(1+(N70_DESARROLLO!N37/0.014285714)*LN(N70_DESARROLLO!O37/N70_DESARROLLO!N37))</f>
        <v>-2.6552823496785782E-2</v>
      </c>
      <c r="CO122" s="1">
        <f>(1+(N70_DESARROLLO!O37/0.014285714)*LN(N70_DESARROLLO!P37/N70_DESARROLLO!O37))</f>
        <v>-2.804226692484435E-2</v>
      </c>
      <c r="CP122" s="1">
        <f>(1+(N70_DESARROLLO!P37/0.014285714)*LN(N70_DESARROLLO!Q37/N70_DESARROLLO!P37))</f>
        <v>-2.9708770995510836E-2</v>
      </c>
      <c r="CQ122" s="1">
        <f>(1+(N70_DESARROLLO!Q37/0.014285714)*LN(N70_DESARROLLO!R37/N70_DESARROLLO!Q37))</f>
        <v>-3.1585910823729968E-2</v>
      </c>
      <c r="CR122" s="1">
        <f>(1+(N70_DESARROLLO!R37/0.014285714)*LN(N70_DESARROLLO!S37/N70_DESARROLLO!R37))</f>
        <v>-3.3716325403746694E-2</v>
      </c>
      <c r="CS122" s="1">
        <f>(1+(N70_DESARROLLO!S37/0.014285714)*LN(N70_DESARROLLO!T37/N70_DESARROLLO!S37))</f>
        <v>-3.6154998464200228E-2</v>
      </c>
      <c r="CT122" s="1">
        <f>(1+(N70_DESARROLLO!T37/0.014285714)*LN(N70_DESARROLLO!U37/N70_DESARROLLO!T37))</f>
        <v>-3.8974076117213707E-2</v>
      </c>
      <c r="CU122" s="1">
        <f>(1+(N70_DESARROLLO!U37/0.014285714)*LN(N70_DESARROLLO!V37/N70_DESARROLLO!U37))</f>
        <v>-4.2270132583541509E-2</v>
      </c>
      <c r="CV122" s="1">
        <f>(1+(N70_DESARROLLO!V37/0.014285714)*LN(N70_DESARROLLO!W37/N70_DESARROLLO!V37))</f>
        <v>-4.617547028936686E-2</v>
      </c>
      <c r="CW122" s="1">
        <f>(1+(N70_DESARROLLO!W37/0.014285714)*LN(N70_DESARROLLO!X37/N70_DESARROLLO!W37))</f>
        <v>-5.0876335865841504E-2</v>
      </c>
      <c r="CX122" s="1">
        <f>(1+(N70_DESARROLLO!X37/0.014285714)*LN(N70_DESARROLLO!Y37/N70_DESARROLLO!X37))</f>
        <v>-5.6643554680003483E-2</v>
      </c>
      <c r="CY122" s="1">
        <f>(1+(N70_DESARROLLO!Y37/0.014285714)*LN(N70_DESARROLLO!Z37/N70_DESARROLLO!Y37))</f>
        <v>-6.3886736386785659E-2</v>
      </c>
      <c r="CZ122" s="1">
        <f>(1+(N70_DESARROLLO!Z37/0.014285714)*LN(N70_DESARROLLO!AA37/N70_DESARROLLO!Z37))</f>
        <v>-7.3256348770177393E-2</v>
      </c>
      <c r="DA122" s="1">
        <f>(1+(N70_DESARROLLO!AA37/0.014285714)*LN(N70_DESARROLLO!AB37/N70_DESARROLLO!AA37))</f>
        <v>-8.5851572027612066E-2</v>
      </c>
      <c r="DB122" s="1">
        <f>(1+(N70_DESARROLLO!AB37/0.014285714)*LN(N70_DESARROLLO!AC37/N70_DESARROLLO!AB37))</f>
        <v>-0.10368884711560877</v>
      </c>
      <c r="DC122" s="1">
        <f>(1+(N70_DESARROLLO!AC37/0.014285714)*LN(N70_DESARROLLO!AD37/N70_DESARROLLO!AC37))</f>
        <v>-0.13091494988237717</v>
      </c>
      <c r="DD122" s="1">
        <f>(1+(N70_DESARROLLO!AD37/0.014285714)*LN(N70_DESARROLLO!AE37/N70_DESARROLLO!AD37))</f>
        <v>-0.17765285172730283</v>
      </c>
      <c r="DE122" s="1">
        <f>(1+(N70_DESARROLLO!AE37/0.014285714)*LN(N70_DESARROLLO!AF37/N70_DESARROLLO!AE37))</f>
        <v>-0.27706408495625956</v>
      </c>
      <c r="DF122" s="1">
        <f>(1+(N70_DESARROLLO!AF37/0.014285714)*LN(N70_DESARROLLO!AG37/N70_DESARROLLO!AF37))</f>
        <v>-0.64791846596052816</v>
      </c>
      <c r="DG122" s="1">
        <v>1</v>
      </c>
      <c r="DH122" s="1">
        <f>(1+(N70_DESARROLLO!AH37/0.014285714)*LN(N70_DESARROLLO!AI37/N70_DESARROLLO!AH37))</f>
        <v>0.4506938446798211</v>
      </c>
      <c r="DI122" s="1">
        <f>(1+(N70_DESARROLLO!AI37/0.014285714)*LN(N70_DESARROLLO!AJ37/N70_DESARROLLO!AI37))</f>
        <v>0.23376154902624446</v>
      </c>
      <c r="DJ122" s="1">
        <f>(1+(N70_DESARROLLO!AJ37/0.014285714)*LN(N70_DESARROLLO!AK37/N70_DESARROLLO!AJ37))</f>
        <v>0.15881939162335512</v>
      </c>
      <c r="DK122" s="1">
        <f>(1+(N70_DESARROLLO!AK37/0.014285714)*LN(N70_DESARROLLO!AL37/N70_DESARROLLO!AK37))</f>
        <v>0.12039948342481788</v>
      </c>
      <c r="DL122" s="1">
        <f>(1+(N70_DESARROLLO!AL37/0.014285714)*LN(N70_DESARROLLO!AM37/N70_DESARROLLO!AL37))</f>
        <v>9.69818523599566E-2</v>
      </c>
      <c r="DM122" s="1">
        <f>(1+(N70_DESARROLLO!AM37/0.014285714)*LN(N70_DESARROLLO!AN37/N70_DESARROLLO!AM37))</f>
        <v>8.1202515976636191E-2</v>
      </c>
      <c r="DN122" s="1">
        <f>(1+(N70_DESARROLLO!AN37/0.014285714)*LN(N70_DESARROLLO!AO37/N70_DESARROLLO!AN37))</f>
        <v>6.9844497732513222E-2</v>
      </c>
      <c r="DO122" s="1">
        <f>(1+(N70_DESARROLLO!AO37/0.014285714)*LN(N70_DESARROLLO!AP37/N70_DESARROLLO!AO37))</f>
        <v>6.1276409070485593E-2</v>
      </c>
      <c r="DP122" s="1">
        <f>(1+(N70_DESARROLLO!AP37/0.014285714)*LN(N70_DESARROLLO!AQ37/N70_DESARROLLO!AP37))</f>
        <v>5.4582082654730635E-2</v>
      </c>
      <c r="DQ122" s="1">
        <f>(1+(N70_DESARROLLO!AQ37/0.014285714)*LN(N70_DESARROLLO!AR37/N70_DESARROLLO!AQ37))</f>
        <v>4.9207124692810855E-2</v>
      </c>
      <c r="DR122" s="1">
        <f>(1+(N70_DESARROLLO!AR37/0.014285714)*LN(N70_DESARROLLO!AS37/N70_DESARROLLO!AR37))</f>
        <v>4.4796309735792517E-2</v>
      </c>
      <c r="DS122" s="1">
        <f>(1+(N70_DESARROLLO!AS37/0.014285714)*LN(N70_DESARROLLO!AT37/N70_DESARROLLO!AS37))</f>
        <v>4.1111478023144854E-2</v>
      </c>
      <c r="DT122" s="1">
        <f>(1+(N70_DESARROLLO!AT37/0.014285714)*LN(N70_DESARROLLO!AU37/N70_DESARROLLO!AT37))</f>
        <v>3.7986966558131607E-2</v>
      </c>
      <c r="DU122" s="1">
        <f>(1+(N70_DESARROLLO!AU37/0.014285714)*LN(N70_DESARROLLO!AV37/N70_DESARROLLO!AU37))</f>
        <v>3.5303966947126231E-2</v>
      </c>
      <c r="DV122" s="1">
        <f>(1+(N70_DESARROLLO!AV37/0.014285714)*LN(N70_DESARROLLO!AW37/N70_DESARROLLO!AV37))</f>
        <v>3.2975050428757702E-2</v>
      </c>
      <c r="DW122" s="1">
        <f>(1+(N70_DESARROLLO!AW37/0.014285714)*LN(N70_DESARROLLO!AX37/N70_DESARROLLO!AW37))</f>
        <v>3.0934447408009769E-2</v>
      </c>
      <c r="DX122" s="1">
        <f>(1+(N70_DESARROLLO!AX37/0.014285714)*LN(N70_DESARROLLO!AY37/N70_DESARROLLO!AX37))</f>
        <v>2.9131730204236872E-2</v>
      </c>
      <c r="DY122" s="1">
        <f>(1+(N70_DESARROLLO!AY37/0.014285714)*LN(N70_DESARROLLO!AZ37/N70_DESARROLLO!AY37))</f>
        <v>2.752758534135924E-2</v>
      </c>
      <c r="DZ122" s="1">
        <f>(1+(N70_DESARROLLO!AZ37/0.014285714)*LN(N70_DESARROLLO!BA37/N70_DESARROLLO!AZ37))</f>
        <v>2.6090911041513176E-2</v>
      </c>
      <c r="EA122" s="1">
        <f>(1+(N70_DESARROLLO!BA37/0.014285714)*LN(N70_DESARROLLO!BB37/N70_DESARROLLO!BA37))</f>
        <v>2.4796779290033988E-2</v>
      </c>
      <c r="EB122" s="1">
        <f>(1+(N70_DESARROLLO!BB37/0.014285714)*LN(N70_DESARROLLO!BC37/N70_DESARROLLO!BB37))</f>
        <v>2.3624976192783143E-2</v>
      </c>
      <c r="EC122" s="1">
        <f>(1+(N70_DESARROLLO!BC37/0.014285714)*LN(N70_DESARROLLO!BD37/N70_DESARROLLO!BC37))</f>
        <v>2.2558937800894241E-2</v>
      </c>
      <c r="ED122" s="1">
        <f>(1+(N70_DESARROLLO!BD37/0.014285714)*LN(N70_DESARROLLO!BE37/N70_DESARROLLO!BD37))</f>
        <v>2.1584961787578738E-2</v>
      </c>
      <c r="EE122" s="1">
        <f>(1+(N70_DESARROLLO!BE37/0.014285714)*LN(N70_DESARROLLO!BF37/N70_DESARROLLO!BE37))</f>
        <v>2.0691615000477337E-2</v>
      </c>
      <c r="EF122" s="1">
        <f>(1+(N70_DESARROLLO!BF37/0.014285714)*LN(N70_DESARROLLO!BG37/N70_DESARROLLO!BF37))</f>
        <v>1.986928236176011E-2</v>
      </c>
      <c r="EG122" s="1">
        <f>(1+(N70_DESARROLLO!BG37/0.014285714)*LN(N70_DESARROLLO!BH37/N70_DESARROLLO!BG37))</f>
        <v>1.9109819273400053E-2</v>
      </c>
      <c r="EH122" s="1">
        <f>(1+(N70_DESARROLLO!BH37/0.014285714)*LN(N70_DESARROLLO!BI37/N70_DESARROLLO!BH37))</f>
        <v>1.8406280838869304E-2</v>
      </c>
      <c r="EI122" s="1">
        <f>(1+(N70_DESARROLLO!BI37/0.014285714)*LN(N70_DESARROLLO!BJ37/N70_DESARROLLO!BI37))</f>
        <v>1.7752708797880712E-2</v>
      </c>
      <c r="EJ122" s="1">
        <f>(1+(N70_DESARROLLO!BJ37/0.014285714)*LN(N70_DESARROLLO!BK37/N70_DESARROLLO!BJ37))</f>
        <v>1.7143962314551175E-2</v>
      </c>
      <c r="EK122" s="1">
        <f>(1+(N70_DESARROLLO!BK37/0.014285714)*LN(N70_DESARROLLO!BL37/N70_DESARROLLO!BK37))</f>
        <v>1.6575582437555969E-2</v>
      </c>
      <c r="EL122" s="1">
        <f>(1+(N70_DESARROLLO!BL37/0.014285714)*LN(N70_DESARROLLO!BM37/N70_DESARROLLO!BL37))</f>
        <v>1.6043682665118575E-2</v>
      </c>
      <c r="EM122" s="1">
        <f>(1+(N70_DESARROLLO!BM37/0.014285714)*LN(N70_DESARROLLO!BN37/N70_DESARROLLO!BM37))</f>
        <v>1.5544859931611144E-2</v>
      </c>
      <c r="EN122" s="1">
        <f>(1+(N70_DESARROLLO!BN37/0.014285714)*LN(N70_DESARROLLO!BO37/N70_DESARROLLO!BN37))</f>
        <v>1.5076121703327949E-2</v>
      </c>
      <c r="EO122" s="1">
        <f>(1+(N70_DESARROLLO!BO37/0.014285714)*LN(N70_DESARROLLO!BP37/N70_DESARROLLO!BO37))</f>
        <v>1.4634825881874369E-2</v>
      </c>
      <c r="EP122" s="1">
        <f>(1+(N70_DESARROLLO!BP37/0.014285714)*LN(N70_DESARROLLO!BQ37/N70_DESARROLLO!BP37))</f>
        <v>1.4218630964434986E-2</v>
      </c>
      <c r="EQ122" s="1">
        <f>(1+(N70_DESARROLLO!BQ37/0.014285714)*LN(N70_DESARROLLO!BR37/N70_DESARROLLO!BQ37))</f>
        <v>1.3825454475322574E-2</v>
      </c>
      <c r="ER122" s="1">
        <f>(1+(N70_DESARROLLO!BR37/0.014285714)*LN(N70_DESARROLLO!BS37/N70_DESARROLLO!BR37))</f>
        <v>1.3453438110017868E-2</v>
      </c>
      <c r="ES122" s="1">
        <f>(1+(N70_DESARROLLO!BS37/0.014285714)*LN(N70_DESARROLLO!BT37/N70_DESARROLLO!BS37))</f>
        <v>1.3100918360509306E-2</v>
      </c>
      <c r="ET122" s="1">
        <f>(1+(N70_DESARROLLO!BT37/0.014285714)*LN(N70_DESARROLLO!BU37/N70_DESARROLLO!BT37))</f>
        <v>1.2766401641828296E-2</v>
      </c>
      <c r="EU122" s="1">
        <f>(1+(N70_DESARROLLO!BU37/0.014285714)*LN(N70_DESARROLLO!BV37/N70_DESARROLLO!BU37))</f>
        <v>1.2448543134983558E-2</v>
      </c>
      <c r="EV122" s="1">
        <f>(1+(N70_DESARROLLO!BV37/0.014285714)*LN(N70_DESARROLLO!BW37/N70_DESARROLLO!BV37))</f>
        <v>1.2146128714481064E-2</v>
      </c>
      <c r="EW122" s="1">
        <f>(1+(N70_DESARROLLO!BW37/0.014285714)*LN(N70_DESARROLLO!BX37/N70_DESARROLLO!BW37))</f>
        <v>-20.696275748652834</v>
      </c>
      <c r="EX122" s="10"/>
      <c r="EY122" s="10"/>
    </row>
    <row r="123" spans="7:155" x14ac:dyDescent="0.25">
      <c r="G123" s="3">
        <v>29</v>
      </c>
      <c r="H123" s="3">
        <f>-(N70_DESARROLLO!G38/0.014285714)*LN(N70_DESARROLLO!G38/N70_DESARROLLO!F38)-1</f>
        <v>-1.7752708797875383E-2</v>
      </c>
      <c r="I123" s="3">
        <f>-(N70_DESARROLLO!H38/0.014285714)*LN(N70_DESARROLLO!H38/N70_DESARROLLO!G38)-1</f>
        <v>-1.8406280838874522E-2</v>
      </c>
      <c r="J123" s="3">
        <f>-(N70_DESARROLLO!I38/0.014285714)*LN(N70_DESARROLLO!I38/N70_DESARROLLO!H38)-1</f>
        <v>-1.9109819273397055E-2</v>
      </c>
      <c r="K123" s="3">
        <f>-(N70_DESARROLLO!J38/0.014285714)*LN(N70_DESARROLLO!J38/N70_DESARROLLO!I38)-1</f>
        <v>-1.9869282361757001E-2</v>
      </c>
      <c r="L123" s="3">
        <f>-(N70_DESARROLLO!K38/0.014285714)*LN(N70_DESARROLLO!K38/N70_DESARROLLO!J38)-1</f>
        <v>-2.0691615000488106E-2</v>
      </c>
      <c r="M123" s="3">
        <f>-(N70_DESARROLLO!L38/0.014285714)*LN(N70_DESARROLLO!L38/N70_DESARROLLO!K38)-1</f>
        <v>-2.1584961787571522E-2</v>
      </c>
      <c r="N123" s="3">
        <f>-(N70_DESARROLLO!M38/0.014285714)*LN(N70_DESARROLLO!M38/N70_DESARROLLO!L38)-1</f>
        <v>-2.2558937800899459E-2</v>
      </c>
      <c r="O123" s="3">
        <f>-(N70_DESARROLLO!N38/0.014285714)*LN(N70_DESARROLLO!N38/N70_DESARROLLO!M38)-1</f>
        <v>-2.3624976192780478E-2</v>
      </c>
      <c r="P123" s="3">
        <f>-(N70_DESARROLLO!O38/0.014285714)*LN(N70_DESARROLLO!O38/N70_DESARROLLO!N38)-1</f>
        <v>-2.4796779290037874E-2</v>
      </c>
      <c r="Q123" s="3">
        <f>-(N70_DESARROLLO!P38/0.014285714)*LN(N70_DESARROLLO!P38/N70_DESARROLLO!O38)-1</f>
        <v>-2.6090911041510623E-2</v>
      </c>
      <c r="R123" s="3">
        <f>-(N70_DESARROLLO!Q38/0.014285714)*LN(N70_DESARROLLO!Q38/N70_DESARROLLO!P38)-1</f>
        <v>-2.7527585341363237E-2</v>
      </c>
      <c r="S123" s="3">
        <f>-(N70_DESARROLLO!R38/0.014285714)*LN(N70_DESARROLLO!R38/N70_DESARROLLO!Q38)-1</f>
        <v>-2.9131730204232431E-2</v>
      </c>
      <c r="T123" s="3">
        <f>-(N70_DESARROLLO!S38/0.014285714)*LN(N70_DESARROLLO!S38/N70_DESARROLLO!R38)-1</f>
        <v>-3.0934447408011101E-2</v>
      </c>
      <c r="U123" s="3">
        <f>-(N70_DESARROLLO!T38/0.014285714)*LN(N70_DESARROLLO!T38/N70_DESARROLLO!S38)-1</f>
        <v>-3.2975050428754704E-2</v>
      </c>
      <c r="V123" s="3">
        <f>-(N70_DESARROLLO!U38/0.014285714)*LN(N70_DESARROLLO!U38/N70_DESARROLLO!T38)-1</f>
        <v>-3.5303966947122123E-2</v>
      </c>
      <c r="W123" s="3">
        <f>-(N70_DESARROLLO!V38/0.014285714)*LN(N70_DESARROLLO!V38/N70_DESARROLLO!U38)-1</f>
        <v>-3.7986966558135271E-2</v>
      </c>
      <c r="X123" s="3">
        <f>-(N70_DESARROLLO!W38/0.014285714)*LN(N70_DESARROLLO!W38/N70_DESARROLLO!V38)-1</f>
        <v>-4.1111478023141412E-2</v>
      </c>
      <c r="Y123" s="3">
        <f>-(N70_DESARROLLO!X38/0.014285714)*LN(N70_DESARROLLO!X38/N70_DESARROLLO!W38)-1</f>
        <v>-4.4796309735797624E-2</v>
      </c>
      <c r="Z123" s="3">
        <f>-(N70_DESARROLLO!Y38/0.014285714)*LN(N70_DESARROLLO!Y38/N70_DESARROLLO!X38)-1</f>
        <v>-4.9207124692808302E-2</v>
      </c>
      <c r="AA123" s="3">
        <f>-(N70_DESARROLLO!Z38/0.014285714)*LN(N70_DESARROLLO!Z38/N70_DESARROLLO!Y38)-1</f>
        <v>-5.4582082654734299E-2</v>
      </c>
      <c r="AB123" s="3">
        <f>-(N70_DESARROLLO!AA38/0.014285714)*LN(N70_DESARROLLO!AA38/N70_DESARROLLO!Z38)-1</f>
        <v>-6.1276409070482818E-2</v>
      </c>
      <c r="AC123" s="3">
        <f>-(N70_DESARROLLO!AB38/0.014285714)*LN(N70_DESARROLLO!AB38/N70_DESARROLLO!AA38)-1</f>
        <v>-6.9844497732512556E-2</v>
      </c>
      <c r="AD123" s="3">
        <f>-(N70_DESARROLLO!AC38/0.014285714)*LN(N70_DESARROLLO!AC38/N70_DESARROLLO!AB38)-1</f>
        <v>-8.1202515976636191E-2</v>
      </c>
      <c r="AE123" s="3">
        <f>-(N70_DESARROLLO!AD38/0.014285714)*LN(N70_DESARROLLO!AD38/N70_DESARROLLO!AC38)-1</f>
        <v>-9.69818523599566E-2</v>
      </c>
      <c r="AF123" s="3">
        <f>-(N70_DESARROLLO!AE38/0.014285714)*LN(N70_DESARROLLO!AE38/N70_DESARROLLO!AD38)-1</f>
        <v>-0.12039948342481799</v>
      </c>
      <c r="AG123" s="3">
        <f>-(N70_DESARROLLO!AF38/0.014285714)*LN(N70_DESARROLLO!AF38/N70_DESARROLLO!AE38)-1</f>
        <v>-0.15881939162335501</v>
      </c>
      <c r="AH123" s="3">
        <f>-(N70_DESARROLLO!AG38/0.014285714)*LN(N70_DESARROLLO!AG38/N70_DESARROLLO!AF38)-1</f>
        <v>-0.23376154902624657</v>
      </c>
      <c r="AI123" s="3">
        <f>-(N70_DESARROLLO!AH38/0.014285714)*LN(N70_DESARROLLO!AH38/N70_DESARROLLO!AG38)-1</f>
        <v>-0.4506938446798211</v>
      </c>
      <c r="AJ123" s="3">
        <v>-1</v>
      </c>
      <c r="AK123" s="3">
        <f>-(N70_DESARROLLO!AJ38/0.014285714)*LN(N70_DESARROLLO!AJ38/N70_DESARROLLO!AI38)-1</f>
        <v>0.64791846596053637</v>
      </c>
      <c r="AL123" s="3">
        <f>-(N70_DESARROLLO!AK38/0.014285714)*LN(N70_DESARROLLO!AK38/N70_DESARROLLO!AJ38)-1</f>
        <v>0.27706408495625956</v>
      </c>
      <c r="AM123" s="3">
        <f>-(N70_DESARROLLO!AL38/0.014285714)*LN(N70_DESARROLLO!AL38/N70_DESARROLLO!AK38)-1</f>
        <v>0.17765285172730305</v>
      </c>
      <c r="AN123" s="3">
        <f>-(N70_DESARROLLO!AM38/0.014285714)*LN(N70_DESARROLLO!AM38/N70_DESARROLLO!AL38)-1</f>
        <v>0.13091494988237651</v>
      </c>
      <c r="AO123" s="3">
        <f>-(N70_DESARROLLO!AN38/0.014285714)*LN(N70_DESARROLLO!AN38/N70_DESARROLLO!AM38)-1</f>
        <v>0.10368884711560877</v>
      </c>
      <c r="AP123" s="3">
        <f>-(N70_DESARROLLO!AO38/0.014285714)*LN(N70_DESARROLLO!AO38/N70_DESARROLLO!AN38)-1</f>
        <v>8.5851572027612066E-2</v>
      </c>
      <c r="AQ123" s="3">
        <f>-(N70_DESARROLLO!AP38/0.014285714)*LN(N70_DESARROLLO!AP38/N70_DESARROLLO!AO38)-1</f>
        <v>7.3256348770172952E-2</v>
      </c>
      <c r="AR123" s="3">
        <f>-(N70_DESARROLLO!AQ38/0.014285714)*LN(N70_DESARROLLO!AQ38/N70_DESARROLLO!AP38)-1</f>
        <v>6.3886736386790766E-2</v>
      </c>
      <c r="AS123" s="3">
        <f>-(N70_DESARROLLO!AR38/0.014285714)*LN(N70_DESARROLLO!AR38/N70_DESARROLLO!AQ38)-1</f>
        <v>5.664355467999882E-2</v>
      </c>
      <c r="AT123" s="3">
        <f>-(N70_DESARROLLO!AS38/0.014285714)*LN(N70_DESARROLLO!AS38/N70_DESARROLLO!AR38)-1</f>
        <v>5.0876335865848832E-2</v>
      </c>
      <c r="AU123" s="3">
        <f>-(N70_DESARROLLO!AT38/0.014285714)*LN(N70_DESARROLLO!AT38/N70_DESARROLLO!AS38)-1</f>
        <v>4.6175470289362641E-2</v>
      </c>
      <c r="AV123" s="3">
        <f>-(N70_DESARROLLO!AU38/0.014285714)*LN(N70_DESARROLLO!AU38/N70_DESARROLLO!AT38)-1</f>
        <v>4.2270132583545728E-2</v>
      </c>
      <c r="AW123" s="3">
        <f>-(N70_DESARROLLO!AV38/0.014285714)*LN(N70_DESARROLLO!AV38/N70_DESARROLLO!AU38)-1</f>
        <v>3.8974076117209266E-2</v>
      </c>
      <c r="AX123" s="3">
        <f>-(N70_DESARROLLO!AW38/0.014285714)*LN(N70_DESARROLLO!AW38/N70_DESARROLLO!AV38)-1</f>
        <v>3.6154998464196897E-2</v>
      </c>
      <c r="AY123" s="3">
        <f>-(N70_DESARROLLO!AX38/0.014285714)*LN(N70_DESARROLLO!AX38/N70_DESARROLLO!AW38)-1</f>
        <v>3.3716325403751135E-2</v>
      </c>
      <c r="AZ123" s="3">
        <f>-(N70_DESARROLLO!AY38/0.014285714)*LN(N70_DESARROLLO!AY38/N70_DESARROLLO!AX38)-1</f>
        <v>3.1585910823724417E-2</v>
      </c>
      <c r="BA123" s="3">
        <f>-(N70_DESARROLLO!AZ38/0.014285714)*LN(N70_DESARROLLO!AZ38/N70_DESARROLLO!AY38)-1</f>
        <v>2.97087709955135E-2</v>
      </c>
      <c r="BB123" s="3">
        <f>-(N70_DESARROLLO!BA38/0.014285714)*LN(N70_DESARROLLO!BA38/N70_DESARROLLO!AZ38)-1</f>
        <v>2.8042266924840797E-2</v>
      </c>
      <c r="BC123" s="3">
        <f>-(N70_DESARROLLO!BB38/0.014285714)*LN(N70_DESARROLLO!BB38/N70_DESARROLLO!BA38)-1</f>
        <v>2.6552823496791333E-2</v>
      </c>
      <c r="BD123" s="3">
        <f>-(N70_DESARROLLO!BC38/0.014285714)*LN(N70_DESARROLLO!BC38/N70_DESARROLLO!BB38)-1</f>
        <v>2.5213642284827253E-2</v>
      </c>
      <c r="BE123" s="3">
        <f>-(N70_DESARROLLO!BD38/0.014285714)*LN(N70_DESARROLLO!BD38/N70_DESARROLLO!BC38)-1</f>
        <v>2.4003073749041315E-2</v>
      </c>
      <c r="BF123" s="3">
        <f>-(N70_DESARROLLO!BE38/0.014285714)*LN(N70_DESARROLLO!BE38/N70_DESARROLLO!BD38)-1</f>
        <v>2.2903437185105791E-2</v>
      </c>
      <c r="BG123" s="3">
        <f>-(N70_DESARROLLO!BF38/0.014285714)*LN(N70_DESARROLLO!BF38/N70_DESARROLLO!BE38)-1</f>
        <v>2.190015102187215E-2</v>
      </c>
      <c r="BH123" s="3">
        <f>-(N70_DESARROLLO!BG38/0.014285714)*LN(N70_DESARROLLO!BG38/N70_DESARROLLO!BF38)-1</f>
        <v>2.0981082233534565E-2</v>
      </c>
      <c r="BI123" s="3">
        <f>-(N70_DESARROLLO!BH38/0.014285714)*LN(N70_DESARROLLO!BH38/N70_DESARROLLO!BG38)-1</f>
        <v>2.0136053052045133E-2</v>
      </c>
      <c r="BJ123" s="3">
        <f>-(N70_DESARROLLO!BI38/0.014285714)*LN(N70_DESARROLLO!BI38/N70_DESARROLLO!BH38)-1</f>
        <v>1.9356462323727008E-2</v>
      </c>
      <c r="BK123" s="3">
        <f>-(N70_DESARROLLO!BJ38/0.014285714)*LN(N70_DESARROLLO!BJ38/N70_DESARROLLO!BI38)-1</f>
        <v>1.8634991582293425E-2</v>
      </c>
      <c r="BL123" s="3">
        <f>-(N70_DESARROLLO!BK38/0.014285714)*LN(N70_DESARROLLO!BK38/N70_DESARROLLO!BJ38)-1</f>
        <v>1.7965374518572164E-2</v>
      </c>
      <c r="BM123" s="3">
        <f>-(N70_DESARROLLO!BL38/0.014285714)*LN(N70_DESARROLLO!BL38/N70_DESARROLLO!BK38)-1</f>
        <v>1.7342214446335324E-2</v>
      </c>
      <c r="BN123" s="3">
        <f>-(N70_DESARROLLO!BM38/0.014285714)*LN(N70_DESARROLLO!BM38/N70_DESARROLLO!BL38)-1</f>
        <v>1.6760838496770569E-2</v>
      </c>
      <c r="BO123" s="3">
        <f>-(N70_DESARROLLO!BN38/0.014285714)*LN(N70_DESARROLLO!BN38/N70_DESARROLLO!BM38)-1</f>
        <v>1.6217180198313308E-2</v>
      </c>
      <c r="BP123" s="3">
        <f>-(N70_DESARROLLO!BO38/0.014285714)*LN(N70_DESARROLLO!BO38/N70_DESARROLLO!BN38)-1</f>
        <v>1.5707684197550975E-2</v>
      </c>
      <c r="BQ123" s="3">
        <f>-(N70_DESARROLLO!BP38/0.014285714)*LN(N70_DESARROLLO!BP38/N70_DESARROLLO!BO38)-1</f>
        <v>1.5229228398100814E-2</v>
      </c>
      <c r="BR123" s="3">
        <f>-(N70_DESARROLLO!BQ38/0.014285714)*LN(N70_DESARROLLO!BQ38/N70_DESARROLLO!BP38)-1</f>
        <v>1.4779059912703785E-2</v>
      </c>
      <c r="BS123" s="3">
        <f>-(N70_DESARROLLO!BR38/0.014285714)*LN(N70_DESARROLLO!BR38/N70_DESARROLLO!BQ38)-1</f>
        <v>1.4354742051081004E-2</v>
      </c>
      <c r="BT123" s="3">
        <f>-(N70_DESARROLLO!BS38/0.014285714)*LN(N70_DESARROLLO!BS38/N70_DESARROLLO!BR38)-1</f>
        <v>1.395411018734416E-2</v>
      </c>
      <c r="BU123" s="3">
        <f>-(N70_DESARROLLO!BT38/0.014285714)*LN(N70_DESARROLLO!BT38/N70_DESARROLLO!BS38)-1</f>
        <v>1.3575234818482773E-2</v>
      </c>
      <c r="BV123" s="3">
        <f>-(N70_DESARROLLO!BU38/0.014285714)*LN(N70_DESARROLLO!BU38/N70_DESARROLLO!BT38)-1</f>
        <v>1.3216390483202112E-2</v>
      </c>
      <c r="BW123" s="3">
        <f>-(N70_DESARROLLO!BV38/0.014285714)*LN(N70_DESARROLLO!BV38/N70_DESARROLLO!BU38)-1</f>
        <v>1.2876029484357954E-2</v>
      </c>
      <c r="BX123" s="3">
        <f>-(N70_DESARROLLO!BW38/0.014285714)*LN(N70_DESARROLLO!BW38/N70_DESARROLLO!BV38)-1</f>
        <v>1.25527595704511E-2</v>
      </c>
      <c r="BY123" s="3">
        <f>-(N70_DESARROLLO!BX38/0.014285714)*LN(N70_DESARROLLO!BX38/N70_DESARROLLO!BW38)-1</f>
        <v>37.303529521651186</v>
      </c>
      <c r="BZ123" s="10"/>
      <c r="CA123" s="10"/>
      <c r="CB123" s="10"/>
      <c r="CC123" s="10"/>
      <c r="CD123">
        <v>29</v>
      </c>
      <c r="CE123" s="1">
        <v>0</v>
      </c>
      <c r="CF123" s="1">
        <f>(1+(N70_DESARROLLO!F38/0.014285714)*LN(N70_DESARROLLO!G38/N70_DESARROLLO!F38))</f>
        <v>-1.7965374518565502E-2</v>
      </c>
      <c r="CG123" s="1">
        <f>(1+(N70_DESARROLLO!G38/0.014285714)*LN(N70_DESARROLLO!H38/N70_DESARROLLO!G38))</f>
        <v>-1.8634991582299865E-2</v>
      </c>
      <c r="CH123" s="1">
        <f>(1+(N70_DESARROLLO!H38/0.014285714)*LN(N70_DESARROLLO!I38/N70_DESARROLLO!H38))</f>
        <v>-1.9356462323724788E-2</v>
      </c>
      <c r="CI123" s="1">
        <f>(1+(N70_DESARROLLO!I38/0.014285714)*LN(N70_DESARROLLO!J38/N70_DESARROLLO!I38))</f>
        <v>-2.0136053052048908E-2</v>
      </c>
      <c r="CJ123" s="1">
        <f>(1+(N70_DESARROLLO!J38/0.014285714)*LN(N70_DESARROLLO!K38/N70_DESARROLLO!J38))</f>
        <v>-2.0981082233533677E-2</v>
      </c>
      <c r="CK123" s="1">
        <f>(1+(N70_DESARROLLO!K38/0.014285714)*LN(N70_DESARROLLO!L38/N70_DESARROLLO!K38))</f>
        <v>-2.1900151021869707E-2</v>
      </c>
      <c r="CL123" s="1">
        <f>(1+(N70_DESARROLLO!L38/0.014285714)*LN(N70_DESARROLLO!M38/N70_DESARROLLO!L38))</f>
        <v>-2.2903437185105124E-2</v>
      </c>
      <c r="CM123" s="1">
        <f>(1+(N70_DESARROLLO!M38/0.014285714)*LN(N70_DESARROLLO!N38/N70_DESARROLLO!M38))</f>
        <v>-2.4003073749035098E-2</v>
      </c>
      <c r="CN123" s="1">
        <f>(1+(N70_DESARROLLO!N38/0.014285714)*LN(N70_DESARROLLO!O38/N70_DESARROLLO!N38))</f>
        <v>-2.5213642284832138E-2</v>
      </c>
      <c r="CO123" s="1">
        <f>(1+(N70_DESARROLLO!O38/0.014285714)*LN(N70_DESARROLLO!P38/N70_DESARROLLO!O38))</f>
        <v>-2.6552823496786004E-2</v>
      </c>
      <c r="CP123" s="1">
        <f>(1+(N70_DESARROLLO!P38/0.014285714)*LN(N70_DESARROLLO!Q38/N70_DESARROLLO!P38))</f>
        <v>-2.8042266924844572E-2</v>
      </c>
      <c r="CQ123" s="1">
        <f>(1+(N70_DESARROLLO!Q38/0.014285714)*LN(N70_DESARROLLO!R38/N70_DESARROLLO!Q38))</f>
        <v>-2.9708770995511058E-2</v>
      </c>
      <c r="CR123" s="1">
        <f>(1+(N70_DESARROLLO!R38/0.014285714)*LN(N70_DESARROLLO!S38/N70_DESARROLLO!R38))</f>
        <v>-3.158591082373019E-2</v>
      </c>
      <c r="CS123" s="1">
        <f>(1+(N70_DESARROLLO!S38/0.014285714)*LN(N70_DESARROLLO!T38/N70_DESARROLLO!S38))</f>
        <v>-3.3716325403744918E-2</v>
      </c>
      <c r="CT123" s="1">
        <f>(1+(N70_DESARROLLO!T38/0.014285714)*LN(N70_DESARROLLO!U38/N70_DESARROLLO!T38))</f>
        <v>-3.6154998464202226E-2</v>
      </c>
      <c r="CU123" s="1">
        <f>(1+(N70_DESARROLLO!U38/0.014285714)*LN(N70_DESARROLLO!V38/N70_DESARROLLO!U38))</f>
        <v>-3.8974076117213929E-2</v>
      </c>
      <c r="CV123" s="1">
        <f>(1+(N70_DESARROLLO!V38/0.014285714)*LN(N70_DESARROLLO!W38/N70_DESARROLLO!V38))</f>
        <v>-4.2270132583541953E-2</v>
      </c>
      <c r="CW123" s="1">
        <f>(1+(N70_DESARROLLO!W38/0.014285714)*LN(N70_DESARROLLO!X38/N70_DESARROLLO!W38))</f>
        <v>-4.6175470289364196E-2</v>
      </c>
      <c r="CX123" s="1">
        <f>(1+(N70_DESARROLLO!X38/0.014285714)*LN(N70_DESARROLLO!Y38/N70_DESARROLLO!X38))</f>
        <v>-5.0876335865843503E-2</v>
      </c>
      <c r="CY123" s="1">
        <f>(1+(N70_DESARROLLO!Y38/0.014285714)*LN(N70_DESARROLLO!Z38/N70_DESARROLLO!Y38))</f>
        <v>-5.6643554680002817E-2</v>
      </c>
      <c r="CZ123" s="1">
        <f>(1+(N70_DESARROLLO!Z38/0.014285714)*LN(N70_DESARROLLO!AA38/N70_DESARROLLO!Z38))</f>
        <v>-6.3886736386786325E-2</v>
      </c>
      <c r="DA123" s="1">
        <f>(1+(N70_DESARROLLO!AA38/0.014285714)*LN(N70_DESARROLLO!AB38/N70_DESARROLLO!AA38))</f>
        <v>-7.3256348770177837E-2</v>
      </c>
      <c r="DB123" s="1">
        <f>(1+(N70_DESARROLLO!AB38/0.014285714)*LN(N70_DESARROLLO!AC38/N70_DESARROLLO!AB38))</f>
        <v>-8.5851572027611844E-2</v>
      </c>
      <c r="DC123" s="1">
        <f>(1+(N70_DESARROLLO!AC38/0.014285714)*LN(N70_DESARROLLO!AD38/N70_DESARROLLO!AC38))</f>
        <v>-0.10368884711560877</v>
      </c>
      <c r="DD123" s="1">
        <f>(1+(N70_DESARROLLO!AD38/0.014285714)*LN(N70_DESARROLLO!AE38/N70_DESARROLLO!AD38))</f>
        <v>-0.13091494988237695</v>
      </c>
      <c r="DE123" s="1">
        <f>(1+(N70_DESARROLLO!AE38/0.014285714)*LN(N70_DESARROLLO!AF38/N70_DESARROLLO!AE38))</f>
        <v>-0.17765285172730327</v>
      </c>
      <c r="DF123" s="1">
        <f>(1+(N70_DESARROLLO!AF38/0.014285714)*LN(N70_DESARROLLO!AG38/N70_DESARROLLO!AF38))</f>
        <v>-0.27706408495625312</v>
      </c>
      <c r="DG123" s="1">
        <f>(1+(N70_DESARROLLO!AG38/0.014285714)*LN(N70_DESARROLLO!AH38/N70_DESARROLLO!AG38))</f>
        <v>-0.64791846596053282</v>
      </c>
      <c r="DH123" s="1">
        <v>1</v>
      </c>
      <c r="DI123" s="1">
        <f>(1+(N70_DESARROLLO!AI38/0.014285714)*LN(N70_DESARROLLO!AJ38/N70_DESARROLLO!AI38))</f>
        <v>0.45069384467982265</v>
      </c>
      <c r="DJ123" s="1">
        <f>(1+(N70_DESARROLLO!AJ38/0.014285714)*LN(N70_DESARROLLO!AK38/N70_DESARROLLO!AJ38))</f>
        <v>0.2337615490262448</v>
      </c>
      <c r="DK123" s="1">
        <f>(1+(N70_DESARROLLO!AK38/0.014285714)*LN(N70_DESARROLLO!AL38/N70_DESARROLLO!AK38))</f>
        <v>0.15881939162335523</v>
      </c>
      <c r="DL123" s="1">
        <f>(1+(N70_DESARROLLO!AL38/0.014285714)*LN(N70_DESARROLLO!AM38/N70_DESARROLLO!AL38))</f>
        <v>0.12039948342481821</v>
      </c>
      <c r="DM123" s="1">
        <f>(1+(N70_DESARROLLO!AM38/0.014285714)*LN(N70_DESARROLLO!AN38/N70_DESARROLLO!AM38))</f>
        <v>9.69818523599566E-2</v>
      </c>
      <c r="DN123" s="1">
        <f>(1+(N70_DESARROLLO!AN38/0.014285714)*LN(N70_DESARROLLO!AO38/N70_DESARROLLO!AN38))</f>
        <v>8.120251597663608E-2</v>
      </c>
      <c r="DO123" s="1">
        <f>(1+(N70_DESARROLLO!AO38/0.014285714)*LN(N70_DESARROLLO!AP38/N70_DESARROLLO!AO38))</f>
        <v>6.9844497732516331E-2</v>
      </c>
      <c r="DP123" s="1">
        <f>(1+(N70_DESARROLLO!AP38/0.014285714)*LN(N70_DESARROLLO!AQ38/N70_DESARROLLO!AP38))</f>
        <v>6.1276409070479265E-2</v>
      </c>
      <c r="DQ123" s="1">
        <f>(1+(N70_DESARROLLO!AQ38/0.014285714)*LN(N70_DESARROLLO!AR38/N70_DESARROLLO!AQ38))</f>
        <v>5.4582082654737407E-2</v>
      </c>
      <c r="DR123" s="1">
        <f>(1+(N70_DESARROLLO!AR38/0.014285714)*LN(N70_DESARROLLO!AS38/N70_DESARROLLO!AR38))</f>
        <v>4.9207124692803972E-2</v>
      </c>
      <c r="DS123" s="1">
        <f>(1+(N70_DESARROLLO!AS38/0.014285714)*LN(N70_DESARROLLO!AT38/N70_DESARROLLO!AS38))</f>
        <v>4.4796309735798956E-2</v>
      </c>
      <c r="DT123" s="1">
        <f>(1+(N70_DESARROLLO!AT38/0.014285714)*LN(N70_DESARROLLO!AU38/N70_DESARROLLO!AT38))</f>
        <v>4.1111478023138415E-2</v>
      </c>
      <c r="DU123" s="1">
        <f>(1+(N70_DESARROLLO!AU38/0.014285714)*LN(N70_DESARROLLO!AV38/N70_DESARROLLO!AU38))</f>
        <v>3.7986966558139379E-2</v>
      </c>
      <c r="DV123" s="1">
        <f>(1+(N70_DESARROLLO!AV38/0.014285714)*LN(N70_DESARROLLO!AW38/N70_DESARROLLO!AV38))</f>
        <v>3.5303966947126675E-2</v>
      </c>
      <c r="DW123" s="1">
        <f>(1+(N70_DESARROLLO!AW38/0.014285714)*LN(N70_DESARROLLO!AX38/N70_DESARROLLO!AW38))</f>
        <v>3.2975050428749264E-2</v>
      </c>
      <c r="DX123" s="1">
        <f>(1+(N70_DESARROLLO!AX38/0.014285714)*LN(N70_DESARROLLO!AY38/N70_DESARROLLO!AX38))</f>
        <v>3.0934447408016319E-2</v>
      </c>
      <c r="DY123" s="1">
        <f>(1+(N70_DESARROLLO!AY38/0.014285714)*LN(N70_DESARROLLO!AZ38/N70_DESARROLLO!AY38))</f>
        <v>2.9131730204230433E-2</v>
      </c>
      <c r="DZ123" s="1">
        <f>(1+(N70_DESARROLLO!AZ38/0.014285714)*LN(N70_DESARROLLO!BA38/N70_DESARROLLO!AZ38))</f>
        <v>2.7527585341366678E-2</v>
      </c>
      <c r="EA123" s="1">
        <f>(1+(N70_DESARROLLO!BA38/0.014285714)*LN(N70_DESARROLLO!BB38/N70_DESARROLLO!BA38))</f>
        <v>2.6090911041505627E-2</v>
      </c>
      <c r="EB123" s="1">
        <f>(1+(N70_DESARROLLO!BB38/0.014285714)*LN(N70_DESARROLLO!BC38/N70_DESARROLLO!BB38))</f>
        <v>2.4796779290042203E-2</v>
      </c>
      <c r="EC123" s="1">
        <f>(1+(N70_DESARROLLO!BC38/0.014285714)*LN(N70_DESARROLLO!BD38/N70_DESARROLLO!BC38))</f>
        <v>2.3624976192774816E-2</v>
      </c>
      <c r="ED123" s="1">
        <f>(1+(N70_DESARROLLO!BD38/0.014285714)*LN(N70_DESARROLLO!BE38/N70_DESARROLLO!BD38))</f>
        <v>2.2558937800898904E-2</v>
      </c>
      <c r="EE123" s="1">
        <f>(1+(N70_DESARROLLO!BE38/0.014285714)*LN(N70_DESARROLLO!BF38/N70_DESARROLLO!BE38))</f>
        <v>2.1584961787569412E-2</v>
      </c>
      <c r="EF123" s="1">
        <f>(1+(N70_DESARROLLO!BF38/0.014285714)*LN(N70_DESARROLLO!BG38/N70_DESARROLLO!BF38))</f>
        <v>2.0691615000487218E-2</v>
      </c>
      <c r="EG123" s="1">
        <f>(1+(N70_DESARROLLO!BG38/0.014285714)*LN(N70_DESARROLLO!BH38/N70_DESARROLLO!BG38))</f>
        <v>1.9869282361760443E-2</v>
      </c>
      <c r="EH123" s="1">
        <f>(1+(N70_DESARROLLO!BH38/0.014285714)*LN(N70_DESARROLLO!BI38/N70_DESARROLLO!BH38))</f>
        <v>1.9109819273394835E-2</v>
      </c>
      <c r="EI123" s="1">
        <f>(1+(N70_DESARROLLO!BI38/0.014285714)*LN(N70_DESARROLLO!BJ38/N70_DESARROLLO!BI38))</f>
        <v>1.840628083888074E-2</v>
      </c>
      <c r="EJ123" s="1">
        <f>(1+(N70_DESARROLLO!BJ38/0.014285714)*LN(N70_DESARROLLO!BK38/N70_DESARROLLO!BJ38))</f>
        <v>1.7752708797869166E-2</v>
      </c>
      <c r="EK123" s="1">
        <f>(1+(N70_DESARROLLO!BK38/0.014285714)*LN(N70_DESARROLLO!BL38/N70_DESARROLLO!BK38))</f>
        <v>1.7143962314557393E-2</v>
      </c>
      <c r="EL123" s="1">
        <f>(1+(N70_DESARROLLO!BL38/0.014285714)*LN(N70_DESARROLLO!BM38/N70_DESARROLLO!BL38))</f>
        <v>1.6575582437549863E-2</v>
      </c>
      <c r="EM123" s="1">
        <f>(1+(N70_DESARROLLO!BM38/0.014285714)*LN(N70_DESARROLLO!BN38/N70_DESARROLLO!BM38))</f>
        <v>1.6043682665125125E-2</v>
      </c>
      <c r="EN123" s="1">
        <f>(1+(N70_DESARROLLO!BN38/0.014285714)*LN(N70_DESARROLLO!BO38/N70_DESARROLLO!BN38))</f>
        <v>1.5544859931604593E-2</v>
      </c>
      <c r="EO123" s="1">
        <f>(1+(N70_DESARROLLO!BO38/0.014285714)*LN(N70_DESARROLLO!BP38/N70_DESARROLLO!BO38))</f>
        <v>1.5076121703334833E-2</v>
      </c>
      <c r="EP123" s="1">
        <f>(1+(N70_DESARROLLO!BP38/0.014285714)*LN(N70_DESARROLLO!BQ38/N70_DESARROLLO!BP38))</f>
        <v>1.4634825881867375E-2</v>
      </c>
      <c r="EQ123" s="1">
        <f>(1+(N70_DESARROLLO!BQ38/0.014285714)*LN(N70_DESARROLLO!BR38/N70_DESARROLLO!BQ38))</f>
        <v>1.4218630964442425E-2</v>
      </c>
      <c r="ER123" s="1">
        <f>(1+(N70_DESARROLLO!BR38/0.014285714)*LN(N70_DESARROLLO!BS38/N70_DESARROLLO!BR38))</f>
        <v>1.3825454475322685E-2</v>
      </c>
      <c r="ES123" s="1">
        <f>(1+(N70_DESARROLLO!BS38/0.014285714)*LN(N70_DESARROLLO!BT38/N70_DESARROLLO!BS38))</f>
        <v>1.3453438110010096E-2</v>
      </c>
      <c r="ET123" s="1">
        <f>(1+(N70_DESARROLLO!BT38/0.014285714)*LN(N70_DESARROLLO!BU38/N70_DESARROLLO!BT38))</f>
        <v>1.3100918360517522E-2</v>
      </c>
      <c r="EU123" s="1">
        <f>(1+(N70_DESARROLLO!BU38/0.014285714)*LN(N70_DESARROLLO!BV38/N70_DESARROLLO!BU38))</f>
        <v>1.2766401641828407E-2</v>
      </c>
      <c r="EV123" s="1">
        <f>(1+(N70_DESARROLLO!BV38/0.014285714)*LN(N70_DESARROLLO!BW38/N70_DESARROLLO!BV38))</f>
        <v>1.2448543134991996E-2</v>
      </c>
      <c r="EW123" s="1">
        <f>(1+(N70_DESARROLLO!BW38/0.014285714)*LN(N70_DESARROLLO!BX38/N70_DESARROLLO!BW38))</f>
        <v>-21.16132779466961</v>
      </c>
      <c r="EX123" s="10"/>
      <c r="EY123" s="10"/>
    </row>
    <row r="124" spans="7:155" x14ac:dyDescent="0.25">
      <c r="G124" s="3">
        <v>30</v>
      </c>
      <c r="H124" s="3">
        <f>-(N70_DESARROLLO!G39/0.014285714)*LN(N70_DESARROLLO!G39/N70_DESARROLLO!F39)-1</f>
        <v>-1.7143962314553729E-2</v>
      </c>
      <c r="I124" s="3">
        <f>-(N70_DESARROLLO!H39/0.014285714)*LN(N70_DESARROLLO!H39/N70_DESARROLLO!G39)-1</f>
        <v>-1.7752708797875494E-2</v>
      </c>
      <c r="J124" s="3">
        <f>-(N70_DESARROLLO!I39/0.014285714)*LN(N70_DESARROLLO!I39/N70_DESARROLLO!H39)-1</f>
        <v>-1.8406280838874745E-2</v>
      </c>
      <c r="K124" s="3">
        <f>-(N70_DESARROLLO!J39/0.014285714)*LN(N70_DESARROLLO!J39/N70_DESARROLLO!I39)-1</f>
        <v>-1.9109819273397166E-2</v>
      </c>
      <c r="L124" s="3">
        <f>-(N70_DESARROLLO!K39/0.014285714)*LN(N70_DESARROLLO!K39/N70_DESARROLLO!J39)-1</f>
        <v>-1.9869282361759777E-2</v>
      </c>
      <c r="M124" s="3">
        <f>-(N70_DESARROLLO!L39/0.014285714)*LN(N70_DESARROLLO!L39/N70_DESARROLLO!K39)-1</f>
        <v>-2.0691615000480224E-2</v>
      </c>
      <c r="N124" s="3">
        <f>-(N70_DESARROLLO!M39/0.014285714)*LN(N70_DESARROLLO!M39/N70_DESARROLLO!L39)-1</f>
        <v>-2.1584961787579404E-2</v>
      </c>
      <c r="O124" s="3">
        <f>-(N70_DESARROLLO!N39/0.014285714)*LN(N70_DESARROLLO!N39/N70_DESARROLLO!M39)-1</f>
        <v>-2.2558937800894796E-2</v>
      </c>
      <c r="P124" s="3">
        <f>-(N70_DESARROLLO!O39/0.014285714)*LN(N70_DESARROLLO!O39/N70_DESARROLLO!N39)-1</f>
        <v>-2.3624976192780589E-2</v>
      </c>
      <c r="Q124" s="3">
        <f>-(N70_DESARROLLO!P39/0.014285714)*LN(N70_DESARROLLO!P39/N70_DESARROLLO!O39)-1</f>
        <v>-2.4796779290038096E-2</v>
      </c>
      <c r="R124" s="3">
        <f>-(N70_DESARROLLO!Q39/0.014285714)*LN(N70_DESARROLLO!Q39/N70_DESARROLLO!P39)-1</f>
        <v>-2.6090911041510845E-2</v>
      </c>
      <c r="S124" s="3">
        <f>-(N70_DESARROLLO!R39/0.014285714)*LN(N70_DESARROLLO!R39/N70_DESARROLLO!Q39)-1</f>
        <v>-2.7527585341363459E-2</v>
      </c>
      <c r="T124" s="3">
        <f>-(N70_DESARROLLO!S39/0.014285714)*LN(N70_DESARROLLO!S39/N70_DESARROLLO!R39)-1</f>
        <v>-2.9131730204232653E-2</v>
      </c>
      <c r="U124" s="3">
        <f>-(N70_DESARROLLO!T39/0.014285714)*LN(N70_DESARROLLO!T39/N70_DESARROLLO!S39)-1</f>
        <v>-3.0934447408013099E-2</v>
      </c>
      <c r="V124" s="3">
        <f>-(N70_DESARROLLO!U39/0.014285714)*LN(N70_DESARROLLO!U39/N70_DESARROLLO!T39)-1</f>
        <v>-3.297505042875315E-2</v>
      </c>
      <c r="W124" s="3">
        <f>-(N70_DESARROLLO!V39/0.014285714)*LN(N70_DESARROLLO!V39/N70_DESARROLLO!U39)-1</f>
        <v>-3.5303966947122345E-2</v>
      </c>
      <c r="X124" s="3">
        <f>-(N70_DESARROLLO!W39/0.014285714)*LN(N70_DESARROLLO!W39/N70_DESARROLLO!V39)-1</f>
        <v>-3.7986966558135604E-2</v>
      </c>
      <c r="Y124" s="3">
        <f>-(N70_DESARROLLO!X39/0.014285714)*LN(N70_DESARROLLO!X39/N70_DESARROLLO!W39)-1</f>
        <v>-4.1111478023144521E-2</v>
      </c>
      <c r="Z124" s="3">
        <f>-(N70_DESARROLLO!Y39/0.014285714)*LN(N70_DESARROLLO!Y39/N70_DESARROLLO!X39)-1</f>
        <v>-4.4796309735795514E-2</v>
      </c>
      <c r="AA124" s="3">
        <f>-(N70_DESARROLLO!Z39/0.014285714)*LN(N70_DESARROLLO!Z39/N70_DESARROLLO!Y39)-1</f>
        <v>-4.9207124692807525E-2</v>
      </c>
      <c r="AB124" s="3">
        <f>-(N70_DESARROLLO!AA39/0.014285714)*LN(N70_DESARROLLO!AA39/N70_DESARROLLO!Z39)-1</f>
        <v>-5.4582082654733854E-2</v>
      </c>
      <c r="AC124" s="3">
        <f>-(N70_DESARROLLO!AB39/0.014285714)*LN(N70_DESARROLLO!AB39/N70_DESARROLLO!AA39)-1</f>
        <v>-6.1276409070483262E-2</v>
      </c>
      <c r="AD124" s="3">
        <f>-(N70_DESARROLLO!AC39/0.014285714)*LN(N70_DESARROLLO!AC39/N70_DESARROLLO!AB39)-1</f>
        <v>-6.9844497732513111E-2</v>
      </c>
      <c r="AE124" s="3">
        <f>-(N70_DESARROLLO!AD39/0.014285714)*LN(N70_DESARROLLO!AD39/N70_DESARROLLO!AC39)-1</f>
        <v>-8.120251597663608E-2</v>
      </c>
      <c r="AF124" s="3">
        <f>-(N70_DESARROLLO!AE39/0.014285714)*LN(N70_DESARROLLO!AE39/N70_DESARROLLO!AD39)-1</f>
        <v>-9.69818523599566E-2</v>
      </c>
      <c r="AG124" s="3">
        <f>-(N70_DESARROLLO!AF39/0.014285714)*LN(N70_DESARROLLO!AF39/N70_DESARROLLO!AE39)-1</f>
        <v>-0.1203994834248181</v>
      </c>
      <c r="AH124" s="3">
        <f>-(N70_DESARROLLO!AG39/0.014285714)*LN(N70_DESARROLLO!AG39/N70_DESARROLLO!AF39)-1</f>
        <v>-0.15881939162335823</v>
      </c>
      <c r="AI124" s="3">
        <f>-(N70_DESARROLLO!AH39/0.014285714)*LN(N70_DESARROLLO!AH39/N70_DESARROLLO!AG39)-1</f>
        <v>-0.2337615490262448</v>
      </c>
      <c r="AJ124" s="3">
        <f>-(N70_DESARROLLO!AI39/0.014285714)*LN(N70_DESARROLLO!AI39/N70_DESARROLLO!AH39)-1</f>
        <v>-0.45069384467982276</v>
      </c>
      <c r="AK124" s="3">
        <v>-1</v>
      </c>
      <c r="AL124" s="3">
        <f>-(N70_DESARROLLO!AK39/0.014285714)*LN(N70_DESARROLLO!AK39/N70_DESARROLLO!AJ39)-1</f>
        <v>0.64791846596053282</v>
      </c>
      <c r="AM124" s="3">
        <f>-(N70_DESARROLLO!AL39/0.014285714)*LN(N70_DESARROLLO!AL39/N70_DESARROLLO!AK39)-1</f>
        <v>0.27706408495625845</v>
      </c>
      <c r="AN124" s="3">
        <f>-(N70_DESARROLLO!AM39/0.014285714)*LN(N70_DESARROLLO!AM39/N70_DESARROLLO!AL39)-1</f>
        <v>0.17765285172730261</v>
      </c>
      <c r="AO124" s="3">
        <f>-(N70_DESARROLLO!AN39/0.014285714)*LN(N70_DESARROLLO!AN39/N70_DESARROLLO!AM39)-1</f>
        <v>0.13091494988237695</v>
      </c>
      <c r="AP124" s="3">
        <f>-(N70_DESARROLLO!AO39/0.014285714)*LN(N70_DESARROLLO!AO39/N70_DESARROLLO!AN39)-1</f>
        <v>0.10368884711560855</v>
      </c>
      <c r="AQ124" s="3">
        <f>-(N70_DESARROLLO!AP39/0.014285714)*LN(N70_DESARROLLO!AP39/N70_DESARROLLO!AO39)-1</f>
        <v>8.5851572027607181E-2</v>
      </c>
      <c r="AR124" s="3">
        <f>-(N70_DESARROLLO!AQ39/0.014285714)*LN(N70_DESARROLLO!AQ39/N70_DESARROLLO!AP39)-1</f>
        <v>7.325634877018139E-2</v>
      </c>
      <c r="AS124" s="3">
        <f>-(N70_DESARROLLO!AR39/0.014285714)*LN(N70_DESARROLLO!AR39/N70_DESARROLLO!AQ39)-1</f>
        <v>6.388673638678255E-2</v>
      </c>
      <c r="AT124" s="3">
        <f>-(N70_DESARROLLO!AS39/0.014285714)*LN(N70_DESARROLLO!AS39/N70_DESARROLLO!AR39)-1</f>
        <v>5.6643554680007258E-2</v>
      </c>
      <c r="AU124" s="3">
        <f>-(N70_DESARROLLO!AT39/0.014285714)*LN(N70_DESARROLLO!AT39/N70_DESARROLLO!AS39)-1</f>
        <v>5.0876335865840394E-2</v>
      </c>
      <c r="AV124" s="3">
        <f>-(N70_DESARROLLO!AU39/0.014285714)*LN(N70_DESARROLLO!AU39/N70_DESARROLLO!AT39)-1</f>
        <v>4.6175470289370413E-2</v>
      </c>
      <c r="AW124" s="3">
        <f>-(N70_DESARROLLO!AV39/0.014285714)*LN(N70_DESARROLLO!AV39/N70_DESARROLLO!AU39)-1</f>
        <v>4.2270132583537956E-2</v>
      </c>
      <c r="AX124" s="3">
        <f>-(N70_DESARROLLO!AW39/0.014285714)*LN(N70_DESARROLLO!AW39/N70_DESARROLLO!AV39)-1</f>
        <v>3.8974076117209266E-2</v>
      </c>
      <c r="AY124" s="3">
        <f>-(N70_DESARROLLO!AX39/0.014285714)*LN(N70_DESARROLLO!AX39/N70_DESARROLLO!AW39)-1</f>
        <v>3.6154998464206445E-2</v>
      </c>
      <c r="AZ124" s="3">
        <f>-(N70_DESARROLLO!AY39/0.014285714)*LN(N70_DESARROLLO!AY39/N70_DESARROLLO!AX39)-1</f>
        <v>3.3716325403741587E-2</v>
      </c>
      <c r="BA124" s="3">
        <f>-(N70_DESARROLLO!AZ39/0.014285714)*LN(N70_DESARROLLO!AZ39/N70_DESARROLLO!AY39)-1</f>
        <v>3.1585910823731744E-2</v>
      </c>
      <c r="BB124" s="3">
        <f>-(N70_DESARROLLO!BA39/0.014285714)*LN(N70_DESARROLLO!BA39/N70_DESARROLLO!AZ39)-1</f>
        <v>2.9708770995506173E-2</v>
      </c>
      <c r="BC124" s="3">
        <f>-(N70_DESARROLLO!BB39/0.014285714)*LN(N70_DESARROLLO!BB39/N70_DESARROLLO!BA39)-1</f>
        <v>2.8042266924849013E-2</v>
      </c>
      <c r="BD124" s="3">
        <f>-(N70_DESARROLLO!BC39/0.014285714)*LN(N70_DESARROLLO!BC39/N70_DESARROLLO!BB39)-1</f>
        <v>2.6552823496783118E-2</v>
      </c>
      <c r="BE124" s="3">
        <f>-(N70_DESARROLLO!BD39/0.014285714)*LN(N70_DESARROLLO!BD39/N70_DESARROLLO!BC39)-1</f>
        <v>2.5213642284836357E-2</v>
      </c>
      <c r="BF124" s="3">
        <f>-(N70_DESARROLLO!BE39/0.014285714)*LN(N70_DESARROLLO!BE39/N70_DESARROLLO!BD39)-1</f>
        <v>2.4003073749032211E-2</v>
      </c>
      <c r="BG124" s="3">
        <f>-(N70_DESARROLLO!BF39/0.014285714)*LN(N70_DESARROLLO!BF39/N70_DESARROLLO!BE39)-1</f>
        <v>2.2903437185110898E-2</v>
      </c>
      <c r="BH124" s="3">
        <f>-(N70_DESARROLLO!BG39/0.014285714)*LN(N70_DESARROLLO!BG39/N70_DESARROLLO!BF39)-1</f>
        <v>2.1900151021861936E-2</v>
      </c>
      <c r="BI124" s="3">
        <f>-(N70_DESARROLLO!BH39/0.014285714)*LN(N70_DESARROLLO!BH39/N70_DESARROLLO!BG39)-1</f>
        <v>2.0981082233534565E-2</v>
      </c>
      <c r="BJ124" s="3">
        <f>-(N70_DESARROLLO!BI39/0.014285714)*LN(N70_DESARROLLO!BI39/N70_DESARROLLO!BH39)-1</f>
        <v>2.0136053052056457E-2</v>
      </c>
      <c r="BK124" s="3">
        <f>-(N70_DESARROLLO!BJ39/0.014285714)*LN(N70_DESARROLLO!BJ39/N70_DESARROLLO!BI39)-1</f>
        <v>1.9356462323721457E-2</v>
      </c>
      <c r="BL124" s="3">
        <f>-(N70_DESARROLLO!BK39/0.014285714)*LN(N70_DESARROLLO!BK39/N70_DESARROLLO!BJ39)-1</f>
        <v>1.8634991582305416E-2</v>
      </c>
      <c r="BM124" s="3">
        <f>-(N70_DESARROLLO!BL39/0.014285714)*LN(N70_DESARROLLO!BL39/N70_DESARROLLO!BK39)-1</f>
        <v>1.7965374518559951E-2</v>
      </c>
      <c r="BN124" s="3">
        <f>-(N70_DESARROLLO!BM39/0.014285714)*LN(N70_DESARROLLO!BM39/N70_DESARROLLO!BL39)-1</f>
        <v>1.7342214446341986E-2</v>
      </c>
      <c r="BO124" s="3">
        <f>-(N70_DESARROLLO!BN39/0.014285714)*LN(N70_DESARROLLO!BN39/N70_DESARROLLO!BM39)-1</f>
        <v>1.676083849676413E-2</v>
      </c>
      <c r="BP124" s="3">
        <f>-(N70_DESARROLLO!BO39/0.014285714)*LN(N70_DESARROLLO!BO39/N70_DESARROLLO!BN39)-1</f>
        <v>1.6217180198320191E-2</v>
      </c>
      <c r="BQ124" s="3">
        <f>-(N70_DESARROLLO!BP39/0.014285714)*LN(N70_DESARROLLO!BP39/N70_DESARROLLO!BO39)-1</f>
        <v>1.5707684197544092E-2</v>
      </c>
      <c r="BR124" s="3">
        <f>-(N70_DESARROLLO!BQ39/0.014285714)*LN(N70_DESARROLLO!BQ39/N70_DESARROLLO!BP39)-1</f>
        <v>1.5229228398108141E-2</v>
      </c>
      <c r="BS124" s="3">
        <f>-(N70_DESARROLLO!BR39/0.014285714)*LN(N70_DESARROLLO!BR39/N70_DESARROLLO!BQ39)-1</f>
        <v>1.4779059912696235E-2</v>
      </c>
      <c r="BT124" s="3">
        <f>-(N70_DESARROLLO!BS39/0.014285714)*LN(N70_DESARROLLO!BS39/N70_DESARROLLO!BR39)-1</f>
        <v>1.4354742051081004E-2</v>
      </c>
      <c r="BU124" s="3">
        <f>-(N70_DESARROLLO!BT39/0.014285714)*LN(N70_DESARROLLO!BT39/N70_DESARROLLO!BS39)-1</f>
        <v>1.3954110187352153E-2</v>
      </c>
      <c r="BV124" s="3">
        <f>-(N70_DESARROLLO!BU39/0.014285714)*LN(N70_DESARROLLO!BU39/N70_DESARROLLO!BT39)-1</f>
        <v>1.3575234818474557E-2</v>
      </c>
      <c r="BW124" s="3">
        <f>-(N70_DESARROLLO!BV39/0.014285714)*LN(N70_DESARROLLO!BV39/N70_DESARROLLO!BU39)-1</f>
        <v>1.3216390483210549E-2</v>
      </c>
      <c r="BX124" s="3">
        <f>-(N70_DESARROLLO!BW39/0.014285714)*LN(N70_DESARROLLO!BW39/N70_DESARROLLO!BV39)-1</f>
        <v>1.2876029484357954E-2</v>
      </c>
      <c r="BY124" s="3">
        <f>-(N70_DESARROLLO!BX39/0.014285714)*LN(N70_DESARROLLO!BX39/N70_DESARROLLO!BW39)-1</f>
        <v>39.053620711032217</v>
      </c>
      <c r="BZ124" s="10"/>
      <c r="CA124" s="10"/>
      <c r="CB124" s="10"/>
      <c r="CC124" s="10"/>
      <c r="CD124" s="1">
        <v>30</v>
      </c>
      <c r="CE124" s="1">
        <v>0</v>
      </c>
      <c r="CF124" s="1">
        <f>(1+(N70_DESARROLLO!F39/0.014285714)*LN(N70_DESARROLLO!G39/N70_DESARROLLO!F39))</f>
        <v>-1.7342214446339099E-2</v>
      </c>
      <c r="CG124" s="1">
        <f>(1+(N70_DESARROLLO!G39/0.014285714)*LN(N70_DESARROLLO!H39/N70_DESARROLLO!G39))</f>
        <v>-1.7965374518565502E-2</v>
      </c>
      <c r="CH124" s="1">
        <f>(1+(N70_DESARROLLO!H39/0.014285714)*LN(N70_DESARROLLO!I39/N70_DESARROLLO!H39))</f>
        <v>-1.8634991582299865E-2</v>
      </c>
      <c r="CI124" s="1">
        <f>(1+(N70_DESARROLLO!I39/0.014285714)*LN(N70_DESARROLLO!J39/N70_DESARROLLO!I39))</f>
        <v>-1.9356462323724344E-2</v>
      </c>
      <c r="CJ124" s="1">
        <f>(1+(N70_DESARROLLO!J39/0.014285714)*LN(N70_DESARROLLO!K39/N70_DESARROLLO!J39))</f>
        <v>-2.0136053052045799E-2</v>
      </c>
      <c r="CK124" s="1">
        <f>(1+(N70_DESARROLLO!K39/0.014285714)*LN(N70_DESARROLLO!L39/N70_DESARROLLO!K39))</f>
        <v>-2.0981082233542114E-2</v>
      </c>
      <c r="CL124" s="1">
        <f>(1+(N70_DESARROLLO!L39/0.014285714)*LN(N70_DESARROLLO!M39/N70_DESARROLLO!L39))</f>
        <v>-2.1900151021861269E-2</v>
      </c>
      <c r="CM124" s="1">
        <f>(1+(N70_DESARROLLO!M39/0.014285714)*LN(N70_DESARROLLO!N39/N70_DESARROLLO!M39))</f>
        <v>-2.2903437185110231E-2</v>
      </c>
      <c r="CN124" s="1">
        <f>(1+(N70_DESARROLLO!N39/0.014285714)*LN(N70_DESARROLLO!O39/N70_DESARROLLO!N39))</f>
        <v>-2.4003073749035098E-2</v>
      </c>
      <c r="CO124" s="1">
        <f>(1+(N70_DESARROLLO!O39/0.014285714)*LN(N70_DESARROLLO!P39/N70_DESARROLLO!O39))</f>
        <v>-2.5213642284831916E-2</v>
      </c>
      <c r="CP124" s="1">
        <f>(1+(N70_DESARROLLO!P39/0.014285714)*LN(N70_DESARROLLO!Q39/N70_DESARROLLO!P39))</f>
        <v>-2.6552823496785782E-2</v>
      </c>
      <c r="CQ124" s="1">
        <f>(1+(N70_DESARROLLO!Q39/0.014285714)*LN(N70_DESARROLLO!R39/N70_DESARROLLO!Q39))</f>
        <v>-2.804226692484435E-2</v>
      </c>
      <c r="CR124" s="1">
        <f>(1+(N70_DESARROLLO!R39/0.014285714)*LN(N70_DESARROLLO!S39/N70_DESARROLLO!R39))</f>
        <v>-2.9708770995510836E-2</v>
      </c>
      <c r="CS124" s="1">
        <f>(1+(N70_DESARROLLO!S39/0.014285714)*LN(N70_DESARROLLO!T39/N70_DESARROLLO!S39))</f>
        <v>-3.1585910823727747E-2</v>
      </c>
      <c r="CT124" s="1">
        <f>(1+(N70_DESARROLLO!T39/0.014285714)*LN(N70_DESARROLLO!U39/N70_DESARROLLO!T39))</f>
        <v>-3.3716325403746694E-2</v>
      </c>
      <c r="CU124" s="1">
        <f>(1+(N70_DESARROLLO!U39/0.014285714)*LN(N70_DESARROLLO!V39/N70_DESARROLLO!U39))</f>
        <v>-3.6154998464202004E-2</v>
      </c>
      <c r="CV124" s="1">
        <f>(1+(N70_DESARROLLO!V39/0.014285714)*LN(N70_DESARROLLO!W39/N70_DESARROLLO!V39))</f>
        <v>-3.8974076117213707E-2</v>
      </c>
      <c r="CW124" s="1">
        <f>(1+(N70_DESARROLLO!W39/0.014285714)*LN(N70_DESARROLLO!X39/N70_DESARROLLO!W39))</f>
        <v>-4.22701325835384E-2</v>
      </c>
      <c r="CX124" s="1">
        <f>(1+(N70_DESARROLLO!X39/0.014285714)*LN(N70_DESARROLLO!Y39/N70_DESARROLLO!X39))</f>
        <v>-4.6175470289367082E-2</v>
      </c>
      <c r="CY124" s="1">
        <f>(1+(N70_DESARROLLO!Y39/0.014285714)*LN(N70_DESARROLLO!Z39/N70_DESARROLLO!Y39))</f>
        <v>-5.0876335865844391E-2</v>
      </c>
      <c r="CZ124" s="1">
        <f>(1+(N70_DESARROLLO!Z39/0.014285714)*LN(N70_DESARROLLO!AA39/N70_DESARROLLO!Z39))</f>
        <v>-5.6643554680003483E-2</v>
      </c>
      <c r="DA124" s="1">
        <f>(1+(N70_DESARROLLO!AA39/0.014285714)*LN(N70_DESARROLLO!AB39/N70_DESARROLLO!AA39))</f>
        <v>-6.3886736386785659E-2</v>
      </c>
      <c r="DB124" s="1">
        <f>(1+(N70_DESARROLLO!AB39/0.014285714)*LN(N70_DESARROLLO!AC39/N70_DESARROLLO!AB39))</f>
        <v>-7.3256348770177393E-2</v>
      </c>
      <c r="DC124" s="1">
        <f>(1+(N70_DESARROLLO!AC39/0.014285714)*LN(N70_DESARROLLO!AD39/N70_DESARROLLO!AC39))</f>
        <v>-8.5851572027612066E-2</v>
      </c>
      <c r="DD124" s="1">
        <f>(1+(N70_DESARROLLO!AD39/0.014285714)*LN(N70_DESARROLLO!AE39/N70_DESARROLLO!AD39))</f>
        <v>-0.10368884711560877</v>
      </c>
      <c r="DE124" s="1">
        <f>(1+(N70_DESARROLLO!AE39/0.014285714)*LN(N70_DESARROLLO!AF39/N70_DESARROLLO!AE39))</f>
        <v>-0.13091494988237717</v>
      </c>
      <c r="DF124" s="1">
        <f>(1+(N70_DESARROLLO!AF39/0.014285714)*LN(N70_DESARROLLO!AG39/N70_DESARROLLO!AF39))</f>
        <v>-0.17765285172729728</v>
      </c>
      <c r="DG124" s="1">
        <f>(1+(N70_DESARROLLO!AG39/0.014285714)*LN(N70_DESARROLLO!AH39/N70_DESARROLLO!AG39))</f>
        <v>-0.27706408495625956</v>
      </c>
      <c r="DH124" s="1">
        <f>(1+(N70_DESARROLLO!AH39/0.014285714)*LN(N70_DESARROLLO!AI39/N70_DESARROLLO!AH39))</f>
        <v>-0.64791846596053615</v>
      </c>
      <c r="DI124" s="1">
        <v>1</v>
      </c>
      <c r="DJ124" s="1">
        <f>(1+(N70_DESARROLLO!AJ39/0.014285714)*LN(N70_DESARROLLO!AK39/N70_DESARROLLO!AJ39))</f>
        <v>0.4506938446798211</v>
      </c>
      <c r="DK124" s="1">
        <f>(1+(N70_DESARROLLO!AK39/0.014285714)*LN(N70_DESARROLLO!AL39/N70_DESARROLLO!AK39))</f>
        <v>0.23376154902624446</v>
      </c>
      <c r="DL124" s="1">
        <f>(1+(N70_DESARROLLO!AL39/0.014285714)*LN(N70_DESARROLLO!AM39/N70_DESARROLLO!AL39))</f>
        <v>0.15881939162335512</v>
      </c>
      <c r="DM124" s="1">
        <f>(1+(N70_DESARROLLO!AM39/0.014285714)*LN(N70_DESARROLLO!AN39/N70_DESARROLLO!AM39))</f>
        <v>0.12039948342481788</v>
      </c>
      <c r="DN124" s="1">
        <f>(1+(N70_DESARROLLO!AN39/0.014285714)*LN(N70_DESARROLLO!AO39/N70_DESARROLLO!AN39))</f>
        <v>9.69818523599566E-2</v>
      </c>
      <c r="DO124" s="1">
        <f>(1+(N70_DESARROLLO!AO39/0.014285714)*LN(N70_DESARROLLO!AP39/N70_DESARROLLO!AO39))</f>
        <v>8.1202515976639411E-2</v>
      </c>
      <c r="DP124" s="1">
        <f>(1+(N70_DESARROLLO!AP39/0.014285714)*LN(N70_DESARROLLO!AQ39/N70_DESARROLLO!AP39))</f>
        <v>6.9844497732510114E-2</v>
      </c>
      <c r="DQ124" s="1">
        <f>(1+(N70_DESARROLLO!AQ39/0.014285714)*LN(N70_DESARROLLO!AR39/N70_DESARROLLO!AQ39))</f>
        <v>6.1276409070485593E-2</v>
      </c>
      <c r="DR124" s="1">
        <f>(1+(N70_DESARROLLO!AR39/0.014285714)*LN(N70_DESARROLLO!AS39/N70_DESARROLLO!AR39))</f>
        <v>5.4582082654730635E-2</v>
      </c>
      <c r="DS124" s="1">
        <f>(1+(N70_DESARROLLO!AS39/0.014285714)*LN(N70_DESARROLLO!AT39/N70_DESARROLLO!AS39))</f>
        <v>4.9207124692810855E-2</v>
      </c>
      <c r="DT124" s="1">
        <f>(1+(N70_DESARROLLO!AT39/0.014285714)*LN(N70_DESARROLLO!AU39/N70_DESARROLLO!AT39))</f>
        <v>4.4796309735792517E-2</v>
      </c>
      <c r="DU124" s="1">
        <f>(1+(N70_DESARROLLO!AU39/0.014285714)*LN(N70_DESARROLLO!AV39/N70_DESARROLLO!AU39))</f>
        <v>4.1111478023144854E-2</v>
      </c>
      <c r="DV124" s="1">
        <f>(1+(N70_DESARROLLO!AV39/0.014285714)*LN(N70_DESARROLLO!AW39/N70_DESARROLLO!AV39))</f>
        <v>3.7986966558139379E-2</v>
      </c>
      <c r="DW124" s="1">
        <f>(1+(N70_DESARROLLO!AW39/0.014285714)*LN(N70_DESARROLLO!AX39/N70_DESARROLLO!AW39))</f>
        <v>3.5303966947118459E-2</v>
      </c>
      <c r="DX124" s="1">
        <f>(1+(N70_DESARROLLO!AX39/0.014285714)*LN(N70_DESARROLLO!AY39/N70_DESARROLLO!AX39))</f>
        <v>3.2975050428757702E-2</v>
      </c>
      <c r="DY124" s="1">
        <f>(1+(N70_DESARROLLO!AY39/0.014285714)*LN(N70_DESARROLLO!AZ39/N70_DESARROLLO!AY39))</f>
        <v>3.0934447408009769E-2</v>
      </c>
      <c r="DZ124" s="1">
        <f>(1+(N70_DESARROLLO!AZ39/0.014285714)*LN(N70_DESARROLLO!BA39/N70_DESARROLLO!AZ39))</f>
        <v>2.9131730204236872E-2</v>
      </c>
      <c r="EA124" s="1">
        <f>(1+(N70_DESARROLLO!BA39/0.014285714)*LN(N70_DESARROLLO!BB39/N70_DESARROLLO!BA39))</f>
        <v>2.752758534135924E-2</v>
      </c>
      <c r="EB124" s="1">
        <f>(1+(N70_DESARROLLO!BB39/0.014285714)*LN(N70_DESARROLLO!BC39/N70_DESARROLLO!BB39))</f>
        <v>2.6090911041513176E-2</v>
      </c>
      <c r="EC124" s="1">
        <f>(1+(N70_DESARROLLO!BC39/0.014285714)*LN(N70_DESARROLLO!BD39/N70_DESARROLLO!BC39))</f>
        <v>2.4796779290033988E-2</v>
      </c>
      <c r="ED124" s="1">
        <f>(1+(N70_DESARROLLO!BD39/0.014285714)*LN(N70_DESARROLLO!BE39/N70_DESARROLLO!BD39))</f>
        <v>2.3624976192783143E-2</v>
      </c>
      <c r="EE124" s="1">
        <f>(1+(N70_DESARROLLO!BE39/0.014285714)*LN(N70_DESARROLLO!BF39/N70_DESARROLLO!BE39))</f>
        <v>2.2558937800894241E-2</v>
      </c>
      <c r="EF124" s="1">
        <f>(1+(N70_DESARROLLO!BF39/0.014285714)*LN(N70_DESARROLLO!BG39/N70_DESARROLLO!BF39))</f>
        <v>2.1584961787578738E-2</v>
      </c>
      <c r="EG124" s="1">
        <f>(1+(N70_DESARROLLO!BG39/0.014285714)*LN(N70_DESARROLLO!BH39/N70_DESARROLLO!BG39))</f>
        <v>2.0691615000487218E-2</v>
      </c>
      <c r="EH124" s="1">
        <f>(1+(N70_DESARROLLO!BH39/0.014285714)*LN(N70_DESARROLLO!BI39/N70_DESARROLLO!BH39))</f>
        <v>1.9869282361749896E-2</v>
      </c>
      <c r="EI124" s="1">
        <f>(1+(N70_DESARROLLO!BI39/0.014285714)*LN(N70_DESARROLLO!BJ39/N70_DESARROLLO!BI39))</f>
        <v>1.9109819273400053E-2</v>
      </c>
      <c r="EJ124" s="1">
        <f>(1+(N70_DESARROLLO!BJ39/0.014285714)*LN(N70_DESARROLLO!BK39/N70_DESARROLLO!BJ39))</f>
        <v>1.8406280838869304E-2</v>
      </c>
      <c r="EK124" s="1">
        <f>(1+(N70_DESARROLLO!BK39/0.014285714)*LN(N70_DESARROLLO!BL39/N70_DESARROLLO!BK39))</f>
        <v>1.7752708797880712E-2</v>
      </c>
      <c r="EL124" s="1">
        <f>(1+(N70_DESARROLLO!BL39/0.014285714)*LN(N70_DESARROLLO!BM39/N70_DESARROLLO!BL39))</f>
        <v>1.7143962314551175E-2</v>
      </c>
      <c r="EM124" s="1">
        <f>(1+(N70_DESARROLLO!BM39/0.014285714)*LN(N70_DESARROLLO!BN39/N70_DESARROLLO!BM39))</f>
        <v>1.6575582437555969E-2</v>
      </c>
      <c r="EN124" s="1">
        <f>(1+(N70_DESARROLLO!BN39/0.014285714)*LN(N70_DESARROLLO!BO39/N70_DESARROLLO!BN39))</f>
        <v>1.6043682665118575E-2</v>
      </c>
      <c r="EO124" s="1">
        <f>(1+(N70_DESARROLLO!BO39/0.014285714)*LN(N70_DESARROLLO!BP39/N70_DESARROLLO!BO39))</f>
        <v>1.5544859931611144E-2</v>
      </c>
      <c r="EP124" s="1">
        <f>(1+(N70_DESARROLLO!BP39/0.014285714)*LN(N70_DESARROLLO!BQ39/N70_DESARROLLO!BP39))</f>
        <v>1.5076121703327949E-2</v>
      </c>
      <c r="EQ124" s="1">
        <f>(1+(N70_DESARROLLO!BQ39/0.014285714)*LN(N70_DESARROLLO!BR39/N70_DESARROLLO!BQ39))</f>
        <v>1.4634825881874369E-2</v>
      </c>
      <c r="ER124" s="1">
        <f>(1+(N70_DESARROLLO!BR39/0.014285714)*LN(N70_DESARROLLO!BS39/N70_DESARROLLO!BR39))</f>
        <v>1.4218630964442425E-2</v>
      </c>
      <c r="ES124" s="1">
        <f>(1+(N70_DESARROLLO!BS39/0.014285714)*LN(N70_DESARROLLO!BT39/N70_DESARROLLO!BS39))</f>
        <v>1.3825454475315135E-2</v>
      </c>
      <c r="ET124" s="1">
        <f>(1+(N70_DESARROLLO!BT39/0.014285714)*LN(N70_DESARROLLO!BU39/N70_DESARROLLO!BT39))</f>
        <v>1.3453438110017868E-2</v>
      </c>
      <c r="EU124" s="1">
        <f>(1+(N70_DESARROLLO!BU39/0.014285714)*LN(N70_DESARROLLO!BV39/N70_DESARROLLO!BU39))</f>
        <v>1.3100918360509306E-2</v>
      </c>
      <c r="EV124" s="1">
        <f>(1+(N70_DESARROLLO!BV39/0.014285714)*LN(N70_DESARROLLO!BW39/N70_DESARROLLO!BV39))</f>
        <v>1.2766401641828296E-2</v>
      </c>
      <c r="EW124" s="1">
        <f>(1+(N70_DESARROLLO!BW39/0.014285714)*LN(N70_DESARROLLO!BX39/N70_DESARROLLO!BW39))</f>
        <v>-21.601685972653893</v>
      </c>
      <c r="EX124" s="10"/>
      <c r="EY124" s="10"/>
    </row>
    <row r="125" spans="7:155" x14ac:dyDescent="0.25">
      <c r="G125" s="3">
        <v>31</v>
      </c>
      <c r="H125" s="3">
        <f>-(N70_DESARROLLO!G40/0.014285714)*LN(N70_DESARROLLO!G40/N70_DESARROLLO!F40)-1</f>
        <v>-1.6575582437552416E-2</v>
      </c>
      <c r="I125" s="3">
        <f>-(N70_DESARROLLO!H40/0.014285714)*LN(N70_DESARROLLO!H40/N70_DESARROLLO!G40)-1</f>
        <v>-1.7143962314553618E-2</v>
      </c>
      <c r="J125" s="3">
        <f>-(N70_DESARROLLO!I40/0.014285714)*LN(N70_DESARROLLO!I40/N70_DESARROLLO!H40)-1</f>
        <v>-1.7752708797875383E-2</v>
      </c>
      <c r="K125" s="3">
        <f>-(N70_DESARROLLO!J40/0.014285714)*LN(N70_DESARROLLO!J40/N70_DESARROLLO!I40)-1</f>
        <v>-1.8406280838874522E-2</v>
      </c>
      <c r="L125" s="3">
        <f>-(N70_DESARROLLO!K40/0.014285714)*LN(N70_DESARROLLO!K40/N70_DESARROLLO!J40)-1</f>
        <v>-1.910981927339972E-2</v>
      </c>
      <c r="M125" s="3">
        <f>-(N70_DESARROLLO!L40/0.014285714)*LN(N70_DESARROLLO!L40/N70_DESARROLLO!K40)-1</f>
        <v>-1.9869282361751228E-2</v>
      </c>
      <c r="N125" s="3">
        <f>-(N70_DESARROLLO!M40/0.014285714)*LN(N70_DESARROLLO!M40/N70_DESARROLLO!L40)-1</f>
        <v>-2.0691615000488106E-2</v>
      </c>
      <c r="O125" s="3">
        <f>-(N70_DESARROLLO!N40/0.014285714)*LN(N70_DESARROLLO!N40/N70_DESARROLLO!M40)-1</f>
        <v>-2.1584961787574075E-2</v>
      </c>
      <c r="P125" s="3">
        <f>-(N70_DESARROLLO!O40/0.014285714)*LN(N70_DESARROLLO!O40/N70_DESARROLLO!N40)-1</f>
        <v>-2.2558937800894574E-2</v>
      </c>
      <c r="Q125" s="3">
        <f>-(N70_DESARROLLO!P40/0.014285714)*LN(N70_DESARROLLO!P40/N70_DESARROLLO!O40)-1</f>
        <v>-2.3624976192780478E-2</v>
      </c>
      <c r="R125" s="3">
        <f>-(N70_DESARROLLO!Q40/0.014285714)*LN(N70_DESARROLLO!Q40/N70_DESARROLLO!P40)-1</f>
        <v>-2.4796779290037874E-2</v>
      </c>
      <c r="S125" s="3">
        <f>-(N70_DESARROLLO!R40/0.014285714)*LN(N70_DESARROLLO!R40/N70_DESARROLLO!Q40)-1</f>
        <v>-2.6090911041510623E-2</v>
      </c>
      <c r="T125" s="3">
        <f>-(N70_DESARROLLO!S40/0.014285714)*LN(N70_DESARROLLO!S40/N70_DESARROLLO!R40)-1</f>
        <v>-2.7527585341363237E-2</v>
      </c>
      <c r="U125" s="3">
        <f>-(N70_DESARROLLO!T40/0.014285714)*LN(N70_DESARROLLO!T40/N70_DESARROLLO!S40)-1</f>
        <v>-2.9131730204234207E-2</v>
      </c>
      <c r="V125" s="3">
        <f>-(N70_DESARROLLO!U40/0.014285714)*LN(N70_DESARROLLO!U40/N70_DESARROLLO!T40)-1</f>
        <v>-3.093444740801099E-2</v>
      </c>
      <c r="W125" s="3">
        <f>-(N70_DESARROLLO!V40/0.014285714)*LN(N70_DESARROLLO!V40/N70_DESARROLLO!U40)-1</f>
        <v>-3.2975050428752928E-2</v>
      </c>
      <c r="X125" s="3">
        <f>-(N70_DESARROLLO!W40/0.014285714)*LN(N70_DESARROLLO!W40/N70_DESARROLLO!V40)-1</f>
        <v>-3.5303966947122123E-2</v>
      </c>
      <c r="Y125" s="3">
        <f>-(N70_DESARROLLO!X40/0.014285714)*LN(N70_DESARROLLO!X40/N70_DESARROLLO!W40)-1</f>
        <v>-3.7986966558136603E-2</v>
      </c>
      <c r="Z125" s="3">
        <f>-(N70_DESARROLLO!Y40/0.014285714)*LN(N70_DESARROLLO!Y40/N70_DESARROLLO!X40)-1</f>
        <v>-4.1111478023142745E-2</v>
      </c>
      <c r="AA125" s="3">
        <f>-(N70_DESARROLLO!Z40/0.014285714)*LN(N70_DESARROLLO!Z40/N70_DESARROLLO!Y40)-1</f>
        <v>-4.4796309735794959E-2</v>
      </c>
      <c r="AB125" s="3">
        <f>-(N70_DESARROLLO!AA40/0.014285714)*LN(N70_DESARROLLO!AA40/N70_DESARROLLO!Z40)-1</f>
        <v>-4.9207124692808302E-2</v>
      </c>
      <c r="AC125" s="3">
        <f>-(N70_DESARROLLO!AB40/0.014285714)*LN(N70_DESARROLLO!AB40/N70_DESARROLLO!AA40)-1</f>
        <v>-5.4582082654734299E-2</v>
      </c>
      <c r="AD125" s="3">
        <f>-(N70_DESARROLLO!AC40/0.014285714)*LN(N70_DESARROLLO!AC40/N70_DESARROLLO!AB40)-1</f>
        <v>-6.1276409070482818E-2</v>
      </c>
      <c r="AE125" s="3">
        <f>-(N70_DESARROLLO!AD40/0.014285714)*LN(N70_DESARROLLO!AD40/N70_DESARROLLO!AC40)-1</f>
        <v>-6.9844497732512556E-2</v>
      </c>
      <c r="AF125" s="3">
        <f>-(N70_DESARROLLO!AE40/0.014285714)*LN(N70_DESARROLLO!AE40/N70_DESARROLLO!AD40)-1</f>
        <v>-8.1202515976636191E-2</v>
      </c>
      <c r="AG125" s="3">
        <f>-(N70_DESARROLLO!AF40/0.014285714)*LN(N70_DESARROLLO!AF40/N70_DESARROLLO!AE40)-1</f>
        <v>-9.69818523599566E-2</v>
      </c>
      <c r="AH125" s="3">
        <f>-(N70_DESARROLLO!AG40/0.014285714)*LN(N70_DESARROLLO!AG40/N70_DESARROLLO!AF40)-1</f>
        <v>-0.12039948342482121</v>
      </c>
      <c r="AI125" s="3">
        <f>-(N70_DESARROLLO!AH40/0.014285714)*LN(N70_DESARROLLO!AH40/N70_DESARROLLO!AG40)-1</f>
        <v>-0.15881939162335512</v>
      </c>
      <c r="AJ125" s="3">
        <f>-(N70_DESARROLLO!AI40/0.014285714)*LN(N70_DESARROLLO!AI40/N70_DESARROLLO!AH40)-1</f>
        <v>-0.23376154902624446</v>
      </c>
      <c r="AK125" s="3">
        <f>-(N70_DESARROLLO!AJ40/0.014285714)*LN(N70_DESARROLLO!AJ40/N70_DESARROLLO!AI40)-1</f>
        <v>-0.4506938446798211</v>
      </c>
      <c r="AL125" s="3">
        <v>-1</v>
      </c>
      <c r="AM125" s="3">
        <f>-(N70_DESARROLLO!AL40/0.014285714)*LN(N70_DESARROLLO!AL40/N70_DESARROLLO!AK40)-1</f>
        <v>0.64791846596053637</v>
      </c>
      <c r="AN125" s="3">
        <f>-(N70_DESARROLLO!AM40/0.014285714)*LN(N70_DESARROLLO!AM40/N70_DESARROLLO!AL40)-1</f>
        <v>0.27706408495625956</v>
      </c>
      <c r="AO125" s="3">
        <f>-(N70_DESARROLLO!AN40/0.014285714)*LN(N70_DESARROLLO!AN40/N70_DESARROLLO!AM40)-1</f>
        <v>0.17765285172730305</v>
      </c>
      <c r="AP125" s="3">
        <f>-(N70_DESARROLLO!AO40/0.014285714)*LN(N70_DESARROLLO!AO40/N70_DESARROLLO!AN40)-1</f>
        <v>0.13091494988237651</v>
      </c>
      <c r="AQ125" s="3">
        <f>-(N70_DESARROLLO!AP40/0.014285714)*LN(N70_DESARROLLO!AP40/N70_DESARROLLO!AO40)-1</f>
        <v>0.10368884711560411</v>
      </c>
      <c r="AR125" s="3">
        <f>-(N70_DESARROLLO!AQ40/0.014285714)*LN(N70_DESARROLLO!AQ40/N70_DESARROLLO!AP40)-1</f>
        <v>8.5851572027616951E-2</v>
      </c>
      <c r="AS125" s="3">
        <f>-(N70_DESARROLLO!AR40/0.014285714)*LN(N70_DESARROLLO!AR40/N70_DESARROLLO!AQ40)-1</f>
        <v>7.3256348770172952E-2</v>
      </c>
      <c r="AT125" s="3">
        <f>-(N70_DESARROLLO!AS40/0.014285714)*LN(N70_DESARROLLO!AS40/N70_DESARROLLO!AR40)-1</f>
        <v>6.3886736386790766E-2</v>
      </c>
      <c r="AU125" s="3">
        <f>-(N70_DESARROLLO!AT40/0.014285714)*LN(N70_DESARROLLO!AT40/N70_DESARROLLO!AS40)-1</f>
        <v>5.664355467999882E-2</v>
      </c>
      <c r="AV125" s="3">
        <f>-(N70_DESARROLLO!AU40/0.014285714)*LN(N70_DESARROLLO!AU40/N70_DESARROLLO!AT40)-1</f>
        <v>5.0876335865848832E-2</v>
      </c>
      <c r="AW125" s="3">
        <f>-(N70_DESARROLLO!AV40/0.014285714)*LN(N70_DESARROLLO!AV40/N70_DESARROLLO!AU40)-1</f>
        <v>4.6175470289362641E-2</v>
      </c>
      <c r="AX125" s="3">
        <f>-(N70_DESARROLLO!AW40/0.014285714)*LN(N70_DESARROLLO!AW40/N70_DESARROLLO!AV40)-1</f>
        <v>4.227013258353729E-2</v>
      </c>
      <c r="AY125" s="3">
        <f>-(N70_DESARROLLO!AX40/0.014285714)*LN(N70_DESARROLLO!AX40/N70_DESARROLLO!AW40)-1</f>
        <v>3.8974076117217482E-2</v>
      </c>
      <c r="AZ125" s="3">
        <f>-(N70_DESARROLLO!AY40/0.014285714)*LN(N70_DESARROLLO!AY40/N70_DESARROLLO!AX40)-1</f>
        <v>3.6154998464196897E-2</v>
      </c>
      <c r="BA125" s="3">
        <f>-(N70_DESARROLLO!AZ40/0.014285714)*LN(N70_DESARROLLO!AZ40/N70_DESARROLLO!AY40)-1</f>
        <v>3.3716325403751135E-2</v>
      </c>
      <c r="BB125" s="3">
        <f>-(N70_DESARROLLO!BA40/0.014285714)*LN(N70_DESARROLLO!BA40/N70_DESARROLLO!AZ40)-1</f>
        <v>3.1585910823724417E-2</v>
      </c>
      <c r="BC125" s="3">
        <f>-(N70_DESARROLLO!BB40/0.014285714)*LN(N70_DESARROLLO!BB40/N70_DESARROLLO!BA40)-1</f>
        <v>2.97087709955135E-2</v>
      </c>
      <c r="BD125" s="3">
        <f>-(N70_DESARROLLO!BC40/0.014285714)*LN(N70_DESARROLLO!BC40/N70_DESARROLLO!BB40)-1</f>
        <v>2.8042266924840797E-2</v>
      </c>
      <c r="BE125" s="3">
        <f>-(N70_DESARROLLO!BD40/0.014285714)*LN(N70_DESARROLLO!BD40/N70_DESARROLLO!BC40)-1</f>
        <v>2.6552823496791333E-2</v>
      </c>
      <c r="BF125" s="3">
        <f>-(N70_DESARROLLO!BE40/0.014285714)*LN(N70_DESARROLLO!BE40/N70_DESARROLLO!BD40)-1</f>
        <v>2.5213642284827253E-2</v>
      </c>
      <c r="BG125" s="3">
        <f>-(N70_DESARROLLO!BF40/0.014285714)*LN(N70_DESARROLLO!BF40/N70_DESARROLLO!BE40)-1</f>
        <v>2.4003073749041315E-2</v>
      </c>
      <c r="BH125" s="3">
        <f>-(N70_DESARROLLO!BG40/0.014285714)*LN(N70_DESARROLLO!BG40/N70_DESARROLLO!BF40)-1</f>
        <v>2.2903437185105791E-2</v>
      </c>
      <c r="BI125" s="3">
        <f>-(N70_DESARROLLO!BH40/0.014285714)*LN(N70_DESARROLLO!BH40/N70_DESARROLLO!BG40)-1</f>
        <v>2.1900151021861713E-2</v>
      </c>
      <c r="BJ125" s="3">
        <f>-(N70_DESARROLLO!BI40/0.014285714)*LN(N70_DESARROLLO!BI40/N70_DESARROLLO!BH40)-1</f>
        <v>2.0981082233544779E-2</v>
      </c>
      <c r="BK125" s="3">
        <f>-(N70_DESARROLLO!BJ40/0.014285714)*LN(N70_DESARROLLO!BJ40/N70_DESARROLLO!BI40)-1</f>
        <v>2.0136053052045133E-2</v>
      </c>
      <c r="BL125" s="3">
        <f>-(N70_DESARROLLO!BK40/0.014285714)*LN(N70_DESARROLLO!BK40/N70_DESARROLLO!BJ40)-1</f>
        <v>1.9356462323727008E-2</v>
      </c>
      <c r="BM125" s="3">
        <f>-(N70_DESARROLLO!BL40/0.014285714)*LN(N70_DESARROLLO!BL40/N70_DESARROLLO!BK40)-1</f>
        <v>1.8634991582293425E-2</v>
      </c>
      <c r="BN125" s="3">
        <f>-(N70_DESARROLLO!BM40/0.014285714)*LN(N70_DESARROLLO!BM40/N70_DESARROLLO!BL40)-1</f>
        <v>1.7965374518572164E-2</v>
      </c>
      <c r="BO125" s="3">
        <f>-(N70_DESARROLLO!BN40/0.014285714)*LN(N70_DESARROLLO!BN40/N70_DESARROLLO!BM40)-1</f>
        <v>1.7342214446335324E-2</v>
      </c>
      <c r="BP125" s="3">
        <f>-(N70_DESARROLLO!BO40/0.014285714)*LN(N70_DESARROLLO!BO40/N70_DESARROLLO!BN40)-1</f>
        <v>1.6760838496770569E-2</v>
      </c>
      <c r="BQ125" s="3">
        <f>-(N70_DESARROLLO!BP40/0.014285714)*LN(N70_DESARROLLO!BP40/N70_DESARROLLO!BO40)-1</f>
        <v>1.6217180198313308E-2</v>
      </c>
      <c r="BR125" s="3">
        <f>-(N70_DESARROLLO!BQ40/0.014285714)*LN(N70_DESARROLLO!BQ40/N70_DESARROLLO!BP40)-1</f>
        <v>1.5707684197550975E-2</v>
      </c>
      <c r="BS125" s="3">
        <f>-(N70_DESARROLLO!BR40/0.014285714)*LN(N70_DESARROLLO!BR40/N70_DESARROLLO!BQ40)-1</f>
        <v>1.5229228398100814E-2</v>
      </c>
      <c r="BT125" s="3">
        <f>-(N70_DESARROLLO!BS40/0.014285714)*LN(N70_DESARROLLO!BS40/N70_DESARROLLO!BR40)-1</f>
        <v>1.4779059912696013E-2</v>
      </c>
      <c r="BU125" s="3">
        <f>-(N70_DESARROLLO!BT40/0.014285714)*LN(N70_DESARROLLO!BT40/N70_DESARROLLO!BS40)-1</f>
        <v>1.4354742051088776E-2</v>
      </c>
      <c r="BV125" s="3">
        <f>-(N70_DESARROLLO!BU40/0.014285714)*LN(N70_DESARROLLO!BU40/N70_DESARROLLO!BT40)-1</f>
        <v>1.395411018734416E-2</v>
      </c>
      <c r="BW125" s="3">
        <f>-(N70_DESARROLLO!BV40/0.014285714)*LN(N70_DESARROLLO!BV40/N70_DESARROLLO!BU40)-1</f>
        <v>1.3575234818482773E-2</v>
      </c>
      <c r="BX125" s="3">
        <f>-(N70_DESARROLLO!BW40/0.014285714)*LN(N70_DESARROLLO!BW40/N70_DESARROLLO!BV40)-1</f>
        <v>1.3216390483202112E-2</v>
      </c>
      <c r="BY125" s="3">
        <f>-(N70_DESARROLLO!BX40/0.014285714)*LN(N70_DESARROLLO!BX40/N70_DESARROLLO!BW40)-1</f>
        <v>40.848590889865257</v>
      </c>
      <c r="BZ125" s="10"/>
      <c r="CA125" s="10"/>
      <c r="CB125" s="10"/>
      <c r="CC125" s="10"/>
      <c r="CD125">
        <v>31</v>
      </c>
      <c r="CE125" s="1">
        <v>0</v>
      </c>
      <c r="CF125" s="1">
        <f>(1+(N70_DESARROLLO!F40/0.014285714)*LN(N70_DESARROLLO!G40/N70_DESARROLLO!F40))</f>
        <v>-1.6760838496767905E-2</v>
      </c>
      <c r="CG125" s="1">
        <f>(1+(N70_DESARROLLO!G40/0.014285714)*LN(N70_DESARROLLO!H40/N70_DESARROLLO!G40))</f>
        <v>-1.7342214446339321E-2</v>
      </c>
      <c r="CH125" s="1">
        <f>(1+(N70_DESARROLLO!H40/0.014285714)*LN(N70_DESARROLLO!I40/N70_DESARROLLO!H40))</f>
        <v>-1.7965374518565502E-2</v>
      </c>
      <c r="CI125" s="1">
        <f>(1+(N70_DESARROLLO!I40/0.014285714)*LN(N70_DESARROLLO!J40/N70_DESARROLLO!I40))</f>
        <v>-1.8634991582299865E-2</v>
      </c>
      <c r="CJ125" s="1">
        <f>(1+(N70_DESARROLLO!J40/0.014285714)*LN(N70_DESARROLLO!K40/N70_DESARROLLO!J40))</f>
        <v>-1.9356462323721679E-2</v>
      </c>
      <c r="CK125" s="1">
        <f>(1+(N70_DESARROLLO!K40/0.014285714)*LN(N70_DESARROLLO!L40/N70_DESARROLLO!K40))</f>
        <v>-2.0136053052055125E-2</v>
      </c>
      <c r="CL125" s="1">
        <f>(1+(N70_DESARROLLO!L40/0.014285714)*LN(N70_DESARROLLO!M40/N70_DESARROLLO!L40))</f>
        <v>-2.0981082233533677E-2</v>
      </c>
      <c r="CM125" s="1">
        <f>(1+(N70_DESARROLLO!M40/0.014285714)*LN(N70_DESARROLLO!N40/N70_DESARROLLO!M40))</f>
        <v>-2.1900151021867043E-2</v>
      </c>
      <c r="CN125" s="1">
        <f>(1+(N70_DESARROLLO!N40/0.014285714)*LN(N70_DESARROLLO!O40/N70_DESARROLLO!N40))</f>
        <v>-2.2903437185110453E-2</v>
      </c>
      <c r="CO125" s="1">
        <f>(1+(N70_DESARROLLO!O40/0.014285714)*LN(N70_DESARROLLO!P40/N70_DESARROLLO!O40))</f>
        <v>-2.4003073749035098E-2</v>
      </c>
      <c r="CP125" s="1">
        <f>(1+(N70_DESARROLLO!P40/0.014285714)*LN(N70_DESARROLLO!Q40/N70_DESARROLLO!P40))</f>
        <v>-2.5213642284832138E-2</v>
      </c>
      <c r="CQ125" s="1">
        <f>(1+(N70_DESARROLLO!Q40/0.014285714)*LN(N70_DESARROLLO!R40/N70_DESARROLLO!Q40))</f>
        <v>-2.6552823496786004E-2</v>
      </c>
      <c r="CR125" s="1">
        <f>(1+(N70_DESARROLLO!R40/0.014285714)*LN(N70_DESARROLLO!S40/N70_DESARROLLO!R40))</f>
        <v>-2.8042266924844572E-2</v>
      </c>
      <c r="CS125" s="1">
        <f>(1+(N70_DESARROLLO!S40/0.014285714)*LN(N70_DESARROLLO!T40/N70_DESARROLLO!S40))</f>
        <v>-2.970877099550906E-2</v>
      </c>
      <c r="CT125" s="1">
        <f>(1+(N70_DESARROLLO!T40/0.014285714)*LN(N70_DESARROLLO!U40/N70_DESARROLLO!T40))</f>
        <v>-3.1585910823730412E-2</v>
      </c>
      <c r="CU125" s="1">
        <f>(1+(N70_DESARROLLO!U40/0.014285714)*LN(N70_DESARROLLO!V40/N70_DESARROLLO!U40))</f>
        <v>-3.3716325403746916E-2</v>
      </c>
      <c r="CV125" s="1">
        <f>(1+(N70_DESARROLLO!V40/0.014285714)*LN(N70_DESARROLLO!W40/N70_DESARROLLO!V40))</f>
        <v>-3.6154998464202226E-2</v>
      </c>
      <c r="CW125" s="1">
        <f>(1+(N70_DESARROLLO!W40/0.014285714)*LN(N70_DESARROLLO!X40/N70_DESARROLLO!W40))</f>
        <v>-3.8974076117212375E-2</v>
      </c>
      <c r="CX125" s="1">
        <f>(1+(N70_DESARROLLO!X40/0.014285714)*LN(N70_DESARROLLO!Y40/N70_DESARROLLO!X40))</f>
        <v>-4.2270132583540621E-2</v>
      </c>
      <c r="CY125" s="1">
        <f>(1+(N70_DESARROLLO!Y40/0.014285714)*LN(N70_DESARROLLO!Z40/N70_DESARROLLO!Y40))</f>
        <v>-4.6175470289367304E-2</v>
      </c>
      <c r="CZ125" s="1">
        <f>(1+(N70_DESARROLLO!Z40/0.014285714)*LN(N70_DESARROLLO!AA40/N70_DESARROLLO!Z40))</f>
        <v>-5.0876335865843503E-2</v>
      </c>
      <c r="DA125" s="1">
        <f>(1+(N70_DESARROLLO!AA40/0.014285714)*LN(N70_DESARROLLO!AB40/N70_DESARROLLO!AA40))</f>
        <v>-5.6643554680002817E-2</v>
      </c>
      <c r="DB125" s="1">
        <f>(1+(N70_DESARROLLO!AB40/0.014285714)*LN(N70_DESARROLLO!AC40/N70_DESARROLLO!AB40))</f>
        <v>-6.3886736386786325E-2</v>
      </c>
      <c r="DC125" s="1">
        <f>(1+(N70_DESARROLLO!AC40/0.014285714)*LN(N70_DESARROLLO!AD40/N70_DESARROLLO!AC40))</f>
        <v>-7.3256348770177837E-2</v>
      </c>
      <c r="DD125" s="1">
        <f>(1+(N70_DESARROLLO!AD40/0.014285714)*LN(N70_DESARROLLO!AE40/N70_DESARROLLO!AD40))</f>
        <v>-8.5851572027611844E-2</v>
      </c>
      <c r="DE125" s="1">
        <f>(1+(N70_DESARROLLO!AE40/0.014285714)*LN(N70_DESARROLLO!AF40/N70_DESARROLLO!AE40))</f>
        <v>-0.10368884711560877</v>
      </c>
      <c r="DF125" s="1">
        <f>(1+(N70_DESARROLLO!AF40/0.014285714)*LN(N70_DESARROLLO!AG40/N70_DESARROLLO!AF40))</f>
        <v>-0.13091494988237162</v>
      </c>
      <c r="DG125" s="1">
        <f>(1+(N70_DESARROLLO!AG40/0.014285714)*LN(N70_DESARROLLO!AH40/N70_DESARROLLO!AG40))</f>
        <v>-0.17765285172730261</v>
      </c>
      <c r="DH125" s="1">
        <f>(1+(N70_DESARROLLO!AH40/0.014285714)*LN(N70_DESARROLLO!AI40/N70_DESARROLLO!AH40))</f>
        <v>-0.27706408495625845</v>
      </c>
      <c r="DI125" s="1">
        <f>(1+(N70_DESARROLLO!AI40/0.014285714)*LN(N70_DESARROLLO!AJ40/N70_DESARROLLO!AI40))</f>
        <v>-0.64791846596053282</v>
      </c>
      <c r="DJ125" s="1">
        <v>1</v>
      </c>
      <c r="DK125" s="1">
        <f>(1+(N70_DESARROLLO!AK40/0.014285714)*LN(N70_DESARROLLO!AL40/N70_DESARROLLO!AK40))</f>
        <v>0.45069384467982265</v>
      </c>
      <c r="DL125" s="1">
        <f>(1+(N70_DESARROLLO!AL40/0.014285714)*LN(N70_DESARROLLO!AM40/N70_DESARROLLO!AL40))</f>
        <v>0.2337615490262448</v>
      </c>
      <c r="DM125" s="1">
        <f>(1+(N70_DESARROLLO!AM40/0.014285714)*LN(N70_DESARROLLO!AN40/N70_DESARROLLO!AM40))</f>
        <v>0.15881939162335523</v>
      </c>
      <c r="DN125" s="1">
        <f>(1+(N70_DESARROLLO!AN40/0.014285714)*LN(N70_DESARROLLO!AO40/N70_DESARROLLO!AN40))</f>
        <v>0.12039948342481821</v>
      </c>
      <c r="DO125" s="1">
        <f>(1+(N70_DESARROLLO!AO40/0.014285714)*LN(N70_DESARROLLO!AP40/N70_DESARROLLO!AO40))</f>
        <v>9.6981852359959819E-2</v>
      </c>
      <c r="DP125" s="1">
        <f>(1+(N70_DESARROLLO!AP40/0.014285714)*LN(N70_DESARROLLO!AQ40/N70_DESARROLLO!AP40))</f>
        <v>8.1202515976632528E-2</v>
      </c>
      <c r="DQ125" s="1">
        <f>(1+(N70_DESARROLLO!AQ40/0.014285714)*LN(N70_DESARROLLO!AR40/N70_DESARROLLO!AQ40))</f>
        <v>6.9844497732516331E-2</v>
      </c>
      <c r="DR125" s="1">
        <f>(1+(N70_DESARROLLO!AR40/0.014285714)*LN(N70_DESARROLLO!AS40/N70_DESARROLLO!AR40))</f>
        <v>6.1276409070479265E-2</v>
      </c>
      <c r="DS125" s="1">
        <f>(1+(N70_DESARROLLO!AS40/0.014285714)*LN(N70_DESARROLLO!AT40/N70_DESARROLLO!AS40))</f>
        <v>5.4582082654737407E-2</v>
      </c>
      <c r="DT125" s="1">
        <f>(1+(N70_DESARROLLO!AT40/0.014285714)*LN(N70_DESARROLLO!AU40/N70_DESARROLLO!AT40))</f>
        <v>4.9207124692803972E-2</v>
      </c>
      <c r="DU125" s="1">
        <f>(1+(N70_DESARROLLO!AU40/0.014285714)*LN(N70_DESARROLLO!AV40/N70_DESARROLLO!AU40))</f>
        <v>4.4796309735798956E-2</v>
      </c>
      <c r="DV125" s="1">
        <f>(1+(N70_DESARROLLO!AV40/0.014285714)*LN(N70_DESARROLLO!AW40/N70_DESARROLLO!AV40))</f>
        <v>4.1111478023145409E-2</v>
      </c>
      <c r="DW125" s="1">
        <f>(1+(N70_DESARROLLO!AW40/0.014285714)*LN(N70_DESARROLLO!AX40/N70_DESARROLLO!AW40))</f>
        <v>3.7986966558132274E-2</v>
      </c>
      <c r="DX125" s="1">
        <f>(1+(N70_DESARROLLO!AX40/0.014285714)*LN(N70_DESARROLLO!AY40/N70_DESARROLLO!AX40))</f>
        <v>3.5303966947126675E-2</v>
      </c>
      <c r="DY125" s="1">
        <f>(1+(N70_DESARROLLO!AY40/0.014285714)*LN(N70_DESARROLLO!AZ40/N70_DESARROLLO!AY40))</f>
        <v>3.2975050428749264E-2</v>
      </c>
      <c r="DZ125" s="1">
        <f>(1+(N70_DESARROLLO!AZ40/0.014285714)*LN(N70_DESARROLLO!BA40/N70_DESARROLLO!AZ40))</f>
        <v>3.0934447408016319E-2</v>
      </c>
      <c r="EA125" s="1">
        <f>(1+(N70_DESARROLLO!BA40/0.014285714)*LN(N70_DESARROLLO!BB40/N70_DESARROLLO!BA40))</f>
        <v>2.9131730204230433E-2</v>
      </c>
      <c r="EB125" s="1">
        <f>(1+(N70_DESARROLLO!BB40/0.014285714)*LN(N70_DESARROLLO!BC40/N70_DESARROLLO!BB40))</f>
        <v>2.7527585341366678E-2</v>
      </c>
      <c r="EC125" s="1">
        <f>(1+(N70_DESARROLLO!BC40/0.014285714)*LN(N70_DESARROLLO!BD40/N70_DESARROLLO!BC40))</f>
        <v>2.6090911041505627E-2</v>
      </c>
      <c r="ED125" s="1">
        <f>(1+(N70_DESARROLLO!BD40/0.014285714)*LN(N70_DESARROLLO!BE40/N70_DESARROLLO!BD40))</f>
        <v>2.4796779290042203E-2</v>
      </c>
      <c r="EE125" s="1">
        <f>(1+(N70_DESARROLLO!BE40/0.014285714)*LN(N70_DESARROLLO!BF40/N70_DESARROLLO!BE40))</f>
        <v>2.3624976192774816E-2</v>
      </c>
      <c r="EF125" s="1">
        <f>(1+(N70_DESARROLLO!BF40/0.014285714)*LN(N70_DESARROLLO!BG40/N70_DESARROLLO!BF40))</f>
        <v>2.2558937800898904E-2</v>
      </c>
      <c r="EG125" s="1">
        <f>(1+(N70_DESARROLLO!BG40/0.014285714)*LN(N70_DESARROLLO!BH40/N70_DESARROLLO!BG40))</f>
        <v>2.1584961787579071E-2</v>
      </c>
      <c r="EH125" s="1">
        <f>(1+(N70_DESARROLLO!BH40/0.014285714)*LN(N70_DESARROLLO!BI40/N70_DESARROLLO!BH40))</f>
        <v>2.0691615000477559E-2</v>
      </c>
      <c r="EI125" s="1">
        <f>(1+(N70_DESARROLLO!BI40/0.014285714)*LN(N70_DESARROLLO!BJ40/N70_DESARROLLO!BI40))</f>
        <v>1.9869282361760443E-2</v>
      </c>
      <c r="EJ125" s="1">
        <f>(1+(N70_DESARROLLO!BJ40/0.014285714)*LN(N70_DESARROLLO!BK40/N70_DESARROLLO!BJ40))</f>
        <v>1.9109819273394835E-2</v>
      </c>
      <c r="EK125" s="1">
        <f>(1+(N70_DESARROLLO!BK40/0.014285714)*LN(N70_DESARROLLO!BL40/N70_DESARROLLO!BK40))</f>
        <v>1.840628083888074E-2</v>
      </c>
      <c r="EL125" s="1">
        <f>(1+(N70_DESARROLLO!BL40/0.014285714)*LN(N70_DESARROLLO!BM40/N70_DESARROLLO!BL40))</f>
        <v>1.7752708797869166E-2</v>
      </c>
      <c r="EM125" s="1">
        <f>(1+(N70_DESARROLLO!BM40/0.014285714)*LN(N70_DESARROLLO!BN40/N70_DESARROLLO!BM40))</f>
        <v>1.7143962314557393E-2</v>
      </c>
      <c r="EN125" s="1">
        <f>(1+(N70_DESARROLLO!BN40/0.014285714)*LN(N70_DESARROLLO!BO40/N70_DESARROLLO!BN40))</f>
        <v>1.6575582437549863E-2</v>
      </c>
      <c r="EO125" s="1">
        <f>(1+(N70_DESARROLLO!BO40/0.014285714)*LN(N70_DESARROLLO!BP40/N70_DESARROLLO!BO40))</f>
        <v>1.6043682665125125E-2</v>
      </c>
      <c r="EP125" s="1">
        <f>(1+(N70_DESARROLLO!BP40/0.014285714)*LN(N70_DESARROLLO!BQ40/N70_DESARROLLO!BP40))</f>
        <v>1.5544859931604593E-2</v>
      </c>
      <c r="EQ125" s="1">
        <f>(1+(N70_DESARROLLO!BQ40/0.014285714)*LN(N70_DESARROLLO!BR40/N70_DESARROLLO!BQ40))</f>
        <v>1.5076121703334833E-2</v>
      </c>
      <c r="ER125" s="1">
        <f>(1+(N70_DESARROLLO!BR40/0.014285714)*LN(N70_DESARROLLO!BS40/N70_DESARROLLO!BR40))</f>
        <v>1.4634825881874591E-2</v>
      </c>
      <c r="ES125" s="1">
        <f>(1+(N70_DESARROLLO!BS40/0.014285714)*LN(N70_DESARROLLO!BT40/N70_DESARROLLO!BS40))</f>
        <v>1.4218630964435208E-2</v>
      </c>
      <c r="ET125" s="1">
        <f>(1+(N70_DESARROLLO!BT40/0.014285714)*LN(N70_DESARROLLO!BU40/N70_DESARROLLO!BT40))</f>
        <v>1.3825454475322685E-2</v>
      </c>
      <c r="EU125" s="1">
        <f>(1+(N70_DESARROLLO!BU40/0.014285714)*LN(N70_DESARROLLO!BV40/N70_DESARROLLO!BU40))</f>
        <v>1.3453438110010096E-2</v>
      </c>
      <c r="EV125" s="1">
        <f>(1+(N70_DESARROLLO!BV40/0.014285714)*LN(N70_DESARROLLO!BW40/N70_DESARROLLO!BV40))</f>
        <v>1.3100918360517522E-2</v>
      </c>
      <c r="EW125" s="1">
        <f>(1+(N70_DESARROLLO!BW40/0.014285714)*LN(N70_DESARROLLO!BX40/N70_DESARROLLO!BW40))</f>
        <v>-22.016724989425889</v>
      </c>
      <c r="EX125" s="10"/>
      <c r="EY125" s="10"/>
    </row>
    <row r="126" spans="7:155" x14ac:dyDescent="0.25">
      <c r="G126" s="3">
        <v>32</v>
      </c>
      <c r="H126" s="3">
        <f>-(N70_DESARROLLO!G41/0.014285714)*LN(N70_DESARROLLO!G41/N70_DESARROLLO!F41)-1</f>
        <v>-1.6043682665120018E-2</v>
      </c>
      <c r="I126" s="3">
        <f>-(N70_DESARROLLO!H41/0.014285714)*LN(N70_DESARROLLO!H41/N70_DESARROLLO!G41)-1</f>
        <v>-1.6575582437552527E-2</v>
      </c>
      <c r="J126" s="3">
        <f>-(N70_DESARROLLO!I41/0.014285714)*LN(N70_DESARROLLO!I41/N70_DESARROLLO!H41)-1</f>
        <v>-1.7143962314553729E-2</v>
      </c>
      <c r="K126" s="3">
        <f>-(N70_DESARROLLO!J41/0.014285714)*LN(N70_DESARROLLO!J41/N70_DESARROLLO!I41)-1</f>
        <v>-1.7752708797875494E-2</v>
      </c>
      <c r="L126" s="3">
        <f>-(N70_DESARROLLO!K41/0.014285714)*LN(N70_DESARROLLO!K41/N70_DESARROLLO!J41)-1</f>
        <v>-1.8406280838877631E-2</v>
      </c>
      <c r="M126" s="3">
        <f>-(N70_DESARROLLO!L41/0.014285714)*LN(N70_DESARROLLO!L41/N70_DESARROLLO!K41)-1</f>
        <v>-1.9109819273391393E-2</v>
      </c>
      <c r="N126" s="3">
        <f>-(N70_DESARROLLO!M41/0.014285714)*LN(N70_DESARROLLO!M41/N70_DESARROLLO!L41)-1</f>
        <v>-1.9869282361759777E-2</v>
      </c>
      <c r="O126" s="3">
        <f>-(N70_DESARROLLO!N41/0.014285714)*LN(N70_DESARROLLO!N41/N70_DESARROLLO!M41)-1</f>
        <v>-2.0691615000482666E-2</v>
      </c>
      <c r="P126" s="3">
        <f>-(N70_DESARROLLO!O41/0.014285714)*LN(N70_DESARROLLO!O41/N70_DESARROLLO!N41)-1</f>
        <v>-2.1584961787574186E-2</v>
      </c>
      <c r="Q126" s="3">
        <f>-(N70_DESARROLLO!P41/0.014285714)*LN(N70_DESARROLLO!P41/N70_DESARROLLO!O41)-1</f>
        <v>-2.2558937800894796E-2</v>
      </c>
      <c r="R126" s="3">
        <f>-(N70_DESARROLLO!Q41/0.014285714)*LN(N70_DESARROLLO!Q41/N70_DESARROLLO!P41)-1</f>
        <v>-2.3624976192780589E-2</v>
      </c>
      <c r="S126" s="3">
        <f>-(N70_DESARROLLO!R41/0.014285714)*LN(N70_DESARROLLO!R41/N70_DESARROLLO!Q41)-1</f>
        <v>-2.4796779290038096E-2</v>
      </c>
      <c r="T126" s="3">
        <f>-(N70_DESARROLLO!S41/0.014285714)*LN(N70_DESARROLLO!S41/N70_DESARROLLO!R41)-1</f>
        <v>-2.6090911041510845E-2</v>
      </c>
      <c r="U126" s="3">
        <f>-(N70_DESARROLLO!T41/0.014285714)*LN(N70_DESARROLLO!T41/N70_DESARROLLO!S41)-1</f>
        <v>-2.7527585341365457E-2</v>
      </c>
      <c r="V126" s="3">
        <f>-(N70_DESARROLLO!U41/0.014285714)*LN(N70_DESARROLLO!U41/N70_DESARROLLO!T41)-1</f>
        <v>-2.9131730204232431E-2</v>
      </c>
      <c r="W126" s="3">
        <f>-(N70_DESARROLLO!V41/0.014285714)*LN(N70_DESARROLLO!V41/N70_DESARROLLO!U41)-1</f>
        <v>-3.0934447408011212E-2</v>
      </c>
      <c r="X126" s="3">
        <f>-(N70_DESARROLLO!W41/0.014285714)*LN(N70_DESARROLLO!W41/N70_DESARROLLO!V41)-1</f>
        <v>-3.297505042875315E-2</v>
      </c>
      <c r="Y126" s="3">
        <f>-(N70_DESARROLLO!X41/0.014285714)*LN(N70_DESARROLLO!X41/N70_DESARROLLO!W41)-1</f>
        <v>-3.5303966947123677E-2</v>
      </c>
      <c r="Z126" s="3">
        <f>-(N70_DESARROLLO!Y41/0.014285714)*LN(N70_DESARROLLO!Y41/N70_DESARROLLO!X41)-1</f>
        <v>-3.7986966558135382E-2</v>
      </c>
      <c r="AA126" s="3">
        <f>-(N70_DESARROLLO!Z41/0.014285714)*LN(N70_DESARROLLO!Z41/N70_DESARROLLO!Y41)-1</f>
        <v>-4.1111478023141634E-2</v>
      </c>
      <c r="AB126" s="3">
        <f>-(N70_DESARROLLO!AA41/0.014285714)*LN(N70_DESARROLLO!AA41/N70_DESARROLLO!Z41)-1</f>
        <v>-4.4796309735795514E-2</v>
      </c>
      <c r="AC126" s="3">
        <f>-(N70_DESARROLLO!AB41/0.014285714)*LN(N70_DESARROLLO!AB41/N70_DESARROLLO!AA41)-1</f>
        <v>-4.9207124692807525E-2</v>
      </c>
      <c r="AD126" s="3">
        <f>-(N70_DESARROLLO!AC41/0.014285714)*LN(N70_DESARROLLO!AC41/N70_DESARROLLO!AB41)-1</f>
        <v>-5.4582082654733854E-2</v>
      </c>
      <c r="AE126" s="3">
        <f>-(N70_DESARROLLO!AD41/0.014285714)*LN(N70_DESARROLLO!AD41/N70_DESARROLLO!AC41)-1</f>
        <v>-6.1276409070483262E-2</v>
      </c>
      <c r="AF126" s="3">
        <f>-(N70_DESARROLLO!AE41/0.014285714)*LN(N70_DESARROLLO!AE41/N70_DESARROLLO!AD41)-1</f>
        <v>-6.9844497732513111E-2</v>
      </c>
      <c r="AG126" s="3">
        <f>-(N70_DESARROLLO!AF41/0.014285714)*LN(N70_DESARROLLO!AF41/N70_DESARROLLO!AE41)-1</f>
        <v>-8.120251597663608E-2</v>
      </c>
      <c r="AH126" s="3">
        <f>-(N70_DESARROLLO!AG41/0.014285714)*LN(N70_DESARROLLO!AG41/N70_DESARROLLO!AF41)-1</f>
        <v>-9.6981852359959708E-2</v>
      </c>
      <c r="AI126" s="3">
        <f>-(N70_DESARROLLO!AH41/0.014285714)*LN(N70_DESARROLLO!AH41/N70_DESARROLLO!AG41)-1</f>
        <v>-0.12039948342481799</v>
      </c>
      <c r="AJ126" s="3">
        <f>-(N70_DESARROLLO!AI41/0.014285714)*LN(N70_DESARROLLO!AI41/N70_DESARROLLO!AH41)-1</f>
        <v>-0.15881939162335501</v>
      </c>
      <c r="AK126" s="3">
        <f>-(N70_DESARROLLO!AJ41/0.014285714)*LN(N70_DESARROLLO!AJ41/N70_DESARROLLO!AI41)-1</f>
        <v>-0.2337615490262448</v>
      </c>
      <c r="AL126" s="3">
        <f>-(N70_DESARROLLO!AK41/0.014285714)*LN(N70_DESARROLLO!AK41/N70_DESARROLLO!AJ41)-1</f>
        <v>-0.45069384467982276</v>
      </c>
      <c r="AM126" s="3">
        <v>-1</v>
      </c>
      <c r="AN126" s="3">
        <f>-(N70_DESARROLLO!AM41/0.014285714)*LN(N70_DESARROLLO!AM41/N70_DESARROLLO!AL41)-1</f>
        <v>0.64791846596053282</v>
      </c>
      <c r="AO126" s="3">
        <f>-(N70_DESARROLLO!AN41/0.014285714)*LN(N70_DESARROLLO!AN41/N70_DESARROLLO!AM41)-1</f>
        <v>0.27706408495625845</v>
      </c>
      <c r="AP126" s="3">
        <f>-(N70_DESARROLLO!AO41/0.014285714)*LN(N70_DESARROLLO!AO41/N70_DESARROLLO!AN41)-1</f>
        <v>0.17765285172730261</v>
      </c>
      <c r="AQ126" s="3">
        <f>-(N70_DESARROLLO!AP41/0.014285714)*LN(N70_DESARROLLO!AP41/N70_DESARROLLO!AO41)-1</f>
        <v>0.13091494988237184</v>
      </c>
      <c r="AR126" s="3">
        <f>-(N70_DESARROLLO!AQ41/0.014285714)*LN(N70_DESARROLLO!AQ41/N70_DESARROLLO!AP41)-1</f>
        <v>0.10368884711561366</v>
      </c>
      <c r="AS126" s="3">
        <f>-(N70_DESARROLLO!AR41/0.014285714)*LN(N70_DESARROLLO!AR41/N70_DESARROLLO!AQ41)-1</f>
        <v>8.5851572027607181E-2</v>
      </c>
      <c r="AT126" s="3">
        <f>-(N70_DESARROLLO!AS41/0.014285714)*LN(N70_DESARROLLO!AS41/N70_DESARROLLO!AR41)-1</f>
        <v>7.325634877018139E-2</v>
      </c>
      <c r="AU126" s="3">
        <f>-(N70_DESARROLLO!AT41/0.014285714)*LN(N70_DESARROLLO!AT41/N70_DESARROLLO!AS41)-1</f>
        <v>6.388673638678255E-2</v>
      </c>
      <c r="AV126" s="3">
        <f>-(N70_DESARROLLO!AU41/0.014285714)*LN(N70_DESARROLLO!AU41/N70_DESARROLLO!AT41)-1</f>
        <v>5.6643554680007258E-2</v>
      </c>
      <c r="AW126" s="3">
        <f>-(N70_DESARROLLO!AV41/0.014285714)*LN(N70_DESARROLLO!AV41/N70_DESARROLLO!AU41)-1</f>
        <v>5.0876335865840394E-2</v>
      </c>
      <c r="AX126" s="3">
        <f>-(N70_DESARROLLO!AW41/0.014285714)*LN(N70_DESARROLLO!AW41/N70_DESARROLLO!AV41)-1</f>
        <v>4.6175470289362641E-2</v>
      </c>
      <c r="AY126" s="3">
        <f>-(N70_DESARROLLO!AX41/0.014285714)*LN(N70_DESARROLLO!AX41/N70_DESARROLLO!AW41)-1</f>
        <v>4.2270132583545728E-2</v>
      </c>
      <c r="AZ126" s="3">
        <f>-(N70_DESARROLLO!AY41/0.014285714)*LN(N70_DESARROLLO!AY41/N70_DESARROLLO!AX41)-1</f>
        <v>3.8974076117209266E-2</v>
      </c>
      <c r="BA126" s="3">
        <f>-(N70_DESARROLLO!AZ41/0.014285714)*LN(N70_DESARROLLO!AZ41/N70_DESARROLLO!AY41)-1</f>
        <v>3.6154998464206445E-2</v>
      </c>
      <c r="BB126" s="3">
        <f>-(N70_DESARROLLO!BA41/0.014285714)*LN(N70_DESARROLLO!BA41/N70_DESARROLLO!AZ41)-1</f>
        <v>3.3716325403741587E-2</v>
      </c>
      <c r="BC126" s="3">
        <f>-(N70_DESARROLLO!BB41/0.014285714)*LN(N70_DESARROLLO!BB41/N70_DESARROLLO!BA41)-1</f>
        <v>3.1585910823731744E-2</v>
      </c>
      <c r="BD126" s="3">
        <f>-(N70_DESARROLLO!BC41/0.014285714)*LN(N70_DESARROLLO!BC41/N70_DESARROLLO!BB41)-1</f>
        <v>2.9708770995506173E-2</v>
      </c>
      <c r="BE126" s="3">
        <f>-(N70_DESARROLLO!BD41/0.014285714)*LN(N70_DESARROLLO!BD41/N70_DESARROLLO!BC41)-1</f>
        <v>2.8042266924849013E-2</v>
      </c>
      <c r="BF126" s="3">
        <f>-(N70_DESARROLLO!BE41/0.014285714)*LN(N70_DESARROLLO!BE41/N70_DESARROLLO!BD41)-1</f>
        <v>2.6552823496783118E-2</v>
      </c>
      <c r="BG126" s="3">
        <f>-(N70_DESARROLLO!BF41/0.014285714)*LN(N70_DESARROLLO!BF41/N70_DESARROLLO!BE41)-1</f>
        <v>2.5213642284836357E-2</v>
      </c>
      <c r="BH126" s="3">
        <f>-(N70_DESARROLLO!BG41/0.014285714)*LN(N70_DESARROLLO!BG41/N70_DESARROLLO!BF41)-1</f>
        <v>2.4003073749032211E-2</v>
      </c>
      <c r="BI126" s="3">
        <f>-(N70_DESARROLLO!BH41/0.014285714)*LN(N70_DESARROLLO!BH41/N70_DESARROLLO!BG41)-1</f>
        <v>2.2903437185105791E-2</v>
      </c>
      <c r="BJ126" s="3">
        <f>-(N70_DESARROLLO!BI41/0.014285714)*LN(N70_DESARROLLO!BI41/N70_DESARROLLO!BH41)-1</f>
        <v>2.190015102187215E-2</v>
      </c>
      <c r="BK126" s="3">
        <f>-(N70_DESARROLLO!BJ41/0.014285714)*LN(N70_DESARROLLO!BJ41/N70_DESARROLLO!BI41)-1</f>
        <v>2.0981082233534565E-2</v>
      </c>
      <c r="BL126" s="3">
        <f>-(N70_DESARROLLO!BK41/0.014285714)*LN(N70_DESARROLLO!BK41/N70_DESARROLLO!BJ41)-1</f>
        <v>2.0136053052056457E-2</v>
      </c>
      <c r="BM126" s="3">
        <f>-(N70_DESARROLLO!BL41/0.014285714)*LN(N70_DESARROLLO!BL41/N70_DESARROLLO!BK41)-1</f>
        <v>1.9356462323721457E-2</v>
      </c>
      <c r="BN126" s="3">
        <f>-(N70_DESARROLLO!BM41/0.014285714)*LN(N70_DESARROLLO!BM41/N70_DESARROLLO!BL41)-1</f>
        <v>1.8634991582305416E-2</v>
      </c>
      <c r="BO126" s="3">
        <f>-(N70_DESARROLLO!BN41/0.014285714)*LN(N70_DESARROLLO!BN41/N70_DESARROLLO!BM41)-1</f>
        <v>1.7965374518559951E-2</v>
      </c>
      <c r="BP126" s="3">
        <f>-(N70_DESARROLLO!BO41/0.014285714)*LN(N70_DESARROLLO!BO41/N70_DESARROLLO!BN41)-1</f>
        <v>1.7342214446341986E-2</v>
      </c>
      <c r="BQ126" s="3">
        <f>-(N70_DESARROLLO!BP41/0.014285714)*LN(N70_DESARROLLO!BP41/N70_DESARROLLO!BO41)-1</f>
        <v>1.676083849676413E-2</v>
      </c>
      <c r="BR126" s="3">
        <f>-(N70_DESARROLLO!BQ41/0.014285714)*LN(N70_DESARROLLO!BQ41/N70_DESARROLLO!BP41)-1</f>
        <v>1.6217180198320191E-2</v>
      </c>
      <c r="BS126" s="3">
        <f>-(N70_DESARROLLO!BR41/0.014285714)*LN(N70_DESARROLLO!BR41/N70_DESARROLLO!BQ41)-1</f>
        <v>1.5707684197544092E-2</v>
      </c>
      <c r="BT126" s="3">
        <f>-(N70_DESARROLLO!BS41/0.014285714)*LN(N70_DESARROLLO!BS41/N70_DESARROLLO!BR41)-1</f>
        <v>1.5229228398100814E-2</v>
      </c>
      <c r="BU126" s="3">
        <f>-(N70_DESARROLLO!BT41/0.014285714)*LN(N70_DESARROLLO!BT41/N70_DESARROLLO!BS41)-1</f>
        <v>1.4779059912703785E-2</v>
      </c>
      <c r="BV126" s="3">
        <f>-(N70_DESARROLLO!BU41/0.014285714)*LN(N70_DESARROLLO!BU41/N70_DESARROLLO!BT41)-1</f>
        <v>1.4354742051081004E-2</v>
      </c>
      <c r="BW126" s="3">
        <f>-(N70_DESARROLLO!BV41/0.014285714)*LN(N70_DESARROLLO!BV41/N70_DESARROLLO!BU41)-1</f>
        <v>1.3954110187352153E-2</v>
      </c>
      <c r="BX126" s="3">
        <f>-(N70_DESARROLLO!BW41/0.014285714)*LN(N70_DESARROLLO!BW41/N70_DESARROLLO!BV41)-1</f>
        <v>1.3575234818474557E-2</v>
      </c>
      <c r="BY126" s="3">
        <f>-(N70_DESARROLLO!BX41/0.014285714)*LN(N70_DESARROLLO!BX41/N70_DESARROLLO!BW41)-1</f>
        <v>42.690802508925621</v>
      </c>
      <c r="BZ126" s="10"/>
      <c r="CA126" s="10"/>
      <c r="CB126" s="10"/>
      <c r="CC126" s="10"/>
      <c r="CD126" s="1">
        <v>32</v>
      </c>
      <c r="CE126" s="1">
        <v>0</v>
      </c>
      <c r="CF126" s="1">
        <f>(1+(N70_DESARROLLO!F41/0.014285714)*LN(N70_DESARROLLO!G41/N70_DESARROLLO!F41))</f>
        <v>-1.6217180198318637E-2</v>
      </c>
      <c r="CG126" s="1">
        <f>(1+(N70_DESARROLLO!G41/0.014285714)*LN(N70_DESARROLLO!H41/N70_DESARROLLO!G41))</f>
        <v>-1.6760838496767683E-2</v>
      </c>
      <c r="CH126" s="1">
        <f>(1+(N70_DESARROLLO!H41/0.014285714)*LN(N70_DESARROLLO!I41/N70_DESARROLLO!H41))</f>
        <v>-1.7342214446339099E-2</v>
      </c>
      <c r="CI126" s="1">
        <f>(1+(N70_DESARROLLO!I41/0.014285714)*LN(N70_DESARROLLO!J41/N70_DESARROLLO!I41))</f>
        <v>-1.7965374518565502E-2</v>
      </c>
      <c r="CJ126" s="1">
        <f>(1+(N70_DESARROLLO!J41/0.014285714)*LN(N70_DESARROLLO!K41/N70_DESARROLLO!J41))</f>
        <v>-1.8634991582296534E-2</v>
      </c>
      <c r="CK126" s="1">
        <f>(1+(N70_DESARROLLO!K41/0.014285714)*LN(N70_DESARROLLO!L41/N70_DESARROLLO!K41))</f>
        <v>-1.9356462323730783E-2</v>
      </c>
      <c r="CL126" s="1">
        <f>(1+(N70_DESARROLLO!L41/0.014285714)*LN(N70_DESARROLLO!M41/N70_DESARROLLO!L41))</f>
        <v>-2.0136053052045799E-2</v>
      </c>
      <c r="CM126" s="1">
        <f>(1+(N70_DESARROLLO!M41/0.014285714)*LN(N70_DESARROLLO!N41/N70_DESARROLLO!M41))</f>
        <v>-2.098108223353945E-2</v>
      </c>
      <c r="CN126" s="1">
        <f>(1+(N70_DESARROLLO!N41/0.014285714)*LN(N70_DESARROLLO!O41/N70_DESARROLLO!N41))</f>
        <v>-2.190015102186682E-2</v>
      </c>
      <c r="CO126" s="1">
        <f>(1+(N70_DESARROLLO!O41/0.014285714)*LN(N70_DESARROLLO!P41/N70_DESARROLLO!O41))</f>
        <v>-2.2903437185110231E-2</v>
      </c>
      <c r="CP126" s="1">
        <f>(1+(N70_DESARROLLO!P41/0.014285714)*LN(N70_DESARROLLO!Q41/N70_DESARROLLO!P41))</f>
        <v>-2.4003073749035098E-2</v>
      </c>
      <c r="CQ126" s="1">
        <f>(1+(N70_DESARROLLO!Q41/0.014285714)*LN(N70_DESARROLLO!R41/N70_DESARROLLO!Q41))</f>
        <v>-2.5213642284831916E-2</v>
      </c>
      <c r="CR126" s="1">
        <f>(1+(N70_DESARROLLO!R41/0.014285714)*LN(N70_DESARROLLO!S41/N70_DESARROLLO!R41))</f>
        <v>-2.6552823496785782E-2</v>
      </c>
      <c r="CS126" s="1">
        <f>(1+(N70_DESARROLLO!S41/0.014285714)*LN(N70_DESARROLLO!T41/N70_DESARROLLO!S41))</f>
        <v>-2.8042266924842352E-2</v>
      </c>
      <c r="CT126" s="1">
        <f>(1+(N70_DESARROLLO!T41/0.014285714)*LN(N70_DESARROLLO!U41/N70_DESARROLLO!T41))</f>
        <v>-2.9708770995510836E-2</v>
      </c>
      <c r="CU126" s="1">
        <f>(1+(N70_DESARROLLO!U41/0.014285714)*LN(N70_DESARROLLO!V41/N70_DESARROLLO!U41))</f>
        <v>-3.158591082373019E-2</v>
      </c>
      <c r="CV126" s="1">
        <f>(1+(N70_DESARROLLO!V41/0.014285714)*LN(N70_DESARROLLO!W41/N70_DESARROLLO!V41))</f>
        <v>-3.3716325403746694E-2</v>
      </c>
      <c r="CW126" s="1">
        <f>(1+(N70_DESARROLLO!W41/0.014285714)*LN(N70_DESARROLLO!X41/N70_DESARROLLO!W41))</f>
        <v>-3.6154998464200228E-2</v>
      </c>
      <c r="CX126" s="1">
        <f>(1+(N70_DESARROLLO!X41/0.014285714)*LN(N70_DESARROLLO!Y41/N70_DESARROLLO!X41))</f>
        <v>-3.8974076117213929E-2</v>
      </c>
      <c r="CY126" s="1">
        <f>(1+(N70_DESARROLLO!Y41/0.014285714)*LN(N70_DESARROLLO!Z41/N70_DESARROLLO!Y41))</f>
        <v>-4.2270132583541731E-2</v>
      </c>
      <c r="CZ126" s="1">
        <f>(1+(N70_DESARROLLO!Z41/0.014285714)*LN(N70_DESARROLLO!AA41/N70_DESARROLLO!Z41))</f>
        <v>-4.6175470289367082E-2</v>
      </c>
      <c r="DA126" s="1">
        <f>(1+(N70_DESARROLLO!AA41/0.014285714)*LN(N70_DESARROLLO!AB41/N70_DESARROLLO!AA41))</f>
        <v>-5.0876335865844391E-2</v>
      </c>
      <c r="DB126" s="1">
        <f>(1+(N70_DESARROLLO!AB41/0.014285714)*LN(N70_DESARROLLO!AC41/N70_DESARROLLO!AB41))</f>
        <v>-5.6643554680003483E-2</v>
      </c>
      <c r="DC126" s="1">
        <f>(1+(N70_DESARROLLO!AC41/0.014285714)*LN(N70_DESARROLLO!AD41/N70_DESARROLLO!AC41))</f>
        <v>-6.3886736386785659E-2</v>
      </c>
      <c r="DD126" s="1">
        <f>(1+(N70_DESARROLLO!AD41/0.014285714)*LN(N70_DESARROLLO!AE41/N70_DESARROLLO!AD41))</f>
        <v>-7.3256348770177393E-2</v>
      </c>
      <c r="DE126" s="1">
        <f>(1+(N70_DESARROLLO!AE41/0.014285714)*LN(N70_DESARROLLO!AF41/N70_DESARROLLO!AE41))</f>
        <v>-8.5851572027612066E-2</v>
      </c>
      <c r="DF126" s="1">
        <f>(1+(N70_DESARROLLO!AF41/0.014285714)*LN(N70_DESARROLLO!AG41/N70_DESARROLLO!AF41))</f>
        <v>-0.10368884711560411</v>
      </c>
      <c r="DG126" s="1">
        <f>(1+(N70_DESARROLLO!AG41/0.014285714)*LN(N70_DESARROLLO!AH41/N70_DESARROLLO!AG41))</f>
        <v>-0.13091494988237695</v>
      </c>
      <c r="DH126" s="1">
        <f>(1+(N70_DESARROLLO!AH41/0.014285714)*LN(N70_DESARROLLO!AI41/N70_DESARROLLO!AH41))</f>
        <v>-0.17765285172730327</v>
      </c>
      <c r="DI126" s="1">
        <f>(1+(N70_DESARROLLO!AI41/0.014285714)*LN(N70_DESARROLLO!AJ41/N70_DESARROLLO!AI41))</f>
        <v>-0.27706408495625956</v>
      </c>
      <c r="DJ126" s="1">
        <f>(1+(N70_DESARROLLO!AJ41/0.014285714)*LN(N70_DESARROLLO!AK41/N70_DESARROLLO!AJ41))</f>
        <v>-0.64791846596053615</v>
      </c>
      <c r="DK126" s="1">
        <v>1</v>
      </c>
      <c r="DL126" s="1">
        <f>(1+(N70_DESARROLLO!AL41/0.014285714)*LN(N70_DESARROLLO!AM41/N70_DESARROLLO!AL41))</f>
        <v>0.4506938446798211</v>
      </c>
      <c r="DM126" s="1">
        <f>(1+(N70_DESARROLLO!AM41/0.014285714)*LN(N70_DESARROLLO!AN41/N70_DESARROLLO!AM41))</f>
        <v>0.23376154902624446</v>
      </c>
      <c r="DN126" s="1">
        <f>(1+(N70_DESARROLLO!AN41/0.014285714)*LN(N70_DESARROLLO!AO41/N70_DESARROLLO!AN41))</f>
        <v>0.15881939162335512</v>
      </c>
      <c r="DO126" s="1">
        <f>(1+(N70_DESARROLLO!AO41/0.014285714)*LN(N70_DESARROLLO!AP41/N70_DESARROLLO!AO41))</f>
        <v>0.12039948342482099</v>
      </c>
      <c r="DP126" s="1">
        <f>(1+(N70_DESARROLLO!AP41/0.014285714)*LN(N70_DESARROLLO!AQ41/N70_DESARROLLO!AP41))</f>
        <v>9.6981852359953269E-2</v>
      </c>
      <c r="DQ126" s="1">
        <f>(1+(N70_DESARROLLO!AQ41/0.014285714)*LN(N70_DESARROLLO!AR41/N70_DESARROLLO!AQ41))</f>
        <v>8.1202515976639411E-2</v>
      </c>
      <c r="DR126" s="1">
        <f>(1+(N70_DESARROLLO!AR41/0.014285714)*LN(N70_DESARROLLO!AS41/N70_DESARROLLO!AR41))</f>
        <v>6.9844497732510114E-2</v>
      </c>
      <c r="DS126" s="1">
        <f>(1+(N70_DESARROLLO!AS41/0.014285714)*LN(N70_DESARROLLO!AT41/N70_DESARROLLO!AS41))</f>
        <v>6.1276409070485593E-2</v>
      </c>
      <c r="DT126" s="1">
        <f>(1+(N70_DESARROLLO!AT41/0.014285714)*LN(N70_DESARROLLO!AU41/N70_DESARROLLO!AT41))</f>
        <v>5.4582082654730635E-2</v>
      </c>
      <c r="DU126" s="1">
        <f>(1+(N70_DESARROLLO!AU41/0.014285714)*LN(N70_DESARROLLO!AV41/N70_DESARROLLO!AU41))</f>
        <v>4.9207124692810855E-2</v>
      </c>
      <c r="DV126" s="1">
        <f>(1+(N70_DESARROLLO!AV41/0.014285714)*LN(N70_DESARROLLO!AW41/N70_DESARROLLO!AV41))</f>
        <v>4.4796309735798956E-2</v>
      </c>
      <c r="DW126" s="1">
        <f>(1+(N70_DESARROLLO!AW41/0.014285714)*LN(N70_DESARROLLO!AX41/N70_DESARROLLO!AW41))</f>
        <v>4.1111478023138415E-2</v>
      </c>
      <c r="DX126" s="1">
        <f>(1+(N70_DESARROLLO!AX41/0.014285714)*LN(N70_DESARROLLO!AY41/N70_DESARROLLO!AX41))</f>
        <v>3.7986966558139379E-2</v>
      </c>
      <c r="DY126" s="1">
        <f>(1+(N70_DESARROLLO!AY41/0.014285714)*LN(N70_DESARROLLO!AZ41/N70_DESARROLLO!AY41))</f>
        <v>3.5303966947118459E-2</v>
      </c>
      <c r="DZ126" s="1">
        <f>(1+(N70_DESARROLLO!AZ41/0.014285714)*LN(N70_DESARROLLO!BA41/N70_DESARROLLO!AZ41))</f>
        <v>3.2975050428757702E-2</v>
      </c>
      <c r="EA126" s="1">
        <f>(1+(N70_DESARROLLO!BA41/0.014285714)*LN(N70_DESARROLLO!BB41/N70_DESARROLLO!BA41))</f>
        <v>3.0934447408009769E-2</v>
      </c>
      <c r="EB126" s="1">
        <f>(1+(N70_DESARROLLO!BB41/0.014285714)*LN(N70_DESARROLLO!BC41/N70_DESARROLLO!BB41))</f>
        <v>2.9131730204236872E-2</v>
      </c>
      <c r="EC126" s="1">
        <f>(1+(N70_DESARROLLO!BC41/0.014285714)*LN(N70_DESARROLLO!BD41/N70_DESARROLLO!BC41))</f>
        <v>2.752758534135924E-2</v>
      </c>
      <c r="ED126" s="1">
        <f>(1+(N70_DESARROLLO!BD41/0.014285714)*LN(N70_DESARROLLO!BE41/N70_DESARROLLO!BD41))</f>
        <v>2.6090911041513176E-2</v>
      </c>
      <c r="EE126" s="1">
        <f>(1+(N70_DESARROLLO!BE41/0.014285714)*LN(N70_DESARROLLO!BF41/N70_DESARROLLO!BE41))</f>
        <v>2.4796779290033988E-2</v>
      </c>
      <c r="EF126" s="1">
        <f>(1+(N70_DESARROLLO!BF41/0.014285714)*LN(N70_DESARROLLO!BG41/N70_DESARROLLO!BF41))</f>
        <v>2.3624976192783143E-2</v>
      </c>
      <c r="EG126" s="1">
        <f>(1+(N70_DESARROLLO!BG41/0.014285714)*LN(N70_DESARROLLO!BH41/N70_DESARROLLO!BG41))</f>
        <v>2.2558937800898904E-2</v>
      </c>
      <c r="EH126" s="1">
        <f>(1+(N70_DESARROLLO!BH41/0.014285714)*LN(N70_DESARROLLO!BI41/N70_DESARROLLO!BH41))</f>
        <v>2.1584961787569412E-2</v>
      </c>
      <c r="EI126" s="1">
        <f>(1+(N70_DESARROLLO!BI41/0.014285714)*LN(N70_DESARROLLO!BJ41/N70_DESARROLLO!BI41))</f>
        <v>2.0691615000487218E-2</v>
      </c>
      <c r="EJ126" s="1">
        <f>(1+(N70_DESARROLLO!BJ41/0.014285714)*LN(N70_DESARROLLO!BK41/N70_DESARROLLO!BJ41))</f>
        <v>1.9869282361749896E-2</v>
      </c>
      <c r="EK126" s="1">
        <f>(1+(N70_DESARROLLO!BK41/0.014285714)*LN(N70_DESARROLLO!BL41/N70_DESARROLLO!BK41))</f>
        <v>1.9109819273400053E-2</v>
      </c>
      <c r="EL126" s="1">
        <f>(1+(N70_DESARROLLO!BL41/0.014285714)*LN(N70_DESARROLLO!BM41/N70_DESARROLLO!BL41))</f>
        <v>1.8406280838869304E-2</v>
      </c>
      <c r="EM126" s="1">
        <f>(1+(N70_DESARROLLO!BM41/0.014285714)*LN(N70_DESARROLLO!BN41/N70_DESARROLLO!BM41))</f>
        <v>1.7752708797880712E-2</v>
      </c>
      <c r="EN126" s="1">
        <f>(1+(N70_DESARROLLO!BN41/0.014285714)*LN(N70_DESARROLLO!BO41/N70_DESARROLLO!BN41))</f>
        <v>1.7143962314551175E-2</v>
      </c>
      <c r="EO126" s="1">
        <f>(1+(N70_DESARROLLO!BO41/0.014285714)*LN(N70_DESARROLLO!BP41/N70_DESARROLLO!BO41))</f>
        <v>1.6575582437555969E-2</v>
      </c>
      <c r="EP126" s="1">
        <f>(1+(N70_DESARROLLO!BP41/0.014285714)*LN(N70_DESARROLLO!BQ41/N70_DESARROLLO!BP41))</f>
        <v>1.6043682665118575E-2</v>
      </c>
      <c r="EQ126" s="1">
        <f>(1+(N70_DESARROLLO!BQ41/0.014285714)*LN(N70_DESARROLLO!BR41/N70_DESARROLLO!BQ41))</f>
        <v>1.5544859931611144E-2</v>
      </c>
      <c r="ER126" s="1">
        <f>(1+(N70_DESARROLLO!BR41/0.014285714)*LN(N70_DESARROLLO!BS41/N70_DESARROLLO!BR41))</f>
        <v>1.5076121703334833E-2</v>
      </c>
      <c r="ES126" s="1">
        <f>(1+(N70_DESARROLLO!BS41/0.014285714)*LN(N70_DESARROLLO!BT41/N70_DESARROLLO!BS41))</f>
        <v>1.4634825881867375E-2</v>
      </c>
      <c r="ET126" s="1">
        <f>(1+(N70_DESARROLLO!BT41/0.014285714)*LN(N70_DESARROLLO!BU41/N70_DESARROLLO!BT41))</f>
        <v>1.4218630964442425E-2</v>
      </c>
      <c r="EU126" s="1">
        <f>(1+(N70_DESARROLLO!BU41/0.014285714)*LN(N70_DESARROLLO!BV41/N70_DESARROLLO!BU41))</f>
        <v>1.3825454475315135E-2</v>
      </c>
      <c r="EV126" s="1">
        <f>(1+(N70_DESARROLLO!BV41/0.014285714)*LN(N70_DESARROLLO!BW41/N70_DESARROLLO!BV41))</f>
        <v>1.3453438110017868E-2</v>
      </c>
      <c r="EW126" s="1">
        <f>(1+(N70_DESARROLLO!BW41/0.014285714)*LN(N70_DESARROLLO!BX41/N70_DESARROLLO!BW41))</f>
        <v>-22.40578705835301</v>
      </c>
      <c r="EX126" s="10"/>
      <c r="EY126" s="10"/>
    </row>
    <row r="127" spans="7:155" x14ac:dyDescent="0.25">
      <c r="G127" s="3">
        <v>33</v>
      </c>
      <c r="H127" s="3">
        <f>-(N70_DESARROLLO!G42/0.014285714)*LN(N70_DESARROLLO!G42/N70_DESARROLLO!F42)-1</f>
        <v>-1.5544859931607813E-2</v>
      </c>
      <c r="I127" s="3">
        <f>-(N70_DESARROLLO!H42/0.014285714)*LN(N70_DESARROLLO!H42/N70_DESARROLLO!G42)-1</f>
        <v>-1.6043682665119796E-2</v>
      </c>
      <c r="J127" s="3">
        <f>-(N70_DESARROLLO!I42/0.014285714)*LN(N70_DESARROLLO!I42/N70_DESARROLLO!H42)-1</f>
        <v>-1.6575582437552416E-2</v>
      </c>
      <c r="K127" s="3">
        <f>-(N70_DESARROLLO!J42/0.014285714)*LN(N70_DESARROLLO!J42/N70_DESARROLLO!I42)-1</f>
        <v>-1.7143962314553618E-2</v>
      </c>
      <c r="L127" s="3">
        <f>-(N70_DESARROLLO!K42/0.014285714)*LN(N70_DESARROLLO!K42/N70_DESARROLLO!J42)-1</f>
        <v>-1.7752708797878491E-2</v>
      </c>
      <c r="M127" s="3">
        <f>-(N70_DESARROLLO!L42/0.014285714)*LN(N70_DESARROLLO!L42/N70_DESARROLLO!K42)-1</f>
        <v>-1.8406280838871414E-2</v>
      </c>
      <c r="N127" s="3">
        <f>-(N70_DESARROLLO!M42/0.014285714)*LN(N70_DESARROLLO!M42/N70_DESARROLLO!L42)-1</f>
        <v>-1.910981927339972E-2</v>
      </c>
      <c r="O127" s="3">
        <f>-(N70_DESARROLLO!N42/0.014285714)*LN(N70_DESARROLLO!N42/N70_DESARROLLO!M42)-1</f>
        <v>-1.986928236175689E-2</v>
      </c>
      <c r="P127" s="3">
        <f>-(N70_DESARROLLO!O42/0.014285714)*LN(N70_DESARROLLO!O42/N70_DESARROLLO!N42)-1</f>
        <v>-2.0691615000482555E-2</v>
      </c>
      <c r="Q127" s="3">
        <f>-(N70_DESARROLLO!P42/0.014285714)*LN(N70_DESARROLLO!P42/N70_DESARROLLO!O42)-1</f>
        <v>-2.1584961787574075E-2</v>
      </c>
      <c r="R127" s="3">
        <f>-(N70_DESARROLLO!Q42/0.014285714)*LN(N70_DESARROLLO!Q42/N70_DESARROLLO!P42)-1</f>
        <v>-2.2558937800894574E-2</v>
      </c>
      <c r="S127" s="3">
        <f>-(N70_DESARROLLO!R42/0.014285714)*LN(N70_DESARROLLO!R42/N70_DESARROLLO!Q42)-1</f>
        <v>-2.3624976192780478E-2</v>
      </c>
      <c r="T127" s="3">
        <f>-(N70_DESARROLLO!S42/0.014285714)*LN(N70_DESARROLLO!S42/N70_DESARROLLO!R42)-1</f>
        <v>-2.4796779290037874E-2</v>
      </c>
      <c r="U127" s="3">
        <f>-(N70_DESARROLLO!T42/0.014285714)*LN(N70_DESARROLLO!T42/N70_DESARROLLO!S42)-1</f>
        <v>-2.6090911041514842E-2</v>
      </c>
      <c r="V127" s="3">
        <f>-(N70_DESARROLLO!U42/0.014285714)*LN(N70_DESARROLLO!U42/N70_DESARROLLO!T42)-1</f>
        <v>-2.7527585341359129E-2</v>
      </c>
      <c r="W127" s="3">
        <f>-(N70_DESARROLLO!V42/0.014285714)*LN(N70_DESARROLLO!V42/N70_DESARROLLO!U42)-1</f>
        <v>-2.9131730204234207E-2</v>
      </c>
      <c r="X127" s="3">
        <f>-(N70_DESARROLLO!W42/0.014285714)*LN(N70_DESARROLLO!W42/N70_DESARROLLO!V42)-1</f>
        <v>-3.093444740801099E-2</v>
      </c>
      <c r="Y127" s="3">
        <f>-(N70_DESARROLLO!X42/0.014285714)*LN(N70_DESARROLLO!X42/N70_DESARROLLO!W42)-1</f>
        <v>-3.2975050428754482E-2</v>
      </c>
      <c r="Z127" s="3">
        <f>-(N70_DESARROLLO!Y42/0.014285714)*LN(N70_DESARROLLO!Y42/N70_DESARROLLO!X42)-1</f>
        <v>-3.5303966947122012E-2</v>
      </c>
      <c r="AA127" s="3">
        <f>-(N70_DESARROLLO!Z42/0.014285714)*LN(N70_DESARROLLO!Z42/N70_DESARROLLO!Y42)-1</f>
        <v>-3.7986966558135049E-2</v>
      </c>
      <c r="AB127" s="3">
        <f>-(N70_DESARROLLO!AA42/0.014285714)*LN(N70_DESARROLLO!AA42/N70_DESARROLLO!Z42)-1</f>
        <v>-4.1111478023142745E-2</v>
      </c>
      <c r="AC127" s="3">
        <f>-(N70_DESARROLLO!AB42/0.014285714)*LN(N70_DESARROLLO!AB42/N70_DESARROLLO!AA42)-1</f>
        <v>-4.4796309735794959E-2</v>
      </c>
      <c r="AD127" s="3">
        <f>-(N70_DESARROLLO!AC42/0.014285714)*LN(N70_DESARROLLO!AC42/N70_DESARROLLO!AB42)-1</f>
        <v>-4.9207124692808302E-2</v>
      </c>
      <c r="AE127" s="3">
        <f>-(N70_DESARROLLO!AD42/0.014285714)*LN(N70_DESARROLLO!AD42/N70_DESARROLLO!AC42)-1</f>
        <v>-5.4582082654734299E-2</v>
      </c>
      <c r="AF127" s="3">
        <f>-(N70_DESARROLLO!AE42/0.014285714)*LN(N70_DESARROLLO!AE42/N70_DESARROLLO!AD42)-1</f>
        <v>-6.1276409070482818E-2</v>
      </c>
      <c r="AG127" s="3">
        <f>-(N70_DESARROLLO!AF42/0.014285714)*LN(N70_DESARROLLO!AF42/N70_DESARROLLO!AE42)-1</f>
        <v>-6.9844497732512556E-2</v>
      </c>
      <c r="AH127" s="3">
        <f>-(N70_DESARROLLO!AG42/0.014285714)*LN(N70_DESARROLLO!AG42/N70_DESARROLLO!AF42)-1</f>
        <v>-8.1202515976639078E-2</v>
      </c>
      <c r="AI127" s="3">
        <f>-(N70_DESARROLLO!AH42/0.014285714)*LN(N70_DESARROLLO!AH42/N70_DESARROLLO!AG42)-1</f>
        <v>-9.6981852359956267E-2</v>
      </c>
      <c r="AJ127" s="3">
        <f>-(N70_DESARROLLO!AI42/0.014285714)*LN(N70_DESARROLLO!AI42/N70_DESARROLLO!AH42)-1</f>
        <v>-0.1203994834248181</v>
      </c>
      <c r="AK127" s="3">
        <f>-(N70_DESARROLLO!AJ42/0.014285714)*LN(N70_DESARROLLO!AJ42/N70_DESARROLLO!AI42)-1</f>
        <v>-0.15881939162335512</v>
      </c>
      <c r="AL127" s="3">
        <f>-(N70_DESARROLLO!AK42/0.014285714)*LN(N70_DESARROLLO!AK42/N70_DESARROLLO!AJ42)-1</f>
        <v>-0.23376154902624446</v>
      </c>
      <c r="AM127" s="3">
        <f>-(N70_DESARROLLO!AL42/0.014285714)*LN(N70_DESARROLLO!AL42/N70_DESARROLLO!AK42)-1</f>
        <v>-0.4506938446798211</v>
      </c>
      <c r="AN127" s="3">
        <v>-1</v>
      </c>
      <c r="AO127" s="3">
        <f>-(N70_DESARROLLO!AN42/0.014285714)*LN(N70_DESARROLLO!AN42/N70_DESARROLLO!AM42)-1</f>
        <v>0.64791846596053637</v>
      </c>
      <c r="AP127" s="3">
        <f>-(N70_DESARROLLO!AO42/0.014285714)*LN(N70_DESARROLLO!AO42/N70_DESARROLLO!AN42)-1</f>
        <v>0.27706408495625956</v>
      </c>
      <c r="AQ127" s="3">
        <f>-(N70_DESARROLLO!AP42/0.014285714)*LN(N70_DESARROLLO!AP42/N70_DESARROLLO!AO42)-1</f>
        <v>0.17765285172729772</v>
      </c>
      <c r="AR127" s="3">
        <f>-(N70_DESARROLLO!AQ42/0.014285714)*LN(N70_DESARROLLO!AQ42/N70_DESARROLLO!AP42)-1</f>
        <v>0.13091494988238206</v>
      </c>
      <c r="AS127" s="3">
        <f>-(N70_DESARROLLO!AR42/0.014285714)*LN(N70_DESARROLLO!AR42/N70_DESARROLLO!AQ42)-1</f>
        <v>0.10368884711560411</v>
      </c>
      <c r="AT127" s="3">
        <f>-(N70_DESARROLLO!AS42/0.014285714)*LN(N70_DESARROLLO!AS42/N70_DESARROLLO!AR42)-1</f>
        <v>8.5851572027616951E-2</v>
      </c>
      <c r="AU127" s="3">
        <f>-(N70_DESARROLLO!AT42/0.014285714)*LN(N70_DESARROLLO!AT42/N70_DESARROLLO!AS42)-1</f>
        <v>7.3256348770172952E-2</v>
      </c>
      <c r="AV127" s="3">
        <f>-(N70_DESARROLLO!AU42/0.014285714)*LN(N70_DESARROLLO!AU42/N70_DESARROLLO!AT42)-1</f>
        <v>6.3886736386790766E-2</v>
      </c>
      <c r="AW127" s="3">
        <f>-(N70_DESARROLLO!AV42/0.014285714)*LN(N70_DESARROLLO!AV42/N70_DESARROLLO!AU42)-1</f>
        <v>5.664355467999882E-2</v>
      </c>
      <c r="AX127" s="3">
        <f>-(N70_DESARROLLO!AW42/0.014285714)*LN(N70_DESARROLLO!AW42/N70_DESARROLLO!AV42)-1</f>
        <v>5.0876335865839506E-2</v>
      </c>
      <c r="AY127" s="3">
        <f>-(N70_DESARROLLO!AX42/0.014285714)*LN(N70_DESARROLLO!AX42/N70_DESARROLLO!AW42)-1</f>
        <v>4.6175470289372189E-2</v>
      </c>
      <c r="AZ127" s="3">
        <f>-(N70_DESARROLLO!AY42/0.014285714)*LN(N70_DESARROLLO!AY42/N70_DESARROLLO!AX42)-1</f>
        <v>4.227013258353729E-2</v>
      </c>
      <c r="BA127" s="3">
        <f>-(N70_DESARROLLO!AZ42/0.014285714)*LN(N70_DESARROLLO!AZ42/N70_DESARROLLO!AY42)-1</f>
        <v>3.8974076117217482E-2</v>
      </c>
      <c r="BB127" s="3">
        <f>-(N70_DESARROLLO!BA42/0.014285714)*LN(N70_DESARROLLO!BA42/N70_DESARROLLO!AZ42)-1</f>
        <v>3.6154998464196897E-2</v>
      </c>
      <c r="BC127" s="3">
        <f>-(N70_DESARROLLO!BB42/0.014285714)*LN(N70_DESARROLLO!BB42/N70_DESARROLLO!BA42)-1</f>
        <v>3.3716325403751135E-2</v>
      </c>
      <c r="BD127" s="3">
        <f>-(N70_DESARROLLO!BC42/0.014285714)*LN(N70_DESARROLLO!BC42/N70_DESARROLLO!BB42)-1</f>
        <v>3.1585910823724417E-2</v>
      </c>
      <c r="BE127" s="3">
        <f>-(N70_DESARROLLO!BD42/0.014285714)*LN(N70_DESARROLLO!BD42/N70_DESARROLLO!BC42)-1</f>
        <v>2.97087709955135E-2</v>
      </c>
      <c r="BF127" s="3">
        <f>-(N70_DESARROLLO!BE42/0.014285714)*LN(N70_DESARROLLO!BE42/N70_DESARROLLO!BD42)-1</f>
        <v>2.8042266924840797E-2</v>
      </c>
      <c r="BG127" s="3">
        <f>-(N70_DESARROLLO!BF42/0.014285714)*LN(N70_DESARROLLO!BF42/N70_DESARROLLO!BE42)-1</f>
        <v>2.6552823496791333E-2</v>
      </c>
      <c r="BH127" s="3">
        <f>-(N70_DESARROLLO!BG42/0.014285714)*LN(N70_DESARROLLO!BG42/N70_DESARROLLO!BF42)-1</f>
        <v>2.5213642284827253E-2</v>
      </c>
      <c r="BI127" s="3">
        <f>-(N70_DESARROLLO!BH42/0.014285714)*LN(N70_DESARROLLO!BH42/N70_DESARROLLO!BG42)-1</f>
        <v>2.4003073749031767E-2</v>
      </c>
      <c r="BJ127" s="3">
        <f>-(N70_DESARROLLO!BI42/0.014285714)*LN(N70_DESARROLLO!BI42/N70_DESARROLLO!BH42)-1</f>
        <v>2.2903437185115338E-2</v>
      </c>
      <c r="BK127" s="3">
        <f>-(N70_DESARROLLO!BJ42/0.014285714)*LN(N70_DESARROLLO!BJ42/N70_DESARROLLO!BI42)-1</f>
        <v>2.1900151021861713E-2</v>
      </c>
      <c r="BL127" s="3">
        <f>-(N70_DESARROLLO!BK42/0.014285714)*LN(N70_DESARROLLO!BK42/N70_DESARROLLO!BJ42)-1</f>
        <v>2.0981082233544779E-2</v>
      </c>
      <c r="BM127" s="3">
        <f>-(N70_DESARROLLO!BL42/0.014285714)*LN(N70_DESARROLLO!BL42/N70_DESARROLLO!BK42)-1</f>
        <v>2.0136053052045133E-2</v>
      </c>
      <c r="BN127" s="3">
        <f>-(N70_DESARROLLO!BM42/0.014285714)*LN(N70_DESARROLLO!BM42/N70_DESARROLLO!BL42)-1</f>
        <v>1.9356462323727008E-2</v>
      </c>
      <c r="BO127" s="3">
        <f>-(N70_DESARROLLO!BN42/0.014285714)*LN(N70_DESARROLLO!BN42/N70_DESARROLLO!BM42)-1</f>
        <v>1.8634991582293425E-2</v>
      </c>
      <c r="BP127" s="3">
        <f>-(N70_DESARROLLO!BO42/0.014285714)*LN(N70_DESARROLLO!BO42/N70_DESARROLLO!BN42)-1</f>
        <v>1.7965374518572164E-2</v>
      </c>
      <c r="BQ127" s="3">
        <f>-(N70_DESARROLLO!BP42/0.014285714)*LN(N70_DESARROLLO!BP42/N70_DESARROLLO!BO42)-1</f>
        <v>1.7342214446335324E-2</v>
      </c>
      <c r="BR127" s="3">
        <f>-(N70_DESARROLLO!BQ42/0.014285714)*LN(N70_DESARROLLO!BQ42/N70_DESARROLLO!BP42)-1</f>
        <v>1.6760838496770569E-2</v>
      </c>
      <c r="BS127" s="3">
        <f>-(N70_DESARROLLO!BR42/0.014285714)*LN(N70_DESARROLLO!BR42/N70_DESARROLLO!BQ42)-1</f>
        <v>1.6217180198313308E-2</v>
      </c>
      <c r="BT127" s="3">
        <f>-(N70_DESARROLLO!BS42/0.014285714)*LN(N70_DESARROLLO!BS42/N70_DESARROLLO!BR42)-1</f>
        <v>1.5707684197543648E-2</v>
      </c>
      <c r="BU127" s="3">
        <f>-(N70_DESARROLLO!BT42/0.014285714)*LN(N70_DESARROLLO!BT42/N70_DESARROLLO!BS42)-1</f>
        <v>1.5229228398107919E-2</v>
      </c>
      <c r="BV127" s="3">
        <f>-(N70_DESARROLLO!BU42/0.014285714)*LN(N70_DESARROLLO!BU42/N70_DESARROLLO!BT42)-1</f>
        <v>1.4779059912696013E-2</v>
      </c>
      <c r="BW127" s="3">
        <f>-(N70_DESARROLLO!BV42/0.014285714)*LN(N70_DESARROLLO!BV42/N70_DESARROLLO!BU42)-1</f>
        <v>1.4354742051088776E-2</v>
      </c>
      <c r="BX127" s="3">
        <f>-(N70_DESARROLLO!BW42/0.014285714)*LN(N70_DESARROLLO!BW42/N70_DESARROLLO!BV42)-1</f>
        <v>1.395411018734416E-2</v>
      </c>
      <c r="BY127" s="3">
        <f>-(N70_DESARROLLO!BX42/0.014285714)*LN(N70_DESARROLLO!BX42/N70_DESARROLLO!BW42)-1</f>
        <v>44.582809613920126</v>
      </c>
      <c r="BZ127" s="10"/>
      <c r="CA127" s="10"/>
      <c r="CB127" s="10"/>
      <c r="CC127" s="10"/>
      <c r="CD127">
        <v>33</v>
      </c>
      <c r="CE127" s="1">
        <v>0</v>
      </c>
      <c r="CF127" s="1">
        <f>(1+(N70_DESARROLLO!F42/0.014285714)*LN(N70_DESARROLLO!G42/N70_DESARROLLO!F42))</f>
        <v>-1.5707684197547644E-2</v>
      </c>
      <c r="CG127" s="1">
        <f>(1+(N70_DESARROLLO!G42/0.014285714)*LN(N70_DESARROLLO!H42/N70_DESARROLLO!G42))</f>
        <v>-1.6217180198318859E-2</v>
      </c>
      <c r="CH127" s="1">
        <f>(1+(N70_DESARROLLO!H42/0.014285714)*LN(N70_DESARROLLO!I42/N70_DESARROLLO!H42))</f>
        <v>-1.6760838496767905E-2</v>
      </c>
      <c r="CI127" s="1">
        <f>(1+(N70_DESARROLLO!I42/0.014285714)*LN(N70_DESARROLLO!J42/N70_DESARROLLO!I42))</f>
        <v>-1.7342214446339321E-2</v>
      </c>
      <c r="CJ127" s="1">
        <f>(1+(N70_DESARROLLO!J42/0.014285714)*LN(N70_DESARROLLO!K42/N70_DESARROLLO!J42))</f>
        <v>-1.7965374518562172E-2</v>
      </c>
      <c r="CK127" s="1">
        <f>(1+(N70_DESARROLLO!K42/0.014285714)*LN(N70_DESARROLLO!L42/N70_DESARROLLO!K42))</f>
        <v>-1.8634991582303417E-2</v>
      </c>
      <c r="CL127" s="1">
        <f>(1+(N70_DESARROLLO!L42/0.014285714)*LN(N70_DESARROLLO!M42/N70_DESARROLLO!L42))</f>
        <v>-1.9356462323721679E-2</v>
      </c>
      <c r="CM127" s="1">
        <f>(1+(N70_DESARROLLO!M42/0.014285714)*LN(N70_DESARROLLO!N42/N70_DESARROLLO!M42))</f>
        <v>-2.0136053052048908E-2</v>
      </c>
      <c r="CN127" s="1">
        <f>(1+(N70_DESARROLLO!N42/0.014285714)*LN(N70_DESARROLLO!O42/N70_DESARROLLO!N42))</f>
        <v>-2.098108223353945E-2</v>
      </c>
      <c r="CO127" s="1">
        <f>(1+(N70_DESARROLLO!O42/0.014285714)*LN(N70_DESARROLLO!P42/N70_DESARROLLO!O42))</f>
        <v>-2.1900151021867043E-2</v>
      </c>
      <c r="CP127" s="1">
        <f>(1+(N70_DESARROLLO!P42/0.014285714)*LN(N70_DESARROLLO!Q42/N70_DESARROLLO!P42))</f>
        <v>-2.2903437185110453E-2</v>
      </c>
      <c r="CQ127" s="1">
        <f>(1+(N70_DESARROLLO!Q42/0.014285714)*LN(N70_DESARROLLO!R42/N70_DESARROLLO!Q42))</f>
        <v>-2.4003073749035098E-2</v>
      </c>
      <c r="CR127" s="1">
        <f>(1+(N70_DESARROLLO!R42/0.014285714)*LN(N70_DESARROLLO!S42/N70_DESARROLLO!R42))</f>
        <v>-2.5213642284832138E-2</v>
      </c>
      <c r="CS127" s="1">
        <f>(1+(N70_DESARROLLO!S42/0.014285714)*LN(N70_DESARROLLO!T42/N70_DESARROLLO!S42))</f>
        <v>-2.6552823496781341E-2</v>
      </c>
      <c r="CT127" s="1">
        <f>(1+(N70_DESARROLLO!T42/0.014285714)*LN(N70_DESARROLLO!U42/N70_DESARROLLO!T42))</f>
        <v>-2.8042266924849235E-2</v>
      </c>
      <c r="CU127" s="1">
        <f>(1+(N70_DESARROLLO!U42/0.014285714)*LN(N70_DESARROLLO!V42/N70_DESARROLLO!U42))</f>
        <v>-2.970877099550906E-2</v>
      </c>
      <c r="CV127" s="1">
        <f>(1+(N70_DESARROLLO!V42/0.014285714)*LN(N70_DESARROLLO!W42/N70_DESARROLLO!V42))</f>
        <v>-3.1585910823730412E-2</v>
      </c>
      <c r="CW127" s="1">
        <f>(1+(N70_DESARROLLO!W42/0.014285714)*LN(N70_DESARROLLO!X42/N70_DESARROLLO!W42))</f>
        <v>-3.371632540374514E-2</v>
      </c>
      <c r="CX127" s="1">
        <f>(1+(N70_DESARROLLO!X42/0.014285714)*LN(N70_DESARROLLO!Y42/N70_DESARROLLO!X42))</f>
        <v>-3.6154998464202448E-2</v>
      </c>
      <c r="CY127" s="1">
        <f>(1+(N70_DESARROLLO!Y42/0.014285714)*LN(N70_DESARROLLO!Z42/N70_DESARROLLO!Y42))</f>
        <v>-3.8974076117214151E-2</v>
      </c>
      <c r="CZ127" s="1">
        <f>(1+(N70_DESARROLLO!Z42/0.014285714)*LN(N70_DESARROLLO!AA42/N70_DESARROLLO!Z42))</f>
        <v>-4.2270132583540621E-2</v>
      </c>
      <c r="DA127" s="1">
        <f>(1+(N70_DESARROLLO!AA42/0.014285714)*LN(N70_DESARROLLO!AB42/N70_DESARROLLO!AA42))</f>
        <v>-4.6175470289367304E-2</v>
      </c>
      <c r="DB127" s="1">
        <f>(1+(N70_DESARROLLO!AB42/0.014285714)*LN(N70_DESARROLLO!AC42/N70_DESARROLLO!AB42))</f>
        <v>-5.0876335865843503E-2</v>
      </c>
      <c r="DC127" s="1">
        <f>(1+(N70_DESARROLLO!AC42/0.014285714)*LN(N70_DESARROLLO!AD42/N70_DESARROLLO!AC42))</f>
        <v>-5.6643554680002817E-2</v>
      </c>
      <c r="DD127" s="1">
        <f>(1+(N70_DESARROLLO!AD42/0.014285714)*LN(N70_DESARROLLO!AE42/N70_DESARROLLO!AD42))</f>
        <v>-6.3886736386786325E-2</v>
      </c>
      <c r="DE127" s="1">
        <f>(1+(N70_DESARROLLO!AE42/0.014285714)*LN(N70_DESARROLLO!AF42/N70_DESARROLLO!AE42))</f>
        <v>-7.3256348770177837E-2</v>
      </c>
      <c r="DF127" s="1">
        <f>(1+(N70_DESARROLLO!AF42/0.014285714)*LN(N70_DESARROLLO!AG42/N70_DESARROLLO!AF42))</f>
        <v>-8.5851572027607403E-2</v>
      </c>
      <c r="DG127" s="1">
        <f>(1+(N70_DESARROLLO!AG42/0.014285714)*LN(N70_DESARROLLO!AH42/N70_DESARROLLO!AG42))</f>
        <v>-0.10368884711560877</v>
      </c>
      <c r="DH127" s="1">
        <f>(1+(N70_DESARROLLO!AH42/0.014285714)*LN(N70_DESARROLLO!AI42/N70_DESARROLLO!AH42))</f>
        <v>-0.13091494988237673</v>
      </c>
      <c r="DI127" s="1">
        <f>(1+(N70_DESARROLLO!AI42/0.014285714)*LN(N70_DESARROLLO!AJ42/N70_DESARROLLO!AI42))</f>
        <v>-0.17765285172730261</v>
      </c>
      <c r="DJ127" s="1">
        <f>(1+(N70_DESARROLLO!AJ42/0.014285714)*LN(N70_DESARROLLO!AK42/N70_DESARROLLO!AJ42))</f>
        <v>-0.27706408495625845</v>
      </c>
      <c r="DK127" s="1">
        <f>(1+(N70_DESARROLLO!AK42/0.014285714)*LN(N70_DESARROLLO!AL42/N70_DESARROLLO!AK42))</f>
        <v>-0.64791846596053282</v>
      </c>
      <c r="DL127" s="1">
        <v>1</v>
      </c>
      <c r="DM127" s="1">
        <f>(1+(N70_DESARROLLO!AM42/0.014285714)*LN(N70_DESARROLLO!AN42/N70_DESARROLLO!AM42))</f>
        <v>0.45069384467982265</v>
      </c>
      <c r="DN127" s="1">
        <f>(1+(N70_DESARROLLO!AN42/0.014285714)*LN(N70_DESARROLLO!AO42/N70_DESARROLLO!AN42))</f>
        <v>0.2337615490262448</v>
      </c>
      <c r="DO127" s="1">
        <f>(1+(N70_DESARROLLO!AO42/0.014285714)*LN(N70_DESARROLLO!AP42/N70_DESARROLLO!AO42))</f>
        <v>0.15881939162335801</v>
      </c>
      <c r="DP127" s="1">
        <f>(1+(N70_DESARROLLO!AP42/0.014285714)*LN(N70_DESARROLLO!AQ42/N70_DESARROLLO!AP42))</f>
        <v>0.12039948342481499</v>
      </c>
      <c r="DQ127" s="1">
        <f>(1+(N70_DESARROLLO!AQ42/0.014285714)*LN(N70_DESARROLLO!AR42/N70_DESARROLLO!AQ42))</f>
        <v>9.6981852359959819E-2</v>
      </c>
      <c r="DR127" s="1">
        <f>(1+(N70_DESARROLLO!AR42/0.014285714)*LN(N70_DESARROLLO!AS42/N70_DESARROLLO!AR42))</f>
        <v>8.1202515976632528E-2</v>
      </c>
      <c r="DS127" s="1">
        <f>(1+(N70_DESARROLLO!AS42/0.014285714)*LN(N70_DESARROLLO!AT42/N70_DESARROLLO!AS42))</f>
        <v>6.9844497732516331E-2</v>
      </c>
      <c r="DT127" s="1">
        <f>(1+(N70_DESARROLLO!AT42/0.014285714)*LN(N70_DESARROLLO!AU42/N70_DESARROLLO!AT42))</f>
        <v>6.1276409070479265E-2</v>
      </c>
      <c r="DU127" s="1">
        <f>(1+(N70_DESARROLLO!AU42/0.014285714)*LN(N70_DESARROLLO!AV42/N70_DESARROLLO!AU42))</f>
        <v>5.4582082654737407E-2</v>
      </c>
      <c r="DV127" s="1">
        <f>(1+(N70_DESARROLLO!AV42/0.014285714)*LN(N70_DESARROLLO!AW42/N70_DESARROLLO!AV42))</f>
        <v>4.9207124692811632E-2</v>
      </c>
      <c r="DW127" s="1">
        <f>(1+(N70_DESARROLLO!AW42/0.014285714)*LN(N70_DESARROLLO!AX42/N70_DESARROLLO!AW42))</f>
        <v>4.4796309735791184E-2</v>
      </c>
      <c r="DX127" s="1">
        <f>(1+(N70_DESARROLLO!AX42/0.014285714)*LN(N70_DESARROLLO!AY42/N70_DESARROLLO!AX42))</f>
        <v>4.1111478023145409E-2</v>
      </c>
      <c r="DY127" s="1">
        <f>(1+(N70_DESARROLLO!AY42/0.014285714)*LN(N70_DESARROLLO!AZ42/N70_DESARROLLO!AY42))</f>
        <v>3.7986966558132274E-2</v>
      </c>
      <c r="DZ127" s="1">
        <f>(1+(N70_DESARROLLO!AZ42/0.014285714)*LN(N70_DESARROLLO!BA42/N70_DESARROLLO!AZ42))</f>
        <v>3.5303966947126675E-2</v>
      </c>
      <c r="EA127" s="1">
        <f>(1+(N70_DESARROLLO!BA42/0.014285714)*LN(N70_DESARROLLO!BB42/N70_DESARROLLO!BA42))</f>
        <v>3.2975050428749264E-2</v>
      </c>
      <c r="EB127" s="1">
        <f>(1+(N70_DESARROLLO!BB42/0.014285714)*LN(N70_DESARROLLO!BC42/N70_DESARROLLO!BB42))</f>
        <v>3.0934447408016319E-2</v>
      </c>
      <c r="EC127" s="1">
        <f>(1+(N70_DESARROLLO!BC42/0.014285714)*LN(N70_DESARROLLO!BD42/N70_DESARROLLO!BC42))</f>
        <v>2.9131730204230433E-2</v>
      </c>
      <c r="ED127" s="1">
        <f>(1+(N70_DESARROLLO!BD42/0.014285714)*LN(N70_DESARROLLO!BE42/N70_DESARROLLO!BD42))</f>
        <v>2.7527585341366678E-2</v>
      </c>
      <c r="EE127" s="1">
        <f>(1+(N70_DESARROLLO!BE42/0.014285714)*LN(N70_DESARROLLO!BF42/N70_DESARROLLO!BE42))</f>
        <v>2.6090911041505627E-2</v>
      </c>
      <c r="EF127" s="1">
        <f>(1+(N70_DESARROLLO!BF42/0.014285714)*LN(N70_DESARROLLO!BG42/N70_DESARROLLO!BF42))</f>
        <v>2.4796779290042203E-2</v>
      </c>
      <c r="EG127" s="1">
        <f>(1+(N70_DESARROLLO!BG42/0.014285714)*LN(N70_DESARROLLO!BH42/N70_DESARROLLO!BG42))</f>
        <v>2.3624976192783476E-2</v>
      </c>
      <c r="EH127" s="1">
        <f>(1+(N70_DESARROLLO!BH42/0.014285714)*LN(N70_DESARROLLO!BI42/N70_DESARROLLO!BH42))</f>
        <v>2.2558937800890022E-2</v>
      </c>
      <c r="EI127" s="1">
        <f>(1+(N70_DESARROLLO!BI42/0.014285714)*LN(N70_DESARROLLO!BJ42/N70_DESARROLLO!BI42))</f>
        <v>2.1584961787579071E-2</v>
      </c>
      <c r="EJ127" s="1">
        <f>(1+(N70_DESARROLLO!BJ42/0.014285714)*LN(N70_DESARROLLO!BK42/N70_DESARROLLO!BJ42))</f>
        <v>2.0691615000477559E-2</v>
      </c>
      <c r="EK127" s="1">
        <f>(1+(N70_DESARROLLO!BK42/0.014285714)*LN(N70_DESARROLLO!BL42/N70_DESARROLLO!BK42))</f>
        <v>1.9869282361760443E-2</v>
      </c>
      <c r="EL127" s="1">
        <f>(1+(N70_DESARROLLO!BL42/0.014285714)*LN(N70_DESARROLLO!BM42/N70_DESARROLLO!BL42))</f>
        <v>1.9109819273394835E-2</v>
      </c>
      <c r="EM127" s="1">
        <f>(1+(N70_DESARROLLO!BM42/0.014285714)*LN(N70_DESARROLLO!BN42/N70_DESARROLLO!BM42))</f>
        <v>1.840628083888074E-2</v>
      </c>
      <c r="EN127" s="1">
        <f>(1+(N70_DESARROLLO!BN42/0.014285714)*LN(N70_DESARROLLO!BO42/N70_DESARROLLO!BN42))</f>
        <v>1.7752708797869166E-2</v>
      </c>
      <c r="EO127" s="1">
        <f>(1+(N70_DESARROLLO!BO42/0.014285714)*LN(N70_DESARROLLO!BP42/N70_DESARROLLO!BO42))</f>
        <v>1.7143962314557393E-2</v>
      </c>
      <c r="EP127" s="1">
        <f>(1+(N70_DESARROLLO!BP42/0.014285714)*LN(N70_DESARROLLO!BQ42/N70_DESARROLLO!BP42))</f>
        <v>1.6575582437549863E-2</v>
      </c>
      <c r="EQ127" s="1">
        <f>(1+(N70_DESARROLLO!BQ42/0.014285714)*LN(N70_DESARROLLO!BR42/N70_DESARROLLO!BQ42))</f>
        <v>1.6043682665125125E-2</v>
      </c>
      <c r="ER127" s="1">
        <f>(1+(N70_DESARROLLO!BR42/0.014285714)*LN(N70_DESARROLLO!BS42/N70_DESARROLLO!BR42))</f>
        <v>1.5544859931611366E-2</v>
      </c>
      <c r="ES127" s="1">
        <f>(1+(N70_DESARROLLO!BS42/0.014285714)*LN(N70_DESARROLLO!BT42/N70_DESARROLLO!BS42))</f>
        <v>1.5076121703328282E-2</v>
      </c>
      <c r="ET127" s="1">
        <f>(1+(N70_DESARROLLO!BT42/0.014285714)*LN(N70_DESARROLLO!BU42/N70_DESARROLLO!BT42))</f>
        <v>1.4634825881874591E-2</v>
      </c>
      <c r="EU127" s="1">
        <f>(1+(N70_DESARROLLO!BU42/0.014285714)*LN(N70_DESARROLLO!BV42/N70_DESARROLLO!BU42))</f>
        <v>1.4218630964435208E-2</v>
      </c>
      <c r="EV127" s="1">
        <f>(1+(N70_DESARROLLO!BV42/0.014285714)*LN(N70_DESARROLLO!BW42/N70_DESARROLLO!BV42))</f>
        <v>1.3825454475322685E-2</v>
      </c>
      <c r="EW127" s="1">
        <f>(1+(N70_DESARROLLO!BW42/0.014285714)*LN(N70_DESARROLLO!BX42/N70_DESARROLLO!BW42))</f>
        <v>-22.76817929868692</v>
      </c>
      <c r="EX127" s="10"/>
      <c r="EY127" s="10"/>
    </row>
    <row r="128" spans="7:155" x14ac:dyDescent="0.25">
      <c r="G128" s="3">
        <v>34</v>
      </c>
      <c r="H128" s="3">
        <f>-(N70_DESARROLLO!G43/0.014285714)*LN(N70_DESARROLLO!G43/N70_DESARROLLO!F43)-1</f>
        <v>-1.5076121703332501E-2</v>
      </c>
      <c r="I128" s="3">
        <f>-(N70_DESARROLLO!H43/0.014285714)*LN(N70_DESARROLLO!H43/N70_DESARROLLO!G43)-1</f>
        <v>-1.5544859931607924E-2</v>
      </c>
      <c r="J128" s="3">
        <f>-(N70_DESARROLLO!I43/0.014285714)*LN(N70_DESARROLLO!I43/N70_DESARROLLO!H43)-1</f>
        <v>-1.6043682665120018E-2</v>
      </c>
      <c r="K128" s="3">
        <f>-(N70_DESARROLLO!J43/0.014285714)*LN(N70_DESARROLLO!J43/N70_DESARROLLO!I43)-1</f>
        <v>-1.6575582437552527E-2</v>
      </c>
      <c r="L128" s="3">
        <f>-(N70_DESARROLLO!K43/0.014285714)*LN(N70_DESARROLLO!K43/N70_DESARROLLO!J43)-1</f>
        <v>-1.7143962314556949E-2</v>
      </c>
      <c r="M128" s="3">
        <f>-(N70_DESARROLLO!L43/0.014285714)*LN(N70_DESARROLLO!L43/N70_DESARROLLO!K43)-1</f>
        <v>-1.7752708797872385E-2</v>
      </c>
      <c r="N128" s="3">
        <f>-(N70_DESARROLLO!M43/0.014285714)*LN(N70_DESARROLLO!M43/N70_DESARROLLO!L43)-1</f>
        <v>-1.8406280838877631E-2</v>
      </c>
      <c r="O128" s="3">
        <f>-(N70_DESARROLLO!N43/0.014285714)*LN(N70_DESARROLLO!N43/N70_DESARROLLO!M43)-1</f>
        <v>-1.9109819273397055E-2</v>
      </c>
      <c r="P128" s="3">
        <f>-(N70_DESARROLLO!O43/0.014285714)*LN(N70_DESARROLLO!O43/N70_DESARROLLO!N43)-1</f>
        <v>-1.9869282361757001E-2</v>
      </c>
      <c r="Q128" s="3">
        <f>-(N70_DESARROLLO!P43/0.014285714)*LN(N70_DESARROLLO!P43/N70_DESARROLLO!O43)-1</f>
        <v>-2.0691615000482666E-2</v>
      </c>
      <c r="R128" s="3">
        <f>-(N70_DESARROLLO!Q43/0.014285714)*LN(N70_DESARROLLO!Q43/N70_DESARROLLO!P43)-1</f>
        <v>-2.1584961787574186E-2</v>
      </c>
      <c r="S128" s="3">
        <f>-(N70_DESARROLLO!R43/0.014285714)*LN(N70_DESARROLLO!R43/N70_DESARROLLO!Q43)-1</f>
        <v>-2.2558937800894796E-2</v>
      </c>
      <c r="T128" s="3">
        <f>-(N70_DESARROLLO!S43/0.014285714)*LN(N70_DESARROLLO!S43/N70_DESARROLLO!R43)-1</f>
        <v>-2.3624976192780589E-2</v>
      </c>
      <c r="U128" s="3">
        <f>-(N70_DESARROLLO!T43/0.014285714)*LN(N70_DESARROLLO!T43/N70_DESARROLLO!S43)-1</f>
        <v>-2.4796779290042426E-2</v>
      </c>
      <c r="V128" s="3">
        <f>-(N70_DESARROLLO!U43/0.014285714)*LN(N70_DESARROLLO!U43/N70_DESARROLLO!T43)-1</f>
        <v>-2.6090911041506626E-2</v>
      </c>
      <c r="W128" s="3">
        <f>-(N70_DESARROLLO!V43/0.014285714)*LN(N70_DESARROLLO!V43/N70_DESARROLLO!U43)-1</f>
        <v>-2.7527585341365457E-2</v>
      </c>
      <c r="X128" s="3">
        <f>-(N70_DESARROLLO!W43/0.014285714)*LN(N70_DESARROLLO!W43/N70_DESARROLLO!V43)-1</f>
        <v>-2.9131730204232431E-2</v>
      </c>
      <c r="Y128" s="3">
        <f>-(N70_DESARROLLO!X43/0.014285714)*LN(N70_DESARROLLO!X43/N70_DESARROLLO!W43)-1</f>
        <v>-3.0934447408012988E-2</v>
      </c>
      <c r="Z128" s="3">
        <f>-(N70_DESARROLLO!Y43/0.014285714)*LN(N70_DESARROLLO!Y43/N70_DESARROLLO!X43)-1</f>
        <v>-3.2975050428753039E-2</v>
      </c>
      <c r="AA128" s="3">
        <f>-(N70_DESARROLLO!Z43/0.014285714)*LN(N70_DESARROLLO!Z43/N70_DESARROLLO!Y43)-1</f>
        <v>-3.5303966947122234E-2</v>
      </c>
      <c r="AB128" s="3">
        <f>-(N70_DESARROLLO!AA43/0.014285714)*LN(N70_DESARROLLO!AA43/N70_DESARROLLO!Z43)-1</f>
        <v>-3.7986966558135382E-2</v>
      </c>
      <c r="AC128" s="3">
        <f>-(N70_DESARROLLO!AB43/0.014285714)*LN(N70_DESARROLLO!AB43/N70_DESARROLLO!AA43)-1</f>
        <v>-4.1111478023141634E-2</v>
      </c>
      <c r="AD128" s="3">
        <f>-(N70_DESARROLLO!AC43/0.014285714)*LN(N70_DESARROLLO!AC43/N70_DESARROLLO!AB43)-1</f>
        <v>-4.4796309735795514E-2</v>
      </c>
      <c r="AE128" s="3">
        <f>-(N70_DESARROLLO!AD43/0.014285714)*LN(N70_DESARROLLO!AD43/N70_DESARROLLO!AC43)-1</f>
        <v>-4.9207124692807525E-2</v>
      </c>
      <c r="AF128" s="3">
        <f>-(N70_DESARROLLO!AE43/0.014285714)*LN(N70_DESARROLLO!AE43/N70_DESARROLLO!AD43)-1</f>
        <v>-5.4582082654733854E-2</v>
      </c>
      <c r="AG128" s="3">
        <f>-(N70_DESARROLLO!AF43/0.014285714)*LN(N70_DESARROLLO!AF43/N70_DESARROLLO!AE43)-1</f>
        <v>-6.1276409070483262E-2</v>
      </c>
      <c r="AH128" s="3">
        <f>-(N70_DESARROLLO!AG43/0.014285714)*LN(N70_DESARROLLO!AG43/N70_DESARROLLO!AF43)-1</f>
        <v>-6.9844497732515998E-2</v>
      </c>
      <c r="AI128" s="3">
        <f>-(N70_DESARROLLO!AH43/0.014285714)*LN(N70_DESARROLLO!AH43/N70_DESARROLLO!AG43)-1</f>
        <v>-8.1202515976636191E-2</v>
      </c>
      <c r="AJ128" s="3">
        <f>-(N70_DESARROLLO!AI43/0.014285714)*LN(N70_DESARROLLO!AI43/N70_DESARROLLO!AH43)-1</f>
        <v>-9.69818523599566E-2</v>
      </c>
      <c r="AK128" s="3">
        <f>-(N70_DESARROLLO!AJ43/0.014285714)*LN(N70_DESARROLLO!AJ43/N70_DESARROLLO!AI43)-1</f>
        <v>-0.12039948342481799</v>
      </c>
      <c r="AL128" s="3">
        <f>-(N70_DESARROLLO!AK43/0.014285714)*LN(N70_DESARROLLO!AK43/N70_DESARROLLO!AJ43)-1</f>
        <v>-0.15881939162335501</v>
      </c>
      <c r="AM128" s="3">
        <f>-(N70_DESARROLLO!AL43/0.014285714)*LN(N70_DESARROLLO!AL43/N70_DESARROLLO!AK43)-1</f>
        <v>-0.2337615490262448</v>
      </c>
      <c r="AN128" s="3">
        <f>-(N70_DESARROLLO!AM43/0.014285714)*LN(N70_DESARROLLO!AM43/N70_DESARROLLO!AL43)-1</f>
        <v>-0.45069384467982276</v>
      </c>
      <c r="AO128" s="3">
        <v>-1</v>
      </c>
      <c r="AP128" s="3">
        <f>-(N70_DESARROLLO!AO43/0.014285714)*LN(N70_DESARROLLO!AO43/N70_DESARROLLO!AN43)-1</f>
        <v>0.64791846596053282</v>
      </c>
      <c r="AQ128" s="3">
        <f>-(N70_DESARROLLO!AP43/0.014285714)*LN(N70_DESARROLLO!AP43/N70_DESARROLLO!AO43)-1</f>
        <v>0.2770640849562529</v>
      </c>
      <c r="AR128" s="3">
        <f>-(N70_DESARROLLO!AQ43/0.014285714)*LN(N70_DESARROLLO!AQ43/N70_DESARROLLO!AP43)-1</f>
        <v>0.17765285172730816</v>
      </c>
      <c r="AS128" s="3">
        <f>-(N70_DESARROLLO!AR43/0.014285714)*LN(N70_DESARROLLO!AR43/N70_DESARROLLO!AQ43)-1</f>
        <v>0.13091494988237184</v>
      </c>
      <c r="AT128" s="3">
        <f>-(N70_DESARROLLO!AS43/0.014285714)*LN(N70_DESARROLLO!AS43/N70_DESARROLLO!AR43)-1</f>
        <v>0.10368884711561366</v>
      </c>
      <c r="AU128" s="3">
        <f>-(N70_DESARROLLO!AT43/0.014285714)*LN(N70_DESARROLLO!AT43/N70_DESARROLLO!AS43)-1</f>
        <v>8.5851572027607181E-2</v>
      </c>
      <c r="AV128" s="3">
        <f>-(N70_DESARROLLO!AU43/0.014285714)*LN(N70_DESARROLLO!AU43/N70_DESARROLLO!AT43)-1</f>
        <v>7.325634877018139E-2</v>
      </c>
      <c r="AW128" s="3">
        <f>-(N70_DESARROLLO!AV43/0.014285714)*LN(N70_DESARROLLO!AV43/N70_DESARROLLO!AU43)-1</f>
        <v>6.388673638678255E-2</v>
      </c>
      <c r="AX128" s="3">
        <f>-(N70_DESARROLLO!AW43/0.014285714)*LN(N70_DESARROLLO!AW43/N70_DESARROLLO!AV43)-1</f>
        <v>5.664355467999882E-2</v>
      </c>
      <c r="AY128" s="3">
        <f>-(N70_DESARROLLO!AX43/0.014285714)*LN(N70_DESARROLLO!AX43/N70_DESARROLLO!AW43)-1</f>
        <v>5.0876335865848832E-2</v>
      </c>
      <c r="AZ128" s="3">
        <f>-(N70_DESARROLLO!AY43/0.014285714)*LN(N70_DESARROLLO!AY43/N70_DESARROLLO!AX43)-1</f>
        <v>4.6175470289362641E-2</v>
      </c>
      <c r="BA128" s="3">
        <f>-(N70_DESARROLLO!AZ43/0.014285714)*LN(N70_DESARROLLO!AZ43/N70_DESARROLLO!AY43)-1</f>
        <v>4.2270132583545728E-2</v>
      </c>
      <c r="BB128" s="3">
        <f>-(N70_DESARROLLO!BA43/0.014285714)*LN(N70_DESARROLLO!BA43/N70_DESARROLLO!AZ43)-1</f>
        <v>3.8974076117209266E-2</v>
      </c>
      <c r="BC128" s="3">
        <f>-(N70_DESARROLLO!BB43/0.014285714)*LN(N70_DESARROLLO!BB43/N70_DESARROLLO!BA43)-1</f>
        <v>3.6154998464206445E-2</v>
      </c>
      <c r="BD128" s="3">
        <f>-(N70_DESARROLLO!BC43/0.014285714)*LN(N70_DESARROLLO!BC43/N70_DESARROLLO!BB43)-1</f>
        <v>3.3716325403741587E-2</v>
      </c>
      <c r="BE128" s="3">
        <f>-(N70_DESARROLLO!BD43/0.014285714)*LN(N70_DESARROLLO!BD43/N70_DESARROLLO!BC43)-1</f>
        <v>3.1585910823731744E-2</v>
      </c>
      <c r="BF128" s="3">
        <f>-(N70_DESARROLLO!BE43/0.014285714)*LN(N70_DESARROLLO!BE43/N70_DESARROLLO!BD43)-1</f>
        <v>2.9708770995506173E-2</v>
      </c>
      <c r="BG128" s="3">
        <f>-(N70_DESARROLLO!BF43/0.014285714)*LN(N70_DESARROLLO!BF43/N70_DESARROLLO!BE43)-1</f>
        <v>2.8042266924849013E-2</v>
      </c>
      <c r="BH128" s="3">
        <f>-(N70_DESARROLLO!BG43/0.014285714)*LN(N70_DESARROLLO!BG43/N70_DESARROLLO!BF43)-1</f>
        <v>2.6552823496783118E-2</v>
      </c>
      <c r="BI128" s="3">
        <f>-(N70_DESARROLLO!BH43/0.014285714)*LN(N70_DESARROLLO!BH43/N70_DESARROLLO!BG43)-1</f>
        <v>2.5213642284827253E-2</v>
      </c>
      <c r="BJ128" s="3">
        <f>-(N70_DESARROLLO!BI43/0.014285714)*LN(N70_DESARROLLO!BI43/N70_DESARROLLO!BH43)-1</f>
        <v>2.4003073749041315E-2</v>
      </c>
      <c r="BK128" s="3">
        <f>-(N70_DESARROLLO!BJ43/0.014285714)*LN(N70_DESARROLLO!BJ43/N70_DESARROLLO!BI43)-1</f>
        <v>2.2903437185105791E-2</v>
      </c>
      <c r="BL128" s="3">
        <f>-(N70_DESARROLLO!BK43/0.014285714)*LN(N70_DESARROLLO!BK43/N70_DESARROLLO!BJ43)-1</f>
        <v>2.190015102187215E-2</v>
      </c>
      <c r="BM128" s="3">
        <f>-(N70_DESARROLLO!BL43/0.014285714)*LN(N70_DESARROLLO!BL43/N70_DESARROLLO!BK43)-1</f>
        <v>2.0981082233534565E-2</v>
      </c>
      <c r="BN128" s="3">
        <f>-(N70_DESARROLLO!BM43/0.014285714)*LN(N70_DESARROLLO!BM43/N70_DESARROLLO!BL43)-1</f>
        <v>2.0136053052056457E-2</v>
      </c>
      <c r="BO128" s="3">
        <f>-(N70_DESARROLLO!BN43/0.014285714)*LN(N70_DESARROLLO!BN43/N70_DESARROLLO!BM43)-1</f>
        <v>1.9356462323721457E-2</v>
      </c>
      <c r="BP128" s="3">
        <f>-(N70_DESARROLLO!BO43/0.014285714)*LN(N70_DESARROLLO!BO43/N70_DESARROLLO!BN43)-1</f>
        <v>1.8634991582305416E-2</v>
      </c>
      <c r="BQ128" s="3">
        <f>-(N70_DESARROLLO!BP43/0.014285714)*LN(N70_DESARROLLO!BP43/N70_DESARROLLO!BO43)-1</f>
        <v>1.7965374518559951E-2</v>
      </c>
      <c r="BR128" s="3">
        <f>-(N70_DESARROLLO!BQ43/0.014285714)*LN(N70_DESARROLLO!BQ43/N70_DESARROLLO!BP43)-1</f>
        <v>1.7342214446341986E-2</v>
      </c>
      <c r="BS128" s="3">
        <f>-(N70_DESARROLLO!BR43/0.014285714)*LN(N70_DESARROLLO!BR43/N70_DESARROLLO!BQ43)-1</f>
        <v>1.676083849676413E-2</v>
      </c>
      <c r="BT128" s="3">
        <f>-(N70_DESARROLLO!BS43/0.014285714)*LN(N70_DESARROLLO!BS43/N70_DESARROLLO!BR43)-1</f>
        <v>1.6217180198313308E-2</v>
      </c>
      <c r="BU128" s="3">
        <f>-(N70_DESARROLLO!BT43/0.014285714)*LN(N70_DESARROLLO!BT43/N70_DESARROLLO!BS43)-1</f>
        <v>1.5707684197550975E-2</v>
      </c>
      <c r="BV128" s="3">
        <f>-(N70_DESARROLLO!BU43/0.014285714)*LN(N70_DESARROLLO!BU43/N70_DESARROLLO!BT43)-1</f>
        <v>1.5229228398100814E-2</v>
      </c>
      <c r="BW128" s="3">
        <f>-(N70_DESARROLLO!BV43/0.014285714)*LN(N70_DESARROLLO!BV43/N70_DESARROLLO!BU43)-1</f>
        <v>1.4779059912703785E-2</v>
      </c>
      <c r="BX128" s="3">
        <f>-(N70_DESARROLLO!BW43/0.014285714)*LN(N70_DESARROLLO!BW43/N70_DESARROLLO!BV43)-1</f>
        <v>1.4354742051081004E-2</v>
      </c>
      <c r="BY128" s="3">
        <f>-(N70_DESARROLLO!BX43/0.014285714)*LN(N70_DESARROLLO!BX43/N70_DESARROLLO!BW43)-1</f>
        <v>46.527379140306806</v>
      </c>
      <c r="BZ128" s="10"/>
      <c r="CA128" s="10"/>
      <c r="CB128" s="10"/>
      <c r="CC128" s="10"/>
      <c r="CD128" s="1">
        <v>34</v>
      </c>
      <c r="CE128" s="1">
        <v>0</v>
      </c>
      <c r="CF128" s="1">
        <f>(1+(N70_DESARROLLO!F43/0.014285714)*LN(N70_DESARROLLO!G43/N70_DESARROLLO!F43))</f>
        <v>-1.5229228398103478E-2</v>
      </c>
      <c r="CG128" s="1">
        <f>(1+(N70_DESARROLLO!G43/0.014285714)*LN(N70_DESARROLLO!H43/N70_DESARROLLO!G43))</f>
        <v>-1.5707684197547422E-2</v>
      </c>
      <c r="CH128" s="1">
        <f>(1+(N70_DESARROLLO!H43/0.014285714)*LN(N70_DESARROLLO!I43/N70_DESARROLLO!H43))</f>
        <v>-1.6217180198318637E-2</v>
      </c>
      <c r="CI128" s="1">
        <f>(1+(N70_DESARROLLO!I43/0.014285714)*LN(N70_DESARROLLO!J43/N70_DESARROLLO!I43))</f>
        <v>-1.6760838496767683E-2</v>
      </c>
      <c r="CJ128" s="1">
        <f>(1+(N70_DESARROLLO!J43/0.014285714)*LN(N70_DESARROLLO!K43/N70_DESARROLLO!J43))</f>
        <v>-1.7342214446335769E-2</v>
      </c>
      <c r="CK128" s="1">
        <f>(1+(N70_DESARROLLO!K43/0.014285714)*LN(N70_DESARROLLO!L43/N70_DESARROLLO!K43))</f>
        <v>-1.7965374518568833E-2</v>
      </c>
      <c r="CL128" s="1">
        <f>(1+(N70_DESARROLLO!L43/0.014285714)*LN(N70_DESARROLLO!M43/N70_DESARROLLO!L43))</f>
        <v>-1.8634991582296534E-2</v>
      </c>
      <c r="CM128" s="1">
        <f>(1+(N70_DESARROLLO!M43/0.014285714)*LN(N70_DESARROLLO!N43/N70_DESARROLLO!M43))</f>
        <v>-1.9356462323724788E-2</v>
      </c>
      <c r="CN128" s="1">
        <f>(1+(N70_DESARROLLO!N43/0.014285714)*LN(N70_DESARROLLO!O43/N70_DESARROLLO!N43))</f>
        <v>-2.0136053052048908E-2</v>
      </c>
      <c r="CO128" s="1">
        <f>(1+(N70_DESARROLLO!O43/0.014285714)*LN(N70_DESARROLLO!P43/N70_DESARROLLO!O43))</f>
        <v>-2.098108223353945E-2</v>
      </c>
      <c r="CP128" s="1">
        <f>(1+(N70_DESARROLLO!P43/0.014285714)*LN(N70_DESARROLLO!Q43/N70_DESARROLLO!P43))</f>
        <v>-2.190015102186682E-2</v>
      </c>
      <c r="CQ128" s="1">
        <f>(1+(N70_DESARROLLO!Q43/0.014285714)*LN(N70_DESARROLLO!R43/N70_DESARROLLO!Q43))</f>
        <v>-2.2903437185110231E-2</v>
      </c>
      <c r="CR128" s="1">
        <f>(1+(N70_DESARROLLO!R43/0.014285714)*LN(N70_DESARROLLO!S43/N70_DESARROLLO!R43))</f>
        <v>-2.4003073749035098E-2</v>
      </c>
      <c r="CS128" s="1">
        <f>(1+(N70_DESARROLLO!S43/0.014285714)*LN(N70_DESARROLLO!T43/N70_DESARROLLO!S43))</f>
        <v>-2.5213642284827031E-2</v>
      </c>
      <c r="CT128" s="1">
        <f>(1+(N70_DESARROLLO!T43/0.014285714)*LN(N70_DESARROLLO!U43/N70_DESARROLLO!T43))</f>
        <v>-2.6552823496790445E-2</v>
      </c>
      <c r="CU128" s="1">
        <f>(1+(N70_DESARROLLO!U43/0.014285714)*LN(N70_DESARROLLO!V43/N70_DESARROLLO!U43))</f>
        <v>-2.8042266924842352E-2</v>
      </c>
      <c r="CV128" s="1">
        <f>(1+(N70_DESARROLLO!V43/0.014285714)*LN(N70_DESARROLLO!W43/N70_DESARROLLO!V43))</f>
        <v>-2.9708770995510836E-2</v>
      </c>
      <c r="CW128" s="1">
        <f>(1+(N70_DESARROLLO!W43/0.014285714)*LN(N70_DESARROLLO!X43/N70_DESARROLLO!W43))</f>
        <v>-3.158591082372797E-2</v>
      </c>
      <c r="CX128" s="1">
        <f>(1+(N70_DESARROLLO!X43/0.014285714)*LN(N70_DESARROLLO!Y43/N70_DESARROLLO!X43))</f>
        <v>-3.3716325403746916E-2</v>
      </c>
      <c r="CY128" s="1">
        <f>(1+(N70_DESARROLLO!Y43/0.014285714)*LN(N70_DESARROLLO!Z43/N70_DESARROLLO!Y43))</f>
        <v>-3.6154998464202004E-2</v>
      </c>
      <c r="CZ128" s="1">
        <f>(1+(N70_DESARROLLO!Z43/0.014285714)*LN(N70_DESARROLLO!AA43/N70_DESARROLLO!Z43))</f>
        <v>-3.8974076117213929E-2</v>
      </c>
      <c r="DA128" s="1">
        <f>(1+(N70_DESARROLLO!AA43/0.014285714)*LN(N70_DESARROLLO!AB43/N70_DESARROLLO!AA43))</f>
        <v>-4.2270132583541731E-2</v>
      </c>
      <c r="DB128" s="1">
        <f>(1+(N70_DESARROLLO!AB43/0.014285714)*LN(N70_DESARROLLO!AC43/N70_DESARROLLO!AB43))</f>
        <v>-4.6175470289367082E-2</v>
      </c>
      <c r="DC128" s="1">
        <f>(1+(N70_DESARROLLO!AC43/0.014285714)*LN(N70_DESARROLLO!AD43/N70_DESARROLLO!AC43))</f>
        <v>-5.0876335865844391E-2</v>
      </c>
      <c r="DD128" s="1">
        <f>(1+(N70_DESARROLLO!AD43/0.014285714)*LN(N70_DESARROLLO!AE43/N70_DESARROLLO!AD43))</f>
        <v>-5.6643554680003483E-2</v>
      </c>
      <c r="DE128" s="1">
        <f>(1+(N70_DESARROLLO!AE43/0.014285714)*LN(N70_DESARROLLO!AF43/N70_DESARROLLO!AE43))</f>
        <v>-6.3886736386785659E-2</v>
      </c>
      <c r="DF128" s="1">
        <f>(1+(N70_DESARROLLO!AF43/0.014285714)*LN(N70_DESARROLLO!AG43/N70_DESARROLLO!AF43))</f>
        <v>-7.3256348770173396E-2</v>
      </c>
      <c r="DG128" s="1">
        <f>(1+(N70_DESARROLLO!AG43/0.014285714)*LN(N70_DESARROLLO!AH43/N70_DESARROLLO!AG43))</f>
        <v>-8.5851572027611844E-2</v>
      </c>
      <c r="DH128" s="1">
        <f>(1+(N70_DESARROLLO!AH43/0.014285714)*LN(N70_DESARROLLO!AI43/N70_DESARROLLO!AH43))</f>
        <v>-0.10368884711560877</v>
      </c>
      <c r="DI128" s="1">
        <f>(1+(N70_DESARROLLO!AI43/0.014285714)*LN(N70_DESARROLLO!AJ43/N70_DESARROLLO!AI43))</f>
        <v>-0.13091494988237695</v>
      </c>
      <c r="DJ128" s="1">
        <f>(1+(N70_DESARROLLO!AJ43/0.014285714)*LN(N70_DESARROLLO!AK43/N70_DESARROLLO!AJ43))</f>
        <v>-0.17765285172730327</v>
      </c>
      <c r="DK128" s="1">
        <f>(1+(N70_DESARROLLO!AK43/0.014285714)*LN(N70_DESARROLLO!AL43/N70_DESARROLLO!AK43))</f>
        <v>-0.27706408495625956</v>
      </c>
      <c r="DL128" s="1">
        <f>(1+(N70_DESARROLLO!AL43/0.014285714)*LN(N70_DESARROLLO!AM43/N70_DESARROLLO!AL43))</f>
        <v>-0.64791846596053615</v>
      </c>
      <c r="DM128" s="1">
        <v>1</v>
      </c>
      <c r="DN128" s="1">
        <f>(1+(N70_DESARROLLO!AN43/0.014285714)*LN(N70_DESARROLLO!AO43/N70_DESARROLLO!AN43))</f>
        <v>0.4506938446798211</v>
      </c>
      <c r="DO128" s="1">
        <f>(1+(N70_DESARROLLO!AO43/0.014285714)*LN(N70_DESARROLLO!AP43/N70_DESARROLLO!AO43))</f>
        <v>0.2337615490262468</v>
      </c>
      <c r="DP128" s="1">
        <f>(1+(N70_DESARROLLO!AP43/0.014285714)*LN(N70_DESARROLLO!AQ43/N70_DESARROLLO!AP43))</f>
        <v>0.15881939162335246</v>
      </c>
      <c r="DQ128" s="1">
        <f>(1+(N70_DESARROLLO!AQ43/0.014285714)*LN(N70_DESARROLLO!AR43/N70_DESARROLLO!AQ43))</f>
        <v>0.12039948342482099</v>
      </c>
      <c r="DR128" s="1">
        <f>(1+(N70_DESARROLLO!AR43/0.014285714)*LN(N70_DESARROLLO!AS43/N70_DESARROLLO!AR43))</f>
        <v>9.6981852359953269E-2</v>
      </c>
      <c r="DS128" s="1">
        <f>(1+(N70_DESARROLLO!AS43/0.014285714)*LN(N70_DESARROLLO!AT43/N70_DESARROLLO!AS43))</f>
        <v>8.1202515976639411E-2</v>
      </c>
      <c r="DT128" s="1">
        <f>(1+(N70_DESARROLLO!AT43/0.014285714)*LN(N70_DESARROLLO!AU43/N70_DESARROLLO!AT43))</f>
        <v>6.9844497732510114E-2</v>
      </c>
      <c r="DU128" s="1">
        <f>(1+(N70_DESARROLLO!AU43/0.014285714)*LN(N70_DESARROLLO!AV43/N70_DESARROLLO!AU43))</f>
        <v>6.1276409070485593E-2</v>
      </c>
      <c r="DV128" s="1">
        <f>(1+(N70_DESARROLLO!AV43/0.014285714)*LN(N70_DESARROLLO!AW43/N70_DESARROLLO!AV43))</f>
        <v>5.4582082654737407E-2</v>
      </c>
      <c r="DW128" s="1">
        <f>(1+(N70_DESARROLLO!AW43/0.014285714)*LN(N70_DESARROLLO!AX43/N70_DESARROLLO!AW43))</f>
        <v>4.9207124692803972E-2</v>
      </c>
      <c r="DX128" s="1">
        <f>(1+(N70_DESARROLLO!AX43/0.014285714)*LN(N70_DESARROLLO!AY43/N70_DESARROLLO!AX43))</f>
        <v>4.4796309735798956E-2</v>
      </c>
      <c r="DY128" s="1">
        <f>(1+(N70_DESARROLLO!AY43/0.014285714)*LN(N70_DESARROLLO!AZ43/N70_DESARROLLO!AY43))</f>
        <v>4.1111478023138415E-2</v>
      </c>
      <c r="DZ128" s="1">
        <f>(1+(N70_DESARROLLO!AZ43/0.014285714)*LN(N70_DESARROLLO!BA43/N70_DESARROLLO!AZ43))</f>
        <v>3.7986966558139379E-2</v>
      </c>
      <c r="EA128" s="1">
        <f>(1+(N70_DESARROLLO!BA43/0.014285714)*LN(N70_DESARROLLO!BB43/N70_DESARROLLO!BA43))</f>
        <v>3.5303966947118459E-2</v>
      </c>
      <c r="EB128" s="1">
        <f>(1+(N70_DESARROLLO!BB43/0.014285714)*LN(N70_DESARROLLO!BC43/N70_DESARROLLO!BB43))</f>
        <v>3.2975050428757702E-2</v>
      </c>
      <c r="EC128" s="1">
        <f>(1+(N70_DESARROLLO!BC43/0.014285714)*LN(N70_DESARROLLO!BD43/N70_DESARROLLO!BC43))</f>
        <v>3.0934447408009769E-2</v>
      </c>
      <c r="ED128" s="1">
        <f>(1+(N70_DESARROLLO!BD43/0.014285714)*LN(N70_DESARROLLO!BE43/N70_DESARROLLO!BD43))</f>
        <v>2.9131730204236872E-2</v>
      </c>
      <c r="EE128" s="1">
        <f>(1+(N70_DESARROLLO!BE43/0.014285714)*LN(N70_DESARROLLO!BF43/N70_DESARROLLO!BE43))</f>
        <v>2.752758534135924E-2</v>
      </c>
      <c r="EF128" s="1">
        <f>(1+(N70_DESARROLLO!BF43/0.014285714)*LN(N70_DESARROLLO!BG43/N70_DESARROLLO!BF43))</f>
        <v>2.6090911041513176E-2</v>
      </c>
      <c r="EG128" s="1">
        <f>(1+(N70_DESARROLLO!BG43/0.014285714)*LN(N70_DESARROLLO!BH43/N70_DESARROLLO!BG43))</f>
        <v>2.4796779290042203E-2</v>
      </c>
      <c r="EH128" s="1">
        <f>(1+(N70_DESARROLLO!BH43/0.014285714)*LN(N70_DESARROLLO!BI43/N70_DESARROLLO!BH43))</f>
        <v>2.3624976192774816E-2</v>
      </c>
      <c r="EI128" s="1">
        <f>(1+(N70_DESARROLLO!BI43/0.014285714)*LN(N70_DESARROLLO!BJ43/N70_DESARROLLO!BI43))</f>
        <v>2.2558937800898904E-2</v>
      </c>
      <c r="EJ128" s="1">
        <f>(1+(N70_DESARROLLO!BJ43/0.014285714)*LN(N70_DESARROLLO!BK43/N70_DESARROLLO!BJ43))</f>
        <v>2.1584961787569412E-2</v>
      </c>
      <c r="EK128" s="1">
        <f>(1+(N70_DESARROLLO!BK43/0.014285714)*LN(N70_DESARROLLO!BL43/N70_DESARROLLO!BK43))</f>
        <v>2.0691615000487218E-2</v>
      </c>
      <c r="EL128" s="1">
        <f>(1+(N70_DESARROLLO!BL43/0.014285714)*LN(N70_DESARROLLO!BM43/N70_DESARROLLO!BL43))</f>
        <v>1.9869282361749896E-2</v>
      </c>
      <c r="EM128" s="1">
        <f>(1+(N70_DESARROLLO!BM43/0.014285714)*LN(N70_DESARROLLO!BN43/N70_DESARROLLO!BM43))</f>
        <v>1.9109819273400053E-2</v>
      </c>
      <c r="EN128" s="1">
        <f>(1+(N70_DESARROLLO!BN43/0.014285714)*LN(N70_DESARROLLO!BO43/N70_DESARROLLO!BN43))</f>
        <v>1.8406280838869304E-2</v>
      </c>
      <c r="EO128" s="1">
        <f>(1+(N70_DESARROLLO!BO43/0.014285714)*LN(N70_DESARROLLO!BP43/N70_DESARROLLO!BO43))</f>
        <v>1.7752708797880712E-2</v>
      </c>
      <c r="EP128" s="1">
        <f>(1+(N70_DESARROLLO!BP43/0.014285714)*LN(N70_DESARROLLO!BQ43/N70_DESARROLLO!BP43))</f>
        <v>1.7143962314551175E-2</v>
      </c>
      <c r="EQ128" s="1">
        <f>(1+(N70_DESARROLLO!BQ43/0.014285714)*LN(N70_DESARROLLO!BR43/N70_DESARROLLO!BQ43))</f>
        <v>1.6575582437555969E-2</v>
      </c>
      <c r="ER128" s="1">
        <f>(1+(N70_DESARROLLO!BR43/0.014285714)*LN(N70_DESARROLLO!BS43/N70_DESARROLLO!BR43))</f>
        <v>1.6043682665125125E-2</v>
      </c>
      <c r="ES128" s="1">
        <f>(1+(N70_DESARROLLO!BS43/0.014285714)*LN(N70_DESARROLLO!BT43/N70_DESARROLLO!BS43))</f>
        <v>1.5544859931604593E-2</v>
      </c>
      <c r="ET128" s="1">
        <f>(1+(N70_DESARROLLO!BT43/0.014285714)*LN(N70_DESARROLLO!BU43/N70_DESARROLLO!BT43))</f>
        <v>1.5076121703334833E-2</v>
      </c>
      <c r="EU128" s="1">
        <f>(1+(N70_DESARROLLO!BU43/0.014285714)*LN(N70_DESARROLLO!BV43/N70_DESARROLLO!BU43))</f>
        <v>1.4634825881867375E-2</v>
      </c>
      <c r="EV128" s="1">
        <f>(1+(N70_DESARROLLO!BV43/0.014285714)*LN(N70_DESARROLLO!BW43/N70_DESARROLLO!BV43))</f>
        <v>1.4218630964442425E-2</v>
      </c>
      <c r="EW128" s="1">
        <f>(1+(N70_DESARROLLO!BW43/0.014285714)*LN(N70_DESARROLLO!BX43/N70_DESARROLLO!BW43))</f>
        <v>-23.103170849727022</v>
      </c>
    </row>
    <row r="129" spans="7:153" x14ac:dyDescent="0.25">
      <c r="G129" s="3">
        <v>35</v>
      </c>
      <c r="H129" s="3">
        <f>-(N70_DESARROLLO!G44/0.014285714)*LN(N70_DESARROLLO!G44/N70_DESARROLLO!F44)-1</f>
        <v>-1.4634825881869595E-2</v>
      </c>
      <c r="I129" s="3">
        <f>-(N70_DESARROLLO!H44/0.014285714)*LN(N70_DESARROLLO!H44/N70_DESARROLLO!G44)-1</f>
        <v>-1.5076121703332279E-2</v>
      </c>
      <c r="J129" s="3">
        <f>-(N70_DESARROLLO!I44/0.014285714)*LN(N70_DESARROLLO!I44/N70_DESARROLLO!H44)-1</f>
        <v>-1.5544859931607813E-2</v>
      </c>
      <c r="K129" s="3">
        <f>-(N70_DESARROLLO!J44/0.014285714)*LN(N70_DESARROLLO!J44/N70_DESARROLLO!I44)-1</f>
        <v>-1.6043682665119796E-2</v>
      </c>
      <c r="L129" s="3">
        <f>-(N70_DESARROLLO!K44/0.014285714)*LN(N70_DESARROLLO!K44/N70_DESARROLLO!J44)-1</f>
        <v>-1.6575582437555747E-2</v>
      </c>
      <c r="M129" s="3">
        <f>-(N70_DESARROLLO!L44/0.014285714)*LN(N70_DESARROLLO!L44/N70_DESARROLLO!K44)-1</f>
        <v>-1.7143962314550287E-2</v>
      </c>
      <c r="N129" s="3">
        <f>-(N70_DESARROLLO!M44/0.014285714)*LN(N70_DESARROLLO!M44/N70_DESARROLLO!L44)-1</f>
        <v>-1.7752708797878491E-2</v>
      </c>
      <c r="O129" s="3">
        <f>-(N70_DESARROLLO!N44/0.014285714)*LN(N70_DESARROLLO!N44/N70_DESARROLLO!M44)-1</f>
        <v>-1.8406280838874411E-2</v>
      </c>
      <c r="P129" s="3">
        <f>-(N70_DESARROLLO!O44/0.014285714)*LN(N70_DESARROLLO!O44/N70_DESARROLLO!N44)-1</f>
        <v>-1.9109819273396944E-2</v>
      </c>
      <c r="Q129" s="3">
        <f>-(N70_DESARROLLO!P44/0.014285714)*LN(N70_DESARROLLO!P44/N70_DESARROLLO!O44)-1</f>
        <v>-1.986928236175689E-2</v>
      </c>
      <c r="R129" s="3">
        <f>-(N70_DESARROLLO!Q44/0.014285714)*LN(N70_DESARROLLO!Q44/N70_DESARROLLO!P44)-1</f>
        <v>-2.0691615000482555E-2</v>
      </c>
      <c r="S129" s="3">
        <f>-(N70_DESARROLLO!R44/0.014285714)*LN(N70_DESARROLLO!R44/N70_DESARROLLO!Q44)-1</f>
        <v>-2.1584961787574075E-2</v>
      </c>
      <c r="T129" s="3">
        <f>-(N70_DESARROLLO!S44/0.014285714)*LN(N70_DESARROLLO!S44/N70_DESARROLLO!R44)-1</f>
        <v>-2.2558937800894574E-2</v>
      </c>
      <c r="U129" s="3">
        <f>-(N70_DESARROLLO!T44/0.014285714)*LN(N70_DESARROLLO!T44/N70_DESARROLLO!S44)-1</f>
        <v>-2.3624976192782587E-2</v>
      </c>
      <c r="V129" s="3">
        <f>-(N70_DESARROLLO!U44/0.014285714)*LN(N70_DESARROLLO!U44/N70_DESARROLLO!T44)-1</f>
        <v>-2.4796779290035542E-2</v>
      </c>
      <c r="W129" s="3">
        <f>-(N70_DESARROLLO!V44/0.014285714)*LN(N70_DESARROLLO!V44/N70_DESARROLLO!U44)-1</f>
        <v>-2.6090911041514842E-2</v>
      </c>
      <c r="X129" s="3">
        <f>-(N70_DESARROLLO!W44/0.014285714)*LN(N70_DESARROLLO!W44/N70_DESARROLLO!V44)-1</f>
        <v>-2.7527585341359129E-2</v>
      </c>
      <c r="Y129" s="3">
        <f>-(N70_DESARROLLO!X44/0.014285714)*LN(N70_DESARROLLO!X44/N70_DESARROLLO!W44)-1</f>
        <v>-2.9131730204236206E-2</v>
      </c>
      <c r="Z129" s="3">
        <f>-(N70_DESARROLLO!Y44/0.014285714)*LN(N70_DESARROLLO!Y44/N70_DESARROLLO!X44)-1</f>
        <v>-3.0934447408010879E-2</v>
      </c>
      <c r="AA129" s="3">
        <f>-(N70_DESARROLLO!Z44/0.014285714)*LN(N70_DESARROLLO!Z44/N70_DESARROLLO!Y44)-1</f>
        <v>-3.2975050428752706E-2</v>
      </c>
      <c r="AB129" s="3">
        <f>-(N70_DESARROLLO!AA44/0.014285714)*LN(N70_DESARROLLO!AA44/N70_DESARROLLO!Z44)-1</f>
        <v>-3.5303966947122012E-2</v>
      </c>
      <c r="AC129" s="3">
        <f>-(N70_DESARROLLO!AB44/0.014285714)*LN(N70_DESARROLLO!AB44/N70_DESARROLLO!AA44)-1</f>
        <v>-3.7986966558135049E-2</v>
      </c>
      <c r="AD129" s="3">
        <f>-(N70_DESARROLLO!AC44/0.014285714)*LN(N70_DESARROLLO!AC44/N70_DESARROLLO!AB44)-1</f>
        <v>-4.1111478023142745E-2</v>
      </c>
      <c r="AE129" s="3">
        <f>-(N70_DESARROLLO!AD44/0.014285714)*LN(N70_DESARROLLO!AD44/N70_DESARROLLO!AC44)-1</f>
        <v>-4.4796309735794959E-2</v>
      </c>
      <c r="AF129" s="3">
        <f>-(N70_DESARROLLO!AE44/0.014285714)*LN(N70_DESARROLLO!AE44/N70_DESARROLLO!AD44)-1</f>
        <v>-4.9207124692808302E-2</v>
      </c>
      <c r="AG129" s="3">
        <f>-(N70_DESARROLLO!AF44/0.014285714)*LN(N70_DESARROLLO!AF44/N70_DESARROLLO!AE44)-1</f>
        <v>-5.4582082654734299E-2</v>
      </c>
      <c r="AH129" s="3">
        <f>-(N70_DESARROLLO!AG44/0.014285714)*LN(N70_DESARROLLO!AG44/N70_DESARROLLO!AF44)-1</f>
        <v>-6.1276409070485927E-2</v>
      </c>
      <c r="AI129" s="3">
        <f>-(N70_DESARROLLO!AH44/0.014285714)*LN(N70_DESARROLLO!AH44/N70_DESARROLLO!AG44)-1</f>
        <v>-6.9844497732512889E-2</v>
      </c>
      <c r="AJ129" s="3">
        <f>-(N70_DESARROLLO!AI44/0.014285714)*LN(N70_DESARROLLO!AI44/N70_DESARROLLO!AH44)-1</f>
        <v>-8.1202515976635414E-2</v>
      </c>
      <c r="AK129" s="3">
        <f>-(N70_DESARROLLO!AJ44/0.014285714)*LN(N70_DESARROLLO!AJ44/N70_DESARROLLO!AI44)-1</f>
        <v>-9.6981852359956267E-2</v>
      </c>
      <c r="AL129" s="3">
        <f>-(N70_DESARROLLO!AK44/0.014285714)*LN(N70_DESARROLLO!AK44/N70_DESARROLLO!AJ44)-1</f>
        <v>-0.1203994834248181</v>
      </c>
      <c r="AM129" s="3">
        <f>-(N70_DESARROLLO!AL44/0.014285714)*LN(N70_DESARROLLO!AL44/N70_DESARROLLO!AK44)-1</f>
        <v>-0.15881939162335512</v>
      </c>
      <c r="AN129" s="3">
        <f>-(N70_DESARROLLO!AM44/0.014285714)*LN(N70_DESARROLLO!AM44/N70_DESARROLLO!AL44)-1</f>
        <v>-0.23376154902624446</v>
      </c>
      <c r="AO129" s="3">
        <f>-(N70_DESARROLLO!AN44/0.014285714)*LN(N70_DESARROLLO!AN44/N70_DESARROLLO!AM44)-1</f>
        <v>-0.4506938446798211</v>
      </c>
      <c r="AP129" s="3">
        <v>-1</v>
      </c>
      <c r="AQ129" s="3">
        <f>-(N70_DESARROLLO!AP44/0.014285714)*LN(N70_DESARROLLO!AP44/N70_DESARROLLO!AO44)-1</f>
        <v>0.64791846596052816</v>
      </c>
      <c r="AR129" s="3">
        <f>-(N70_DESARROLLO!AQ44/0.014285714)*LN(N70_DESARROLLO!AQ44/N70_DESARROLLO!AP44)-1</f>
        <v>0.27706408495626578</v>
      </c>
      <c r="AS129" s="3">
        <f>-(N70_DESARROLLO!AR44/0.014285714)*LN(N70_DESARROLLO!AR44/N70_DESARROLLO!AQ44)-1</f>
        <v>0.17765285172729772</v>
      </c>
      <c r="AT129" s="3">
        <f>-(N70_DESARROLLO!AS44/0.014285714)*LN(N70_DESARROLLO!AS44/N70_DESARROLLO!AR44)-1</f>
        <v>0.13091494988238206</v>
      </c>
      <c r="AU129" s="3">
        <f>-(N70_DESARROLLO!AT44/0.014285714)*LN(N70_DESARROLLO!AT44/N70_DESARROLLO!AS44)-1</f>
        <v>0.10368884711560411</v>
      </c>
      <c r="AV129" s="3">
        <f>-(N70_DESARROLLO!AU44/0.014285714)*LN(N70_DESARROLLO!AU44/N70_DESARROLLO!AT44)-1</f>
        <v>8.5851572027616951E-2</v>
      </c>
      <c r="AW129" s="3">
        <f>-(N70_DESARROLLO!AV44/0.014285714)*LN(N70_DESARROLLO!AV44/N70_DESARROLLO!AU44)-1</f>
        <v>7.3256348770172952E-2</v>
      </c>
      <c r="AX129" s="3">
        <f>-(N70_DESARROLLO!AW44/0.014285714)*LN(N70_DESARROLLO!AW44/N70_DESARROLLO!AV44)-1</f>
        <v>6.388673638678144E-2</v>
      </c>
      <c r="AY129" s="3">
        <f>-(N70_DESARROLLO!AX44/0.014285714)*LN(N70_DESARROLLO!AX44/N70_DESARROLLO!AW44)-1</f>
        <v>5.6643554680008368E-2</v>
      </c>
      <c r="AZ129" s="3">
        <f>-(N70_DESARROLLO!AY44/0.014285714)*LN(N70_DESARROLLO!AY44/N70_DESARROLLO!AX44)-1</f>
        <v>5.0876335865839506E-2</v>
      </c>
      <c r="BA129" s="3">
        <f>-(N70_DESARROLLO!AZ44/0.014285714)*LN(N70_DESARROLLO!AZ44/N70_DESARROLLO!AY44)-1</f>
        <v>4.6175470289372189E-2</v>
      </c>
      <c r="BB129" s="3">
        <f>-(N70_DESARROLLO!BA44/0.014285714)*LN(N70_DESARROLLO!BA44/N70_DESARROLLO!AZ44)-1</f>
        <v>4.227013258353729E-2</v>
      </c>
      <c r="BC129" s="3">
        <f>-(N70_DESARROLLO!BB44/0.014285714)*LN(N70_DESARROLLO!BB44/N70_DESARROLLO!BA44)-1</f>
        <v>3.8974076117217482E-2</v>
      </c>
      <c r="BD129" s="3">
        <f>-(N70_DESARROLLO!BC44/0.014285714)*LN(N70_DESARROLLO!BC44/N70_DESARROLLO!BB44)-1</f>
        <v>3.6154998464196897E-2</v>
      </c>
      <c r="BE129" s="3">
        <f>-(N70_DESARROLLO!BD44/0.014285714)*LN(N70_DESARROLLO!BD44/N70_DESARROLLO!BC44)-1</f>
        <v>3.3716325403751135E-2</v>
      </c>
      <c r="BF129" s="3">
        <f>-(N70_DESARROLLO!BE44/0.014285714)*LN(N70_DESARROLLO!BE44/N70_DESARROLLO!BD44)-1</f>
        <v>3.1585910823724417E-2</v>
      </c>
      <c r="BG129" s="3">
        <f>-(N70_DESARROLLO!BF44/0.014285714)*LN(N70_DESARROLLO!BF44/N70_DESARROLLO!BE44)-1</f>
        <v>2.97087709955135E-2</v>
      </c>
      <c r="BH129" s="3">
        <f>-(N70_DESARROLLO!BG44/0.014285714)*LN(N70_DESARROLLO!BG44/N70_DESARROLLO!BF44)-1</f>
        <v>2.8042266924840797E-2</v>
      </c>
      <c r="BI129" s="3">
        <f>-(N70_DESARROLLO!BH44/0.014285714)*LN(N70_DESARROLLO!BH44/N70_DESARROLLO!BG44)-1</f>
        <v>2.6552823496782674E-2</v>
      </c>
      <c r="BJ129" s="3">
        <f>-(N70_DESARROLLO!BI44/0.014285714)*LN(N70_DESARROLLO!BI44/N70_DESARROLLO!BH44)-1</f>
        <v>2.5213642284835913E-2</v>
      </c>
      <c r="BK129" s="3">
        <f>-(N70_DESARROLLO!BJ44/0.014285714)*LN(N70_DESARROLLO!BJ44/N70_DESARROLLO!BI44)-1</f>
        <v>2.4003073749031767E-2</v>
      </c>
      <c r="BL129" s="3">
        <f>-(N70_DESARROLLO!BK44/0.014285714)*LN(N70_DESARROLLO!BK44/N70_DESARROLLO!BJ44)-1</f>
        <v>2.2903437185115338E-2</v>
      </c>
      <c r="BM129" s="3">
        <f>-(N70_DESARROLLO!BL44/0.014285714)*LN(N70_DESARROLLO!BL44/N70_DESARROLLO!BK44)-1</f>
        <v>2.1900151021861713E-2</v>
      </c>
      <c r="BN129" s="3">
        <f>-(N70_DESARROLLO!BM44/0.014285714)*LN(N70_DESARROLLO!BM44/N70_DESARROLLO!BL44)-1</f>
        <v>2.0981082233544779E-2</v>
      </c>
      <c r="BO129" s="3">
        <f>-(N70_DESARROLLO!BN44/0.014285714)*LN(N70_DESARROLLO!BN44/N70_DESARROLLO!BM44)-1</f>
        <v>2.0136053052045133E-2</v>
      </c>
      <c r="BP129" s="3">
        <f>-(N70_DESARROLLO!BO44/0.014285714)*LN(N70_DESARROLLO!BO44/N70_DESARROLLO!BN44)-1</f>
        <v>1.9356462323727008E-2</v>
      </c>
      <c r="BQ129" s="3">
        <f>-(N70_DESARROLLO!BP44/0.014285714)*LN(N70_DESARROLLO!BP44/N70_DESARROLLO!BO44)-1</f>
        <v>1.8634991582293425E-2</v>
      </c>
      <c r="BR129" s="3">
        <f>-(N70_DESARROLLO!BQ44/0.014285714)*LN(N70_DESARROLLO!BQ44/N70_DESARROLLO!BP44)-1</f>
        <v>1.7965374518572164E-2</v>
      </c>
      <c r="BS129" s="3">
        <f>-(N70_DESARROLLO!BR44/0.014285714)*LN(N70_DESARROLLO!BR44/N70_DESARROLLO!BQ44)-1</f>
        <v>1.7342214446335324E-2</v>
      </c>
      <c r="BT129" s="3">
        <f>-(N70_DESARROLLO!BS44/0.014285714)*LN(N70_DESARROLLO!BS44/N70_DESARROLLO!BR44)-1</f>
        <v>1.6760838496763686E-2</v>
      </c>
      <c r="BU129" s="3">
        <f>-(N70_DESARROLLO!BT44/0.014285714)*LN(N70_DESARROLLO!BT44/N70_DESARROLLO!BS44)-1</f>
        <v>1.6217180198319969E-2</v>
      </c>
      <c r="BV129" s="3">
        <f>-(N70_DESARROLLO!BU44/0.014285714)*LN(N70_DESARROLLO!BU44/N70_DESARROLLO!BT44)-1</f>
        <v>1.5707684197543648E-2</v>
      </c>
      <c r="BW129" s="3">
        <f>-(N70_DESARROLLO!BV44/0.014285714)*LN(N70_DESARROLLO!BV44/N70_DESARROLLO!BU44)-1</f>
        <v>1.5229228398107919E-2</v>
      </c>
      <c r="BX129" s="3">
        <f>-(N70_DESARROLLO!BW44/0.014285714)*LN(N70_DESARROLLO!BW44/N70_DESARROLLO!BV44)-1</f>
        <v>1.4779059912696013E-2</v>
      </c>
      <c r="BY129" s="3">
        <f>-(N70_DESARROLLO!BX44/0.014285714)*LN(N70_DESARROLLO!BX44/N70_DESARROLLO!BW44)-1</f>
        <v>48.527515251393467</v>
      </c>
      <c r="BZ129" s="10"/>
      <c r="CA129" s="10"/>
      <c r="CB129" s="10"/>
      <c r="CC129" s="10"/>
      <c r="CD129">
        <v>35</v>
      </c>
      <c r="CE129" s="1">
        <v>0</v>
      </c>
      <c r="CF129" s="1">
        <f>(1+(N70_DESARROLLO!F44/0.014285714)*LN(N70_DESARROLLO!G44/N70_DESARROLLO!F44))</f>
        <v>-1.4779059912701564E-2</v>
      </c>
      <c r="CG129" s="1">
        <f>(1+(N70_DESARROLLO!G44/0.014285714)*LN(N70_DESARROLLO!H44/N70_DESARROLLO!G44))</f>
        <v>-1.5229228398103478E-2</v>
      </c>
      <c r="CH129" s="1">
        <f>(1+(N70_DESARROLLO!H44/0.014285714)*LN(N70_DESARROLLO!I44/N70_DESARROLLO!H44))</f>
        <v>-1.5707684197547644E-2</v>
      </c>
      <c r="CI129" s="1">
        <f>(1+(N70_DESARROLLO!I44/0.014285714)*LN(N70_DESARROLLO!J44/N70_DESARROLLO!I44))</f>
        <v>-1.6217180198318859E-2</v>
      </c>
      <c r="CJ129" s="1">
        <f>(1+(N70_DESARROLLO!J44/0.014285714)*LN(N70_DESARROLLO!K44/N70_DESARROLLO!J44))</f>
        <v>-1.6760838496764352E-2</v>
      </c>
      <c r="CK129" s="1">
        <f>(1+(N70_DESARROLLO!K44/0.014285714)*LN(N70_DESARROLLO!L44/N70_DESARROLLO!K44))</f>
        <v>-1.7342214446342874E-2</v>
      </c>
      <c r="CL129" s="1">
        <f>(1+(N70_DESARROLLO!L44/0.014285714)*LN(N70_DESARROLLO!M44/N70_DESARROLLO!L44))</f>
        <v>-1.7965374518562172E-2</v>
      </c>
      <c r="CM129" s="1">
        <f>(1+(N70_DESARROLLO!M44/0.014285714)*LN(N70_DESARROLLO!N44/N70_DESARROLLO!M44))</f>
        <v>-1.8634991582300087E-2</v>
      </c>
      <c r="CN129" s="1">
        <f>(1+(N70_DESARROLLO!N44/0.014285714)*LN(N70_DESARROLLO!O44/N70_DESARROLLO!N44))</f>
        <v>-1.9356462323724788E-2</v>
      </c>
      <c r="CO129" s="1">
        <f>(1+(N70_DESARROLLO!O44/0.014285714)*LN(N70_DESARROLLO!P44/N70_DESARROLLO!O44))</f>
        <v>-2.0136053052048908E-2</v>
      </c>
      <c r="CP129" s="1">
        <f>(1+(N70_DESARROLLO!P44/0.014285714)*LN(N70_DESARROLLO!Q44/N70_DESARROLLO!P44))</f>
        <v>-2.098108223353945E-2</v>
      </c>
      <c r="CQ129" s="1">
        <f>(1+(N70_DESARROLLO!Q44/0.014285714)*LN(N70_DESARROLLO!R44/N70_DESARROLLO!Q44))</f>
        <v>-2.1900151021867043E-2</v>
      </c>
      <c r="CR129" s="1">
        <f>(1+(N70_DESARROLLO!R44/0.014285714)*LN(N70_DESARROLLO!S44/N70_DESARROLLO!R44))</f>
        <v>-2.2903437185110453E-2</v>
      </c>
      <c r="CS129" s="1">
        <f>(1+(N70_DESARROLLO!S44/0.014285714)*LN(N70_DESARROLLO!T44/N70_DESARROLLO!S44))</f>
        <v>-2.4003073749032877E-2</v>
      </c>
      <c r="CT129" s="1">
        <f>(1+(N70_DESARROLLO!T44/0.014285714)*LN(N70_DESARROLLO!U44/N70_DESARROLLO!T44))</f>
        <v>-2.5213642284834581E-2</v>
      </c>
      <c r="CU129" s="1">
        <f>(1+(N70_DESARROLLO!U44/0.014285714)*LN(N70_DESARROLLO!V44/N70_DESARROLLO!U44))</f>
        <v>-2.6552823496781341E-2</v>
      </c>
      <c r="CV129" s="1">
        <f>(1+(N70_DESARROLLO!V44/0.014285714)*LN(N70_DESARROLLO!W44/N70_DESARROLLO!V44))</f>
        <v>-2.8042266924849235E-2</v>
      </c>
      <c r="CW129" s="1">
        <f>(1+(N70_DESARROLLO!W44/0.014285714)*LN(N70_DESARROLLO!X44/N70_DESARROLLO!W44))</f>
        <v>-2.9708770995507061E-2</v>
      </c>
      <c r="CX129" s="1">
        <f>(1+(N70_DESARROLLO!X44/0.014285714)*LN(N70_DESARROLLO!Y44/N70_DESARROLLO!X44))</f>
        <v>-3.1585910823730412E-2</v>
      </c>
      <c r="CY129" s="1">
        <f>(1+(N70_DESARROLLO!Y44/0.014285714)*LN(N70_DESARROLLO!Z44/N70_DESARROLLO!Y44))</f>
        <v>-3.3716325403747138E-2</v>
      </c>
      <c r="CZ129" s="1">
        <f>(1+(N70_DESARROLLO!Z44/0.014285714)*LN(N70_DESARROLLO!AA44/N70_DESARROLLO!Z44))</f>
        <v>-3.6154998464202448E-2</v>
      </c>
      <c r="DA129" s="1">
        <f>(1+(N70_DESARROLLO!AA44/0.014285714)*LN(N70_DESARROLLO!AB44/N70_DESARROLLO!AA44))</f>
        <v>-3.8974076117214151E-2</v>
      </c>
      <c r="DB129" s="1">
        <f>(1+(N70_DESARROLLO!AB44/0.014285714)*LN(N70_DESARROLLO!AC44/N70_DESARROLLO!AB44))</f>
        <v>-4.2270132583540621E-2</v>
      </c>
      <c r="DC129" s="1">
        <f>(1+(N70_DESARROLLO!AC44/0.014285714)*LN(N70_DESARROLLO!AD44/N70_DESARROLLO!AC44))</f>
        <v>-4.6175470289367304E-2</v>
      </c>
      <c r="DD129" s="1">
        <f>(1+(N70_DESARROLLO!AD44/0.014285714)*LN(N70_DESARROLLO!AE44/N70_DESARROLLO!AD44))</f>
        <v>-5.0876335865843503E-2</v>
      </c>
      <c r="DE129" s="1">
        <f>(1+(N70_DESARROLLO!AE44/0.014285714)*LN(N70_DESARROLLO!AF44/N70_DESARROLLO!AE44))</f>
        <v>-5.6643554680002817E-2</v>
      </c>
      <c r="DF129" s="1">
        <f>(1+(N70_DESARROLLO!AF44/0.014285714)*LN(N70_DESARROLLO!AG44/N70_DESARROLLO!AF44))</f>
        <v>-6.3886736386782106E-2</v>
      </c>
      <c r="DG129" s="1">
        <f>(1+(N70_DESARROLLO!AG44/0.014285714)*LN(N70_DESARROLLO!AH44/N70_DESARROLLO!AG44))</f>
        <v>-7.3256348770177393E-2</v>
      </c>
      <c r="DH129" s="1">
        <f>(1+(N70_DESARROLLO!AH44/0.014285714)*LN(N70_DESARROLLO!AI44/N70_DESARROLLO!AH44))</f>
        <v>-8.585157202761251E-2</v>
      </c>
      <c r="DI129" s="1">
        <f>(1+(N70_DESARROLLO!AI44/0.014285714)*LN(N70_DESARROLLO!AJ44/N70_DESARROLLO!AI44))</f>
        <v>-0.10368884711560877</v>
      </c>
      <c r="DJ129" s="1">
        <f>(1+(N70_DESARROLLO!AJ44/0.014285714)*LN(N70_DESARROLLO!AK44/N70_DESARROLLO!AJ44))</f>
        <v>-0.13091494988237673</v>
      </c>
      <c r="DK129" s="1">
        <f>(1+(N70_DESARROLLO!AK44/0.014285714)*LN(N70_DESARROLLO!AL44/N70_DESARROLLO!AK44))</f>
        <v>-0.17765285172730261</v>
      </c>
      <c r="DL129" s="1">
        <f>(1+(N70_DESARROLLO!AL44/0.014285714)*LN(N70_DESARROLLO!AM44/N70_DESARROLLO!AL44))</f>
        <v>-0.27706408495625845</v>
      </c>
      <c r="DM129" s="1">
        <f>(1+(N70_DESARROLLO!AM44/0.014285714)*LN(N70_DESARROLLO!AN44/N70_DESARROLLO!AM44))</f>
        <v>-0.64791846596053282</v>
      </c>
      <c r="DN129" s="1">
        <v>1</v>
      </c>
      <c r="DO129" s="1">
        <f>(1+(N70_DESARROLLO!AO44/0.014285714)*LN(N70_DESARROLLO!AP44/N70_DESARROLLO!AO44))</f>
        <v>0.45069384467982399</v>
      </c>
      <c r="DP129" s="1">
        <f>(1+(N70_DESARROLLO!AP44/0.014285714)*LN(N70_DESARROLLO!AQ44/N70_DESARROLLO!AP44))</f>
        <v>0.23376154902624291</v>
      </c>
      <c r="DQ129" s="1">
        <f>(1+(N70_DESARROLLO!AQ44/0.014285714)*LN(N70_DESARROLLO!AR44/N70_DESARROLLO!AQ44))</f>
        <v>0.15881939162335801</v>
      </c>
      <c r="DR129" s="1">
        <f>(1+(N70_DESARROLLO!AR44/0.014285714)*LN(N70_DESARROLLO!AS44/N70_DESARROLLO!AR44))</f>
        <v>0.12039948342481499</v>
      </c>
      <c r="DS129" s="1">
        <f>(1+(N70_DESARROLLO!AS44/0.014285714)*LN(N70_DESARROLLO!AT44/N70_DESARROLLO!AS44))</f>
        <v>9.6981852359959819E-2</v>
      </c>
      <c r="DT129" s="1">
        <f>(1+(N70_DESARROLLO!AT44/0.014285714)*LN(N70_DESARROLLO!AU44/N70_DESARROLLO!AT44))</f>
        <v>8.1202515976632528E-2</v>
      </c>
      <c r="DU129" s="1">
        <f>(1+(N70_DESARROLLO!AU44/0.014285714)*LN(N70_DESARROLLO!AV44/N70_DESARROLLO!AU44))</f>
        <v>6.9844497732516331E-2</v>
      </c>
      <c r="DV129" s="1">
        <f>(1+(N70_DESARROLLO!AV44/0.014285714)*LN(N70_DESARROLLO!AW44/N70_DESARROLLO!AV44))</f>
        <v>6.1276409070486593E-2</v>
      </c>
      <c r="DW129" s="1">
        <f>(1+(N70_DESARROLLO!AW44/0.014285714)*LN(N70_DESARROLLO!AX44/N70_DESARROLLO!AW44))</f>
        <v>5.4582082654729969E-2</v>
      </c>
      <c r="DX129" s="1">
        <f>(1+(N70_DESARROLLO!AX44/0.014285714)*LN(N70_DESARROLLO!AY44/N70_DESARROLLO!AX44))</f>
        <v>4.9207124692811632E-2</v>
      </c>
      <c r="DY129" s="1">
        <f>(1+(N70_DESARROLLO!AY44/0.014285714)*LN(N70_DESARROLLO!AZ44/N70_DESARROLLO!AY44))</f>
        <v>4.4796309735791184E-2</v>
      </c>
      <c r="DZ129" s="1">
        <f>(1+(N70_DESARROLLO!AZ44/0.014285714)*LN(N70_DESARROLLO!BA44/N70_DESARROLLO!AZ44))</f>
        <v>4.1111478023145409E-2</v>
      </c>
      <c r="EA129" s="1">
        <f>(1+(N70_DESARROLLO!BA44/0.014285714)*LN(N70_DESARROLLO!BB44/N70_DESARROLLO!BA44))</f>
        <v>3.7986966558132274E-2</v>
      </c>
      <c r="EB129" s="1">
        <f>(1+(N70_DESARROLLO!BB44/0.014285714)*LN(N70_DESARROLLO!BC44/N70_DESARROLLO!BB44))</f>
        <v>3.5303966947126675E-2</v>
      </c>
      <c r="EC129" s="1">
        <f>(1+(N70_DESARROLLO!BC44/0.014285714)*LN(N70_DESARROLLO!BD44/N70_DESARROLLO!BC44))</f>
        <v>3.2975050428749264E-2</v>
      </c>
      <c r="ED129" s="1">
        <f>(1+(N70_DESARROLLO!BD44/0.014285714)*LN(N70_DESARROLLO!BE44/N70_DESARROLLO!BD44))</f>
        <v>3.0934447408016319E-2</v>
      </c>
      <c r="EE129" s="1">
        <f>(1+(N70_DESARROLLO!BE44/0.014285714)*LN(N70_DESARROLLO!BF44/N70_DESARROLLO!BE44))</f>
        <v>2.9131730204230433E-2</v>
      </c>
      <c r="EF129" s="1">
        <f>(1+(N70_DESARROLLO!BF44/0.014285714)*LN(N70_DESARROLLO!BG44/N70_DESARROLLO!BF44))</f>
        <v>2.7527585341366678E-2</v>
      </c>
      <c r="EG129" s="1">
        <f>(1+(N70_DESARROLLO!BG44/0.014285714)*LN(N70_DESARROLLO!BH44/N70_DESARROLLO!BG44))</f>
        <v>2.6090911041513509E-2</v>
      </c>
      <c r="EH129" s="1">
        <f>(1+(N70_DESARROLLO!BH44/0.014285714)*LN(N70_DESARROLLO!BI44/N70_DESARROLLO!BH44))</f>
        <v>2.4796779290034321E-2</v>
      </c>
      <c r="EI129" s="1">
        <f>(1+(N70_DESARROLLO!BI44/0.014285714)*LN(N70_DESARROLLO!BJ44/N70_DESARROLLO!BI44))</f>
        <v>2.3624976192783476E-2</v>
      </c>
      <c r="EJ129" s="1">
        <f>(1+(N70_DESARROLLO!BJ44/0.014285714)*LN(N70_DESARROLLO!BK44/N70_DESARROLLO!BJ44))</f>
        <v>2.2558937800890022E-2</v>
      </c>
      <c r="EK129" s="1">
        <f>(1+(N70_DESARROLLO!BK44/0.014285714)*LN(N70_DESARROLLO!BL44/N70_DESARROLLO!BK44))</f>
        <v>2.1584961787579071E-2</v>
      </c>
      <c r="EL129" s="1">
        <f>(1+(N70_DESARROLLO!BL44/0.014285714)*LN(N70_DESARROLLO!BM44/N70_DESARROLLO!BL44))</f>
        <v>2.0691615000477559E-2</v>
      </c>
      <c r="EM129" s="1">
        <f>(1+(N70_DESARROLLO!BM44/0.014285714)*LN(N70_DESARROLLO!BN44/N70_DESARROLLO!BM44))</f>
        <v>1.9869282361760443E-2</v>
      </c>
      <c r="EN129" s="1">
        <f>(1+(N70_DESARROLLO!BN44/0.014285714)*LN(N70_DESARROLLO!BO44/N70_DESARROLLO!BN44))</f>
        <v>1.9109819273394835E-2</v>
      </c>
      <c r="EO129" s="1">
        <f>(1+(N70_DESARROLLO!BO44/0.014285714)*LN(N70_DESARROLLO!BP44/N70_DESARROLLO!BO44))</f>
        <v>1.840628083888074E-2</v>
      </c>
      <c r="EP129" s="1">
        <f>(1+(N70_DESARROLLO!BP44/0.014285714)*LN(N70_DESARROLLO!BQ44/N70_DESARROLLO!BP44))</f>
        <v>1.7752708797869166E-2</v>
      </c>
      <c r="EQ129" s="1">
        <f>(1+(N70_DESARROLLO!BQ44/0.014285714)*LN(N70_DESARROLLO!BR44/N70_DESARROLLO!BQ44))</f>
        <v>1.7143962314557393E-2</v>
      </c>
      <c r="ER129" s="1">
        <f>(1+(N70_DESARROLLO!BR44/0.014285714)*LN(N70_DESARROLLO!BS44/N70_DESARROLLO!BR44))</f>
        <v>1.6575582437556191E-2</v>
      </c>
      <c r="ES129" s="1">
        <f>(1+(N70_DESARROLLO!BS44/0.014285714)*LN(N70_DESARROLLO!BT44/N70_DESARROLLO!BS44))</f>
        <v>1.6043682665118908E-2</v>
      </c>
      <c r="ET129" s="1">
        <f>(1+(N70_DESARROLLO!BT44/0.014285714)*LN(N70_DESARROLLO!BU44/N70_DESARROLLO!BT44))</f>
        <v>1.5544859931611366E-2</v>
      </c>
      <c r="EU129" s="1">
        <f>(1+(N70_DESARROLLO!BU44/0.014285714)*LN(N70_DESARROLLO!BV44/N70_DESARROLLO!BU44))</f>
        <v>1.5076121703328282E-2</v>
      </c>
      <c r="EV129" s="1">
        <f>(1+(N70_DESARROLLO!BV44/0.014285714)*LN(N70_DESARROLLO!BW44/N70_DESARROLLO!BV44))</f>
        <v>1.4634825881874591E-2</v>
      </c>
      <c r="EW129" s="1">
        <f>(1+(N70_DESARROLLO!BW44/0.014285714)*LN(N70_DESARROLLO!BX44/N70_DESARROLLO!BW44))</f>
        <v>-23.409989659615349</v>
      </c>
    </row>
    <row r="130" spans="7:153" x14ac:dyDescent="0.25">
      <c r="G130" s="3">
        <v>36</v>
      </c>
      <c r="H130" s="3">
        <f>-(N70_DESARROLLO!G45/0.014285714)*LN(N70_DESARROLLO!G45/N70_DESARROLLO!F45)-1</f>
        <v>-1.4218630964440648E-2</v>
      </c>
      <c r="I130" s="3">
        <f>-(N70_DESARROLLO!H45/0.014285714)*LN(N70_DESARROLLO!H45/N70_DESARROLLO!G45)-1</f>
        <v>-1.4634825881869595E-2</v>
      </c>
      <c r="J130" s="3">
        <f>-(N70_DESARROLLO!I45/0.014285714)*LN(N70_DESARROLLO!I45/N70_DESARROLLO!H45)-1</f>
        <v>-1.5076121703332501E-2</v>
      </c>
      <c r="K130" s="3">
        <f>-(N70_DESARROLLO!J45/0.014285714)*LN(N70_DESARROLLO!J45/N70_DESARROLLO!I45)-1</f>
        <v>-1.5544859931607924E-2</v>
      </c>
      <c r="L130" s="3">
        <f>-(N70_DESARROLLO!K45/0.014285714)*LN(N70_DESARROLLO!K45/N70_DESARROLLO!J45)-1</f>
        <v>-1.6043682665123127E-2</v>
      </c>
      <c r="M130" s="3">
        <f>-(N70_DESARROLLO!L45/0.014285714)*LN(N70_DESARROLLO!L45/N70_DESARROLLO!K45)-1</f>
        <v>-1.6575582437549308E-2</v>
      </c>
      <c r="N130" s="3">
        <f>-(N70_DESARROLLO!M45/0.014285714)*LN(N70_DESARROLLO!M45/N70_DESARROLLO!L45)-1</f>
        <v>-1.7143962314556949E-2</v>
      </c>
      <c r="O130" s="3">
        <f>-(N70_DESARROLLO!N45/0.014285714)*LN(N70_DESARROLLO!N45/N70_DESARROLLO!M45)-1</f>
        <v>-1.7752708797875383E-2</v>
      </c>
      <c r="P130" s="3">
        <f>-(N70_DESARROLLO!O45/0.014285714)*LN(N70_DESARROLLO!O45/N70_DESARROLLO!N45)-1</f>
        <v>-1.8406280838874522E-2</v>
      </c>
      <c r="Q130" s="3">
        <f>-(N70_DESARROLLO!P45/0.014285714)*LN(N70_DESARROLLO!P45/N70_DESARROLLO!O45)-1</f>
        <v>-1.9109819273397055E-2</v>
      </c>
      <c r="R130" s="3">
        <f>-(N70_DESARROLLO!Q45/0.014285714)*LN(N70_DESARROLLO!Q45/N70_DESARROLLO!P45)-1</f>
        <v>-1.9869282361757001E-2</v>
      </c>
      <c r="S130" s="3">
        <f>-(N70_DESARROLLO!R45/0.014285714)*LN(N70_DESARROLLO!R45/N70_DESARROLLO!Q45)-1</f>
        <v>-2.0691615000482666E-2</v>
      </c>
      <c r="T130" s="3">
        <f>-(N70_DESARROLLO!S45/0.014285714)*LN(N70_DESARROLLO!S45/N70_DESARROLLO!R45)-1</f>
        <v>-2.1584961787574186E-2</v>
      </c>
      <c r="U130" s="3">
        <f>-(N70_DESARROLLO!T45/0.014285714)*LN(N70_DESARROLLO!T45/N70_DESARROLLO!S45)-1</f>
        <v>-2.2558937800899459E-2</v>
      </c>
      <c r="V130" s="3">
        <f>-(N70_DESARROLLO!U45/0.014285714)*LN(N70_DESARROLLO!U45/N70_DESARROLLO!T45)-1</f>
        <v>-2.3624976192775815E-2</v>
      </c>
      <c r="W130" s="3">
        <f>-(N70_DESARROLLO!V45/0.014285714)*LN(N70_DESARROLLO!V45/N70_DESARROLLO!U45)-1</f>
        <v>-2.4796779290042426E-2</v>
      </c>
      <c r="X130" s="3">
        <f>-(N70_DESARROLLO!W45/0.014285714)*LN(N70_DESARROLLO!W45/N70_DESARROLLO!V45)-1</f>
        <v>-2.6090911041506626E-2</v>
      </c>
      <c r="Y130" s="3">
        <f>-(N70_DESARROLLO!X45/0.014285714)*LN(N70_DESARROLLO!X45/N70_DESARROLLO!W45)-1</f>
        <v>-2.7527585341367344E-2</v>
      </c>
      <c r="Z130" s="3">
        <f>-(N70_DESARROLLO!Y45/0.014285714)*LN(N70_DESARROLLO!Y45/N70_DESARROLLO!X45)-1</f>
        <v>-2.9131730204232431E-2</v>
      </c>
      <c r="AA130" s="3">
        <f>-(N70_DESARROLLO!Z45/0.014285714)*LN(N70_DESARROLLO!Z45/N70_DESARROLLO!Y45)-1</f>
        <v>-3.0934447408011101E-2</v>
      </c>
      <c r="AB130" s="3">
        <f>-(N70_DESARROLLO!AA45/0.014285714)*LN(N70_DESARROLLO!AA45/N70_DESARROLLO!Z45)-1</f>
        <v>-3.2975050428753039E-2</v>
      </c>
      <c r="AC130" s="3">
        <f>-(N70_DESARROLLO!AB45/0.014285714)*LN(N70_DESARROLLO!AB45/N70_DESARROLLO!AA45)-1</f>
        <v>-3.5303966947122234E-2</v>
      </c>
      <c r="AD130" s="3">
        <f>-(N70_DESARROLLO!AC45/0.014285714)*LN(N70_DESARROLLO!AC45/N70_DESARROLLO!AB45)-1</f>
        <v>-3.7986966558135382E-2</v>
      </c>
      <c r="AE130" s="3">
        <f>-(N70_DESARROLLO!AD45/0.014285714)*LN(N70_DESARROLLO!AD45/N70_DESARROLLO!AC45)-1</f>
        <v>-4.1111478023141634E-2</v>
      </c>
      <c r="AF130" s="3">
        <f>-(N70_DESARROLLO!AE45/0.014285714)*LN(N70_DESARROLLO!AE45/N70_DESARROLLO!AD45)-1</f>
        <v>-4.4796309735795514E-2</v>
      </c>
      <c r="AG130" s="3">
        <f>-(N70_DESARROLLO!AF45/0.014285714)*LN(N70_DESARROLLO!AF45/N70_DESARROLLO!AE45)-1</f>
        <v>-4.9207124692807525E-2</v>
      </c>
      <c r="AH130" s="3">
        <f>-(N70_DESARROLLO!AG45/0.014285714)*LN(N70_DESARROLLO!AG45/N70_DESARROLLO!AF45)-1</f>
        <v>-5.4582082654737407E-2</v>
      </c>
      <c r="AI130" s="3">
        <f>-(N70_DESARROLLO!AH45/0.014285714)*LN(N70_DESARROLLO!AH45/N70_DESARROLLO!AG45)-1</f>
        <v>-6.1276409070482818E-2</v>
      </c>
      <c r="AJ130" s="3">
        <f>-(N70_DESARROLLO!AI45/0.014285714)*LN(N70_DESARROLLO!AI45/N70_DESARROLLO!AH45)-1</f>
        <v>-6.9844497732512556E-2</v>
      </c>
      <c r="AK130" s="3">
        <f>-(N70_DESARROLLO!AJ45/0.014285714)*LN(N70_DESARROLLO!AJ45/N70_DESARROLLO!AI45)-1</f>
        <v>-8.1202515976636191E-2</v>
      </c>
      <c r="AL130" s="3">
        <f>-(N70_DESARROLLO!AK45/0.014285714)*LN(N70_DESARROLLO!AK45/N70_DESARROLLO!AJ45)-1</f>
        <v>-9.69818523599566E-2</v>
      </c>
      <c r="AM130" s="3">
        <f>-(N70_DESARROLLO!AL45/0.014285714)*LN(N70_DESARROLLO!AL45/N70_DESARROLLO!AK45)-1</f>
        <v>-0.12039948342481799</v>
      </c>
      <c r="AN130" s="3">
        <f>-(N70_DESARROLLO!AM45/0.014285714)*LN(N70_DESARROLLO!AM45/N70_DESARROLLO!AL45)-1</f>
        <v>-0.15881939162335501</v>
      </c>
      <c r="AO130" s="3">
        <f>-(N70_DESARROLLO!AN45/0.014285714)*LN(N70_DESARROLLO!AN45/N70_DESARROLLO!AM45)-1</f>
        <v>-0.2337615490262448</v>
      </c>
      <c r="AP130" s="3">
        <f>-(N70_DESARROLLO!AO45/0.014285714)*LN(N70_DESARROLLO!AO45/N70_DESARROLLO!AN45)-1</f>
        <v>-0.45069384467982276</v>
      </c>
      <c r="AQ130" s="3">
        <v>-1</v>
      </c>
      <c r="AR130" s="3">
        <f>-(N70_DESARROLLO!AQ45/0.014285714)*LN(N70_DESARROLLO!AQ45/N70_DESARROLLO!AP45)-1</f>
        <v>0.64791846596054437</v>
      </c>
      <c r="AS130" s="3">
        <f>-(N70_DESARROLLO!AR45/0.014285714)*LN(N70_DESARROLLO!AR45/N70_DESARROLLO!AQ45)-1</f>
        <v>0.2770640849562529</v>
      </c>
      <c r="AT130" s="3">
        <f>-(N70_DESARROLLO!AS45/0.014285714)*LN(N70_DESARROLLO!AS45/N70_DESARROLLO!AR45)-1</f>
        <v>0.17765285172730816</v>
      </c>
      <c r="AU130" s="3">
        <f>-(N70_DESARROLLO!AT45/0.014285714)*LN(N70_DESARROLLO!AT45/N70_DESARROLLO!AS45)-1</f>
        <v>0.13091494988237184</v>
      </c>
      <c r="AV130" s="3">
        <f>-(N70_DESARROLLO!AU45/0.014285714)*LN(N70_DESARROLLO!AU45/N70_DESARROLLO!AT45)-1</f>
        <v>0.10368884711561366</v>
      </c>
      <c r="AW130" s="3">
        <f>-(N70_DESARROLLO!AV45/0.014285714)*LN(N70_DESARROLLO!AV45/N70_DESARROLLO!AU45)-1</f>
        <v>8.5851572027607181E-2</v>
      </c>
      <c r="AX130" s="3">
        <f>-(N70_DESARROLLO!AW45/0.014285714)*LN(N70_DESARROLLO!AW45/N70_DESARROLLO!AV45)-1</f>
        <v>7.3256348770172952E-2</v>
      </c>
      <c r="AY130" s="3">
        <f>-(N70_DESARROLLO!AX45/0.014285714)*LN(N70_DESARROLLO!AX45/N70_DESARROLLO!AW45)-1</f>
        <v>6.3886736386790766E-2</v>
      </c>
      <c r="AZ130" s="3">
        <f>-(N70_DESARROLLO!AY45/0.014285714)*LN(N70_DESARROLLO!AY45/N70_DESARROLLO!AX45)-1</f>
        <v>5.664355467999882E-2</v>
      </c>
      <c r="BA130" s="3">
        <f>-(N70_DESARROLLO!AZ45/0.014285714)*LN(N70_DESARROLLO!AZ45/N70_DESARROLLO!AY45)-1</f>
        <v>5.0876335865848832E-2</v>
      </c>
      <c r="BB130" s="3">
        <f>-(N70_DESARROLLO!BA45/0.014285714)*LN(N70_DESARROLLO!BA45/N70_DESARROLLO!AZ45)-1</f>
        <v>4.6175470289362641E-2</v>
      </c>
      <c r="BC130" s="3">
        <f>-(N70_DESARROLLO!BB45/0.014285714)*LN(N70_DESARROLLO!BB45/N70_DESARROLLO!BA45)-1</f>
        <v>4.2270132583545728E-2</v>
      </c>
      <c r="BD130" s="3">
        <f>-(N70_DESARROLLO!BC45/0.014285714)*LN(N70_DESARROLLO!BC45/N70_DESARROLLO!BB45)-1</f>
        <v>3.8974076117209266E-2</v>
      </c>
      <c r="BE130" s="3">
        <f>-(N70_DESARROLLO!BD45/0.014285714)*LN(N70_DESARROLLO!BD45/N70_DESARROLLO!BC45)-1</f>
        <v>3.6154998464206445E-2</v>
      </c>
      <c r="BF130" s="3">
        <f>-(N70_DESARROLLO!BE45/0.014285714)*LN(N70_DESARROLLO!BE45/N70_DESARROLLO!BD45)-1</f>
        <v>3.3716325403741587E-2</v>
      </c>
      <c r="BG130" s="3">
        <f>-(N70_DESARROLLO!BF45/0.014285714)*LN(N70_DESARROLLO!BF45/N70_DESARROLLO!BE45)-1</f>
        <v>3.1585910823731744E-2</v>
      </c>
      <c r="BH130" s="3">
        <f>-(N70_DESARROLLO!BG45/0.014285714)*LN(N70_DESARROLLO!BG45/N70_DESARROLLO!BF45)-1</f>
        <v>2.9708770995506173E-2</v>
      </c>
      <c r="BI130" s="3">
        <f>-(N70_DESARROLLO!BH45/0.014285714)*LN(N70_DESARROLLO!BH45/N70_DESARROLLO!BG45)-1</f>
        <v>2.8042266924840797E-2</v>
      </c>
      <c r="BJ130" s="3">
        <f>-(N70_DESARROLLO!BI45/0.014285714)*LN(N70_DESARROLLO!BI45/N70_DESARROLLO!BH45)-1</f>
        <v>2.6552823496791333E-2</v>
      </c>
      <c r="BK130" s="3">
        <f>-(N70_DESARROLLO!BJ45/0.014285714)*LN(N70_DESARROLLO!BJ45/N70_DESARROLLO!BI45)-1</f>
        <v>2.5213642284827253E-2</v>
      </c>
      <c r="BL130" s="3">
        <f>-(N70_DESARROLLO!BK45/0.014285714)*LN(N70_DESARROLLO!BK45/N70_DESARROLLO!BJ45)-1</f>
        <v>2.4003073749041315E-2</v>
      </c>
      <c r="BM130" s="3">
        <f>-(N70_DESARROLLO!BL45/0.014285714)*LN(N70_DESARROLLO!BL45/N70_DESARROLLO!BK45)-1</f>
        <v>2.2903437185105791E-2</v>
      </c>
      <c r="BN130" s="3">
        <f>-(N70_DESARROLLO!BM45/0.014285714)*LN(N70_DESARROLLO!BM45/N70_DESARROLLO!BL45)-1</f>
        <v>2.190015102187215E-2</v>
      </c>
      <c r="BO130" s="3">
        <f>-(N70_DESARROLLO!BN45/0.014285714)*LN(N70_DESARROLLO!BN45/N70_DESARROLLO!BM45)-1</f>
        <v>2.0981082233534565E-2</v>
      </c>
      <c r="BP130" s="3">
        <f>-(N70_DESARROLLO!BO45/0.014285714)*LN(N70_DESARROLLO!BO45/N70_DESARROLLO!BN45)-1</f>
        <v>2.0136053052056457E-2</v>
      </c>
      <c r="BQ130" s="3">
        <f>-(N70_DESARROLLO!BP45/0.014285714)*LN(N70_DESARROLLO!BP45/N70_DESARROLLO!BO45)-1</f>
        <v>1.9356462323721457E-2</v>
      </c>
      <c r="BR130" s="3">
        <f>-(N70_DESARROLLO!BQ45/0.014285714)*LN(N70_DESARROLLO!BQ45/N70_DESARROLLO!BP45)-1</f>
        <v>1.8634991582305416E-2</v>
      </c>
      <c r="BS130" s="3">
        <f>-(N70_DESARROLLO!BR45/0.014285714)*LN(N70_DESARROLLO!BR45/N70_DESARROLLO!BQ45)-1</f>
        <v>1.7965374518559951E-2</v>
      </c>
      <c r="BT130" s="3">
        <f>-(N70_DESARROLLO!BS45/0.014285714)*LN(N70_DESARROLLO!BS45/N70_DESARROLLO!BR45)-1</f>
        <v>1.7342214446335324E-2</v>
      </c>
      <c r="BU130" s="3">
        <f>-(N70_DESARROLLO!BT45/0.014285714)*LN(N70_DESARROLLO!BT45/N70_DESARROLLO!BS45)-1</f>
        <v>1.6760838496770569E-2</v>
      </c>
      <c r="BV130" s="3">
        <f>-(N70_DESARROLLO!BU45/0.014285714)*LN(N70_DESARROLLO!BU45/N70_DESARROLLO!BT45)-1</f>
        <v>1.6217180198313308E-2</v>
      </c>
      <c r="BW130" s="3">
        <f>-(N70_DESARROLLO!BV45/0.014285714)*LN(N70_DESARROLLO!BV45/N70_DESARROLLO!BU45)-1</f>
        <v>1.5707684197550975E-2</v>
      </c>
      <c r="BX130" s="3">
        <f>-(N70_DESARROLLO!BW45/0.014285714)*LN(N70_DESARROLLO!BW45/N70_DESARROLLO!BV45)-1</f>
        <v>1.5229228398100814E-2</v>
      </c>
      <c r="BY130" s="3">
        <f>-(N70_DESARROLLO!BX45/0.014285714)*LN(N70_DESARROLLO!BX45/N70_DESARROLLO!BW45)-1</f>
        <v>50.586487257013431</v>
      </c>
      <c r="BZ130" s="10"/>
      <c r="CA130" s="10"/>
      <c r="CB130" s="10"/>
      <c r="CC130" s="10"/>
      <c r="CD130" s="1">
        <v>36</v>
      </c>
      <c r="CE130" s="1">
        <v>0</v>
      </c>
      <c r="CF130" s="1">
        <f>(1+(N70_DESARROLLO!F45/0.014285714)*LN(N70_DESARROLLO!G45/N70_DESARROLLO!F45))</f>
        <v>-1.4354742051083003E-2</v>
      </c>
      <c r="CG130" s="1">
        <f>(1+(N70_DESARROLLO!G45/0.014285714)*LN(N70_DESARROLLO!H45/N70_DESARROLLO!G45))</f>
        <v>-1.4779059912701564E-2</v>
      </c>
      <c r="CH130" s="1">
        <f>(1+(N70_DESARROLLO!H45/0.014285714)*LN(N70_DESARROLLO!I45/N70_DESARROLLO!H45))</f>
        <v>-1.5229228398103478E-2</v>
      </c>
      <c r="CI130" s="1">
        <f>(1+(N70_DESARROLLO!I45/0.014285714)*LN(N70_DESARROLLO!J45/N70_DESARROLLO!I45))</f>
        <v>-1.5707684197547422E-2</v>
      </c>
      <c r="CJ130" s="1">
        <f>(1+(N70_DESARROLLO!J45/0.014285714)*LN(N70_DESARROLLO!K45/N70_DESARROLLO!J45))</f>
        <v>-1.6217180198315306E-2</v>
      </c>
      <c r="CK130" s="1">
        <f>(1+(N70_DESARROLLO!K45/0.014285714)*LN(N70_DESARROLLO!L45/N70_DESARROLLO!K45))</f>
        <v>-1.6760838496771235E-2</v>
      </c>
      <c r="CL130" s="1">
        <f>(1+(N70_DESARROLLO!L45/0.014285714)*LN(N70_DESARROLLO!M45/N70_DESARROLLO!L45))</f>
        <v>-1.7342214446335769E-2</v>
      </c>
      <c r="CM130" s="1">
        <f>(1+(N70_DESARROLLO!M45/0.014285714)*LN(N70_DESARROLLO!N45/N70_DESARROLLO!M45))</f>
        <v>-1.7965374518565502E-2</v>
      </c>
      <c r="CN130" s="1">
        <f>(1+(N70_DESARROLLO!N45/0.014285714)*LN(N70_DESARROLLO!O45/N70_DESARROLLO!N45))</f>
        <v>-1.8634991582299865E-2</v>
      </c>
      <c r="CO130" s="1">
        <f>(1+(N70_DESARROLLO!O45/0.014285714)*LN(N70_DESARROLLO!P45/N70_DESARROLLO!O45))</f>
        <v>-1.9356462323724788E-2</v>
      </c>
      <c r="CP130" s="1">
        <f>(1+(N70_DESARROLLO!P45/0.014285714)*LN(N70_DESARROLLO!Q45/N70_DESARROLLO!P45))</f>
        <v>-2.0136053052048908E-2</v>
      </c>
      <c r="CQ130" s="1">
        <f>(1+(N70_DESARROLLO!Q45/0.014285714)*LN(N70_DESARROLLO!R45/N70_DESARROLLO!Q45))</f>
        <v>-2.098108223353945E-2</v>
      </c>
      <c r="CR130" s="1">
        <f>(1+(N70_DESARROLLO!R45/0.014285714)*LN(N70_DESARROLLO!S45/N70_DESARROLLO!R45))</f>
        <v>-2.190015102186682E-2</v>
      </c>
      <c r="CS130" s="1">
        <f>(1+(N70_DESARROLLO!S45/0.014285714)*LN(N70_DESARROLLO!T45/N70_DESARROLLO!S45))</f>
        <v>-2.2903437185105124E-2</v>
      </c>
      <c r="CT130" s="1">
        <f>(1+(N70_DESARROLLO!T45/0.014285714)*LN(N70_DESARROLLO!U45/N70_DESARROLLO!T45))</f>
        <v>-2.4003073749040205E-2</v>
      </c>
      <c r="CU130" s="1">
        <f>(1+(N70_DESARROLLO!U45/0.014285714)*LN(N70_DESARROLLO!V45/N70_DESARROLLO!U45))</f>
        <v>-2.5213642284827031E-2</v>
      </c>
      <c r="CV130" s="1">
        <f>(1+(N70_DESARROLLO!V45/0.014285714)*LN(N70_DESARROLLO!W45/N70_DESARROLLO!V45))</f>
        <v>-2.6552823496790445E-2</v>
      </c>
      <c r="CW130" s="1">
        <f>(1+(N70_DESARROLLO!W45/0.014285714)*LN(N70_DESARROLLO!X45/N70_DESARROLLO!W45))</f>
        <v>-2.8042266924840131E-2</v>
      </c>
      <c r="CX130" s="1">
        <f>(1+(N70_DESARROLLO!X45/0.014285714)*LN(N70_DESARROLLO!Y45/N70_DESARROLLO!X45))</f>
        <v>-2.9708770995511058E-2</v>
      </c>
      <c r="CY130" s="1">
        <f>(1+(N70_DESARROLLO!Y45/0.014285714)*LN(N70_DESARROLLO!Z45/N70_DESARROLLO!Y45))</f>
        <v>-3.158591082373019E-2</v>
      </c>
      <c r="CZ130" s="1">
        <f>(1+(N70_DESARROLLO!Z45/0.014285714)*LN(N70_DESARROLLO!AA45/N70_DESARROLLO!Z45))</f>
        <v>-3.3716325403746916E-2</v>
      </c>
      <c r="DA130" s="1">
        <f>(1+(N70_DESARROLLO!AA45/0.014285714)*LN(N70_DESARROLLO!AB45/N70_DESARROLLO!AA45))</f>
        <v>-3.6154998464202004E-2</v>
      </c>
      <c r="DB130" s="1">
        <f>(1+(N70_DESARROLLO!AB45/0.014285714)*LN(N70_DESARROLLO!AC45/N70_DESARROLLO!AB45))</f>
        <v>-3.8974076117213929E-2</v>
      </c>
      <c r="DC130" s="1">
        <f>(1+(N70_DESARROLLO!AC45/0.014285714)*LN(N70_DESARROLLO!AD45/N70_DESARROLLO!AC45))</f>
        <v>-4.2270132583541731E-2</v>
      </c>
      <c r="DD130" s="1">
        <f>(1+(N70_DESARROLLO!AD45/0.014285714)*LN(N70_DESARROLLO!AE45/N70_DESARROLLO!AD45))</f>
        <v>-4.6175470289367082E-2</v>
      </c>
      <c r="DE130" s="1">
        <f>(1+(N70_DESARROLLO!AE45/0.014285714)*LN(N70_DESARROLLO!AF45/N70_DESARROLLO!AE45))</f>
        <v>-5.0876335865844391E-2</v>
      </c>
      <c r="DF130" s="1">
        <f>(1+(N70_DESARROLLO!AF45/0.014285714)*LN(N70_DESARROLLO!AG45/N70_DESARROLLO!AF45))</f>
        <v>-5.664355467999882E-2</v>
      </c>
      <c r="DG130" s="1">
        <f>(1+(N70_DESARROLLO!AG45/0.014285714)*LN(N70_DESARROLLO!AH45/N70_DESARROLLO!AG45))</f>
        <v>-6.3886736386786325E-2</v>
      </c>
      <c r="DH130" s="1">
        <f>(1+(N70_DESARROLLO!AH45/0.014285714)*LN(N70_DESARROLLO!AI45/N70_DESARROLLO!AH45))</f>
        <v>-7.3256348770177837E-2</v>
      </c>
      <c r="DI130" s="1">
        <f>(1+(N70_DESARROLLO!AI45/0.014285714)*LN(N70_DESARROLLO!AJ45/N70_DESARROLLO!AI45))</f>
        <v>-8.5851572027611844E-2</v>
      </c>
      <c r="DJ130" s="1">
        <f>(1+(N70_DESARROLLO!AJ45/0.014285714)*LN(N70_DESARROLLO!AK45/N70_DESARROLLO!AJ45))</f>
        <v>-0.10368884711560877</v>
      </c>
      <c r="DK130" s="1">
        <f>(1+(N70_DESARROLLO!AK45/0.014285714)*LN(N70_DESARROLLO!AL45/N70_DESARROLLO!AK45))</f>
        <v>-0.13091494988237695</v>
      </c>
      <c r="DL130" s="1">
        <f>(1+(N70_DESARROLLO!AL45/0.014285714)*LN(N70_DESARROLLO!AM45/N70_DESARROLLO!AL45))</f>
        <v>-0.17765285172730327</v>
      </c>
      <c r="DM130" s="1">
        <f>(1+(N70_DESARROLLO!AM45/0.014285714)*LN(N70_DESARROLLO!AN45/N70_DESARROLLO!AM45))</f>
        <v>-0.27706408495625956</v>
      </c>
      <c r="DN130" s="1">
        <f>(1+(N70_DESARROLLO!AN45/0.014285714)*LN(N70_DESARROLLO!AO45/N70_DESARROLLO!AN45))</f>
        <v>-0.64791846596053615</v>
      </c>
      <c r="DO130" s="1">
        <v>1</v>
      </c>
      <c r="DP130" s="1">
        <f>(1+(N70_DESARROLLO!AP45/0.014285714)*LN(N70_DESARROLLO!AQ45/N70_DESARROLLO!AP45))</f>
        <v>0.45069384467982143</v>
      </c>
      <c r="DQ130" s="1">
        <f>(1+(N70_DESARROLLO!AQ45/0.014285714)*LN(N70_DESARROLLO!AR45/N70_DESARROLLO!AQ45))</f>
        <v>0.2337615490262468</v>
      </c>
      <c r="DR130" s="1">
        <f>(1+(N70_DESARROLLO!AR45/0.014285714)*LN(N70_DESARROLLO!AS45/N70_DESARROLLO!AR45))</f>
        <v>0.15881939162335246</v>
      </c>
      <c r="DS130" s="1">
        <f>(1+(N70_DESARROLLO!AS45/0.014285714)*LN(N70_DESARROLLO!AT45/N70_DESARROLLO!AS45))</f>
        <v>0.12039948342482099</v>
      </c>
      <c r="DT130" s="1">
        <f>(1+(N70_DESARROLLO!AT45/0.014285714)*LN(N70_DESARROLLO!AU45/N70_DESARROLLO!AT45))</f>
        <v>9.6981852359953269E-2</v>
      </c>
      <c r="DU130" s="1">
        <f>(1+(N70_DESARROLLO!AU45/0.014285714)*LN(N70_DESARROLLO!AV45/N70_DESARROLLO!AU45))</f>
        <v>8.1202515976639411E-2</v>
      </c>
      <c r="DV130" s="1">
        <f>(1+(N70_DESARROLLO!AV45/0.014285714)*LN(N70_DESARROLLO!AW45/N70_DESARROLLO!AV45))</f>
        <v>6.9844497732516331E-2</v>
      </c>
      <c r="DW130" s="1">
        <f>(1+(N70_DESARROLLO!AW45/0.014285714)*LN(N70_DESARROLLO!AX45/N70_DESARROLLO!AW45))</f>
        <v>6.1276409070479265E-2</v>
      </c>
      <c r="DX130" s="1">
        <f>(1+(N70_DESARROLLO!AX45/0.014285714)*LN(N70_DESARROLLO!AY45/N70_DESARROLLO!AX45))</f>
        <v>5.4582082654737407E-2</v>
      </c>
      <c r="DY130" s="1">
        <f>(1+(N70_DESARROLLO!AY45/0.014285714)*LN(N70_DESARROLLO!AZ45/N70_DESARROLLO!AY45))</f>
        <v>4.9207124692803972E-2</v>
      </c>
      <c r="DZ130" s="1">
        <f>(1+(N70_DESARROLLO!AZ45/0.014285714)*LN(N70_DESARROLLO!BA45/N70_DESARROLLO!AZ45))</f>
        <v>4.4796309735798956E-2</v>
      </c>
      <c r="EA130" s="1">
        <f>(1+(N70_DESARROLLO!BA45/0.014285714)*LN(N70_DESARROLLO!BB45/N70_DESARROLLO!BA45))</f>
        <v>4.1111478023138415E-2</v>
      </c>
      <c r="EB130" s="1">
        <f>(1+(N70_DESARROLLO!BB45/0.014285714)*LN(N70_DESARROLLO!BC45/N70_DESARROLLO!BB45))</f>
        <v>3.7986966558139379E-2</v>
      </c>
      <c r="EC130" s="1">
        <f>(1+(N70_DESARROLLO!BC45/0.014285714)*LN(N70_DESARROLLO!BD45/N70_DESARROLLO!BC45))</f>
        <v>3.5303966947118459E-2</v>
      </c>
      <c r="ED130" s="1">
        <f>(1+(N70_DESARROLLO!BD45/0.014285714)*LN(N70_DESARROLLO!BE45/N70_DESARROLLO!BD45))</f>
        <v>3.2975050428757702E-2</v>
      </c>
      <c r="EE130" s="1">
        <f>(1+(N70_DESARROLLO!BE45/0.014285714)*LN(N70_DESARROLLO!BF45/N70_DESARROLLO!BE45))</f>
        <v>3.0934447408009769E-2</v>
      </c>
      <c r="EF130" s="1">
        <f>(1+(N70_DESARROLLO!BF45/0.014285714)*LN(N70_DESARROLLO!BG45/N70_DESARROLLO!BF45))</f>
        <v>2.9131730204236872E-2</v>
      </c>
      <c r="EG130" s="1">
        <f>(1+(N70_DESARROLLO!BG45/0.014285714)*LN(N70_DESARROLLO!BH45/N70_DESARROLLO!BG45))</f>
        <v>2.7527585341366678E-2</v>
      </c>
      <c r="EH130" s="1">
        <f>(1+(N70_DESARROLLO!BH45/0.014285714)*LN(N70_DESARROLLO!BI45/N70_DESARROLLO!BH45))</f>
        <v>2.6090911041505627E-2</v>
      </c>
      <c r="EI130" s="1">
        <f>(1+(N70_DESARROLLO!BI45/0.014285714)*LN(N70_DESARROLLO!BJ45/N70_DESARROLLO!BI45))</f>
        <v>2.4796779290042203E-2</v>
      </c>
      <c r="EJ130" s="1">
        <f>(1+(N70_DESARROLLO!BJ45/0.014285714)*LN(N70_DESARROLLO!BK45/N70_DESARROLLO!BJ45))</f>
        <v>2.3624976192774816E-2</v>
      </c>
      <c r="EK130" s="1">
        <f>(1+(N70_DESARROLLO!BK45/0.014285714)*LN(N70_DESARROLLO!BL45/N70_DESARROLLO!BK45))</f>
        <v>2.2558937800898904E-2</v>
      </c>
      <c r="EL130" s="1">
        <f>(1+(N70_DESARROLLO!BL45/0.014285714)*LN(N70_DESARROLLO!BM45/N70_DESARROLLO!BL45))</f>
        <v>2.1584961787569412E-2</v>
      </c>
      <c r="EM130" s="1">
        <f>(1+(N70_DESARROLLO!BM45/0.014285714)*LN(N70_DESARROLLO!BN45/N70_DESARROLLO!BM45))</f>
        <v>2.0691615000487218E-2</v>
      </c>
      <c r="EN130" s="1">
        <f>(1+(N70_DESARROLLO!BN45/0.014285714)*LN(N70_DESARROLLO!BO45/N70_DESARROLLO!BN45))</f>
        <v>1.9869282361749896E-2</v>
      </c>
      <c r="EO130" s="1">
        <f>(1+(N70_DESARROLLO!BO45/0.014285714)*LN(N70_DESARROLLO!BP45/N70_DESARROLLO!BO45))</f>
        <v>1.9109819273400053E-2</v>
      </c>
      <c r="EP130" s="1">
        <f>(1+(N70_DESARROLLO!BP45/0.014285714)*LN(N70_DESARROLLO!BQ45/N70_DESARROLLO!BP45))</f>
        <v>1.8406280838869304E-2</v>
      </c>
      <c r="EQ130" s="1">
        <f>(1+(N70_DESARROLLO!BQ45/0.014285714)*LN(N70_DESARROLLO!BR45/N70_DESARROLLO!BQ45))</f>
        <v>1.7752708797880712E-2</v>
      </c>
      <c r="ER130" s="1">
        <f>(1+(N70_DESARROLLO!BR45/0.014285714)*LN(N70_DESARROLLO!BS45/N70_DESARROLLO!BR45))</f>
        <v>1.7143962314557393E-2</v>
      </c>
      <c r="ES130" s="1">
        <f>(1+(N70_DESARROLLO!BS45/0.014285714)*LN(N70_DESARROLLO!BT45/N70_DESARROLLO!BS45))</f>
        <v>1.6575582437549863E-2</v>
      </c>
      <c r="ET130" s="1">
        <f>(1+(N70_DESARROLLO!BT45/0.014285714)*LN(N70_DESARROLLO!BU45/N70_DESARROLLO!BT45))</f>
        <v>1.6043682665125125E-2</v>
      </c>
      <c r="EU130" s="1">
        <f>(1+(N70_DESARROLLO!BU45/0.014285714)*LN(N70_DESARROLLO!BV45/N70_DESARROLLO!BU45))</f>
        <v>1.5544859931604593E-2</v>
      </c>
      <c r="EV130" s="1">
        <f>(1+(N70_DESARROLLO!BV45/0.014285714)*LN(N70_DESARROLLO!BW45/N70_DESARROLLO!BV45))</f>
        <v>1.5076121703334833E-2</v>
      </c>
      <c r="EW130" s="1">
        <f>(1+(N70_DESARROLLO!BW45/0.014285714)*LN(N70_DESARROLLO!BX45/N70_DESARROLLO!BW45))</f>
        <v>-23.687818901570711</v>
      </c>
    </row>
    <row r="131" spans="7:153" x14ac:dyDescent="0.25">
      <c r="G131" s="3">
        <v>37</v>
      </c>
      <c r="H131" s="3">
        <f>-(N70_DESARROLLO!G46/0.014285714)*LN(N70_DESARROLLO!G46/N70_DESARROLLO!F46)-1</f>
        <v>-1.3825454475325571E-2</v>
      </c>
      <c r="I131" s="3">
        <f>-(N70_DESARROLLO!H46/0.014285714)*LN(N70_DESARROLLO!H46/N70_DESARROLLO!G46)-1</f>
        <v>-1.4218630964436874E-2</v>
      </c>
      <c r="J131" s="3">
        <f>-(N70_DESARROLLO!I46/0.014285714)*LN(N70_DESARROLLO!I46/N70_DESARROLLO!H46)-1</f>
        <v>-1.4634825881869817E-2</v>
      </c>
      <c r="K131" s="3">
        <f>-(N70_DESARROLLO!J46/0.014285714)*LN(N70_DESARROLLO!J46/N70_DESARROLLO!I46)-1</f>
        <v>-1.5076121703332723E-2</v>
      </c>
      <c r="L131" s="3">
        <f>-(N70_DESARROLLO!K46/0.014285714)*LN(N70_DESARROLLO!K46/N70_DESARROLLO!J46)-1</f>
        <v>-1.5544859931611588E-2</v>
      </c>
      <c r="M131" s="3">
        <f>-(N70_DESARROLLO!L46/0.014285714)*LN(N70_DESARROLLO!L46/N70_DESARROLLO!K46)-1</f>
        <v>-1.6043682665116576E-2</v>
      </c>
      <c r="N131" s="3">
        <f>-(N70_DESARROLLO!M46/0.014285714)*LN(N70_DESARROLLO!M46/N70_DESARROLLO!L46)-1</f>
        <v>-1.657558243755608E-2</v>
      </c>
      <c r="O131" s="3">
        <f>-(N70_DESARROLLO!N46/0.014285714)*LN(N70_DESARROLLO!N46/N70_DESARROLLO!M46)-1</f>
        <v>-1.7143962314553729E-2</v>
      </c>
      <c r="P131" s="3">
        <f>-(N70_DESARROLLO!O46/0.014285714)*LN(N70_DESARROLLO!O46/N70_DESARROLLO!N46)-1</f>
        <v>-1.7752708797875494E-2</v>
      </c>
      <c r="Q131" s="3">
        <f>-(N70_DESARROLLO!P46/0.014285714)*LN(N70_DESARROLLO!P46/N70_DESARROLLO!O46)-1</f>
        <v>-1.8406280838874745E-2</v>
      </c>
      <c r="R131" s="3">
        <f>-(N70_DESARROLLO!Q46/0.014285714)*LN(N70_DESARROLLO!Q46/N70_DESARROLLO!P46)-1</f>
        <v>-1.9109819273397166E-2</v>
      </c>
      <c r="S131" s="3">
        <f>-(N70_DESARROLLO!R46/0.014285714)*LN(N70_DESARROLLO!R46/N70_DESARROLLO!Q46)-1</f>
        <v>-1.9869282361757112E-2</v>
      </c>
      <c r="T131" s="3">
        <f>-(N70_DESARROLLO!S46/0.014285714)*LN(N70_DESARROLLO!S46/N70_DESARROLLO!R46)-1</f>
        <v>-2.0691615000482777E-2</v>
      </c>
      <c r="U131" s="3">
        <f>-(N70_DESARROLLO!T46/0.014285714)*LN(N70_DESARROLLO!T46/N70_DESARROLLO!S46)-1</f>
        <v>-2.1584961787579404E-2</v>
      </c>
      <c r="V131" s="3">
        <f>-(N70_DESARROLLO!U46/0.014285714)*LN(N70_DESARROLLO!U46/N70_DESARROLLO!T46)-1</f>
        <v>-2.2558937800892354E-2</v>
      </c>
      <c r="W131" s="3">
        <f>-(N70_DESARROLLO!V46/0.014285714)*LN(N70_DESARROLLO!V46/N70_DESARROLLO!U46)-1</f>
        <v>-2.362497619278292E-2</v>
      </c>
      <c r="X131" s="3">
        <f>-(N70_DESARROLLO!W46/0.014285714)*LN(N70_DESARROLLO!W46/N70_DESARROLLO!V46)-1</f>
        <v>-2.4796779290033655E-2</v>
      </c>
      <c r="Y131" s="3">
        <f>-(N70_DESARROLLO!X46/0.014285714)*LN(N70_DESARROLLO!X46/N70_DESARROLLO!W46)-1</f>
        <v>-2.6090911041515175E-2</v>
      </c>
      <c r="Z131" s="3">
        <f>-(N70_DESARROLLO!Y46/0.014285714)*LN(N70_DESARROLLO!Y46/N70_DESARROLLO!X46)-1</f>
        <v>-2.7527585341363459E-2</v>
      </c>
      <c r="AA131" s="3">
        <f>-(N70_DESARROLLO!Z46/0.014285714)*LN(N70_DESARROLLO!Z46/N70_DESARROLLO!Y46)-1</f>
        <v>-2.9131730204232653E-2</v>
      </c>
      <c r="AB131" s="3">
        <f>-(N70_DESARROLLO!AA46/0.014285714)*LN(N70_DESARROLLO!AA46/N70_DESARROLLO!Z46)-1</f>
        <v>-3.0934447408011323E-2</v>
      </c>
      <c r="AC131" s="3">
        <f>-(N70_DESARROLLO!AB46/0.014285714)*LN(N70_DESARROLLO!AB46/N70_DESARROLLO!AA46)-1</f>
        <v>-3.2975050428753261E-2</v>
      </c>
      <c r="AD131" s="3">
        <f>-(N70_DESARROLLO!AC46/0.014285714)*LN(N70_DESARROLLO!AC46/N70_DESARROLLO!AB46)-1</f>
        <v>-3.5303966947122456E-2</v>
      </c>
      <c r="AE131" s="3">
        <f>-(N70_DESARROLLO!AD46/0.014285714)*LN(N70_DESARROLLO!AD46/N70_DESARROLLO!AC46)-1</f>
        <v>-3.7986966558134272E-2</v>
      </c>
      <c r="AF131" s="3">
        <f>-(N70_DESARROLLO!AE46/0.014285714)*LN(N70_DESARROLLO!AE46/N70_DESARROLLO!AD46)-1</f>
        <v>-4.1111478023141856E-2</v>
      </c>
      <c r="AG131" s="3">
        <f>-(N70_DESARROLLO!AF46/0.014285714)*LN(N70_DESARROLLO!AF46/N70_DESARROLLO!AE46)-1</f>
        <v>-4.4796309735795847E-2</v>
      </c>
      <c r="AH131" s="3">
        <f>-(N70_DESARROLLO!AG46/0.014285714)*LN(N70_DESARROLLO!AG46/N70_DESARROLLO!AF46)-1</f>
        <v>-4.9207124692811077E-2</v>
      </c>
      <c r="AI131" s="3">
        <f>-(N70_DESARROLLO!AH46/0.014285714)*LN(N70_DESARROLLO!AH46/N70_DESARROLLO!AG46)-1</f>
        <v>-5.4582082654733854E-2</v>
      </c>
      <c r="AJ131" s="3">
        <f>-(N70_DESARROLLO!AI46/0.014285714)*LN(N70_DESARROLLO!AI46/N70_DESARROLLO!AH46)-1</f>
        <v>-6.1276409070483262E-2</v>
      </c>
      <c r="AK131" s="3">
        <f>-(N70_DESARROLLO!AJ46/0.014285714)*LN(N70_DESARROLLO!AJ46/N70_DESARROLLO!AI46)-1</f>
        <v>-6.9844497732513111E-2</v>
      </c>
      <c r="AL131" s="3">
        <f>-(N70_DESARROLLO!AK46/0.014285714)*LN(N70_DESARROLLO!AK46/N70_DESARROLLO!AJ46)-1</f>
        <v>-8.120251597663608E-2</v>
      </c>
      <c r="AM131" s="3">
        <f>-(N70_DESARROLLO!AL46/0.014285714)*LN(N70_DESARROLLO!AL46/N70_DESARROLLO!AK46)-1</f>
        <v>-9.69818523599566E-2</v>
      </c>
      <c r="AN131" s="3">
        <f>-(N70_DESARROLLO!AM46/0.014285714)*LN(N70_DESARROLLO!AM46/N70_DESARROLLO!AL46)-1</f>
        <v>-0.1203994834248181</v>
      </c>
      <c r="AO131" s="3">
        <f>-(N70_DESARROLLO!AN46/0.014285714)*LN(N70_DESARROLLO!AN46/N70_DESARROLLO!AM46)-1</f>
        <v>-0.15881939162335568</v>
      </c>
      <c r="AP131" s="3">
        <f>-(N70_DESARROLLO!AO46/0.014285714)*LN(N70_DESARROLLO!AO46/N70_DESARROLLO!AN46)-1</f>
        <v>-0.23376154902624535</v>
      </c>
      <c r="AQ131" s="3">
        <f>-(N70_DESARROLLO!AP46/0.014285714)*LN(N70_DESARROLLO!AP46/N70_DESARROLLO!AO46)-1</f>
        <v>-0.45069384467982399</v>
      </c>
      <c r="AR131" s="3">
        <v>-1</v>
      </c>
      <c r="AS131" s="3">
        <f>-(N70_DESARROLLO!AR46/0.014285714)*LN(N70_DESARROLLO!AR46/N70_DESARROLLO!AQ46)-1</f>
        <v>0.64791846596052105</v>
      </c>
      <c r="AT131" s="3">
        <f>-(N70_DESARROLLO!AS46/0.014285714)*LN(N70_DESARROLLO!AS46/N70_DESARROLLO!AR46)-1</f>
        <v>0.27706408495626422</v>
      </c>
      <c r="AU131" s="3">
        <f>-(N70_DESARROLLO!AT46/0.014285714)*LN(N70_DESARROLLO!AT46/N70_DESARROLLO!AS46)-1</f>
        <v>0.17765285172729706</v>
      </c>
      <c r="AV131" s="3">
        <f>-(N70_DESARROLLO!AU46/0.014285714)*LN(N70_DESARROLLO!AU46/N70_DESARROLLO!AT46)-1</f>
        <v>0.13091494988238161</v>
      </c>
      <c r="AW131" s="3">
        <f>-(N70_DESARROLLO!AV46/0.014285714)*LN(N70_DESARROLLO!AV46/N70_DESARROLLO!AU46)-1</f>
        <v>0.10368884711560367</v>
      </c>
      <c r="AX131" s="3">
        <f>-(N70_DESARROLLO!AW46/0.014285714)*LN(N70_DESARROLLO!AW46/N70_DESARROLLO!AV46)-1</f>
        <v>8.5851572027607181E-2</v>
      </c>
      <c r="AY131" s="3">
        <f>-(N70_DESARROLLO!AX46/0.014285714)*LN(N70_DESARROLLO!AX46/N70_DESARROLLO!AW46)-1</f>
        <v>7.325634877018139E-2</v>
      </c>
      <c r="AZ131" s="3">
        <f>-(N70_DESARROLLO!AY46/0.014285714)*LN(N70_DESARROLLO!AY46/N70_DESARROLLO!AX46)-1</f>
        <v>6.388673638678255E-2</v>
      </c>
      <c r="BA131" s="3">
        <f>-(N70_DESARROLLO!AZ46/0.014285714)*LN(N70_DESARROLLO!AZ46/N70_DESARROLLO!AY46)-1</f>
        <v>5.6643554680007258E-2</v>
      </c>
      <c r="BB131" s="3">
        <f>-(N70_DESARROLLO!BA46/0.014285714)*LN(N70_DESARROLLO!BA46/N70_DESARROLLO!AZ46)-1</f>
        <v>5.0876335865840394E-2</v>
      </c>
      <c r="BC131" s="3">
        <f>-(N70_DESARROLLO!BB46/0.014285714)*LN(N70_DESARROLLO!BB46/N70_DESARROLLO!BA46)-1</f>
        <v>4.6175470289370413E-2</v>
      </c>
      <c r="BD131" s="3">
        <f>-(N70_DESARROLLO!BC46/0.014285714)*LN(N70_DESARROLLO!BC46/N70_DESARROLLO!BB46)-1</f>
        <v>4.2270132583537956E-2</v>
      </c>
      <c r="BE131" s="3">
        <f>-(N70_DESARROLLO!BD46/0.014285714)*LN(N70_DESARROLLO!BD46/N70_DESARROLLO!BC46)-1</f>
        <v>3.8974076117218148E-2</v>
      </c>
      <c r="BF131" s="3">
        <f>-(N70_DESARROLLO!BE46/0.014285714)*LN(N70_DESARROLLO!BE46/N70_DESARROLLO!BD46)-1</f>
        <v>3.6154998464197563E-2</v>
      </c>
      <c r="BG131" s="3">
        <f>-(N70_DESARROLLO!BF46/0.014285714)*LN(N70_DESARROLLO!BF46/N70_DESARROLLO!BE46)-1</f>
        <v>3.3716325403751579E-2</v>
      </c>
      <c r="BH131" s="3">
        <f>-(N70_DESARROLLO!BG46/0.014285714)*LN(N70_DESARROLLO!BG46/N70_DESARROLLO!BF46)-1</f>
        <v>3.1585910823724861E-2</v>
      </c>
      <c r="BI131" s="3">
        <f>-(N70_DESARROLLO!BH46/0.014285714)*LN(N70_DESARROLLO!BH46/N70_DESARROLLO!BG46)-1</f>
        <v>2.9708770995506173E-2</v>
      </c>
      <c r="BJ131" s="3">
        <f>-(N70_DESARROLLO!BI46/0.014285714)*LN(N70_DESARROLLO!BI46/N70_DESARROLLO!BH46)-1</f>
        <v>2.8042266924849013E-2</v>
      </c>
      <c r="BK131" s="3">
        <f>-(N70_DESARROLLO!BJ46/0.014285714)*LN(N70_DESARROLLO!BJ46/N70_DESARROLLO!BI46)-1</f>
        <v>2.6552823496783118E-2</v>
      </c>
      <c r="BL131" s="3">
        <f>-(N70_DESARROLLO!BK46/0.014285714)*LN(N70_DESARROLLO!BK46/N70_DESARROLLO!BJ46)-1</f>
        <v>2.5213642284836357E-2</v>
      </c>
      <c r="BM131" s="3">
        <f>-(N70_DESARROLLO!BL46/0.014285714)*LN(N70_DESARROLLO!BL46/N70_DESARROLLO!BK46)-1</f>
        <v>2.4003073749032211E-2</v>
      </c>
      <c r="BN131" s="3">
        <f>-(N70_DESARROLLO!BM46/0.014285714)*LN(N70_DESARROLLO!BM46/N70_DESARROLLO!BL46)-1</f>
        <v>2.2903437185110898E-2</v>
      </c>
      <c r="BO131" s="3">
        <f>-(N70_DESARROLLO!BN46/0.014285714)*LN(N70_DESARROLLO!BN46/N70_DESARROLLO!BM46)-1</f>
        <v>2.1900151021861936E-2</v>
      </c>
      <c r="BP131" s="3">
        <f>-(N70_DESARROLLO!BO46/0.014285714)*LN(N70_DESARROLLO!BO46/N70_DESARROLLO!BN46)-1</f>
        <v>2.0981082233545223E-2</v>
      </c>
      <c r="BQ131" s="3">
        <f>-(N70_DESARROLLO!BP46/0.014285714)*LN(N70_DESARROLLO!BP46/N70_DESARROLLO!BO46)-1</f>
        <v>2.0136053052045577E-2</v>
      </c>
      <c r="BR131" s="3">
        <f>-(N70_DESARROLLO!BQ46/0.014285714)*LN(N70_DESARROLLO!BQ46/N70_DESARROLLO!BP46)-1</f>
        <v>1.9356462323727452E-2</v>
      </c>
      <c r="BS131" s="3">
        <f>-(N70_DESARROLLO!BR46/0.014285714)*LN(N70_DESARROLLO!BR46/N70_DESARROLLO!BQ46)-1</f>
        <v>1.8634991582293647E-2</v>
      </c>
      <c r="BT131" s="3">
        <f>-(N70_DESARROLLO!BS46/0.014285714)*LN(N70_DESARROLLO!BS46/N70_DESARROLLO!BR46)-1</f>
        <v>1.7965374518559951E-2</v>
      </c>
      <c r="BU131" s="3">
        <f>-(N70_DESARROLLO!BT46/0.014285714)*LN(N70_DESARROLLO!BT46/N70_DESARROLLO!BS46)-1</f>
        <v>1.7342214446341986E-2</v>
      </c>
      <c r="BV131" s="3">
        <f>-(N70_DESARROLLO!BU46/0.014285714)*LN(N70_DESARROLLO!BU46/N70_DESARROLLO!BT46)-1</f>
        <v>1.676083849676413E-2</v>
      </c>
      <c r="BW131" s="3">
        <f>-(N70_DESARROLLO!BV46/0.014285714)*LN(N70_DESARROLLO!BV46/N70_DESARROLLO!BU46)-1</f>
        <v>1.6217180198320191E-2</v>
      </c>
      <c r="BX131" s="3">
        <f>-(N70_DESARROLLO!BW46/0.014285714)*LN(N70_DESARROLLO!BW46/N70_DESARROLLO!BV46)-1</f>
        <v>1.5707684197544092E-2</v>
      </c>
      <c r="BY131" s="3">
        <f>-(N70_DESARROLLO!BX46/0.014285714)*LN(N70_DESARROLLO!BX46/N70_DESARROLLO!BW46)-1</f>
        <v>52.707861764113943</v>
      </c>
      <c r="BZ131" s="10"/>
      <c r="CA131" s="10"/>
      <c r="CB131" s="10"/>
      <c r="CC131" s="10"/>
      <c r="CD131">
        <v>37</v>
      </c>
      <c r="CE131" s="1">
        <v>0</v>
      </c>
      <c r="CF131" s="1">
        <f>(1+(N70_DESARROLLO!F46/0.014285714)*LN(N70_DESARROLLO!G46/N70_DESARROLLO!F46))</f>
        <v>-1.3954110187341273E-2</v>
      </c>
      <c r="CG131" s="1">
        <f>(1+(N70_DESARROLLO!G46/0.014285714)*LN(N70_DESARROLLO!H46/N70_DESARROLLO!G46))</f>
        <v>-1.4354742051086999E-2</v>
      </c>
      <c r="CH131" s="1">
        <f>(1+(N70_DESARROLLO!H46/0.014285714)*LN(N70_DESARROLLO!I46/N70_DESARROLLO!H46))</f>
        <v>-1.4779059912701342E-2</v>
      </c>
      <c r="CI131" s="1">
        <f>(1+(N70_DESARROLLO!I46/0.014285714)*LN(N70_DESARROLLO!J46/N70_DESARROLLO!I46))</f>
        <v>-1.5229228398103256E-2</v>
      </c>
      <c r="CJ131" s="1">
        <f>(1+(N70_DESARROLLO!J46/0.014285714)*LN(N70_DESARROLLO!K46/N70_DESARROLLO!J46))</f>
        <v>-1.5707684197543426E-2</v>
      </c>
      <c r="CK131" s="1">
        <f>(1+(N70_DESARROLLO!K46/0.014285714)*LN(N70_DESARROLLO!L46/N70_DESARROLLO!K46))</f>
        <v>-1.6217180198322412E-2</v>
      </c>
      <c r="CL131" s="1">
        <f>(1+(N70_DESARROLLO!L46/0.014285714)*LN(N70_DESARROLLO!M46/N70_DESARROLLO!L46))</f>
        <v>-1.6760838496763908E-2</v>
      </c>
      <c r="CM131" s="1">
        <f>(1+(N70_DESARROLLO!M46/0.014285714)*LN(N70_DESARROLLO!N46/N70_DESARROLLO!M46))</f>
        <v>-1.7342214446339099E-2</v>
      </c>
      <c r="CN131" s="1">
        <f>(1+(N70_DESARROLLO!N46/0.014285714)*LN(N70_DESARROLLO!O46/N70_DESARROLLO!N46))</f>
        <v>-1.7965374518565502E-2</v>
      </c>
      <c r="CO131" s="1">
        <f>(1+(N70_DESARROLLO!O46/0.014285714)*LN(N70_DESARROLLO!P46/N70_DESARROLLO!O46))</f>
        <v>-1.8634991582299865E-2</v>
      </c>
      <c r="CP131" s="1">
        <f>(1+(N70_DESARROLLO!P46/0.014285714)*LN(N70_DESARROLLO!Q46/N70_DESARROLLO!P46))</f>
        <v>-1.9356462323724344E-2</v>
      </c>
      <c r="CQ131" s="1">
        <f>(1+(N70_DESARROLLO!Q46/0.014285714)*LN(N70_DESARROLLO!R46/N70_DESARROLLO!Q46))</f>
        <v>-2.0136053052048686E-2</v>
      </c>
      <c r="CR131" s="1">
        <f>(1+(N70_DESARROLLO!R46/0.014285714)*LN(N70_DESARROLLO!S46/N70_DESARROLLO!R46))</f>
        <v>-2.0981082233539228E-2</v>
      </c>
      <c r="CS131" s="1">
        <f>(1+(N70_DESARROLLO!S46/0.014285714)*LN(N70_DESARROLLO!T46/N70_DESARROLLO!S46))</f>
        <v>-2.1900151021861269E-2</v>
      </c>
      <c r="CT131" s="1">
        <f>(1+(N70_DESARROLLO!T46/0.014285714)*LN(N70_DESARROLLO!U46/N70_DESARROLLO!T46))</f>
        <v>-2.2903437185112896E-2</v>
      </c>
      <c r="CU131" s="1">
        <f>(1+(N70_DESARROLLO!U46/0.014285714)*LN(N70_DESARROLLO!V46/N70_DESARROLLO!U46))</f>
        <v>-2.4003073749032433E-2</v>
      </c>
      <c r="CV131" s="1">
        <f>(1+(N70_DESARROLLO!V46/0.014285714)*LN(N70_DESARROLLO!W46/N70_DESARROLLO!V46))</f>
        <v>-2.5213642284836801E-2</v>
      </c>
      <c r="CW131" s="1">
        <f>(1+(N70_DESARROLLO!W46/0.014285714)*LN(N70_DESARROLLO!X46/N70_DESARROLLO!W46))</f>
        <v>-2.6552823496780897E-2</v>
      </c>
      <c r="CX131" s="1">
        <f>(1+(N70_DESARROLLO!X46/0.014285714)*LN(N70_DESARROLLO!Y46/N70_DESARROLLO!X46))</f>
        <v>-2.804226692484435E-2</v>
      </c>
      <c r="CY131" s="1">
        <f>(1+(N70_DESARROLLO!Y46/0.014285714)*LN(N70_DESARROLLO!Z46/N70_DESARROLLO!Y46))</f>
        <v>-2.9708770995510836E-2</v>
      </c>
      <c r="CZ131" s="1">
        <f>(1+(N70_DESARROLLO!Z46/0.014285714)*LN(N70_DESARROLLO!AA46/N70_DESARROLLO!Z46))</f>
        <v>-3.1585910823729968E-2</v>
      </c>
      <c r="DA131" s="1">
        <f>(1+(N70_DESARROLLO!AA46/0.014285714)*LN(N70_DESARROLLO!AB46/N70_DESARROLLO!AA46))</f>
        <v>-3.3716325403746694E-2</v>
      </c>
      <c r="DB131" s="1">
        <f>(1+(N70_DESARROLLO!AB46/0.014285714)*LN(N70_DESARROLLO!AC46/N70_DESARROLLO!AB46))</f>
        <v>-3.6154998464201782E-2</v>
      </c>
      <c r="DC131" s="1">
        <f>(1+(N70_DESARROLLO!AC46/0.014285714)*LN(N70_DESARROLLO!AD46/N70_DESARROLLO!AC46))</f>
        <v>-3.897407611721504E-2</v>
      </c>
      <c r="DD131" s="1">
        <f>(1+(N70_DESARROLLO!AD46/0.014285714)*LN(N70_DESARROLLO!AE46/N70_DESARROLLO!AD46))</f>
        <v>-4.2270132583541509E-2</v>
      </c>
      <c r="DE131" s="1">
        <f>(1+(N70_DESARROLLO!AE46/0.014285714)*LN(N70_DESARROLLO!AF46/N70_DESARROLLO!AE46))</f>
        <v>-4.6175470289366638E-2</v>
      </c>
      <c r="DF131" s="1">
        <f>(1+(N70_DESARROLLO!AF46/0.014285714)*LN(N70_DESARROLLO!AG46/N70_DESARROLLO!AF46))</f>
        <v>-5.087633586583995E-2</v>
      </c>
      <c r="DG131" s="1">
        <f>(1+(N70_DESARROLLO!AG46/0.014285714)*LN(N70_DESARROLLO!AH46/N70_DESARROLLO!AG46))</f>
        <v>-5.6643554680003483E-2</v>
      </c>
      <c r="DH131" s="1">
        <f>(1+(N70_DESARROLLO!AH46/0.014285714)*LN(N70_DESARROLLO!AI46/N70_DESARROLLO!AH46))</f>
        <v>-6.3886736386785659E-2</v>
      </c>
      <c r="DI131" s="1">
        <f>(1+(N70_DESARROLLO!AI46/0.014285714)*LN(N70_DESARROLLO!AJ46/N70_DESARROLLO!AI46))</f>
        <v>-7.3256348770177393E-2</v>
      </c>
      <c r="DJ131" s="1">
        <f>(1+(N70_DESARROLLO!AJ46/0.014285714)*LN(N70_DESARROLLO!AK46/N70_DESARROLLO!AJ46))</f>
        <v>-8.5851572027612066E-2</v>
      </c>
      <c r="DK131" s="1">
        <f>(1+(N70_DESARROLLO!AK46/0.014285714)*LN(N70_DESARROLLO!AL46/N70_DESARROLLO!AK46))</f>
        <v>-0.10368884711560877</v>
      </c>
      <c r="DL131" s="1">
        <f>(1+(N70_DESARROLLO!AL46/0.014285714)*LN(N70_DESARROLLO!AM46/N70_DESARROLLO!AL46))</f>
        <v>-0.13091494988237717</v>
      </c>
      <c r="DM131" s="1">
        <f>(1+(N70_DESARROLLO!AM46/0.014285714)*LN(N70_DESARROLLO!AN46/N70_DESARROLLO!AM46))</f>
        <v>-0.17765285172730283</v>
      </c>
      <c r="DN131" s="1">
        <f>(1+(N70_DESARROLLO!AN46/0.014285714)*LN(N70_DESARROLLO!AO46/N70_DESARROLLO!AN46))</f>
        <v>-0.27706408495625956</v>
      </c>
      <c r="DO131" s="1">
        <f>(1+(N70_DESARROLLO!AO46/0.014285714)*LN(N70_DESARROLLO!AP46/N70_DESARROLLO!AO46))</f>
        <v>-0.64791846596052816</v>
      </c>
      <c r="DP131" s="1">
        <v>1</v>
      </c>
      <c r="DQ131" s="1">
        <f>(1+(N70_DESARROLLO!AQ46/0.014285714)*LN(N70_DESARROLLO!AR46/N70_DESARROLLO!AQ46))</f>
        <v>0.45069384467982065</v>
      </c>
      <c r="DR131" s="1">
        <f>(1+(N70_DESARROLLO!AR46/0.014285714)*LN(N70_DESARROLLO!AS46/N70_DESARROLLO!AR46))</f>
        <v>0.23376154902624224</v>
      </c>
      <c r="DS131" s="1">
        <f>(1+(N70_DESARROLLO!AS46/0.014285714)*LN(N70_DESARROLLO!AT46/N70_DESARROLLO!AS46))</f>
        <v>0.15881939162335779</v>
      </c>
      <c r="DT131" s="1">
        <f>(1+(N70_DESARROLLO!AT46/0.014285714)*LN(N70_DESARROLLO!AU46/N70_DESARROLLO!AT46))</f>
        <v>0.12039948342481499</v>
      </c>
      <c r="DU131" s="1">
        <f>(1+(N70_DESARROLLO!AU46/0.014285714)*LN(N70_DESARROLLO!AV46/N70_DESARROLLO!AU46))</f>
        <v>9.6981852359959819E-2</v>
      </c>
      <c r="DV131" s="1">
        <f>(1+(N70_DESARROLLO!AV46/0.014285714)*LN(N70_DESARROLLO!AW46/N70_DESARROLLO!AV46))</f>
        <v>8.1202515976639411E-2</v>
      </c>
      <c r="DW131" s="1">
        <f>(1+(N70_DESARROLLO!AW46/0.014285714)*LN(N70_DESARROLLO!AX46/N70_DESARROLLO!AW46))</f>
        <v>6.9844497732510114E-2</v>
      </c>
      <c r="DX131" s="1">
        <f>(1+(N70_DESARROLLO!AX46/0.014285714)*LN(N70_DESARROLLO!AY46/N70_DESARROLLO!AX46))</f>
        <v>6.1276409070485593E-2</v>
      </c>
      <c r="DY131" s="1">
        <f>(1+(N70_DESARROLLO!AY46/0.014285714)*LN(N70_DESARROLLO!AZ46/N70_DESARROLLO!AY46))</f>
        <v>5.4582082654730635E-2</v>
      </c>
      <c r="DZ131" s="1">
        <f>(1+(N70_DESARROLLO!AZ46/0.014285714)*LN(N70_DESARROLLO!BA46/N70_DESARROLLO!AZ46))</f>
        <v>4.9207124692810855E-2</v>
      </c>
      <c r="EA131" s="1">
        <f>(1+(N70_DESARROLLO!BA46/0.014285714)*LN(N70_DESARROLLO!BB46/N70_DESARROLLO!BA46))</f>
        <v>4.4796309735792517E-2</v>
      </c>
      <c r="EB131" s="1">
        <f>(1+(N70_DESARROLLO!BB46/0.014285714)*LN(N70_DESARROLLO!BC46/N70_DESARROLLO!BB46))</f>
        <v>4.1111478023144854E-2</v>
      </c>
      <c r="EC131" s="1">
        <f>(1+(N70_DESARROLLO!BC46/0.014285714)*LN(N70_DESARROLLO!BD46/N70_DESARROLLO!BC46))</f>
        <v>3.7986966558131607E-2</v>
      </c>
      <c r="ED131" s="1">
        <f>(1+(N70_DESARROLLO!BD46/0.014285714)*LN(N70_DESARROLLO!BE46/N70_DESARROLLO!BD46))</f>
        <v>3.5303966947126231E-2</v>
      </c>
      <c r="EE131" s="1">
        <f>(1+(N70_DESARROLLO!BE46/0.014285714)*LN(N70_DESARROLLO!BF46/N70_DESARROLLO!BE46))</f>
        <v>3.2975050428748598E-2</v>
      </c>
      <c r="EF131" s="1">
        <f>(1+(N70_DESARROLLO!BF46/0.014285714)*LN(N70_DESARROLLO!BG46/N70_DESARROLLO!BF46))</f>
        <v>3.0934447408015875E-2</v>
      </c>
      <c r="EG131" s="1">
        <f>(1+(N70_DESARROLLO!BG46/0.014285714)*LN(N70_DESARROLLO!BH46/N70_DESARROLLO!BG46))</f>
        <v>2.9131730204236872E-2</v>
      </c>
      <c r="EH131" s="1">
        <f>(1+(N70_DESARROLLO!BH46/0.014285714)*LN(N70_DESARROLLO!BI46/N70_DESARROLLO!BH46))</f>
        <v>2.752758534135924E-2</v>
      </c>
      <c r="EI131" s="1">
        <f>(1+(N70_DESARROLLO!BI46/0.014285714)*LN(N70_DESARROLLO!BJ46/N70_DESARROLLO!BI46))</f>
        <v>2.6090911041513176E-2</v>
      </c>
      <c r="EJ131" s="1">
        <f>(1+(N70_DESARROLLO!BJ46/0.014285714)*LN(N70_DESARROLLO!BK46/N70_DESARROLLO!BJ46))</f>
        <v>2.4796779290033988E-2</v>
      </c>
      <c r="EK131" s="1">
        <f>(1+(N70_DESARROLLO!BK46/0.014285714)*LN(N70_DESARROLLO!BL46/N70_DESARROLLO!BK46))</f>
        <v>2.3624976192783143E-2</v>
      </c>
      <c r="EL131" s="1">
        <f>(1+(N70_DESARROLLO!BL46/0.014285714)*LN(N70_DESARROLLO!BM46/N70_DESARROLLO!BL46))</f>
        <v>2.2558937800894241E-2</v>
      </c>
      <c r="EM131" s="1">
        <f>(1+(N70_DESARROLLO!BM46/0.014285714)*LN(N70_DESARROLLO!BN46/N70_DESARROLLO!BM46))</f>
        <v>2.1584961787578738E-2</v>
      </c>
      <c r="EN131" s="1">
        <f>(1+(N70_DESARROLLO!BN46/0.014285714)*LN(N70_DESARROLLO!BO46/N70_DESARROLLO!BN46))</f>
        <v>2.0691615000477337E-2</v>
      </c>
      <c r="EO131" s="1">
        <f>(1+(N70_DESARROLLO!BO46/0.014285714)*LN(N70_DESARROLLO!BP46/N70_DESARROLLO!BO46))</f>
        <v>1.986928236176011E-2</v>
      </c>
      <c r="EP131" s="1">
        <f>(1+(N70_DESARROLLO!BP46/0.014285714)*LN(N70_DESARROLLO!BQ46/N70_DESARROLLO!BP46))</f>
        <v>1.9109819273394613E-2</v>
      </c>
      <c r="EQ131" s="1">
        <f>(1+(N70_DESARROLLO!BQ46/0.014285714)*LN(N70_DESARROLLO!BR46/N70_DESARROLLO!BQ46))</f>
        <v>1.8406280838880518E-2</v>
      </c>
      <c r="ER131" s="1">
        <f>(1+(N70_DESARROLLO!BR46/0.014285714)*LN(N70_DESARROLLO!BS46/N70_DESARROLLO!BR46))</f>
        <v>1.7752708797880712E-2</v>
      </c>
      <c r="ES131" s="1">
        <f>(1+(N70_DESARROLLO!BS46/0.014285714)*LN(N70_DESARROLLO!BT46/N70_DESARROLLO!BS46))</f>
        <v>1.7143962314551175E-2</v>
      </c>
      <c r="ET131" s="1">
        <f>(1+(N70_DESARROLLO!BT46/0.014285714)*LN(N70_DESARROLLO!BU46/N70_DESARROLLO!BT46))</f>
        <v>1.6575582437555969E-2</v>
      </c>
      <c r="EU131" s="1">
        <f>(1+(N70_DESARROLLO!BU46/0.014285714)*LN(N70_DESARROLLO!BV46/N70_DESARROLLO!BU46))</f>
        <v>1.6043682665118575E-2</v>
      </c>
      <c r="EV131" s="1">
        <f>(1+(N70_DESARROLLO!BV46/0.014285714)*LN(N70_DESARROLLO!BW46/N70_DESARROLLO!BV46))</f>
        <v>1.5544859931611144E-2</v>
      </c>
      <c r="EW131" s="1">
        <f>(1+(N70_DESARROLLO!BW46/0.014285714)*LN(N70_DESARROLLO!BX46/N70_DESARROLLO!BW46))</f>
        <v>-23.935792961910046</v>
      </c>
    </row>
    <row r="132" spans="7:153" x14ac:dyDescent="0.25">
      <c r="G132" s="3">
        <v>38</v>
      </c>
      <c r="H132" s="3">
        <f>-(N70_DESARROLLO!G47/0.014285714)*LN(N70_DESARROLLO!G47/N70_DESARROLLO!F47)-1</f>
        <v>-1.3453438110015759E-2</v>
      </c>
      <c r="I132" s="3">
        <f>-(N70_DESARROLLO!H47/0.014285714)*LN(N70_DESARROLLO!H47/N70_DESARROLLO!G47)-1</f>
        <v>-1.3825454475317467E-2</v>
      </c>
      <c r="J132" s="3">
        <f>-(N70_DESARROLLO!I47/0.014285714)*LN(N70_DESARROLLO!I47/N70_DESARROLLO!H47)-1</f>
        <v>-1.4218630964440648E-2</v>
      </c>
      <c r="K132" s="3">
        <f>-(N70_DESARROLLO!J47/0.014285714)*LN(N70_DESARROLLO!J47/N70_DESARROLLO!I47)-1</f>
        <v>-1.4634825881869595E-2</v>
      </c>
      <c r="L132" s="3">
        <f>-(N70_DESARROLLO!K47/0.014285714)*LN(N70_DESARROLLO!K47/N70_DESARROLLO!J47)-1</f>
        <v>-1.5076121703336054E-2</v>
      </c>
      <c r="M132" s="3">
        <f>-(N70_DESARROLLO!L47/0.014285714)*LN(N70_DESARROLLO!L47/N70_DESARROLLO!K47)-1</f>
        <v>-1.5544859931604371E-2</v>
      </c>
      <c r="N132" s="3">
        <f>-(N70_DESARROLLO!M47/0.014285714)*LN(N70_DESARROLLO!M47/N70_DESARROLLO!L47)-1</f>
        <v>-1.6043682665123127E-2</v>
      </c>
      <c r="O132" s="3">
        <f>-(N70_DESARROLLO!N47/0.014285714)*LN(N70_DESARROLLO!N47/N70_DESARROLLO!M47)-1</f>
        <v>-1.6575582437552416E-2</v>
      </c>
      <c r="P132" s="3">
        <f>-(N70_DESARROLLO!O47/0.014285714)*LN(N70_DESARROLLO!O47/N70_DESARROLLO!N47)-1</f>
        <v>-1.7143962314553618E-2</v>
      </c>
      <c r="Q132" s="3">
        <f>-(N70_DESARROLLO!P47/0.014285714)*LN(N70_DESARROLLO!P47/N70_DESARROLLO!O47)-1</f>
        <v>-1.7752708797875383E-2</v>
      </c>
      <c r="R132" s="3">
        <f>-(N70_DESARROLLO!Q47/0.014285714)*LN(N70_DESARROLLO!Q47/N70_DESARROLLO!P47)-1</f>
        <v>-1.8406280838874522E-2</v>
      </c>
      <c r="S132" s="3">
        <f>-(N70_DESARROLLO!R47/0.014285714)*LN(N70_DESARROLLO!R47/N70_DESARROLLO!Q47)-1</f>
        <v>-1.9109819273397055E-2</v>
      </c>
      <c r="T132" s="3">
        <f>-(N70_DESARROLLO!S47/0.014285714)*LN(N70_DESARROLLO!S47/N70_DESARROLLO!R47)-1</f>
        <v>-1.9869282361757001E-2</v>
      </c>
      <c r="U132" s="3">
        <f>-(N70_DESARROLLO!T47/0.014285714)*LN(N70_DESARROLLO!T47/N70_DESARROLLO!S47)-1</f>
        <v>-2.0691615000488106E-2</v>
      </c>
      <c r="V132" s="3">
        <f>-(N70_DESARROLLO!U47/0.014285714)*LN(N70_DESARROLLO!U47/N70_DESARROLLO!T47)-1</f>
        <v>-2.1584961787571522E-2</v>
      </c>
      <c r="W132" s="3">
        <f>-(N70_DESARROLLO!V47/0.014285714)*LN(N70_DESARROLLO!V47/N70_DESARROLLO!U47)-1</f>
        <v>-2.2558937800899459E-2</v>
      </c>
      <c r="X132" s="3">
        <f>-(N70_DESARROLLO!W47/0.014285714)*LN(N70_DESARROLLO!W47/N70_DESARROLLO!V47)-1</f>
        <v>-2.3624976192775815E-2</v>
      </c>
      <c r="Y132" s="3">
        <f>-(N70_DESARROLLO!X47/0.014285714)*LN(N70_DESARROLLO!X47/N70_DESARROLLO!W47)-1</f>
        <v>-2.4796779290042426E-2</v>
      </c>
      <c r="Z132" s="3">
        <f>-(N70_DESARROLLO!Y47/0.014285714)*LN(N70_DESARROLLO!Y47/N70_DESARROLLO!X47)-1</f>
        <v>-2.6090911041510623E-2</v>
      </c>
      <c r="AA132" s="3">
        <f>-(N70_DESARROLLO!Z47/0.014285714)*LN(N70_DESARROLLO!Z47/N70_DESARROLLO!Y47)-1</f>
        <v>-2.7527585341363237E-2</v>
      </c>
      <c r="AB132" s="3">
        <f>-(N70_DESARROLLO!AA47/0.014285714)*LN(N70_DESARROLLO!AA47/N70_DESARROLLO!Z47)-1</f>
        <v>-2.9131730204232431E-2</v>
      </c>
      <c r="AC132" s="3">
        <f>-(N70_DESARROLLO!AB47/0.014285714)*LN(N70_DESARROLLO!AB47/N70_DESARROLLO!AA47)-1</f>
        <v>-3.0934447408011101E-2</v>
      </c>
      <c r="AD132" s="3">
        <f>-(N70_DESARROLLO!AC47/0.014285714)*LN(N70_DESARROLLO!AC47/N70_DESARROLLO!AB47)-1</f>
        <v>-3.2975050428753039E-2</v>
      </c>
      <c r="AE132" s="3">
        <f>-(N70_DESARROLLO!AD47/0.014285714)*LN(N70_DESARROLLO!AD47/N70_DESARROLLO!AC47)-1</f>
        <v>-3.5303966947122234E-2</v>
      </c>
      <c r="AF132" s="3">
        <f>-(N70_DESARROLLO!AE47/0.014285714)*LN(N70_DESARROLLO!AE47/N70_DESARROLLO!AD47)-1</f>
        <v>-3.7986966558135382E-2</v>
      </c>
      <c r="AG132" s="3">
        <f>-(N70_DESARROLLO!AF47/0.014285714)*LN(N70_DESARROLLO!AF47/N70_DESARROLLO!AE47)-1</f>
        <v>-4.1111478023141634E-2</v>
      </c>
      <c r="AH132" s="3">
        <f>-(N70_DESARROLLO!AG47/0.014285714)*LN(N70_DESARROLLO!AG47/N70_DESARROLLO!AF47)-1</f>
        <v>-4.4796309735798956E-2</v>
      </c>
      <c r="AI132" s="3">
        <f>-(N70_DESARROLLO!AH47/0.014285714)*LN(N70_DESARROLLO!AH47/N70_DESARROLLO!AG47)-1</f>
        <v>-4.9207124692808302E-2</v>
      </c>
      <c r="AJ132" s="3">
        <f>-(N70_DESARROLLO!AI47/0.014285714)*LN(N70_DESARROLLO!AI47/N70_DESARROLLO!AH47)-1</f>
        <v>-5.4582082654734299E-2</v>
      </c>
      <c r="AK132" s="3">
        <f>-(N70_DESARROLLO!AJ47/0.014285714)*LN(N70_DESARROLLO!AJ47/N70_DESARROLLO!AI47)-1</f>
        <v>-6.1276409070482818E-2</v>
      </c>
      <c r="AL132" s="3">
        <f>-(N70_DESARROLLO!AK47/0.014285714)*LN(N70_DESARROLLO!AK47/N70_DESARROLLO!AJ47)-1</f>
        <v>-6.9844497732512556E-2</v>
      </c>
      <c r="AM132" s="3">
        <f>-(N70_DESARROLLO!AL47/0.014285714)*LN(N70_DESARROLLO!AL47/N70_DESARROLLO!AK47)-1</f>
        <v>-8.1202515976636191E-2</v>
      </c>
      <c r="AN132" s="3">
        <f>-(N70_DESARROLLO!AM47/0.014285714)*LN(N70_DESARROLLO!AM47/N70_DESARROLLO!AL47)-1</f>
        <v>-9.69818523599566E-2</v>
      </c>
      <c r="AO132" s="3">
        <f>-(N70_DESARROLLO!AN47/0.014285714)*LN(N70_DESARROLLO!AN47/N70_DESARROLLO!AM47)-1</f>
        <v>-0.12039948342481799</v>
      </c>
      <c r="AP132" s="3">
        <f>-(N70_DESARROLLO!AO47/0.014285714)*LN(N70_DESARROLLO!AO47/N70_DESARROLLO!AN47)-1</f>
        <v>-0.15881939162335501</v>
      </c>
      <c r="AQ132" s="3">
        <f>-(N70_DESARROLLO!AP47/0.014285714)*LN(N70_DESARROLLO!AP47/N70_DESARROLLO!AO47)-1</f>
        <v>-0.23376154902624657</v>
      </c>
      <c r="AR132" s="3">
        <f>-(N70_DESARROLLO!AQ47/0.014285714)*LN(N70_DESARROLLO!AQ47/N70_DESARROLLO!AP47)-1</f>
        <v>-0.45069384467982143</v>
      </c>
      <c r="AS132" s="3">
        <v>-1</v>
      </c>
      <c r="AT132" s="3">
        <f>-(N70_DESARROLLO!AS47/0.014285714)*LN(N70_DESARROLLO!AS47/N70_DESARROLLO!AR47)-1</f>
        <v>0.64791846596054437</v>
      </c>
      <c r="AU132" s="3">
        <f>-(N70_DESARROLLO!AT47/0.014285714)*LN(N70_DESARROLLO!AT47/N70_DESARROLLO!AS47)-1</f>
        <v>0.2770640849562529</v>
      </c>
      <c r="AV132" s="3">
        <f>-(N70_DESARROLLO!AU47/0.014285714)*LN(N70_DESARROLLO!AU47/N70_DESARROLLO!AT47)-1</f>
        <v>0.17765285172730816</v>
      </c>
      <c r="AW132" s="3">
        <f>-(N70_DESARROLLO!AV47/0.014285714)*LN(N70_DESARROLLO!AV47/N70_DESARROLLO!AU47)-1</f>
        <v>0.13091494988237184</v>
      </c>
      <c r="AX132" s="3">
        <f>-(N70_DESARROLLO!AW47/0.014285714)*LN(N70_DESARROLLO!AW47/N70_DESARROLLO!AV47)-1</f>
        <v>0.10368884711560411</v>
      </c>
      <c r="AY132" s="3">
        <f>-(N70_DESARROLLO!AX47/0.014285714)*LN(N70_DESARROLLO!AX47/N70_DESARROLLO!AW47)-1</f>
        <v>8.5851572027616951E-2</v>
      </c>
      <c r="AZ132" s="3">
        <f>-(N70_DESARROLLO!AY47/0.014285714)*LN(N70_DESARROLLO!AY47/N70_DESARROLLO!AX47)-1</f>
        <v>7.3256348770172952E-2</v>
      </c>
      <c r="BA132" s="3">
        <f>-(N70_DESARROLLO!AZ47/0.014285714)*LN(N70_DESARROLLO!AZ47/N70_DESARROLLO!AY47)-1</f>
        <v>6.3886736386790766E-2</v>
      </c>
      <c r="BB132" s="3">
        <f>-(N70_DESARROLLO!BA47/0.014285714)*LN(N70_DESARROLLO!BA47/N70_DESARROLLO!AZ47)-1</f>
        <v>5.664355467999882E-2</v>
      </c>
      <c r="BC132" s="3">
        <f>-(N70_DESARROLLO!BB47/0.014285714)*LN(N70_DESARROLLO!BB47/N70_DESARROLLO!BA47)-1</f>
        <v>5.0876335865848832E-2</v>
      </c>
      <c r="BD132" s="3">
        <f>-(N70_DESARROLLO!BC47/0.014285714)*LN(N70_DESARROLLO!BC47/N70_DESARROLLO!BB47)-1</f>
        <v>4.6175470289362641E-2</v>
      </c>
      <c r="BE132" s="3">
        <f>-(N70_DESARROLLO!BD47/0.014285714)*LN(N70_DESARROLLO!BD47/N70_DESARROLLO!BC47)-1</f>
        <v>4.2270132583545728E-2</v>
      </c>
      <c r="BF132" s="3">
        <f>-(N70_DESARROLLO!BE47/0.014285714)*LN(N70_DESARROLLO!BE47/N70_DESARROLLO!BD47)-1</f>
        <v>3.8974076117209266E-2</v>
      </c>
      <c r="BG132" s="3">
        <f>-(N70_DESARROLLO!BF47/0.014285714)*LN(N70_DESARROLLO!BF47/N70_DESARROLLO!BE47)-1</f>
        <v>3.6154998464206445E-2</v>
      </c>
      <c r="BH132" s="3">
        <f>-(N70_DESARROLLO!BG47/0.014285714)*LN(N70_DESARROLLO!BG47/N70_DESARROLLO!BF47)-1</f>
        <v>3.3716325403741587E-2</v>
      </c>
      <c r="BI132" s="3">
        <f>-(N70_DESARROLLO!BH47/0.014285714)*LN(N70_DESARROLLO!BH47/N70_DESARROLLO!BG47)-1</f>
        <v>3.1585910823724417E-2</v>
      </c>
      <c r="BJ132" s="3">
        <f>-(N70_DESARROLLO!BI47/0.014285714)*LN(N70_DESARROLLO!BI47/N70_DESARROLLO!BH47)-1</f>
        <v>2.97087709955135E-2</v>
      </c>
      <c r="BK132" s="3">
        <f>-(N70_DESARROLLO!BJ47/0.014285714)*LN(N70_DESARROLLO!BJ47/N70_DESARROLLO!BI47)-1</f>
        <v>2.8042266924840797E-2</v>
      </c>
      <c r="BL132" s="3">
        <f>-(N70_DESARROLLO!BK47/0.014285714)*LN(N70_DESARROLLO!BK47/N70_DESARROLLO!BJ47)-1</f>
        <v>2.6552823496791333E-2</v>
      </c>
      <c r="BM132" s="3">
        <f>-(N70_DESARROLLO!BL47/0.014285714)*LN(N70_DESARROLLO!BL47/N70_DESARROLLO!BK47)-1</f>
        <v>2.5213642284827253E-2</v>
      </c>
      <c r="BN132" s="3">
        <f>-(N70_DESARROLLO!BM47/0.014285714)*LN(N70_DESARROLLO!BM47/N70_DESARROLLO!BL47)-1</f>
        <v>2.4003073749041315E-2</v>
      </c>
      <c r="BO132" s="3">
        <f>-(N70_DESARROLLO!BN47/0.014285714)*LN(N70_DESARROLLO!BN47/N70_DESARROLLO!BM47)-1</f>
        <v>2.2903437185105791E-2</v>
      </c>
      <c r="BP132" s="3">
        <f>-(N70_DESARROLLO!BO47/0.014285714)*LN(N70_DESARROLLO!BO47/N70_DESARROLLO!BN47)-1</f>
        <v>2.190015102187215E-2</v>
      </c>
      <c r="BQ132" s="3">
        <f>-(N70_DESARROLLO!BP47/0.014285714)*LN(N70_DESARROLLO!BP47/N70_DESARROLLO!BO47)-1</f>
        <v>2.0981082233534565E-2</v>
      </c>
      <c r="BR132" s="3">
        <f>-(N70_DESARROLLO!BQ47/0.014285714)*LN(N70_DESARROLLO!BQ47/N70_DESARROLLO!BP47)-1</f>
        <v>2.0136053052056457E-2</v>
      </c>
      <c r="BS132" s="3">
        <f>-(N70_DESARROLLO!BR47/0.014285714)*LN(N70_DESARROLLO!BR47/N70_DESARROLLO!BQ47)-1</f>
        <v>1.9356462323721457E-2</v>
      </c>
      <c r="BT132" s="3">
        <f>-(N70_DESARROLLO!BS47/0.014285714)*LN(N70_DESARROLLO!BS47/N70_DESARROLLO!BR47)-1</f>
        <v>1.8634991582293425E-2</v>
      </c>
      <c r="BU132" s="3">
        <f>-(N70_DESARROLLO!BT47/0.014285714)*LN(N70_DESARROLLO!BT47/N70_DESARROLLO!BS47)-1</f>
        <v>1.7965374518572164E-2</v>
      </c>
      <c r="BV132" s="3">
        <f>-(N70_DESARROLLO!BU47/0.014285714)*LN(N70_DESARROLLO!BU47/N70_DESARROLLO!BT47)-1</f>
        <v>1.7342214446335324E-2</v>
      </c>
      <c r="BW132" s="3">
        <f>-(N70_DESARROLLO!BV47/0.014285714)*LN(N70_DESARROLLO!BV47/N70_DESARROLLO!BU47)-1</f>
        <v>1.6760838496770569E-2</v>
      </c>
      <c r="BX132" s="3">
        <f>-(N70_DESARROLLO!BW47/0.014285714)*LN(N70_DESARROLLO!BW47/N70_DESARROLLO!BV47)-1</f>
        <v>1.6217180198313308E-2</v>
      </c>
      <c r="BY132" s="3">
        <f>-(N70_DESARROLLO!BX47/0.014285714)*LN(N70_DESARROLLO!BX47/N70_DESARROLLO!BW47)-1</f>
        <v>54.895539853154816</v>
      </c>
      <c r="BZ132" s="10"/>
      <c r="CA132" s="10"/>
      <c r="CB132" s="10"/>
      <c r="CC132" s="10"/>
      <c r="CD132" s="1">
        <v>38</v>
      </c>
      <c r="CE132" s="1">
        <v>0</v>
      </c>
      <c r="CF132" s="1">
        <f>(1+(N70_DESARROLLO!F47/0.014285714)*LN(N70_DESARROLLO!G47/N70_DESARROLLO!F47))</f>
        <v>-1.3575234818476778E-2</v>
      </c>
      <c r="CG132" s="1">
        <f>(1+(N70_DESARROLLO!G47/0.014285714)*LN(N70_DESARROLLO!H47/N70_DESARROLLO!G47))</f>
        <v>-1.3954110187349711E-2</v>
      </c>
      <c r="CH132" s="1">
        <f>(1+(N70_DESARROLLO!H47/0.014285714)*LN(N70_DESARROLLO!I47/N70_DESARROLLO!H47))</f>
        <v>-1.4354742051083003E-2</v>
      </c>
      <c r="CI132" s="1">
        <f>(1+(N70_DESARROLLO!I47/0.014285714)*LN(N70_DESARROLLO!J47/N70_DESARROLLO!I47))</f>
        <v>-1.4779059912701564E-2</v>
      </c>
      <c r="CJ132" s="1">
        <f>(1+(N70_DESARROLLO!J47/0.014285714)*LN(N70_DESARROLLO!K47/N70_DESARROLLO!J47))</f>
        <v>-1.5229228398099703E-2</v>
      </c>
      <c r="CK132" s="1">
        <f>(1+(N70_DESARROLLO!K47/0.014285714)*LN(N70_DESARROLLO!L47/N70_DESARROLLO!K47))</f>
        <v>-1.5707684197551197E-2</v>
      </c>
      <c r="CL132" s="1">
        <f>(1+(N70_DESARROLLO!L47/0.014285714)*LN(N70_DESARROLLO!M47/N70_DESARROLLO!L47))</f>
        <v>-1.6217180198315306E-2</v>
      </c>
      <c r="CM132" s="1">
        <f>(1+(N70_DESARROLLO!M47/0.014285714)*LN(N70_DESARROLLO!N47/N70_DESARROLLO!M47))</f>
        <v>-1.6760838496767905E-2</v>
      </c>
      <c r="CN132" s="1">
        <f>(1+(N70_DESARROLLO!N47/0.014285714)*LN(N70_DESARROLLO!O47/N70_DESARROLLO!N47))</f>
        <v>-1.7342214446339321E-2</v>
      </c>
      <c r="CO132" s="1">
        <f>(1+(N70_DESARROLLO!O47/0.014285714)*LN(N70_DESARROLLO!P47/N70_DESARROLLO!O47))</f>
        <v>-1.7965374518565502E-2</v>
      </c>
      <c r="CP132" s="1">
        <f>(1+(N70_DESARROLLO!P47/0.014285714)*LN(N70_DESARROLLO!Q47/N70_DESARROLLO!P47))</f>
        <v>-1.8634991582299865E-2</v>
      </c>
      <c r="CQ132" s="1">
        <f>(1+(N70_DESARROLLO!Q47/0.014285714)*LN(N70_DESARROLLO!R47/N70_DESARROLLO!Q47))</f>
        <v>-1.9356462323724788E-2</v>
      </c>
      <c r="CR132" s="1">
        <f>(1+(N70_DESARROLLO!R47/0.014285714)*LN(N70_DESARROLLO!S47/N70_DESARROLLO!R47))</f>
        <v>-2.0136053052048908E-2</v>
      </c>
      <c r="CS132" s="1">
        <f>(1+(N70_DESARROLLO!S47/0.014285714)*LN(N70_DESARROLLO!T47/N70_DESARROLLO!S47))</f>
        <v>-2.0981082233533677E-2</v>
      </c>
      <c r="CT132" s="1">
        <f>(1+(N70_DESARROLLO!T47/0.014285714)*LN(N70_DESARROLLO!U47/N70_DESARROLLO!T47))</f>
        <v>-2.1900151021869707E-2</v>
      </c>
      <c r="CU132" s="1">
        <f>(1+(N70_DESARROLLO!U47/0.014285714)*LN(N70_DESARROLLO!V47/N70_DESARROLLO!U47))</f>
        <v>-2.2903437185105124E-2</v>
      </c>
      <c r="CV132" s="1">
        <f>(1+(N70_DESARROLLO!V47/0.014285714)*LN(N70_DESARROLLO!W47/N70_DESARROLLO!V47))</f>
        <v>-2.4003073749040205E-2</v>
      </c>
      <c r="CW132" s="1">
        <f>(1+(N70_DESARROLLO!W47/0.014285714)*LN(N70_DESARROLLO!X47/N70_DESARROLLO!W47))</f>
        <v>-2.5213642284827031E-2</v>
      </c>
      <c r="CX132" s="1">
        <f>(1+(N70_DESARROLLO!X47/0.014285714)*LN(N70_DESARROLLO!Y47/N70_DESARROLLO!X47))</f>
        <v>-2.6552823496786004E-2</v>
      </c>
      <c r="CY132" s="1">
        <f>(1+(N70_DESARROLLO!Y47/0.014285714)*LN(N70_DESARROLLO!Z47/N70_DESARROLLO!Y47))</f>
        <v>-2.8042266924844572E-2</v>
      </c>
      <c r="CZ132" s="1">
        <f>(1+(N70_DESARROLLO!Z47/0.014285714)*LN(N70_DESARROLLO!AA47/N70_DESARROLLO!Z47))</f>
        <v>-2.9708770995511058E-2</v>
      </c>
      <c r="DA132" s="1">
        <f>(1+(N70_DESARROLLO!AA47/0.014285714)*LN(N70_DESARROLLO!AB47/N70_DESARROLLO!AA47))</f>
        <v>-3.158591082373019E-2</v>
      </c>
      <c r="DB132" s="1">
        <f>(1+(N70_DESARROLLO!AB47/0.014285714)*LN(N70_DESARROLLO!AC47/N70_DESARROLLO!AB47))</f>
        <v>-3.3716325403746916E-2</v>
      </c>
      <c r="DC132" s="1">
        <f>(1+(N70_DESARROLLO!AC47/0.014285714)*LN(N70_DESARROLLO!AD47/N70_DESARROLLO!AC47))</f>
        <v>-3.6154998464202004E-2</v>
      </c>
      <c r="DD132" s="1">
        <f>(1+(N70_DESARROLLO!AD47/0.014285714)*LN(N70_DESARROLLO!AE47/N70_DESARROLLO!AD47))</f>
        <v>-3.8974076117213929E-2</v>
      </c>
      <c r="DE132" s="1">
        <f>(1+(N70_DESARROLLO!AE47/0.014285714)*LN(N70_DESARROLLO!AF47/N70_DESARROLLO!AE47))</f>
        <v>-4.2270132583541731E-2</v>
      </c>
      <c r="DF132" s="1">
        <f>(1+(N70_DESARROLLO!AF47/0.014285714)*LN(N70_DESARROLLO!AG47/N70_DESARROLLO!AF47))</f>
        <v>-4.6175470289362641E-2</v>
      </c>
      <c r="DG132" s="1">
        <f>(1+(N70_DESARROLLO!AG47/0.014285714)*LN(N70_DESARROLLO!AH47/N70_DESARROLLO!AG47))</f>
        <v>-5.0876335865843503E-2</v>
      </c>
      <c r="DH132" s="1">
        <f>(1+(N70_DESARROLLO!AH47/0.014285714)*LN(N70_DESARROLLO!AI47/N70_DESARROLLO!AH47))</f>
        <v>-5.6643554680002817E-2</v>
      </c>
      <c r="DI132" s="1">
        <f>(1+(N70_DESARROLLO!AI47/0.014285714)*LN(N70_DESARROLLO!AJ47/N70_DESARROLLO!AI47))</f>
        <v>-6.3886736386786325E-2</v>
      </c>
      <c r="DJ132" s="1">
        <f>(1+(N70_DESARROLLO!AJ47/0.014285714)*LN(N70_DESARROLLO!AK47/N70_DESARROLLO!AJ47))</f>
        <v>-7.3256348770177837E-2</v>
      </c>
      <c r="DK132" s="1">
        <f>(1+(N70_DESARROLLO!AK47/0.014285714)*LN(N70_DESARROLLO!AL47/N70_DESARROLLO!AK47))</f>
        <v>-8.5851572027611844E-2</v>
      </c>
      <c r="DL132" s="1">
        <f>(1+(N70_DESARROLLO!AL47/0.014285714)*LN(N70_DESARROLLO!AM47/N70_DESARROLLO!AL47))</f>
        <v>-0.10368884711560877</v>
      </c>
      <c r="DM132" s="1">
        <f>(1+(N70_DESARROLLO!AM47/0.014285714)*LN(N70_DESARROLLO!AN47/N70_DESARROLLO!AM47))</f>
        <v>-0.13091494988237695</v>
      </c>
      <c r="DN132" s="1">
        <f>(1+(N70_DESARROLLO!AN47/0.014285714)*LN(N70_DESARROLLO!AO47/N70_DESARROLLO!AN47))</f>
        <v>-0.17765285172730327</v>
      </c>
      <c r="DO132" s="1">
        <f>(1+(N70_DESARROLLO!AO47/0.014285714)*LN(N70_DESARROLLO!AP47/N70_DESARROLLO!AO47))</f>
        <v>-0.27706408495625312</v>
      </c>
      <c r="DP132" s="1">
        <f>(1+(N70_DESARROLLO!AP47/0.014285714)*LN(N70_DESARROLLO!AQ47/N70_DESARROLLO!AP47))</f>
        <v>-0.64791846596054437</v>
      </c>
      <c r="DQ132" s="1">
        <v>1</v>
      </c>
      <c r="DR132" s="1">
        <f>(1+(N70_DESARROLLO!AR47/0.014285714)*LN(N70_DESARROLLO!AS47/N70_DESARROLLO!AR47))</f>
        <v>0.45069384467982143</v>
      </c>
      <c r="DS132" s="1">
        <f>(1+(N70_DESARROLLO!AS47/0.014285714)*LN(N70_DESARROLLO!AT47/N70_DESARROLLO!AS47))</f>
        <v>0.2337615490262468</v>
      </c>
      <c r="DT132" s="1">
        <f>(1+(N70_DESARROLLO!AT47/0.014285714)*LN(N70_DESARROLLO!AU47/N70_DESARROLLO!AT47))</f>
        <v>0.15881939162335246</v>
      </c>
      <c r="DU132" s="1">
        <f>(1+(N70_DESARROLLO!AU47/0.014285714)*LN(N70_DESARROLLO!AV47/N70_DESARROLLO!AU47))</f>
        <v>0.12039948342482099</v>
      </c>
      <c r="DV132" s="1">
        <f>(1+(N70_DESARROLLO!AV47/0.014285714)*LN(N70_DESARROLLO!AW47/N70_DESARROLLO!AV47))</f>
        <v>9.6981852359959819E-2</v>
      </c>
      <c r="DW132" s="1">
        <f>(1+(N70_DESARROLLO!AW47/0.014285714)*LN(N70_DESARROLLO!AX47/N70_DESARROLLO!AW47))</f>
        <v>8.1202515976632528E-2</v>
      </c>
      <c r="DX132" s="1">
        <f>(1+(N70_DESARROLLO!AX47/0.014285714)*LN(N70_DESARROLLO!AY47/N70_DESARROLLO!AX47))</f>
        <v>6.9844497732516331E-2</v>
      </c>
      <c r="DY132" s="1">
        <f>(1+(N70_DESARROLLO!AY47/0.014285714)*LN(N70_DESARROLLO!AZ47/N70_DESARROLLO!AY47))</f>
        <v>6.1276409070479265E-2</v>
      </c>
      <c r="DZ132" s="1">
        <f>(1+(N70_DESARROLLO!AZ47/0.014285714)*LN(N70_DESARROLLO!BA47/N70_DESARROLLO!AZ47))</f>
        <v>5.4582082654737407E-2</v>
      </c>
      <c r="EA132" s="1">
        <f>(1+(N70_DESARROLLO!BA47/0.014285714)*LN(N70_DESARROLLO!BB47/N70_DESARROLLO!BA47))</f>
        <v>4.9207124692803972E-2</v>
      </c>
      <c r="EB132" s="1">
        <f>(1+(N70_DESARROLLO!BB47/0.014285714)*LN(N70_DESARROLLO!BC47/N70_DESARROLLO!BB47))</f>
        <v>4.4796309735798956E-2</v>
      </c>
      <c r="EC132" s="1">
        <f>(1+(N70_DESARROLLO!BC47/0.014285714)*LN(N70_DESARROLLO!BD47/N70_DESARROLLO!BC47))</f>
        <v>4.1111478023138415E-2</v>
      </c>
      <c r="ED132" s="1">
        <f>(1+(N70_DESARROLLO!BD47/0.014285714)*LN(N70_DESARROLLO!BE47/N70_DESARROLLO!BD47))</f>
        <v>3.7986966558139379E-2</v>
      </c>
      <c r="EE132" s="1">
        <f>(1+(N70_DESARROLLO!BE47/0.014285714)*LN(N70_DESARROLLO!BF47/N70_DESARROLLO!BE47))</f>
        <v>3.5303966947118459E-2</v>
      </c>
      <c r="EF132" s="1">
        <f>(1+(N70_DESARROLLO!BF47/0.014285714)*LN(N70_DESARROLLO!BG47/N70_DESARROLLO!BF47))</f>
        <v>3.2975050428757702E-2</v>
      </c>
      <c r="EG132" s="1">
        <f>(1+(N70_DESARROLLO!BG47/0.014285714)*LN(N70_DESARROLLO!BH47/N70_DESARROLLO!BG47))</f>
        <v>3.0934447408016319E-2</v>
      </c>
      <c r="EH132" s="1">
        <f>(1+(N70_DESARROLLO!BH47/0.014285714)*LN(N70_DESARROLLO!BI47/N70_DESARROLLO!BH47))</f>
        <v>2.9131730204230433E-2</v>
      </c>
      <c r="EI132" s="1">
        <f>(1+(N70_DESARROLLO!BI47/0.014285714)*LN(N70_DESARROLLO!BJ47/N70_DESARROLLO!BI47))</f>
        <v>2.7527585341366678E-2</v>
      </c>
      <c r="EJ132" s="1">
        <f>(1+(N70_DESARROLLO!BJ47/0.014285714)*LN(N70_DESARROLLO!BK47/N70_DESARROLLO!BJ47))</f>
        <v>2.6090911041505627E-2</v>
      </c>
      <c r="EK132" s="1">
        <f>(1+(N70_DESARROLLO!BK47/0.014285714)*LN(N70_DESARROLLO!BL47/N70_DESARROLLO!BK47))</f>
        <v>2.4796779290042203E-2</v>
      </c>
      <c r="EL132" s="1">
        <f>(1+(N70_DESARROLLO!BL47/0.014285714)*LN(N70_DESARROLLO!BM47/N70_DESARROLLO!BL47))</f>
        <v>2.3624976192774816E-2</v>
      </c>
      <c r="EM132" s="1">
        <f>(1+(N70_DESARROLLO!BM47/0.014285714)*LN(N70_DESARROLLO!BN47/N70_DESARROLLO!BM47))</f>
        <v>2.2558937800898904E-2</v>
      </c>
      <c r="EN132" s="1">
        <f>(1+(N70_DESARROLLO!BN47/0.014285714)*LN(N70_DESARROLLO!BO47/N70_DESARROLLO!BN47))</f>
        <v>2.1584961787569412E-2</v>
      </c>
      <c r="EO132" s="1">
        <f>(1+(N70_DESARROLLO!BO47/0.014285714)*LN(N70_DESARROLLO!BP47/N70_DESARROLLO!BO47))</f>
        <v>2.0691615000487218E-2</v>
      </c>
      <c r="EP132" s="1">
        <f>(1+(N70_DESARROLLO!BP47/0.014285714)*LN(N70_DESARROLLO!BQ47/N70_DESARROLLO!BP47))</f>
        <v>1.9869282361749896E-2</v>
      </c>
      <c r="EQ132" s="1">
        <f>(1+(N70_DESARROLLO!BQ47/0.014285714)*LN(N70_DESARROLLO!BR47/N70_DESARROLLO!BQ47))</f>
        <v>1.9109819273400053E-2</v>
      </c>
      <c r="ER132" s="1">
        <f>(1+(N70_DESARROLLO!BR47/0.014285714)*LN(N70_DESARROLLO!BS47/N70_DESARROLLO!BR47))</f>
        <v>1.840628083888074E-2</v>
      </c>
      <c r="ES132" s="1">
        <f>(1+(N70_DESARROLLO!BS47/0.014285714)*LN(N70_DESARROLLO!BT47/N70_DESARROLLO!BS47))</f>
        <v>1.7752708797869166E-2</v>
      </c>
      <c r="ET132" s="1">
        <f>(1+(N70_DESARROLLO!BT47/0.014285714)*LN(N70_DESARROLLO!BU47/N70_DESARROLLO!BT47))</f>
        <v>1.7143962314557393E-2</v>
      </c>
      <c r="EU132" s="1">
        <f>(1+(N70_DESARROLLO!BU47/0.014285714)*LN(N70_DESARROLLO!BV47/N70_DESARROLLO!BU47))</f>
        <v>1.6575582437549863E-2</v>
      </c>
      <c r="EV132" s="1">
        <f>(1+(N70_DESARROLLO!BV47/0.014285714)*LN(N70_DESARROLLO!BW47/N70_DESARROLLO!BV47))</f>
        <v>1.6043682665125125E-2</v>
      </c>
      <c r="EW132" s="1">
        <f>(1+(N70_DESARROLLO!BW47/0.014285714)*LN(N70_DESARROLLO!BX47/N70_DESARROLLO!BW47))</f>
        <v>-24.152992933919663</v>
      </c>
    </row>
    <row r="133" spans="7:153" x14ac:dyDescent="0.25">
      <c r="G133" s="3">
        <v>39</v>
      </c>
      <c r="H133" s="3">
        <f>-(N70_DESARROLLO!G48/0.014285714)*LN(N70_DESARROLLO!G48/N70_DESARROLLO!F48)-1</f>
        <v>-1.3100918360519409E-2</v>
      </c>
      <c r="I133" s="3">
        <f>-(N70_DESARROLLO!H48/0.014285714)*LN(N70_DESARROLLO!H48/N70_DESARROLLO!G48)-1</f>
        <v>-1.345343811001154E-2</v>
      </c>
      <c r="J133" s="3">
        <f>-(N70_DESARROLLO!I48/0.014285714)*LN(N70_DESARROLLO!I48/N70_DESARROLLO!H48)-1</f>
        <v>-1.3825454475325349E-2</v>
      </c>
      <c r="K133" s="3">
        <f>-(N70_DESARROLLO!J48/0.014285714)*LN(N70_DESARROLLO!J48/N70_DESARROLLO!I48)-1</f>
        <v>-1.4218630964436652E-2</v>
      </c>
      <c r="L133" s="3">
        <f>-(N70_DESARROLLO!K48/0.014285714)*LN(N70_DESARROLLO!K48/N70_DESARROLLO!J48)-1</f>
        <v>-1.4634825881873259E-2</v>
      </c>
      <c r="M133" s="3">
        <f>-(N70_DESARROLLO!L48/0.014285714)*LN(N70_DESARROLLO!L48/N70_DESARROLLO!K48)-1</f>
        <v>-1.5076121703328615E-2</v>
      </c>
      <c r="N133" s="3">
        <f>-(N70_DESARROLLO!M48/0.014285714)*LN(N70_DESARROLLO!M48/N70_DESARROLLO!L48)-1</f>
        <v>-1.5544859931611366E-2</v>
      </c>
      <c r="O133" s="3">
        <f>-(N70_DESARROLLO!N48/0.014285714)*LN(N70_DESARROLLO!N48/N70_DESARROLLO!M48)-1</f>
        <v>-1.6043682665119685E-2</v>
      </c>
      <c r="P133" s="3">
        <f>-(N70_DESARROLLO!O48/0.014285714)*LN(N70_DESARROLLO!O48/N70_DESARROLLO!N48)-1</f>
        <v>-1.6575582437552305E-2</v>
      </c>
      <c r="Q133" s="3">
        <f>-(N70_DESARROLLO!P48/0.014285714)*LN(N70_DESARROLLO!P48/N70_DESARROLLO!O48)-1</f>
        <v>-1.7143962314553507E-2</v>
      </c>
      <c r="R133" s="3">
        <f>-(N70_DESARROLLO!Q48/0.014285714)*LN(N70_DESARROLLO!Q48/N70_DESARROLLO!P48)-1</f>
        <v>-1.7752708797875161E-2</v>
      </c>
      <c r="S133" s="3">
        <f>-(N70_DESARROLLO!R48/0.014285714)*LN(N70_DESARROLLO!R48/N70_DESARROLLO!Q48)-1</f>
        <v>-1.8406280838874411E-2</v>
      </c>
      <c r="T133" s="3">
        <f>-(N70_DESARROLLO!S48/0.014285714)*LN(N70_DESARROLLO!S48/N70_DESARROLLO!R48)-1</f>
        <v>-1.9109819273396944E-2</v>
      </c>
      <c r="U133" s="3">
        <f>-(N70_DESARROLLO!T48/0.014285714)*LN(N70_DESARROLLO!T48/N70_DESARROLLO!S48)-1</f>
        <v>-1.9869282361759444E-2</v>
      </c>
      <c r="V133" s="3">
        <f>-(N70_DESARROLLO!U48/0.014285714)*LN(N70_DESARROLLO!U48/N70_DESARROLLO!T48)-1</f>
        <v>-2.069161500047989E-2</v>
      </c>
      <c r="W133" s="3">
        <f>-(N70_DESARROLLO!V48/0.014285714)*LN(N70_DESARROLLO!V48/N70_DESARROLLO!U48)-1</f>
        <v>-2.1584961787579071E-2</v>
      </c>
      <c r="X133" s="3">
        <f>-(N70_DESARROLLO!W48/0.014285714)*LN(N70_DESARROLLO!W48/N70_DESARROLLO!V48)-1</f>
        <v>-2.255893780089202E-2</v>
      </c>
      <c r="Y133" s="3">
        <f>-(N70_DESARROLLO!X48/0.014285714)*LN(N70_DESARROLLO!X48/N70_DESARROLLO!W48)-1</f>
        <v>-2.3624976192782587E-2</v>
      </c>
      <c r="Z133" s="3">
        <f>-(N70_DESARROLLO!Y48/0.014285714)*LN(N70_DESARROLLO!Y48/N70_DESARROLLO!X48)-1</f>
        <v>-2.4796779290037541E-2</v>
      </c>
      <c r="AA133" s="3">
        <f>-(N70_DESARROLLO!Z48/0.014285714)*LN(N70_DESARROLLO!Z48/N70_DESARROLLO!Y48)-1</f>
        <v>-2.6090911041510401E-2</v>
      </c>
      <c r="AB133" s="3">
        <f>-(N70_DESARROLLO!AA48/0.014285714)*LN(N70_DESARROLLO!AA48/N70_DESARROLLO!Z48)-1</f>
        <v>-2.7527585341363126E-2</v>
      </c>
      <c r="AC133" s="3">
        <f>-(N70_DESARROLLO!AB48/0.014285714)*LN(N70_DESARROLLO!AB48/N70_DESARROLLO!AA48)-1</f>
        <v>-2.913173020423232E-2</v>
      </c>
      <c r="AD133" s="3">
        <f>-(N70_DESARROLLO!AC48/0.014285714)*LN(N70_DESARROLLO!AC48/N70_DESARROLLO!AB48)-1</f>
        <v>-3.0934447408010879E-2</v>
      </c>
      <c r="AE133" s="3">
        <f>-(N70_DESARROLLO!AD48/0.014285714)*LN(N70_DESARROLLO!AD48/N70_DESARROLLO!AC48)-1</f>
        <v>-3.2975050428752706E-2</v>
      </c>
      <c r="AF133" s="3">
        <f>-(N70_DESARROLLO!AE48/0.014285714)*LN(N70_DESARROLLO!AE48/N70_DESARROLLO!AD48)-1</f>
        <v>-3.5303966947122012E-2</v>
      </c>
      <c r="AG133" s="3">
        <f>-(N70_DESARROLLO!AF48/0.014285714)*LN(N70_DESARROLLO!AF48/N70_DESARROLLO!AE48)-1</f>
        <v>-3.7986966558135049E-2</v>
      </c>
      <c r="AH133" s="3">
        <f>-(N70_DESARROLLO!AG48/0.014285714)*LN(N70_DESARROLLO!AG48/N70_DESARROLLO!AF48)-1</f>
        <v>-4.1111478023145187E-2</v>
      </c>
      <c r="AI133" s="3">
        <f>-(N70_DESARROLLO!AH48/0.014285714)*LN(N70_DESARROLLO!AH48/N70_DESARROLLO!AG48)-1</f>
        <v>-4.4796309735795958E-2</v>
      </c>
      <c r="AJ133" s="3">
        <f>-(N70_DESARROLLO!AI48/0.014285714)*LN(N70_DESARROLLO!AI48/N70_DESARROLLO!AH48)-1</f>
        <v>-4.9207124692807969E-2</v>
      </c>
      <c r="AK133" s="3">
        <f>-(N70_DESARROLLO!AJ48/0.014285714)*LN(N70_DESARROLLO!AJ48/N70_DESARROLLO!AI48)-1</f>
        <v>-5.4582082654733854E-2</v>
      </c>
      <c r="AL133" s="3">
        <f>-(N70_DESARROLLO!AK48/0.014285714)*LN(N70_DESARROLLO!AK48/N70_DESARROLLO!AJ48)-1</f>
        <v>-6.1276409070482263E-2</v>
      </c>
      <c r="AM133" s="3">
        <f>-(N70_DESARROLLO!AL48/0.014285714)*LN(N70_DESARROLLO!AL48/N70_DESARROLLO!AK48)-1</f>
        <v>-6.9844497732512889E-2</v>
      </c>
      <c r="AN133" s="3">
        <f>-(N70_DESARROLLO!AM48/0.014285714)*LN(N70_DESARROLLO!AM48/N70_DESARROLLO!AL48)-1</f>
        <v>-8.1202515976635414E-2</v>
      </c>
      <c r="AO133" s="3">
        <f>-(N70_DESARROLLO!AN48/0.014285714)*LN(N70_DESARROLLO!AN48/N70_DESARROLLO!AM48)-1</f>
        <v>-9.6981852359956267E-2</v>
      </c>
      <c r="AP133" s="3">
        <f>-(N70_DESARROLLO!AO48/0.014285714)*LN(N70_DESARROLLO!AO48/N70_DESARROLLO!AN48)-1</f>
        <v>-0.1203994834248181</v>
      </c>
      <c r="AQ133" s="3">
        <f>-(N70_DESARROLLO!AP48/0.014285714)*LN(N70_DESARROLLO!AP48/N70_DESARROLLO!AO48)-1</f>
        <v>-0.15881939162335768</v>
      </c>
      <c r="AR133" s="3">
        <f>-(N70_DESARROLLO!AQ48/0.014285714)*LN(N70_DESARROLLO!AQ48/N70_DESARROLLO!AP48)-1</f>
        <v>-0.23376154902624224</v>
      </c>
      <c r="AS133" s="3">
        <f>-(N70_DESARROLLO!AR48/0.014285714)*LN(N70_DESARROLLO!AR48/N70_DESARROLLO!AQ48)-1</f>
        <v>-0.45069384467982065</v>
      </c>
      <c r="AT133" s="3">
        <v>-1</v>
      </c>
      <c r="AU133" s="3">
        <f>-(N70_DESARROLLO!AT48/0.014285714)*LN(N70_DESARROLLO!AT48/N70_DESARROLLO!AS48)-1</f>
        <v>0.64791846596052816</v>
      </c>
      <c r="AV133" s="3">
        <f>-(N70_DESARROLLO!AU48/0.014285714)*LN(N70_DESARROLLO!AU48/N70_DESARROLLO!AT48)-1</f>
        <v>0.27706408495626578</v>
      </c>
      <c r="AW133" s="3">
        <f>-(N70_DESARROLLO!AV48/0.014285714)*LN(N70_DESARROLLO!AV48/N70_DESARROLLO!AU48)-1</f>
        <v>0.17765285172729772</v>
      </c>
      <c r="AX133" s="3">
        <f>-(N70_DESARROLLO!AW48/0.014285714)*LN(N70_DESARROLLO!AW48/N70_DESARROLLO!AV48)-1</f>
        <v>0.13091494988237207</v>
      </c>
      <c r="AY133" s="3">
        <f>-(N70_DESARROLLO!AX48/0.014285714)*LN(N70_DESARROLLO!AX48/N70_DESARROLLO!AW48)-1</f>
        <v>0.10368884711561388</v>
      </c>
      <c r="AZ133" s="3">
        <f>-(N70_DESARROLLO!AY48/0.014285714)*LN(N70_DESARROLLO!AY48/N70_DESARROLLO!AX48)-1</f>
        <v>8.5851572027606959E-2</v>
      </c>
      <c r="BA133" s="3">
        <f>-(N70_DESARROLLO!AZ48/0.014285714)*LN(N70_DESARROLLO!AZ48/N70_DESARROLLO!AY48)-1</f>
        <v>7.3256348770181612E-2</v>
      </c>
      <c r="BB133" s="3">
        <f>-(N70_DESARROLLO!BA48/0.014285714)*LN(N70_DESARROLLO!BA48/N70_DESARROLLO!AZ48)-1</f>
        <v>6.388673638678144E-2</v>
      </c>
      <c r="BC133" s="3">
        <f>-(N70_DESARROLLO!BB48/0.014285714)*LN(N70_DESARROLLO!BB48/N70_DESARROLLO!BA48)-1</f>
        <v>5.6643554680008368E-2</v>
      </c>
      <c r="BD133" s="3">
        <f>-(N70_DESARROLLO!BC48/0.014285714)*LN(N70_DESARROLLO!BC48/N70_DESARROLLO!BB48)-1</f>
        <v>5.0876335865839506E-2</v>
      </c>
      <c r="BE133" s="3">
        <f>-(N70_DESARROLLO!BD48/0.014285714)*LN(N70_DESARROLLO!BD48/N70_DESARROLLO!BC48)-1</f>
        <v>4.6175470289372189E-2</v>
      </c>
      <c r="BF133" s="3">
        <f>-(N70_DESARROLLO!BE48/0.014285714)*LN(N70_DESARROLLO!BE48/N70_DESARROLLO!BD48)-1</f>
        <v>4.227013258353729E-2</v>
      </c>
      <c r="BG133" s="3">
        <f>-(N70_DESARROLLO!BF48/0.014285714)*LN(N70_DESARROLLO!BF48/N70_DESARROLLO!BE48)-1</f>
        <v>3.8974076117217482E-2</v>
      </c>
      <c r="BH133" s="3">
        <f>-(N70_DESARROLLO!BG48/0.014285714)*LN(N70_DESARROLLO!BG48/N70_DESARROLLO!BF48)-1</f>
        <v>3.6154998464196897E-2</v>
      </c>
      <c r="BI133" s="3">
        <f>-(N70_DESARROLLO!BH48/0.014285714)*LN(N70_DESARROLLO!BH48/N70_DESARROLLO!BG48)-1</f>
        <v>3.3716325403740921E-2</v>
      </c>
      <c r="BJ133" s="3">
        <f>-(N70_DESARROLLO!BI48/0.014285714)*LN(N70_DESARROLLO!BI48/N70_DESARROLLO!BH48)-1</f>
        <v>3.1585910823734631E-2</v>
      </c>
      <c r="BK133" s="3">
        <f>-(N70_DESARROLLO!BJ48/0.014285714)*LN(N70_DESARROLLO!BJ48/N70_DESARROLLO!BI48)-1</f>
        <v>2.9708770995505729E-2</v>
      </c>
      <c r="BL133" s="3">
        <f>-(N70_DESARROLLO!BK48/0.014285714)*LN(N70_DESARROLLO!BK48/N70_DESARROLLO!BJ48)-1</f>
        <v>2.8042266924848569E-2</v>
      </c>
      <c r="BM133" s="3">
        <f>-(N70_DESARROLLO!BL48/0.014285714)*LN(N70_DESARROLLO!BL48/N70_DESARROLLO!BK48)-1</f>
        <v>2.6552823496782674E-2</v>
      </c>
      <c r="BN133" s="3">
        <f>-(N70_DESARROLLO!BM48/0.014285714)*LN(N70_DESARROLLO!BM48/N70_DESARROLLO!BL48)-1</f>
        <v>2.5213642284835913E-2</v>
      </c>
      <c r="BO133" s="3">
        <f>-(N70_DESARROLLO!BN48/0.014285714)*LN(N70_DESARROLLO!BN48/N70_DESARROLLO!BM48)-1</f>
        <v>2.4003073749031767E-2</v>
      </c>
      <c r="BP133" s="3">
        <f>-(N70_DESARROLLO!BO48/0.014285714)*LN(N70_DESARROLLO!BO48/N70_DESARROLLO!BN48)-1</f>
        <v>2.2903437185115338E-2</v>
      </c>
      <c r="BQ133" s="3">
        <f>-(N70_DESARROLLO!BP48/0.014285714)*LN(N70_DESARROLLO!BP48/N70_DESARROLLO!BO48)-1</f>
        <v>2.1900151021861713E-2</v>
      </c>
      <c r="BR133" s="3">
        <f>-(N70_DESARROLLO!BQ48/0.014285714)*LN(N70_DESARROLLO!BQ48/N70_DESARROLLO!BP48)-1</f>
        <v>2.0981082233544779E-2</v>
      </c>
      <c r="BS133" s="3">
        <f>-(N70_DESARROLLO!BR48/0.014285714)*LN(N70_DESARROLLO!BR48/N70_DESARROLLO!BQ48)-1</f>
        <v>2.0136053052045133E-2</v>
      </c>
      <c r="BT133" s="3">
        <f>-(N70_DESARROLLO!BS48/0.014285714)*LN(N70_DESARROLLO!BS48/N70_DESARROLLO!BR48)-1</f>
        <v>1.9356462323721013E-2</v>
      </c>
      <c r="BU133" s="3">
        <f>-(N70_DESARROLLO!BT48/0.014285714)*LN(N70_DESARROLLO!BT48/N70_DESARROLLO!BS48)-1</f>
        <v>1.8634991582305194E-2</v>
      </c>
      <c r="BV133" s="3">
        <f>-(N70_DESARROLLO!BU48/0.014285714)*LN(N70_DESARROLLO!BU48/N70_DESARROLLO!BT48)-1</f>
        <v>1.7965374518559729E-2</v>
      </c>
      <c r="BW133" s="3">
        <f>-(N70_DESARROLLO!BV48/0.014285714)*LN(N70_DESARROLLO!BV48/N70_DESARROLLO!BU48)-1</f>
        <v>1.7342214446341542E-2</v>
      </c>
      <c r="BX133" s="3">
        <f>-(N70_DESARROLLO!BW48/0.014285714)*LN(N70_DESARROLLO!BW48/N70_DESARROLLO!BV48)-1</f>
        <v>1.6760838496763686E-2</v>
      </c>
      <c r="BY133" s="3">
        <f>-(N70_DESARROLLO!BX48/0.014285714)*LN(N70_DESARROLLO!BX48/N70_DESARROLLO!BW48)-1</f>
        <v>57.153800253595548</v>
      </c>
      <c r="CD133">
        <v>39</v>
      </c>
      <c r="CE133" s="1">
        <v>0</v>
      </c>
      <c r="CF133" s="1">
        <f>(1+(N70_DESARROLLO!F48/0.014285714)*LN(N70_DESARROLLO!G48/N70_DESARROLLO!F48))</f>
        <v>-1.3216390483200113E-2</v>
      </c>
      <c r="CG133" s="1">
        <f>(1+(N70_DESARROLLO!G48/0.014285714)*LN(N70_DESARROLLO!H48/N70_DESARROLLO!G48))</f>
        <v>-1.3575234818481441E-2</v>
      </c>
      <c r="CH133" s="1">
        <f>(1+(N70_DESARROLLO!H48/0.014285714)*LN(N70_DESARROLLO!I48/N70_DESARROLLO!H48))</f>
        <v>-1.3954110187341273E-2</v>
      </c>
      <c r="CI133" s="1">
        <f>(1+(N70_DESARROLLO!I48/0.014285714)*LN(N70_DESARROLLO!J48/N70_DESARROLLO!I48))</f>
        <v>-1.4354742051087221E-2</v>
      </c>
      <c r="CJ133" s="1">
        <f>(1+(N70_DESARROLLO!J48/0.014285714)*LN(N70_DESARROLLO!K48/N70_DESARROLLO!J48))</f>
        <v>-1.4779059912697567E-2</v>
      </c>
      <c r="CK133" s="1">
        <f>(1+(N70_DESARROLLO!K48/0.014285714)*LN(N70_DESARROLLO!L48/N70_DESARROLLO!K48))</f>
        <v>-1.5229228398107475E-2</v>
      </c>
      <c r="CL133" s="1">
        <f>(1+(N70_DESARROLLO!L48/0.014285714)*LN(N70_DESARROLLO!M48/N70_DESARROLLO!L48))</f>
        <v>-1.570768419754387E-2</v>
      </c>
      <c r="CM133" s="1">
        <f>(1+(N70_DESARROLLO!M48/0.014285714)*LN(N70_DESARROLLO!N48/N70_DESARROLLO!M48))</f>
        <v>-1.6217180198318859E-2</v>
      </c>
      <c r="CN133" s="1">
        <f>(1+(N70_DESARROLLO!N48/0.014285714)*LN(N70_DESARROLLO!O48/N70_DESARROLLO!N48))</f>
        <v>-1.6760838496767905E-2</v>
      </c>
      <c r="CO133" s="1">
        <f>(1+(N70_DESARROLLO!O48/0.014285714)*LN(N70_DESARROLLO!P48/N70_DESARROLLO!O48))</f>
        <v>-1.7342214446339321E-2</v>
      </c>
      <c r="CP133" s="1">
        <f>(1+(N70_DESARROLLO!P48/0.014285714)*LN(N70_DESARROLLO!Q48/N70_DESARROLLO!P48))</f>
        <v>-1.7965374518565724E-2</v>
      </c>
      <c r="CQ133" s="1">
        <f>(1+(N70_DESARROLLO!Q48/0.014285714)*LN(N70_DESARROLLO!R48/N70_DESARROLLO!Q48))</f>
        <v>-1.8634991582300087E-2</v>
      </c>
      <c r="CR133" s="1">
        <f>(1+(N70_DESARROLLO!R48/0.014285714)*LN(N70_DESARROLLO!S48/N70_DESARROLLO!R48))</f>
        <v>-1.9356462323724788E-2</v>
      </c>
      <c r="CS133" s="1">
        <f>(1+(N70_DESARROLLO!S48/0.014285714)*LN(N70_DESARROLLO!T48/N70_DESARROLLO!S48))</f>
        <v>-2.0136053052046243E-2</v>
      </c>
      <c r="CT133" s="1">
        <f>(1+(N70_DESARROLLO!T48/0.014285714)*LN(N70_DESARROLLO!U48/N70_DESARROLLO!T48))</f>
        <v>-2.0981082233542336E-2</v>
      </c>
      <c r="CU133" s="1">
        <f>(1+(N70_DESARROLLO!U48/0.014285714)*LN(N70_DESARROLLO!V48/N70_DESARROLLO!U48))</f>
        <v>-2.1900151021861713E-2</v>
      </c>
      <c r="CV133" s="1">
        <f>(1+(N70_DESARROLLO!V48/0.014285714)*LN(N70_DESARROLLO!W48/N70_DESARROLLO!V48))</f>
        <v>-2.2903437185113118E-2</v>
      </c>
      <c r="CW133" s="1">
        <f>(1+(N70_DESARROLLO!W48/0.014285714)*LN(N70_DESARROLLO!X48/N70_DESARROLLO!W48))</f>
        <v>-2.4003073749032877E-2</v>
      </c>
      <c r="CX133" s="1">
        <f>(1+(N70_DESARROLLO!X48/0.014285714)*LN(N70_DESARROLLO!Y48/N70_DESARROLLO!X48))</f>
        <v>-2.5213642284832138E-2</v>
      </c>
      <c r="CY133" s="1">
        <f>(1+(N70_DESARROLLO!Y48/0.014285714)*LN(N70_DESARROLLO!Z48/N70_DESARROLLO!Y48))</f>
        <v>-2.6552823496786448E-2</v>
      </c>
      <c r="CZ133" s="1">
        <f>(1+(N70_DESARROLLO!Z48/0.014285714)*LN(N70_DESARROLLO!AA48/N70_DESARROLLO!Z48))</f>
        <v>-2.8042266924844794E-2</v>
      </c>
      <c r="DA133" s="1">
        <f>(1+(N70_DESARROLLO!AA48/0.014285714)*LN(N70_DESARROLLO!AB48/N70_DESARROLLO!AA48))</f>
        <v>-2.970877099551128E-2</v>
      </c>
      <c r="DB133" s="1">
        <f>(1+(N70_DESARROLLO!AB48/0.014285714)*LN(N70_DESARROLLO!AC48/N70_DESARROLLO!AB48))</f>
        <v>-3.1585910823730412E-2</v>
      </c>
      <c r="DC133" s="1">
        <f>(1+(N70_DESARROLLO!AC48/0.014285714)*LN(N70_DESARROLLO!AD48/N70_DESARROLLO!AC48))</f>
        <v>-3.3716325403747138E-2</v>
      </c>
      <c r="DD133" s="1">
        <f>(1+(N70_DESARROLLO!AD48/0.014285714)*LN(N70_DESARROLLO!AE48/N70_DESARROLLO!AD48))</f>
        <v>-3.6154998464202448E-2</v>
      </c>
      <c r="DE133" s="1">
        <f>(1+(N70_DESARROLLO!AE48/0.014285714)*LN(N70_DESARROLLO!AF48/N70_DESARROLLO!AE48))</f>
        <v>-3.8974076117214151E-2</v>
      </c>
      <c r="DF133" s="1">
        <f>(1+(N70_DESARROLLO!AF48/0.014285714)*LN(N70_DESARROLLO!AG48/N70_DESARROLLO!AF48))</f>
        <v>-4.2270132583537734E-2</v>
      </c>
      <c r="DG133" s="1">
        <f>(1+(N70_DESARROLLO!AG48/0.014285714)*LN(N70_DESARROLLO!AH48/N70_DESARROLLO!AG48))</f>
        <v>-4.6175470289366194E-2</v>
      </c>
      <c r="DH133" s="1">
        <f>(1+(N70_DESARROLLO!AH48/0.014285714)*LN(N70_DESARROLLO!AI48/N70_DESARROLLO!AH48))</f>
        <v>-5.0876335865843947E-2</v>
      </c>
      <c r="DI133" s="1">
        <f>(1+(N70_DESARROLLO!AI48/0.014285714)*LN(N70_DESARROLLO!AJ48/N70_DESARROLLO!AI48))</f>
        <v>-5.6643554680003261E-2</v>
      </c>
      <c r="DJ133" s="1">
        <f>(1+(N70_DESARROLLO!AJ48/0.014285714)*LN(N70_DESARROLLO!AK48/N70_DESARROLLO!AJ48))</f>
        <v>-6.3886736386786769E-2</v>
      </c>
      <c r="DK133" s="1">
        <f>(1+(N70_DESARROLLO!AK48/0.014285714)*LN(N70_DESARROLLO!AL48/N70_DESARROLLO!AK48))</f>
        <v>-7.3256348770177393E-2</v>
      </c>
      <c r="DL133" s="1">
        <f>(1+(N70_DESARROLLO!AL48/0.014285714)*LN(N70_DESARROLLO!AM48/N70_DESARROLLO!AL48))</f>
        <v>-8.585157202761251E-2</v>
      </c>
      <c r="DM133" s="1">
        <f>(1+(N70_DESARROLLO!AM48/0.014285714)*LN(N70_DESARROLLO!AN48/N70_DESARROLLO!AM48))</f>
        <v>-0.10368884711560877</v>
      </c>
      <c r="DN133" s="1">
        <f>(1+(N70_DESARROLLO!AN48/0.014285714)*LN(N70_DESARROLLO!AO48/N70_DESARROLLO!AN48))</f>
        <v>-0.13091494988237673</v>
      </c>
      <c r="DO133" s="1">
        <f>(1+(N70_DESARROLLO!AO48/0.014285714)*LN(N70_DESARROLLO!AP48/N70_DESARROLLO!AO48))</f>
        <v>-0.17765285172729728</v>
      </c>
      <c r="DP133" s="1">
        <f>(1+(N70_DESARROLLO!AP48/0.014285714)*LN(N70_DESARROLLO!AQ48/N70_DESARROLLO!AP48))</f>
        <v>-0.27706408495626422</v>
      </c>
      <c r="DQ133" s="1">
        <f>(1+(N70_DESARROLLO!AQ48/0.014285714)*LN(N70_DESARROLLO!AR48/N70_DESARROLLO!AQ48))</f>
        <v>-0.64791846596052105</v>
      </c>
      <c r="DR133" s="1">
        <v>1</v>
      </c>
      <c r="DS133" s="1">
        <f>(1+(N70_DESARROLLO!AS48/0.014285714)*LN(N70_DESARROLLO!AT48/N70_DESARROLLO!AS48))</f>
        <v>0.45069384467982399</v>
      </c>
      <c r="DT133" s="1">
        <f>(1+(N70_DESARROLLO!AT48/0.014285714)*LN(N70_DESARROLLO!AU48/N70_DESARROLLO!AT48))</f>
        <v>0.23376154902624291</v>
      </c>
      <c r="DU133" s="1">
        <f>(1+(N70_DESARROLLO!AU48/0.014285714)*LN(N70_DESARROLLO!AV48/N70_DESARROLLO!AU48))</f>
        <v>0.15881939162335801</v>
      </c>
      <c r="DV133" s="1">
        <f>(1+(N70_DESARROLLO!AV48/0.014285714)*LN(N70_DESARROLLO!AW48/N70_DESARROLLO!AV48))</f>
        <v>0.12039948342482121</v>
      </c>
      <c r="DW133" s="1">
        <f>(1+(N70_DESARROLLO!AW48/0.014285714)*LN(N70_DESARROLLO!AX48/N70_DESARROLLO!AW48))</f>
        <v>9.6981852359953269E-2</v>
      </c>
      <c r="DX133" s="1">
        <f>(1+(N70_DESARROLLO!AX48/0.014285714)*LN(N70_DESARROLLO!AY48/N70_DESARROLLO!AX48))</f>
        <v>8.1202515976639744E-2</v>
      </c>
      <c r="DY133" s="1">
        <f>(1+(N70_DESARROLLO!AY48/0.014285714)*LN(N70_DESARROLLO!AZ48/N70_DESARROLLO!AY48))</f>
        <v>6.9844497732510002E-2</v>
      </c>
      <c r="DZ133" s="1">
        <f>(1+(N70_DESARROLLO!AZ48/0.014285714)*LN(N70_DESARROLLO!BA48/N70_DESARROLLO!AZ48))</f>
        <v>6.1276409070486593E-2</v>
      </c>
      <c r="EA133" s="1">
        <f>(1+(N70_DESARROLLO!BA48/0.014285714)*LN(N70_DESARROLLO!BB48/N70_DESARROLLO!BA48))</f>
        <v>5.4582082654729969E-2</v>
      </c>
      <c r="EB133" s="1">
        <f>(1+(N70_DESARROLLO!BB48/0.014285714)*LN(N70_DESARROLLO!BC48/N70_DESARROLLO!BB48))</f>
        <v>4.9207124692811632E-2</v>
      </c>
      <c r="EC133" s="1">
        <f>(1+(N70_DESARROLLO!BC48/0.014285714)*LN(N70_DESARROLLO!BD48/N70_DESARROLLO!BC48))</f>
        <v>4.4796309735791184E-2</v>
      </c>
      <c r="ED133" s="1">
        <f>(1+(N70_DESARROLLO!BD48/0.014285714)*LN(N70_DESARROLLO!BE48/N70_DESARROLLO!BD48))</f>
        <v>4.1111478023145409E-2</v>
      </c>
      <c r="EE133" s="1">
        <f>(1+(N70_DESARROLLO!BE48/0.014285714)*LN(N70_DESARROLLO!BF48/N70_DESARROLLO!BE48))</f>
        <v>3.7986966558132274E-2</v>
      </c>
      <c r="EF133" s="1">
        <f>(1+(N70_DESARROLLO!BF48/0.014285714)*LN(N70_DESARROLLO!BG48/N70_DESARROLLO!BF48))</f>
        <v>3.5303966947126675E-2</v>
      </c>
      <c r="EG133" s="1">
        <f>(1+(N70_DESARROLLO!BG48/0.014285714)*LN(N70_DESARROLLO!BH48/N70_DESARROLLO!BG48))</f>
        <v>3.2975050428758257E-2</v>
      </c>
      <c r="EH133" s="1">
        <f>(1+(N70_DESARROLLO!BH48/0.014285714)*LN(N70_DESARROLLO!BI48/N70_DESARROLLO!BH48))</f>
        <v>3.0934447408007104E-2</v>
      </c>
      <c r="EI133" s="1">
        <f>(1+(N70_DESARROLLO!BI48/0.014285714)*LN(N70_DESARROLLO!BJ48/N70_DESARROLLO!BI48))</f>
        <v>2.9131730204237316E-2</v>
      </c>
      <c r="EJ133" s="1">
        <f>(1+(N70_DESARROLLO!BJ48/0.014285714)*LN(N70_DESARROLLO!BK48/N70_DESARROLLO!BJ48))</f>
        <v>2.7527585341359684E-2</v>
      </c>
      <c r="EK133" s="1">
        <f>(1+(N70_DESARROLLO!BK48/0.014285714)*LN(N70_DESARROLLO!BL48/N70_DESARROLLO!BK48))</f>
        <v>2.6090911041513509E-2</v>
      </c>
      <c r="EL133" s="1">
        <f>(1+(N70_DESARROLLO!BL48/0.014285714)*LN(N70_DESARROLLO!BM48/N70_DESARROLLO!BL48))</f>
        <v>2.4796779290034321E-2</v>
      </c>
      <c r="EM133" s="1">
        <f>(1+(N70_DESARROLLO!BM48/0.014285714)*LN(N70_DESARROLLO!BN48/N70_DESARROLLO!BM48))</f>
        <v>2.3624976192783476E-2</v>
      </c>
      <c r="EN133" s="1">
        <f>(1+(N70_DESARROLLO!BN48/0.014285714)*LN(N70_DESARROLLO!BO48/N70_DESARROLLO!BN48))</f>
        <v>2.2558937800890022E-2</v>
      </c>
      <c r="EO133" s="1">
        <f>(1+(N70_DESARROLLO!BO48/0.014285714)*LN(N70_DESARROLLO!BP48/N70_DESARROLLO!BO48))</f>
        <v>2.1584961787579071E-2</v>
      </c>
      <c r="EP133" s="1">
        <f>(1+(N70_DESARROLLO!BP48/0.014285714)*LN(N70_DESARROLLO!BQ48/N70_DESARROLLO!BP48))</f>
        <v>2.0691615000477559E-2</v>
      </c>
      <c r="EQ133" s="1">
        <f>(1+(N70_DESARROLLO!BQ48/0.014285714)*LN(N70_DESARROLLO!BR48/N70_DESARROLLO!BQ48))</f>
        <v>1.9869282361760443E-2</v>
      </c>
      <c r="ER133" s="1">
        <f>(1+(N70_DESARROLLO!BR48/0.014285714)*LN(N70_DESARROLLO!BS48/N70_DESARROLLO!BR48))</f>
        <v>1.9109819273400386E-2</v>
      </c>
      <c r="ES133" s="1">
        <f>(1+(N70_DESARROLLO!BS48/0.014285714)*LN(N70_DESARROLLO!BT48/N70_DESARROLLO!BS48))</f>
        <v>1.8406280838869749E-2</v>
      </c>
      <c r="ET133" s="1">
        <f>(1+(N70_DESARROLLO!BT48/0.014285714)*LN(N70_DESARROLLO!BU48/N70_DESARROLLO!BT48))</f>
        <v>1.7752708797881045E-2</v>
      </c>
      <c r="EU133" s="1">
        <f>(1+(N70_DESARROLLO!BU48/0.014285714)*LN(N70_DESARROLLO!BV48/N70_DESARROLLO!BU48))</f>
        <v>1.7143962314551509E-2</v>
      </c>
      <c r="EV133" s="1">
        <f>(1+(N70_DESARROLLO!BV48/0.014285714)*LN(N70_DESARROLLO!BW48/N70_DESARROLLO!BV48))</f>
        <v>1.6575582437556191E-2</v>
      </c>
      <c r="EW133" s="1">
        <f>(1+(N70_DESARROLLO!BW48/0.014285714)*LN(N70_DESARROLLO!BX48/N70_DESARROLLO!BW48))</f>
        <v>-24.338441539066622</v>
      </c>
    </row>
    <row r="134" spans="7:153" x14ac:dyDescent="0.25">
      <c r="G134" s="3">
        <v>40</v>
      </c>
      <c r="H134" s="3">
        <f>-(N70_DESARROLLO!G49/0.014285714)*LN(N70_DESARROLLO!G49/N70_DESARROLLO!F49)-1</f>
        <v>-1.2766401641831959E-2</v>
      </c>
      <c r="I134" s="3">
        <f>-(N70_DESARROLLO!H49/0.014285714)*LN(N70_DESARROLLO!H49/N70_DESARROLLO!G49)-1</f>
        <v>-1.3100918360510971E-2</v>
      </c>
      <c r="J134" s="3">
        <f>-(N70_DESARROLLO!I49/0.014285714)*LN(N70_DESARROLLO!I49/N70_DESARROLLO!H49)-1</f>
        <v>-1.3453438110015759E-2</v>
      </c>
      <c r="K134" s="3">
        <f>-(N70_DESARROLLO!J49/0.014285714)*LN(N70_DESARROLLO!J49/N70_DESARROLLO!I49)-1</f>
        <v>-1.3825454475317467E-2</v>
      </c>
      <c r="L134" s="3">
        <f>-(N70_DESARROLLO!K49/0.014285714)*LN(N70_DESARROLLO!K49/N70_DESARROLLO!J49)-1</f>
        <v>-1.4218630964444534E-2</v>
      </c>
      <c r="M134" s="3">
        <f>-(N70_DESARROLLO!L49/0.014285714)*LN(N70_DESARROLLO!L49/N70_DESARROLLO!K49)-1</f>
        <v>-1.4634825881865821E-2</v>
      </c>
      <c r="N134" s="3">
        <f>-(N70_DESARROLLO!M49/0.014285714)*LN(N70_DESARROLLO!M49/N70_DESARROLLO!L49)-1</f>
        <v>-1.5076121703336054E-2</v>
      </c>
      <c r="O134" s="3">
        <f>-(N70_DESARROLLO!N49/0.014285714)*LN(N70_DESARROLLO!N49/N70_DESARROLLO!M49)-1</f>
        <v>-1.5544859931607813E-2</v>
      </c>
      <c r="P134" s="3">
        <f>-(N70_DESARROLLO!O49/0.014285714)*LN(N70_DESARROLLO!O49/N70_DESARROLLO!N49)-1</f>
        <v>-1.6043682665119796E-2</v>
      </c>
      <c r="Q134" s="3">
        <f>-(N70_DESARROLLO!P49/0.014285714)*LN(N70_DESARROLLO!P49/N70_DESARROLLO!O49)-1</f>
        <v>-1.6575582437552416E-2</v>
      </c>
      <c r="R134" s="3">
        <f>-(N70_DESARROLLO!Q49/0.014285714)*LN(N70_DESARROLLO!Q49/N70_DESARROLLO!P49)-1</f>
        <v>-1.7143962314553618E-2</v>
      </c>
      <c r="S134" s="3">
        <f>-(N70_DESARROLLO!R49/0.014285714)*LN(N70_DESARROLLO!R49/N70_DESARROLLO!Q49)-1</f>
        <v>-1.7752708797875383E-2</v>
      </c>
      <c r="T134" s="3">
        <f>-(N70_DESARROLLO!S49/0.014285714)*LN(N70_DESARROLLO!S49/N70_DESARROLLO!R49)-1</f>
        <v>-1.8406280838874522E-2</v>
      </c>
      <c r="U134" s="3">
        <f>-(N70_DESARROLLO!T49/0.014285714)*LN(N70_DESARROLLO!T49/N70_DESARROLLO!S49)-1</f>
        <v>-1.910981927339972E-2</v>
      </c>
      <c r="V134" s="3">
        <f>-(N70_DESARROLLO!U49/0.014285714)*LN(N70_DESARROLLO!U49/N70_DESARROLLO!T49)-1</f>
        <v>-1.9869282361751228E-2</v>
      </c>
      <c r="W134" s="3">
        <f>-(N70_DESARROLLO!V49/0.014285714)*LN(N70_DESARROLLO!V49/N70_DESARROLLO!U49)-1</f>
        <v>-2.0691615000488106E-2</v>
      </c>
      <c r="X134" s="3">
        <f>-(N70_DESARROLLO!W49/0.014285714)*LN(N70_DESARROLLO!W49/N70_DESARROLLO!V49)-1</f>
        <v>-2.1584961787571522E-2</v>
      </c>
      <c r="Y134" s="3">
        <f>-(N70_DESARROLLO!X49/0.014285714)*LN(N70_DESARROLLO!X49/N70_DESARROLLO!W49)-1</f>
        <v>-2.2558937800899459E-2</v>
      </c>
      <c r="Z134" s="3">
        <f>-(N70_DESARROLLO!Y49/0.014285714)*LN(N70_DESARROLLO!Y49/N70_DESARROLLO!X49)-1</f>
        <v>-2.3624976192780478E-2</v>
      </c>
      <c r="AA134" s="3">
        <f>-(N70_DESARROLLO!Z49/0.014285714)*LN(N70_DESARROLLO!Z49/N70_DESARROLLO!Y49)-1</f>
        <v>-2.4796779290037874E-2</v>
      </c>
      <c r="AB134" s="3">
        <f>-(N70_DESARROLLO!AA49/0.014285714)*LN(N70_DESARROLLO!AA49/N70_DESARROLLO!Z49)-1</f>
        <v>-2.6090911041510623E-2</v>
      </c>
      <c r="AC134" s="3">
        <f>-(N70_DESARROLLO!AB49/0.014285714)*LN(N70_DESARROLLO!AB49/N70_DESARROLLO!AA49)-1</f>
        <v>-2.7527585341363237E-2</v>
      </c>
      <c r="AD134" s="3">
        <f>-(N70_DESARROLLO!AC49/0.014285714)*LN(N70_DESARROLLO!AC49/N70_DESARROLLO!AB49)-1</f>
        <v>-2.9131730204232431E-2</v>
      </c>
      <c r="AE134" s="3">
        <f>-(N70_DESARROLLO!AD49/0.014285714)*LN(N70_DESARROLLO!AD49/N70_DESARROLLO!AC49)-1</f>
        <v>-3.0934447408011101E-2</v>
      </c>
      <c r="AF134" s="3">
        <f>-(N70_DESARROLLO!AE49/0.014285714)*LN(N70_DESARROLLO!AE49/N70_DESARROLLO!AD49)-1</f>
        <v>-3.2975050428753039E-2</v>
      </c>
      <c r="AG134" s="3">
        <f>-(N70_DESARROLLO!AF49/0.014285714)*LN(N70_DESARROLLO!AF49/N70_DESARROLLO!AE49)-1</f>
        <v>-3.5303966947122234E-2</v>
      </c>
      <c r="AH134" s="3">
        <f>-(N70_DESARROLLO!AG49/0.014285714)*LN(N70_DESARROLLO!AG49/N70_DESARROLLO!AF49)-1</f>
        <v>-3.7986966558138158E-2</v>
      </c>
      <c r="AI134" s="3">
        <f>-(N70_DESARROLLO!AH49/0.014285714)*LN(N70_DESARROLLO!AH49/N70_DESARROLLO!AG49)-1</f>
        <v>-4.1111478023142745E-2</v>
      </c>
      <c r="AJ134" s="3">
        <f>-(N70_DESARROLLO!AI49/0.014285714)*LN(N70_DESARROLLO!AI49/N70_DESARROLLO!AH49)-1</f>
        <v>-4.4796309735794959E-2</v>
      </c>
      <c r="AK134" s="3">
        <f>-(N70_DESARROLLO!AJ49/0.014285714)*LN(N70_DESARROLLO!AJ49/N70_DESARROLLO!AI49)-1</f>
        <v>-4.9207124692808302E-2</v>
      </c>
      <c r="AL134" s="3">
        <f>-(N70_DESARROLLO!AK49/0.014285714)*LN(N70_DESARROLLO!AK49/N70_DESARROLLO!AJ49)-1</f>
        <v>-5.4582082654734299E-2</v>
      </c>
      <c r="AM134" s="3">
        <f>-(N70_DESARROLLO!AL49/0.014285714)*LN(N70_DESARROLLO!AL49/N70_DESARROLLO!AK49)-1</f>
        <v>-6.1276409070482818E-2</v>
      </c>
      <c r="AN134" s="3">
        <f>-(N70_DESARROLLO!AM49/0.014285714)*LN(N70_DESARROLLO!AM49/N70_DESARROLLO!AL49)-1</f>
        <v>-6.9844497732512556E-2</v>
      </c>
      <c r="AO134" s="3">
        <f>-(N70_DESARROLLO!AN49/0.014285714)*LN(N70_DESARROLLO!AN49/N70_DESARROLLO!AM49)-1</f>
        <v>-8.1202515976636191E-2</v>
      </c>
      <c r="AP134" s="3">
        <f>-(N70_DESARROLLO!AO49/0.014285714)*LN(N70_DESARROLLO!AO49/N70_DESARROLLO!AN49)-1</f>
        <v>-9.69818523599566E-2</v>
      </c>
      <c r="AQ134" s="3">
        <f>-(N70_DESARROLLO!AP49/0.014285714)*LN(N70_DESARROLLO!AP49/N70_DESARROLLO!AO49)-1</f>
        <v>-0.12039948342482121</v>
      </c>
      <c r="AR134" s="3">
        <f>-(N70_DESARROLLO!AQ49/0.014285714)*LN(N70_DESARROLLO!AQ49/N70_DESARROLLO!AP49)-1</f>
        <v>-0.15881939162335246</v>
      </c>
      <c r="AS134" s="3">
        <f>-(N70_DESARROLLO!AR49/0.014285714)*LN(N70_DESARROLLO!AR49/N70_DESARROLLO!AQ49)-1</f>
        <v>-0.23376154902624657</v>
      </c>
      <c r="AT134" s="3">
        <f>-(N70_DESARROLLO!AS49/0.014285714)*LN(N70_DESARROLLO!AS49/N70_DESARROLLO!AR49)-1</f>
        <v>-0.45069384467982143</v>
      </c>
      <c r="AU134" s="3">
        <v>-1</v>
      </c>
      <c r="AV134" s="3">
        <f>-(N70_DESARROLLO!AU49/0.014285714)*LN(N70_DESARROLLO!AU49/N70_DESARROLLO!AT49)-1</f>
        <v>0.64791846596054437</v>
      </c>
      <c r="AW134" s="3">
        <f>-(N70_DESARROLLO!AV49/0.014285714)*LN(N70_DESARROLLO!AV49/N70_DESARROLLO!AU49)-1</f>
        <v>0.2770640849562529</v>
      </c>
      <c r="AX134" s="3">
        <f>-(N70_DESARROLLO!AW49/0.014285714)*LN(N70_DESARROLLO!AW49/N70_DESARROLLO!AV49)-1</f>
        <v>0.17765285172729772</v>
      </c>
      <c r="AY134" s="3">
        <f>-(N70_DESARROLLO!AX49/0.014285714)*LN(N70_DESARROLLO!AX49/N70_DESARROLLO!AW49)-1</f>
        <v>0.13091494988238206</v>
      </c>
      <c r="AZ134" s="3">
        <f>-(N70_DESARROLLO!AY49/0.014285714)*LN(N70_DESARROLLO!AY49/N70_DESARROLLO!AX49)-1</f>
        <v>0.10368884711560411</v>
      </c>
      <c r="BA134" s="3">
        <f>-(N70_DESARROLLO!AZ49/0.014285714)*LN(N70_DESARROLLO!AZ49/N70_DESARROLLO!AY49)-1</f>
        <v>8.5851572027616951E-2</v>
      </c>
      <c r="BB134" s="3">
        <f>-(N70_DESARROLLO!BA49/0.014285714)*LN(N70_DESARROLLO!BA49/N70_DESARROLLO!AZ49)-1</f>
        <v>7.3256348770172952E-2</v>
      </c>
      <c r="BC134" s="3">
        <f>-(N70_DESARROLLO!BB49/0.014285714)*LN(N70_DESARROLLO!BB49/N70_DESARROLLO!BA49)-1</f>
        <v>6.3886736386790766E-2</v>
      </c>
      <c r="BD134" s="3">
        <f>-(N70_DESARROLLO!BC49/0.014285714)*LN(N70_DESARROLLO!BC49/N70_DESARROLLO!BB49)-1</f>
        <v>5.664355467999882E-2</v>
      </c>
      <c r="BE134" s="3">
        <f>-(N70_DESARROLLO!BD49/0.014285714)*LN(N70_DESARROLLO!BD49/N70_DESARROLLO!BC49)-1</f>
        <v>5.0876335865848832E-2</v>
      </c>
      <c r="BF134" s="3">
        <f>-(N70_DESARROLLO!BE49/0.014285714)*LN(N70_DESARROLLO!BE49/N70_DESARROLLO!BD49)-1</f>
        <v>4.6175470289362641E-2</v>
      </c>
      <c r="BG134" s="3">
        <f>-(N70_DESARROLLO!BF49/0.014285714)*LN(N70_DESARROLLO!BF49/N70_DESARROLLO!BE49)-1</f>
        <v>4.2270132583545728E-2</v>
      </c>
      <c r="BH134" s="3">
        <f>-(N70_DESARROLLO!BG49/0.014285714)*LN(N70_DESARROLLO!BG49/N70_DESARROLLO!BF49)-1</f>
        <v>3.8974076117209266E-2</v>
      </c>
      <c r="BI134" s="3">
        <f>-(N70_DESARROLLO!BH49/0.014285714)*LN(N70_DESARROLLO!BH49/N70_DESARROLLO!BG49)-1</f>
        <v>3.6154998464196897E-2</v>
      </c>
      <c r="BJ134" s="3">
        <f>-(N70_DESARROLLO!BI49/0.014285714)*LN(N70_DESARROLLO!BI49/N70_DESARROLLO!BH49)-1</f>
        <v>3.3716325403751135E-2</v>
      </c>
      <c r="BK134" s="3">
        <f>-(N70_DESARROLLO!BJ49/0.014285714)*LN(N70_DESARROLLO!BJ49/N70_DESARROLLO!BI49)-1</f>
        <v>3.1585910823724417E-2</v>
      </c>
      <c r="BL134" s="3">
        <f>-(N70_DESARROLLO!BK49/0.014285714)*LN(N70_DESARROLLO!BK49/N70_DESARROLLO!BJ49)-1</f>
        <v>2.97087709955135E-2</v>
      </c>
      <c r="BM134" s="3">
        <f>-(N70_DESARROLLO!BL49/0.014285714)*LN(N70_DESARROLLO!BL49/N70_DESARROLLO!BK49)-1</f>
        <v>2.8042266924840797E-2</v>
      </c>
      <c r="BN134" s="3">
        <f>-(N70_DESARROLLO!BM49/0.014285714)*LN(N70_DESARROLLO!BM49/N70_DESARROLLO!BL49)-1</f>
        <v>2.6552823496791333E-2</v>
      </c>
      <c r="BO134" s="3">
        <f>-(N70_DESARROLLO!BN49/0.014285714)*LN(N70_DESARROLLO!BN49/N70_DESARROLLO!BM49)-1</f>
        <v>2.5213642284827253E-2</v>
      </c>
      <c r="BP134" s="3">
        <f>-(N70_DESARROLLO!BO49/0.014285714)*LN(N70_DESARROLLO!BO49/N70_DESARROLLO!BN49)-1</f>
        <v>2.4003073749041315E-2</v>
      </c>
      <c r="BQ134" s="3">
        <f>-(N70_DESARROLLO!BP49/0.014285714)*LN(N70_DESARROLLO!BP49/N70_DESARROLLO!BO49)-1</f>
        <v>2.2903437185105791E-2</v>
      </c>
      <c r="BR134" s="3">
        <f>-(N70_DESARROLLO!BQ49/0.014285714)*LN(N70_DESARROLLO!BQ49/N70_DESARROLLO!BP49)-1</f>
        <v>2.190015102187215E-2</v>
      </c>
      <c r="BS134" s="3">
        <f>-(N70_DESARROLLO!BR49/0.014285714)*LN(N70_DESARROLLO!BR49/N70_DESARROLLO!BQ49)-1</f>
        <v>2.0981082233534565E-2</v>
      </c>
      <c r="BT134" s="3">
        <f>-(N70_DESARROLLO!BS49/0.014285714)*LN(N70_DESARROLLO!BS49/N70_DESARROLLO!BR49)-1</f>
        <v>2.0136053052045133E-2</v>
      </c>
      <c r="BU134" s="3">
        <f>-(N70_DESARROLLO!BT49/0.014285714)*LN(N70_DESARROLLO!BT49/N70_DESARROLLO!BS49)-1</f>
        <v>1.9356462323727008E-2</v>
      </c>
      <c r="BV134" s="3">
        <f>-(N70_DESARROLLO!BU49/0.014285714)*LN(N70_DESARROLLO!BU49/N70_DESARROLLO!BT49)-1</f>
        <v>1.8634991582293425E-2</v>
      </c>
      <c r="BW134" s="3">
        <f>-(N70_DESARROLLO!BV49/0.014285714)*LN(N70_DESARROLLO!BV49/N70_DESARROLLO!BU49)-1</f>
        <v>1.7965374518572164E-2</v>
      </c>
      <c r="BX134" s="3">
        <f>-(N70_DESARROLLO!BW49/0.014285714)*LN(N70_DESARROLLO!BW49/N70_DESARROLLO!BV49)-1</f>
        <v>1.7342214446335324E-2</v>
      </c>
      <c r="BY134" s="3">
        <f>-(N70_DESARROLLO!BX49/0.014285714)*LN(N70_DESARROLLO!BX49/N70_DESARROLLO!BW49)-1</f>
        <v>59.48734971899794</v>
      </c>
      <c r="CD134" s="1">
        <v>40</v>
      </c>
      <c r="CE134" s="1">
        <v>0</v>
      </c>
      <c r="CF134" s="1">
        <f>(1+(N70_DESARROLLO!F49/0.014285714)*LN(N70_DESARROLLO!G49/N70_DESARROLLO!F49))</f>
        <v>-1.2876029484353957E-2</v>
      </c>
      <c r="CG134" s="1">
        <f>(1+(N70_DESARROLLO!G49/0.014285714)*LN(N70_DESARROLLO!H49/N70_DESARROLLO!G49))</f>
        <v>-1.3216390483208995E-2</v>
      </c>
      <c r="CH134" s="1">
        <f>(1+(N70_DESARROLLO!H49/0.014285714)*LN(N70_DESARROLLO!I49/N70_DESARROLLO!H49))</f>
        <v>-1.3575234818476778E-2</v>
      </c>
      <c r="CI134" s="1">
        <f>(1+(N70_DESARROLLO!I49/0.014285714)*LN(N70_DESARROLLO!J49/N70_DESARROLLO!I49))</f>
        <v>-1.3954110187349711E-2</v>
      </c>
      <c r="CJ134" s="1">
        <f>(1+(N70_DESARROLLO!J49/0.014285714)*LN(N70_DESARROLLO!K49/N70_DESARROLLO!J49))</f>
        <v>-1.4354742051078784E-2</v>
      </c>
      <c r="CK134" s="1">
        <f>(1+(N70_DESARROLLO!K49/0.014285714)*LN(N70_DESARROLLO!L49/N70_DESARROLLO!K49))</f>
        <v>-1.4779059912705339E-2</v>
      </c>
      <c r="CL134" s="1">
        <f>(1+(N70_DESARROLLO!L49/0.014285714)*LN(N70_DESARROLLO!M49/N70_DESARROLLO!L49))</f>
        <v>-1.5229228398099703E-2</v>
      </c>
      <c r="CM134" s="1">
        <f>(1+(N70_DESARROLLO!M49/0.014285714)*LN(N70_DESARROLLO!N49/N70_DESARROLLO!M49))</f>
        <v>-1.5707684197547644E-2</v>
      </c>
      <c r="CN134" s="1">
        <f>(1+(N70_DESARROLLO!N49/0.014285714)*LN(N70_DESARROLLO!O49/N70_DESARROLLO!N49))</f>
        <v>-1.6217180198318859E-2</v>
      </c>
      <c r="CO134" s="1">
        <f>(1+(N70_DESARROLLO!O49/0.014285714)*LN(N70_DESARROLLO!P49/N70_DESARROLLO!O49))</f>
        <v>-1.6760838496767905E-2</v>
      </c>
      <c r="CP134" s="1">
        <f>(1+(N70_DESARROLLO!P49/0.014285714)*LN(N70_DESARROLLO!Q49/N70_DESARROLLO!P49))</f>
        <v>-1.7342214446339321E-2</v>
      </c>
      <c r="CQ134" s="1">
        <f>(1+(N70_DESARROLLO!Q49/0.014285714)*LN(N70_DESARROLLO!R49/N70_DESARROLLO!Q49))</f>
        <v>-1.7965374518565502E-2</v>
      </c>
      <c r="CR134" s="1">
        <f>(1+(N70_DESARROLLO!R49/0.014285714)*LN(N70_DESARROLLO!S49/N70_DESARROLLO!R49))</f>
        <v>-1.8634991582299865E-2</v>
      </c>
      <c r="CS134" s="1">
        <f>(1+(N70_DESARROLLO!S49/0.014285714)*LN(N70_DESARROLLO!T49/N70_DESARROLLO!S49))</f>
        <v>-1.9356462323721679E-2</v>
      </c>
      <c r="CT134" s="1">
        <f>(1+(N70_DESARROLLO!T49/0.014285714)*LN(N70_DESARROLLO!U49/N70_DESARROLLO!T49))</f>
        <v>-2.0136053052055125E-2</v>
      </c>
      <c r="CU134" s="1">
        <f>(1+(N70_DESARROLLO!U49/0.014285714)*LN(N70_DESARROLLO!V49/N70_DESARROLLO!U49))</f>
        <v>-2.0981082233533677E-2</v>
      </c>
      <c r="CV134" s="1">
        <f>(1+(N70_DESARROLLO!V49/0.014285714)*LN(N70_DESARROLLO!W49/N70_DESARROLLO!V49))</f>
        <v>-2.1900151021869707E-2</v>
      </c>
      <c r="CW134" s="1">
        <f>(1+(N70_DESARROLLO!W49/0.014285714)*LN(N70_DESARROLLO!X49/N70_DESARROLLO!W49))</f>
        <v>-2.2903437185105124E-2</v>
      </c>
      <c r="CX134" s="1">
        <f>(1+(N70_DESARROLLO!X49/0.014285714)*LN(N70_DESARROLLO!Y49/N70_DESARROLLO!X49))</f>
        <v>-2.4003073749035098E-2</v>
      </c>
      <c r="CY134" s="1">
        <f>(1+(N70_DESARROLLO!Y49/0.014285714)*LN(N70_DESARROLLO!Z49/N70_DESARROLLO!Y49))</f>
        <v>-2.5213642284832138E-2</v>
      </c>
      <c r="CZ134" s="1">
        <f>(1+(N70_DESARROLLO!Z49/0.014285714)*LN(N70_DESARROLLO!AA49/N70_DESARROLLO!Z49))</f>
        <v>-2.6552823496786004E-2</v>
      </c>
      <c r="DA134" s="1">
        <f>(1+(N70_DESARROLLO!AA49/0.014285714)*LN(N70_DESARROLLO!AB49/N70_DESARROLLO!AA49))</f>
        <v>-2.8042266924844572E-2</v>
      </c>
      <c r="DB134" s="1">
        <f>(1+(N70_DESARROLLO!AB49/0.014285714)*LN(N70_DESARROLLO!AC49/N70_DESARROLLO!AB49))</f>
        <v>-2.9708770995511058E-2</v>
      </c>
      <c r="DC134" s="1">
        <f>(1+(N70_DESARROLLO!AC49/0.014285714)*LN(N70_DESARROLLO!AD49/N70_DESARROLLO!AC49))</f>
        <v>-3.158591082373019E-2</v>
      </c>
      <c r="DD134" s="1">
        <f>(1+(N70_DESARROLLO!AD49/0.014285714)*LN(N70_DESARROLLO!AE49/N70_DESARROLLO!AD49))</f>
        <v>-3.3716325403746916E-2</v>
      </c>
      <c r="DE134" s="1">
        <f>(1+(N70_DESARROLLO!AE49/0.014285714)*LN(N70_DESARROLLO!AF49/N70_DESARROLLO!AE49))</f>
        <v>-3.6154998464202004E-2</v>
      </c>
      <c r="DF134" s="1">
        <f>(1+(N70_DESARROLLO!AF49/0.014285714)*LN(N70_DESARROLLO!AG49/N70_DESARROLLO!AF49))</f>
        <v>-3.8974076117210377E-2</v>
      </c>
      <c r="DG134" s="1">
        <f>(1+(N70_DESARROLLO!AG49/0.014285714)*LN(N70_DESARROLLO!AH49/N70_DESARROLLO!AG49))</f>
        <v>-4.2270132583540621E-2</v>
      </c>
      <c r="DH134" s="1">
        <f>(1+(N70_DESARROLLO!AH49/0.014285714)*LN(N70_DESARROLLO!AI49/N70_DESARROLLO!AH49))</f>
        <v>-4.6175470289367304E-2</v>
      </c>
      <c r="DI134" s="1">
        <f>(1+(N70_DESARROLLO!AI49/0.014285714)*LN(N70_DESARROLLO!AJ49/N70_DESARROLLO!AI49))</f>
        <v>-5.0876335865843503E-2</v>
      </c>
      <c r="DJ134" s="1">
        <f>(1+(N70_DESARROLLO!AJ49/0.014285714)*LN(N70_DESARROLLO!AK49/N70_DESARROLLO!AJ49))</f>
        <v>-5.6643554680002817E-2</v>
      </c>
      <c r="DK134" s="1">
        <f>(1+(N70_DESARROLLO!AK49/0.014285714)*LN(N70_DESARROLLO!AL49/N70_DESARROLLO!AK49))</f>
        <v>-6.3886736386786325E-2</v>
      </c>
      <c r="DL134" s="1">
        <f>(1+(N70_DESARROLLO!AL49/0.014285714)*LN(N70_DESARROLLO!AM49/N70_DESARROLLO!AL49))</f>
        <v>-7.3256348770177837E-2</v>
      </c>
      <c r="DM134" s="1">
        <f>(1+(N70_DESARROLLO!AM49/0.014285714)*LN(N70_DESARROLLO!AN49/N70_DESARROLLO!AM49))</f>
        <v>-8.5851572027611844E-2</v>
      </c>
      <c r="DN134" s="1">
        <f>(1+(N70_DESARROLLO!AN49/0.014285714)*LN(N70_DESARROLLO!AO49/N70_DESARROLLO!AN49))</f>
        <v>-0.10368884711560877</v>
      </c>
      <c r="DO134" s="1">
        <f>(1+(N70_DESARROLLO!AO49/0.014285714)*LN(N70_DESARROLLO!AP49/N70_DESARROLLO!AO49))</f>
        <v>-0.13091494988237162</v>
      </c>
      <c r="DP134" s="1">
        <f>(1+(N70_DESARROLLO!AP49/0.014285714)*LN(N70_DESARROLLO!AQ49/N70_DESARROLLO!AP49))</f>
        <v>-0.17765285172730816</v>
      </c>
      <c r="DQ134" s="1">
        <f>(1+(N70_DESARROLLO!AQ49/0.014285714)*LN(N70_DESARROLLO!AR49/N70_DESARROLLO!AQ49))</f>
        <v>-0.27706408495625312</v>
      </c>
      <c r="DR134" s="1">
        <f>(1+(N70_DESARROLLO!AR49/0.014285714)*LN(N70_DESARROLLO!AS49/N70_DESARROLLO!AR49))</f>
        <v>-0.64791846596054437</v>
      </c>
      <c r="DS134" s="1">
        <v>1</v>
      </c>
      <c r="DT134" s="1">
        <f>(1+(N70_DESARROLLO!AT49/0.014285714)*LN(N70_DESARROLLO!AU49/N70_DESARROLLO!AT49))</f>
        <v>0.45069384467982143</v>
      </c>
      <c r="DU134" s="1">
        <f>(1+(N70_DESARROLLO!AU49/0.014285714)*LN(N70_DESARROLLO!AV49/N70_DESARROLLO!AU49))</f>
        <v>0.2337615490262468</v>
      </c>
      <c r="DV134" s="1">
        <f>(1+(N70_DESARROLLO!AV49/0.014285714)*LN(N70_DESARROLLO!AW49/N70_DESARROLLO!AV49))</f>
        <v>0.15881939162335801</v>
      </c>
      <c r="DW134" s="1">
        <f>(1+(N70_DESARROLLO!AW49/0.014285714)*LN(N70_DESARROLLO!AX49/N70_DESARROLLO!AW49))</f>
        <v>0.12039948342481499</v>
      </c>
      <c r="DX134" s="1">
        <f>(1+(N70_DESARROLLO!AX49/0.014285714)*LN(N70_DESARROLLO!AY49/N70_DESARROLLO!AX49))</f>
        <v>9.6981852359959819E-2</v>
      </c>
      <c r="DY134" s="1">
        <f>(1+(N70_DESARROLLO!AY49/0.014285714)*LN(N70_DESARROLLO!AZ49/N70_DESARROLLO!AY49))</f>
        <v>8.1202515976632528E-2</v>
      </c>
      <c r="DZ134" s="1">
        <f>(1+(N70_DESARROLLO!AZ49/0.014285714)*LN(N70_DESARROLLO!BA49/N70_DESARROLLO!AZ49))</f>
        <v>6.9844497732516331E-2</v>
      </c>
      <c r="EA134" s="1">
        <f>(1+(N70_DESARROLLO!BA49/0.014285714)*LN(N70_DESARROLLO!BB49/N70_DESARROLLO!BA49))</f>
        <v>6.1276409070479265E-2</v>
      </c>
      <c r="EB134" s="1">
        <f>(1+(N70_DESARROLLO!BB49/0.014285714)*LN(N70_DESARROLLO!BC49/N70_DESARROLLO!BB49))</f>
        <v>5.4582082654737407E-2</v>
      </c>
      <c r="EC134" s="1">
        <f>(1+(N70_DESARROLLO!BC49/0.014285714)*LN(N70_DESARROLLO!BD49/N70_DESARROLLO!BC49))</f>
        <v>4.9207124692803972E-2</v>
      </c>
      <c r="ED134" s="1">
        <f>(1+(N70_DESARROLLO!BD49/0.014285714)*LN(N70_DESARROLLO!BE49/N70_DESARROLLO!BD49))</f>
        <v>4.4796309735798956E-2</v>
      </c>
      <c r="EE134" s="1">
        <f>(1+(N70_DESARROLLO!BE49/0.014285714)*LN(N70_DESARROLLO!BF49/N70_DESARROLLO!BE49))</f>
        <v>4.1111478023138415E-2</v>
      </c>
      <c r="EF134" s="1">
        <f>(1+(N70_DESARROLLO!BF49/0.014285714)*LN(N70_DESARROLLO!BG49/N70_DESARROLLO!BF49))</f>
        <v>3.7986966558139379E-2</v>
      </c>
      <c r="EG134" s="1">
        <f>(1+(N70_DESARROLLO!BG49/0.014285714)*LN(N70_DESARROLLO!BH49/N70_DESARROLLO!BG49))</f>
        <v>3.5303966947126675E-2</v>
      </c>
      <c r="EH134" s="1">
        <f>(1+(N70_DESARROLLO!BH49/0.014285714)*LN(N70_DESARROLLO!BI49/N70_DESARROLLO!BH49))</f>
        <v>3.2975050428749264E-2</v>
      </c>
      <c r="EI134" s="1">
        <f>(1+(N70_DESARROLLO!BI49/0.014285714)*LN(N70_DESARROLLO!BJ49/N70_DESARROLLO!BI49))</f>
        <v>3.0934447408016319E-2</v>
      </c>
      <c r="EJ134" s="1">
        <f>(1+(N70_DESARROLLO!BJ49/0.014285714)*LN(N70_DESARROLLO!BK49/N70_DESARROLLO!BJ49))</f>
        <v>2.9131730204230433E-2</v>
      </c>
      <c r="EK134" s="1">
        <f>(1+(N70_DESARROLLO!BK49/0.014285714)*LN(N70_DESARROLLO!BL49/N70_DESARROLLO!BK49))</f>
        <v>2.7527585341366678E-2</v>
      </c>
      <c r="EL134" s="1">
        <f>(1+(N70_DESARROLLO!BL49/0.014285714)*LN(N70_DESARROLLO!BM49/N70_DESARROLLO!BL49))</f>
        <v>2.6090911041505627E-2</v>
      </c>
      <c r="EM134" s="1">
        <f>(1+(N70_DESARROLLO!BM49/0.014285714)*LN(N70_DESARROLLO!BN49/N70_DESARROLLO!BM49))</f>
        <v>2.4796779290042203E-2</v>
      </c>
      <c r="EN134" s="1">
        <f>(1+(N70_DESARROLLO!BN49/0.014285714)*LN(N70_DESARROLLO!BO49/N70_DESARROLLO!BN49))</f>
        <v>2.3624976192774816E-2</v>
      </c>
      <c r="EO134" s="1">
        <f>(1+(N70_DESARROLLO!BO49/0.014285714)*LN(N70_DESARROLLO!BP49/N70_DESARROLLO!BO49))</f>
        <v>2.2558937800898904E-2</v>
      </c>
      <c r="EP134" s="1">
        <f>(1+(N70_DESARROLLO!BP49/0.014285714)*LN(N70_DESARROLLO!BQ49/N70_DESARROLLO!BP49))</f>
        <v>2.1584961787569412E-2</v>
      </c>
      <c r="EQ134" s="1">
        <f>(1+(N70_DESARROLLO!BQ49/0.014285714)*LN(N70_DESARROLLO!BR49/N70_DESARROLLO!BQ49))</f>
        <v>2.0691615000487218E-2</v>
      </c>
      <c r="ER134" s="1">
        <f>(1+(N70_DESARROLLO!BR49/0.014285714)*LN(N70_DESARROLLO!BS49/N70_DESARROLLO!BR49))</f>
        <v>1.9869282361760443E-2</v>
      </c>
      <c r="ES134" s="1">
        <f>(1+(N70_DESARROLLO!BS49/0.014285714)*LN(N70_DESARROLLO!BT49/N70_DESARROLLO!BS49))</f>
        <v>1.9109819273394835E-2</v>
      </c>
      <c r="ET134" s="1">
        <f>(1+(N70_DESARROLLO!BT49/0.014285714)*LN(N70_DESARROLLO!BU49/N70_DESARROLLO!BT49))</f>
        <v>1.840628083888074E-2</v>
      </c>
      <c r="EU134" s="1">
        <f>(1+(N70_DESARROLLO!BU49/0.014285714)*LN(N70_DESARROLLO!BV49/N70_DESARROLLO!BU49))</f>
        <v>1.7752708797869166E-2</v>
      </c>
      <c r="EV134" s="1">
        <f>(1+(N70_DESARROLLO!BV49/0.014285714)*LN(N70_DESARROLLO!BW49/N70_DESARROLLO!BV49))</f>
        <v>1.7143962314557393E-2</v>
      </c>
      <c r="EW134" s="1">
        <f>(1+(N70_DESARROLLO!BW49/0.014285714)*LN(N70_DESARROLLO!BX49/N70_DESARROLLO!BW49))</f>
        <v>-24.491097381577703</v>
      </c>
    </row>
    <row r="135" spans="7:153" x14ac:dyDescent="0.25">
      <c r="G135" s="3">
        <v>41</v>
      </c>
      <c r="H135" s="3">
        <f>-(N70_DESARROLLO!G50/0.014285714)*LN(N70_DESARROLLO!G50/N70_DESARROLLO!F50)-1</f>
        <v>-1.2448543134993217E-2</v>
      </c>
      <c r="I135" s="3">
        <f>-(N70_DESARROLLO!H50/0.014285714)*LN(N70_DESARROLLO!H50/N70_DESARROLLO!G50)-1</f>
        <v>-1.2766401641823411E-2</v>
      </c>
      <c r="J135" s="3">
        <f>-(N70_DESARROLLO!I50/0.014285714)*LN(N70_DESARROLLO!I50/N70_DESARROLLO!H50)-1</f>
        <v>-1.3100918360519631E-2</v>
      </c>
      <c r="K135" s="3">
        <f>-(N70_DESARROLLO!J50/0.014285714)*LN(N70_DESARROLLO!J50/N70_DESARROLLO!I50)-1</f>
        <v>-1.3453438110011762E-2</v>
      </c>
      <c r="L135" s="3">
        <f>-(N70_DESARROLLO!K50/0.014285714)*LN(N70_DESARROLLO!K50/N70_DESARROLLO!J50)-1</f>
        <v>-1.3825454475325571E-2</v>
      </c>
      <c r="M135" s="3">
        <f>-(N70_DESARROLLO!L50/0.014285714)*LN(N70_DESARROLLO!L50/N70_DESARROLLO!K50)-1</f>
        <v>-1.4218630964436874E-2</v>
      </c>
      <c r="N135" s="3">
        <f>-(N70_DESARROLLO!M50/0.014285714)*LN(N70_DESARROLLO!M50/N70_DESARROLLO!L50)-1</f>
        <v>-1.4634825881873481E-2</v>
      </c>
      <c r="O135" s="3">
        <f>-(N70_DESARROLLO!N50/0.014285714)*LN(N70_DESARROLLO!N50/N70_DESARROLLO!M50)-1</f>
        <v>-1.5076121703332501E-2</v>
      </c>
      <c r="P135" s="3">
        <f>-(N70_DESARROLLO!O50/0.014285714)*LN(N70_DESARROLLO!O50/N70_DESARROLLO!N50)-1</f>
        <v>-1.5544859931607924E-2</v>
      </c>
      <c r="Q135" s="3">
        <f>-(N70_DESARROLLO!P50/0.014285714)*LN(N70_DESARROLLO!P50/N70_DESARROLLO!O50)-1</f>
        <v>-1.6043682665120018E-2</v>
      </c>
      <c r="R135" s="3">
        <f>-(N70_DESARROLLO!Q50/0.014285714)*LN(N70_DESARROLLO!Q50/N70_DESARROLLO!P50)-1</f>
        <v>-1.6575582437552527E-2</v>
      </c>
      <c r="S135" s="3">
        <f>-(N70_DESARROLLO!R50/0.014285714)*LN(N70_DESARROLLO!R50/N70_DESARROLLO!Q50)-1</f>
        <v>-1.7143962314553729E-2</v>
      </c>
      <c r="T135" s="3">
        <f>-(N70_DESARROLLO!S50/0.014285714)*LN(N70_DESARROLLO!S50/N70_DESARROLLO!R50)-1</f>
        <v>-1.7752708797875494E-2</v>
      </c>
      <c r="U135" s="3">
        <f>-(N70_DESARROLLO!T50/0.014285714)*LN(N70_DESARROLLO!T50/N70_DESARROLLO!S50)-1</f>
        <v>-1.8406280838877631E-2</v>
      </c>
      <c r="V135" s="3">
        <f>-(N70_DESARROLLO!U50/0.014285714)*LN(N70_DESARROLLO!U50/N70_DESARROLLO!T50)-1</f>
        <v>-1.9109819273391393E-2</v>
      </c>
      <c r="W135" s="3">
        <f>-(N70_DESARROLLO!V50/0.014285714)*LN(N70_DESARROLLO!V50/N70_DESARROLLO!U50)-1</f>
        <v>-1.9869282361759777E-2</v>
      </c>
      <c r="X135" s="3">
        <f>-(N70_DESARROLLO!W50/0.014285714)*LN(N70_DESARROLLO!W50/N70_DESARROLLO!V50)-1</f>
        <v>-2.0691615000480224E-2</v>
      </c>
      <c r="Y135" s="3">
        <f>-(N70_DESARROLLO!X50/0.014285714)*LN(N70_DESARROLLO!X50/N70_DESARROLLO!W50)-1</f>
        <v>-2.1584961787579404E-2</v>
      </c>
      <c r="Z135" s="3">
        <f>-(N70_DESARROLLO!Y50/0.014285714)*LN(N70_DESARROLLO!Y50/N70_DESARROLLO!X50)-1</f>
        <v>-2.2558937800894796E-2</v>
      </c>
      <c r="AA135" s="3">
        <f>-(N70_DESARROLLO!Z50/0.014285714)*LN(N70_DESARROLLO!Z50/N70_DESARROLLO!Y50)-1</f>
        <v>-2.3624976192780589E-2</v>
      </c>
      <c r="AB135" s="3">
        <f>-(N70_DESARROLLO!AA50/0.014285714)*LN(N70_DESARROLLO!AA50/N70_DESARROLLO!Z50)-1</f>
        <v>-2.4796779290038096E-2</v>
      </c>
      <c r="AC135" s="3">
        <f>-(N70_DESARROLLO!AB50/0.014285714)*LN(N70_DESARROLLO!AB50/N70_DESARROLLO!AA50)-1</f>
        <v>-2.6090911041510845E-2</v>
      </c>
      <c r="AD135" s="3">
        <f>-(N70_DESARROLLO!AC50/0.014285714)*LN(N70_DESARROLLO!AC50/N70_DESARROLLO!AB50)-1</f>
        <v>-2.7527585341363459E-2</v>
      </c>
      <c r="AE135" s="3">
        <f>-(N70_DESARROLLO!AD50/0.014285714)*LN(N70_DESARROLLO!AD50/N70_DESARROLLO!AC50)-1</f>
        <v>-2.9131730204232653E-2</v>
      </c>
      <c r="AF135" s="3">
        <f>-(N70_DESARROLLO!AE50/0.014285714)*LN(N70_DESARROLLO!AE50/N70_DESARROLLO!AD50)-1</f>
        <v>-3.0934447408011323E-2</v>
      </c>
      <c r="AG135" s="3">
        <f>-(N70_DESARROLLO!AF50/0.014285714)*LN(N70_DESARROLLO!AF50/N70_DESARROLLO!AE50)-1</f>
        <v>-3.2975050428753261E-2</v>
      </c>
      <c r="AH135" s="3">
        <f>-(N70_DESARROLLO!AG50/0.014285714)*LN(N70_DESARROLLO!AG50/N70_DESARROLLO!AF50)-1</f>
        <v>-3.5303966947125343E-2</v>
      </c>
      <c r="AI135" s="3">
        <f>-(N70_DESARROLLO!AH50/0.014285714)*LN(N70_DESARROLLO!AH50/N70_DESARROLLO!AG50)-1</f>
        <v>-3.7986966558135382E-2</v>
      </c>
      <c r="AJ135" s="3">
        <f>-(N70_DESARROLLO!AI50/0.014285714)*LN(N70_DESARROLLO!AI50/N70_DESARROLLO!AH50)-1</f>
        <v>-4.1111478023141634E-2</v>
      </c>
      <c r="AK135" s="3">
        <f>-(N70_DESARROLLO!AJ50/0.014285714)*LN(N70_DESARROLLO!AJ50/N70_DESARROLLO!AI50)-1</f>
        <v>-4.4796309735795514E-2</v>
      </c>
      <c r="AL135" s="3">
        <f>-(N70_DESARROLLO!AK50/0.014285714)*LN(N70_DESARROLLO!AK50/N70_DESARROLLO!AJ50)-1</f>
        <v>-4.9207124692807525E-2</v>
      </c>
      <c r="AM135" s="3">
        <f>-(N70_DESARROLLO!AL50/0.014285714)*LN(N70_DESARROLLO!AL50/N70_DESARROLLO!AK50)-1</f>
        <v>-5.4582082654733854E-2</v>
      </c>
      <c r="AN135" s="3">
        <f>-(N70_DESARROLLO!AM50/0.014285714)*LN(N70_DESARROLLO!AM50/N70_DESARROLLO!AL50)-1</f>
        <v>-6.1276409070483262E-2</v>
      </c>
      <c r="AO135" s="3">
        <f>-(N70_DESARROLLO!AN50/0.014285714)*LN(N70_DESARROLLO!AN50/N70_DESARROLLO!AM50)-1</f>
        <v>-6.9844497732513111E-2</v>
      </c>
      <c r="AP135" s="3">
        <f>-(N70_DESARROLLO!AO50/0.014285714)*LN(N70_DESARROLLO!AO50/N70_DESARROLLO!AN50)-1</f>
        <v>-8.120251597663608E-2</v>
      </c>
      <c r="AQ135" s="3">
        <f>-(N70_DESARROLLO!AP50/0.014285714)*LN(N70_DESARROLLO!AP50/N70_DESARROLLO!AO50)-1</f>
        <v>-9.6981852359959708E-2</v>
      </c>
      <c r="AR135" s="3">
        <f>-(N70_DESARROLLO!AQ50/0.014285714)*LN(N70_DESARROLLO!AQ50/N70_DESARROLLO!AP50)-1</f>
        <v>-0.1203994834248151</v>
      </c>
      <c r="AS135" s="3">
        <f>-(N70_DESARROLLO!AR50/0.014285714)*LN(N70_DESARROLLO!AR50/N70_DESARROLLO!AQ50)-1</f>
        <v>-0.15881939162335823</v>
      </c>
      <c r="AT135" s="3">
        <f>-(N70_DESARROLLO!AS50/0.014285714)*LN(N70_DESARROLLO!AS50/N70_DESARROLLO!AR50)-1</f>
        <v>-0.23376154902624291</v>
      </c>
      <c r="AU135" s="3">
        <f>-(N70_DESARROLLO!AT50/0.014285714)*LN(N70_DESARROLLO!AT50/N70_DESARROLLO!AS50)-1</f>
        <v>-0.45069384467982399</v>
      </c>
      <c r="AV135" s="3">
        <v>-1</v>
      </c>
      <c r="AW135" s="3">
        <f>-(N70_DESARROLLO!AV50/0.014285714)*LN(N70_DESARROLLO!AV50/N70_DESARROLLO!AU50)-1</f>
        <v>0.64791846596052105</v>
      </c>
      <c r="AX135" s="3">
        <f>-(N70_DESARROLLO!AW50/0.014285714)*LN(N70_DESARROLLO!AW50/N70_DESARROLLO!AV50)-1</f>
        <v>0.2770640849562529</v>
      </c>
      <c r="AY135" s="3">
        <f>-(N70_DESARROLLO!AX50/0.014285714)*LN(N70_DESARROLLO!AX50/N70_DESARROLLO!AW50)-1</f>
        <v>0.17765285172730816</v>
      </c>
      <c r="AZ135" s="3">
        <f>-(N70_DESARROLLO!AY50/0.014285714)*LN(N70_DESARROLLO!AY50/N70_DESARROLLO!AX50)-1</f>
        <v>0.13091494988237184</v>
      </c>
      <c r="BA135" s="3">
        <f>-(N70_DESARROLLO!AZ50/0.014285714)*LN(N70_DESARROLLO!AZ50/N70_DESARROLLO!AY50)-1</f>
        <v>0.10368884711561366</v>
      </c>
      <c r="BB135" s="3">
        <f>-(N70_DESARROLLO!BA50/0.014285714)*LN(N70_DESARROLLO!BA50/N70_DESARROLLO!AZ50)-1</f>
        <v>8.5851572027607181E-2</v>
      </c>
      <c r="BC135" s="3">
        <f>-(N70_DESARROLLO!BB50/0.014285714)*LN(N70_DESARROLLO!BB50/N70_DESARROLLO!BA50)-1</f>
        <v>7.325634877018139E-2</v>
      </c>
      <c r="BD135" s="3">
        <f>-(N70_DESARROLLO!BC50/0.014285714)*LN(N70_DESARROLLO!BC50/N70_DESARROLLO!BB50)-1</f>
        <v>6.388673638678255E-2</v>
      </c>
      <c r="BE135" s="3">
        <f>-(N70_DESARROLLO!BD50/0.014285714)*LN(N70_DESARROLLO!BD50/N70_DESARROLLO!BC50)-1</f>
        <v>5.6643554680007258E-2</v>
      </c>
      <c r="BF135" s="3">
        <f>-(N70_DESARROLLO!BE50/0.014285714)*LN(N70_DESARROLLO!BE50/N70_DESARROLLO!BD50)-1</f>
        <v>5.0876335865840394E-2</v>
      </c>
      <c r="BG135" s="3">
        <f>-(N70_DESARROLLO!BF50/0.014285714)*LN(N70_DESARROLLO!BF50/N70_DESARROLLO!BE50)-1</f>
        <v>4.6175470289370413E-2</v>
      </c>
      <c r="BH135" s="3">
        <f>-(N70_DESARROLLO!BG50/0.014285714)*LN(N70_DESARROLLO!BG50/N70_DESARROLLO!BF50)-1</f>
        <v>4.2270132583537956E-2</v>
      </c>
      <c r="BI135" s="3">
        <f>-(N70_DESARROLLO!BH50/0.014285714)*LN(N70_DESARROLLO!BH50/N70_DESARROLLO!BG50)-1</f>
        <v>3.8974076117209266E-2</v>
      </c>
      <c r="BJ135" s="3">
        <f>-(N70_DESARROLLO!BI50/0.014285714)*LN(N70_DESARROLLO!BI50/N70_DESARROLLO!BH50)-1</f>
        <v>3.6154998464206445E-2</v>
      </c>
      <c r="BK135" s="3">
        <f>-(N70_DESARROLLO!BJ50/0.014285714)*LN(N70_DESARROLLO!BJ50/N70_DESARROLLO!BI50)-1</f>
        <v>3.3716325403741587E-2</v>
      </c>
      <c r="BL135" s="3">
        <f>-(N70_DESARROLLO!BK50/0.014285714)*LN(N70_DESARROLLO!BK50/N70_DESARROLLO!BJ50)-1</f>
        <v>3.1585910823731744E-2</v>
      </c>
      <c r="BM135" s="3">
        <f>-(N70_DESARROLLO!BL50/0.014285714)*LN(N70_DESARROLLO!BL50/N70_DESARROLLO!BK50)-1</f>
        <v>2.9708770995506173E-2</v>
      </c>
      <c r="BN135" s="3">
        <f>-(N70_DESARROLLO!BM50/0.014285714)*LN(N70_DESARROLLO!BM50/N70_DESARROLLO!BL50)-1</f>
        <v>2.8042266924849013E-2</v>
      </c>
      <c r="BO135" s="3">
        <f>-(N70_DESARROLLO!BN50/0.014285714)*LN(N70_DESARROLLO!BN50/N70_DESARROLLO!BM50)-1</f>
        <v>2.6552823496783118E-2</v>
      </c>
      <c r="BP135" s="3">
        <f>-(N70_DESARROLLO!BO50/0.014285714)*LN(N70_DESARROLLO!BO50/N70_DESARROLLO!BN50)-1</f>
        <v>2.5213642284836357E-2</v>
      </c>
      <c r="BQ135" s="3">
        <f>-(N70_DESARROLLO!BP50/0.014285714)*LN(N70_DESARROLLO!BP50/N70_DESARROLLO!BO50)-1</f>
        <v>2.4003073749032211E-2</v>
      </c>
      <c r="BR135" s="3">
        <f>-(N70_DESARROLLO!BQ50/0.014285714)*LN(N70_DESARROLLO!BQ50/N70_DESARROLLO!BP50)-1</f>
        <v>2.2903437185110898E-2</v>
      </c>
      <c r="BS135" s="3">
        <f>-(N70_DESARROLLO!BR50/0.014285714)*LN(N70_DESARROLLO!BR50/N70_DESARROLLO!BQ50)-1</f>
        <v>2.1900151021861936E-2</v>
      </c>
      <c r="BT135" s="3">
        <f>-(N70_DESARROLLO!BS50/0.014285714)*LN(N70_DESARROLLO!BS50/N70_DESARROLLO!BR50)-1</f>
        <v>2.0981082233534565E-2</v>
      </c>
      <c r="BU135" s="3">
        <f>-(N70_DESARROLLO!BT50/0.014285714)*LN(N70_DESARROLLO!BT50/N70_DESARROLLO!BS50)-1</f>
        <v>2.0136053052056457E-2</v>
      </c>
      <c r="BV135" s="3">
        <f>-(N70_DESARROLLO!BU50/0.014285714)*LN(N70_DESARROLLO!BU50/N70_DESARROLLO!BT50)-1</f>
        <v>1.9356462323721457E-2</v>
      </c>
      <c r="BW135" s="3">
        <f>-(N70_DESARROLLO!BV50/0.014285714)*LN(N70_DESARROLLO!BV50/N70_DESARROLLO!BU50)-1</f>
        <v>1.8634991582305416E-2</v>
      </c>
      <c r="BX135" s="3">
        <f>-(N70_DESARROLLO!BW50/0.014285714)*LN(N70_DESARROLLO!BW50/N70_DESARROLLO!BV50)-1</f>
        <v>1.7965374518559951E-2</v>
      </c>
      <c r="BY135" s="3">
        <f>-(N70_DESARROLLO!BX50/0.014285714)*LN(N70_DESARROLLO!BX50/N70_DESARROLLO!BW50)-1</f>
        <v>61.901382092260434</v>
      </c>
      <c r="CD135">
        <v>41</v>
      </c>
      <c r="CE135" s="1">
        <v>0</v>
      </c>
      <c r="CF135" s="1">
        <f>(1+(N70_DESARROLLO!F50/0.014285714)*LN(N70_DESARROLLO!G50/N70_DESARROLLO!F50))</f>
        <v>-1.2552759570449767E-2</v>
      </c>
      <c r="CG135" s="1">
        <f>(1+(N70_DESARROLLO!G50/0.014285714)*LN(N70_DESARROLLO!H50/N70_DESARROLLO!G50))</f>
        <v>-1.2876029484363061E-2</v>
      </c>
      <c r="CH135" s="1">
        <f>(1+(N70_DESARROLLO!H50/0.014285714)*LN(N70_DESARROLLO!I50/N70_DESARROLLO!H50))</f>
        <v>-1.3216390483199891E-2</v>
      </c>
      <c r="CI135" s="1">
        <f>(1+(N70_DESARROLLO!I50/0.014285714)*LN(N70_DESARROLLO!J50/N70_DESARROLLO!I50))</f>
        <v>-1.3575234818481219E-2</v>
      </c>
      <c r="CJ135" s="1">
        <f>(1+(N70_DESARROLLO!J50/0.014285714)*LN(N70_DESARROLLO!K50/N70_DESARROLLO!J50))</f>
        <v>-1.3954110187341273E-2</v>
      </c>
      <c r="CK135" s="1">
        <f>(1+(N70_DESARROLLO!K50/0.014285714)*LN(N70_DESARROLLO!L50/N70_DESARROLLO!K50))</f>
        <v>-1.4354742051086999E-2</v>
      </c>
      <c r="CL135" s="1">
        <f>(1+(N70_DESARROLLO!L50/0.014285714)*LN(N70_DESARROLLO!M50/N70_DESARROLLO!L50))</f>
        <v>-1.4779059912697345E-2</v>
      </c>
      <c r="CM135" s="1">
        <f>(1+(N70_DESARROLLO!M50/0.014285714)*LN(N70_DESARROLLO!N50/N70_DESARROLLO!M50))</f>
        <v>-1.5229228398103478E-2</v>
      </c>
      <c r="CN135" s="1">
        <f>(1+(N70_DESARROLLO!N50/0.014285714)*LN(N70_DESARROLLO!O50/N70_DESARROLLO!N50))</f>
        <v>-1.5707684197547422E-2</v>
      </c>
      <c r="CO135" s="1">
        <f>(1+(N70_DESARROLLO!O50/0.014285714)*LN(N70_DESARROLLO!P50/N70_DESARROLLO!O50))</f>
        <v>-1.6217180198318637E-2</v>
      </c>
      <c r="CP135" s="1">
        <f>(1+(N70_DESARROLLO!P50/0.014285714)*LN(N70_DESARROLLO!Q50/N70_DESARROLLO!P50))</f>
        <v>-1.6760838496767683E-2</v>
      </c>
      <c r="CQ135" s="1">
        <f>(1+(N70_DESARROLLO!Q50/0.014285714)*LN(N70_DESARROLLO!R50/N70_DESARROLLO!Q50))</f>
        <v>-1.7342214446339099E-2</v>
      </c>
      <c r="CR135" s="1">
        <f>(1+(N70_DESARROLLO!R50/0.014285714)*LN(N70_DESARROLLO!S50/N70_DESARROLLO!R50))</f>
        <v>-1.7965374518565502E-2</v>
      </c>
      <c r="CS135" s="1">
        <f>(1+(N70_DESARROLLO!S50/0.014285714)*LN(N70_DESARROLLO!T50/N70_DESARROLLO!S50))</f>
        <v>-1.8634991582296534E-2</v>
      </c>
      <c r="CT135" s="1">
        <f>(1+(N70_DESARROLLO!T50/0.014285714)*LN(N70_DESARROLLO!U50/N70_DESARROLLO!T50))</f>
        <v>-1.9356462323730783E-2</v>
      </c>
      <c r="CU135" s="1">
        <f>(1+(N70_DESARROLLO!U50/0.014285714)*LN(N70_DESARROLLO!V50/N70_DESARROLLO!U50))</f>
        <v>-2.0136053052045799E-2</v>
      </c>
      <c r="CV135" s="1">
        <f>(1+(N70_DESARROLLO!V50/0.014285714)*LN(N70_DESARROLLO!W50/N70_DESARROLLO!V50))</f>
        <v>-2.0981082233542114E-2</v>
      </c>
      <c r="CW135" s="1">
        <f>(1+(N70_DESARROLLO!W50/0.014285714)*LN(N70_DESARROLLO!X50/N70_DESARROLLO!W50))</f>
        <v>-2.1900151021861269E-2</v>
      </c>
      <c r="CX135" s="1">
        <f>(1+(N70_DESARROLLO!X50/0.014285714)*LN(N70_DESARROLLO!Y50/N70_DESARROLLO!X50))</f>
        <v>-2.2903437185110231E-2</v>
      </c>
      <c r="CY135" s="1">
        <f>(1+(N70_DESARROLLO!Y50/0.014285714)*LN(N70_DESARROLLO!Z50/N70_DESARROLLO!Y50))</f>
        <v>-2.4003073749035098E-2</v>
      </c>
      <c r="CZ135" s="1">
        <f>(1+(N70_DESARROLLO!Z50/0.014285714)*LN(N70_DESARROLLO!AA50/N70_DESARROLLO!Z50))</f>
        <v>-2.5213642284831916E-2</v>
      </c>
      <c r="DA135" s="1">
        <f>(1+(N70_DESARROLLO!AA50/0.014285714)*LN(N70_DESARROLLO!AB50/N70_DESARROLLO!AA50))</f>
        <v>-2.6552823496785782E-2</v>
      </c>
      <c r="DB135" s="1">
        <f>(1+(N70_DESARROLLO!AB50/0.014285714)*LN(N70_DESARROLLO!AC50/N70_DESARROLLO!AB50))</f>
        <v>-2.804226692484435E-2</v>
      </c>
      <c r="DC135" s="1">
        <f>(1+(N70_DESARROLLO!AC50/0.014285714)*LN(N70_DESARROLLO!AD50/N70_DESARROLLO!AC50))</f>
        <v>-2.9708770995510836E-2</v>
      </c>
      <c r="DD135" s="1">
        <f>(1+(N70_DESARROLLO!AD50/0.014285714)*LN(N70_DESARROLLO!AE50/N70_DESARROLLO!AD50))</f>
        <v>-3.1585910823729968E-2</v>
      </c>
      <c r="DE135" s="1">
        <f>(1+(N70_DESARROLLO!AE50/0.014285714)*LN(N70_DESARROLLO!AF50/N70_DESARROLLO!AE50))</f>
        <v>-3.3716325403746694E-2</v>
      </c>
      <c r="DF135" s="1">
        <f>(1+(N70_DESARROLLO!AF50/0.014285714)*LN(N70_DESARROLLO!AG50/N70_DESARROLLO!AF50))</f>
        <v>-3.6154998464198451E-2</v>
      </c>
      <c r="DG135" s="1">
        <f>(1+(N70_DESARROLLO!AG50/0.014285714)*LN(N70_DESARROLLO!AH50/N70_DESARROLLO!AG50))</f>
        <v>-3.8974076117213929E-2</v>
      </c>
      <c r="DH135" s="1">
        <f>(1+(N70_DESARROLLO!AH50/0.014285714)*LN(N70_DESARROLLO!AI50/N70_DESARROLLO!AH50))</f>
        <v>-4.2270132583541731E-2</v>
      </c>
      <c r="DI135" s="1">
        <f>(1+(N70_DESARROLLO!AI50/0.014285714)*LN(N70_DESARROLLO!AJ50/N70_DESARROLLO!AI50))</f>
        <v>-4.6175470289367082E-2</v>
      </c>
      <c r="DJ135" s="1">
        <f>(1+(N70_DESARROLLO!AJ50/0.014285714)*LN(N70_DESARROLLO!AK50/N70_DESARROLLO!AJ50))</f>
        <v>-5.0876335865844391E-2</v>
      </c>
      <c r="DK135" s="1">
        <f>(1+(N70_DESARROLLO!AK50/0.014285714)*LN(N70_DESARROLLO!AL50/N70_DESARROLLO!AK50))</f>
        <v>-5.6643554680003483E-2</v>
      </c>
      <c r="DL135" s="1">
        <f>(1+(N70_DESARROLLO!AL50/0.014285714)*LN(N70_DESARROLLO!AM50/N70_DESARROLLO!AL50))</f>
        <v>-6.3886736386785659E-2</v>
      </c>
      <c r="DM135" s="1">
        <f>(1+(N70_DESARROLLO!AM50/0.014285714)*LN(N70_DESARROLLO!AN50/N70_DESARROLLO!AM50))</f>
        <v>-7.3256348770177393E-2</v>
      </c>
      <c r="DN135" s="1">
        <f>(1+(N70_DESARROLLO!AN50/0.014285714)*LN(N70_DESARROLLO!AO50/N70_DESARROLLO!AN50))</f>
        <v>-8.5851572027612066E-2</v>
      </c>
      <c r="DO135" s="1">
        <f>(1+(N70_DESARROLLO!AO50/0.014285714)*LN(N70_DESARROLLO!AP50/N70_DESARROLLO!AO50))</f>
        <v>-0.10368884711560411</v>
      </c>
      <c r="DP135" s="1">
        <f>(1+(N70_DESARROLLO!AP50/0.014285714)*LN(N70_DESARROLLO!AQ50/N70_DESARROLLO!AP50))</f>
        <v>-0.13091494988238184</v>
      </c>
      <c r="DQ135" s="1">
        <f>(1+(N70_DESARROLLO!AQ50/0.014285714)*LN(N70_DESARROLLO!AR50/N70_DESARROLLO!AQ50))</f>
        <v>-0.17765285172729728</v>
      </c>
      <c r="DR135" s="1">
        <f>(1+(N70_DESARROLLO!AR50/0.014285714)*LN(N70_DESARROLLO!AS50/N70_DESARROLLO!AR50))</f>
        <v>-0.27706408495626578</v>
      </c>
      <c r="DS135" s="1">
        <f>(1+(N70_DESARROLLO!AS50/0.014285714)*LN(N70_DESARROLLO!AT50/N70_DESARROLLO!AS50))</f>
        <v>-0.64791846596052816</v>
      </c>
      <c r="DT135" s="1">
        <v>1</v>
      </c>
      <c r="DU135" s="1">
        <f>(1+(N70_DESARROLLO!AU50/0.014285714)*LN(N70_DESARROLLO!AV50/N70_DESARROLLO!AU50))</f>
        <v>0.45069384467982065</v>
      </c>
      <c r="DV135" s="1">
        <f>(1+(N70_DESARROLLO!AV50/0.014285714)*LN(N70_DESARROLLO!AW50/N70_DESARROLLO!AV50))</f>
        <v>0.2337615490262468</v>
      </c>
      <c r="DW135" s="1">
        <f>(1+(N70_DESARROLLO!AW50/0.014285714)*LN(N70_DESARROLLO!AX50/N70_DESARROLLO!AW50))</f>
        <v>0.15881939162335246</v>
      </c>
      <c r="DX135" s="1">
        <f>(1+(N70_DESARROLLO!AX50/0.014285714)*LN(N70_DESARROLLO!AY50/N70_DESARROLLO!AX50))</f>
        <v>0.12039948342482099</v>
      </c>
      <c r="DY135" s="1">
        <f>(1+(N70_DESARROLLO!AY50/0.014285714)*LN(N70_DESARROLLO!AZ50/N70_DESARROLLO!AY50))</f>
        <v>9.6981852359953269E-2</v>
      </c>
      <c r="DZ135" s="1">
        <f>(1+(N70_DESARROLLO!AZ50/0.014285714)*LN(N70_DESARROLLO!BA50/N70_DESARROLLO!AZ50))</f>
        <v>8.1202515976639411E-2</v>
      </c>
      <c r="EA135" s="1">
        <f>(1+(N70_DESARROLLO!BA50/0.014285714)*LN(N70_DESARROLLO!BB50/N70_DESARROLLO!BA50))</f>
        <v>6.9844497732510114E-2</v>
      </c>
      <c r="EB135" s="1">
        <f>(1+(N70_DESARROLLO!BB50/0.014285714)*LN(N70_DESARROLLO!BC50/N70_DESARROLLO!BB50))</f>
        <v>6.1276409070485593E-2</v>
      </c>
      <c r="EC135" s="1">
        <f>(1+(N70_DESARROLLO!BC50/0.014285714)*LN(N70_DESARROLLO!BD50/N70_DESARROLLO!BC50))</f>
        <v>5.4582082654730635E-2</v>
      </c>
      <c r="ED135" s="1">
        <f>(1+(N70_DESARROLLO!BD50/0.014285714)*LN(N70_DESARROLLO!BE50/N70_DESARROLLO!BD50))</f>
        <v>4.9207124692810855E-2</v>
      </c>
      <c r="EE135" s="1">
        <f>(1+(N70_DESARROLLO!BE50/0.014285714)*LN(N70_DESARROLLO!BF50/N70_DESARROLLO!BE50))</f>
        <v>4.4796309735792517E-2</v>
      </c>
      <c r="EF135" s="1">
        <f>(1+(N70_DESARROLLO!BF50/0.014285714)*LN(N70_DESARROLLO!BG50/N70_DESARROLLO!BF50))</f>
        <v>4.1111478023144854E-2</v>
      </c>
      <c r="EG135" s="1">
        <f>(1+(N70_DESARROLLO!BG50/0.014285714)*LN(N70_DESARROLLO!BH50/N70_DESARROLLO!BG50))</f>
        <v>3.7986966558139379E-2</v>
      </c>
      <c r="EH135" s="1">
        <f>(1+(N70_DESARROLLO!BH50/0.014285714)*LN(N70_DESARROLLO!BI50/N70_DESARROLLO!BH50))</f>
        <v>3.5303966947118459E-2</v>
      </c>
      <c r="EI135" s="1">
        <f>(1+(N70_DESARROLLO!BI50/0.014285714)*LN(N70_DESARROLLO!BJ50/N70_DESARROLLO!BI50))</f>
        <v>3.2975050428757702E-2</v>
      </c>
      <c r="EJ135" s="1">
        <f>(1+(N70_DESARROLLO!BJ50/0.014285714)*LN(N70_DESARROLLO!BK50/N70_DESARROLLO!BJ50))</f>
        <v>3.0934447408009769E-2</v>
      </c>
      <c r="EK135" s="1">
        <f>(1+(N70_DESARROLLO!BK50/0.014285714)*LN(N70_DESARROLLO!BL50/N70_DESARROLLO!BK50))</f>
        <v>2.9131730204236872E-2</v>
      </c>
      <c r="EL135" s="1">
        <f>(1+(N70_DESARROLLO!BL50/0.014285714)*LN(N70_DESARROLLO!BM50/N70_DESARROLLO!BL50))</f>
        <v>2.752758534135924E-2</v>
      </c>
      <c r="EM135" s="1">
        <f>(1+(N70_DESARROLLO!BM50/0.014285714)*LN(N70_DESARROLLO!BN50/N70_DESARROLLO!BM50))</f>
        <v>2.6090911041513176E-2</v>
      </c>
      <c r="EN135" s="1">
        <f>(1+(N70_DESARROLLO!BN50/0.014285714)*LN(N70_DESARROLLO!BO50/N70_DESARROLLO!BN50))</f>
        <v>2.4796779290033988E-2</v>
      </c>
      <c r="EO135" s="1">
        <f>(1+(N70_DESARROLLO!BO50/0.014285714)*LN(N70_DESARROLLO!BP50/N70_DESARROLLO!BO50))</f>
        <v>2.3624976192783143E-2</v>
      </c>
      <c r="EP135" s="1">
        <f>(1+(N70_DESARROLLO!BP50/0.014285714)*LN(N70_DESARROLLO!BQ50/N70_DESARROLLO!BP50))</f>
        <v>2.2558937800894241E-2</v>
      </c>
      <c r="EQ135" s="1">
        <f>(1+(N70_DESARROLLO!BQ50/0.014285714)*LN(N70_DESARROLLO!BR50/N70_DESARROLLO!BQ50))</f>
        <v>2.1584961787578738E-2</v>
      </c>
      <c r="ER135" s="1">
        <f>(1+(N70_DESARROLLO!BR50/0.014285714)*LN(N70_DESARROLLO!BS50/N70_DESARROLLO!BR50))</f>
        <v>2.0691615000487218E-2</v>
      </c>
      <c r="ES135" s="1">
        <f>(1+(N70_DESARROLLO!BS50/0.014285714)*LN(N70_DESARROLLO!BT50/N70_DESARROLLO!BS50))</f>
        <v>1.9869282361749896E-2</v>
      </c>
      <c r="ET135" s="1">
        <f>(1+(N70_DESARROLLO!BT50/0.014285714)*LN(N70_DESARROLLO!BU50/N70_DESARROLLO!BT50))</f>
        <v>1.9109819273400053E-2</v>
      </c>
      <c r="EU135" s="1">
        <f>(1+(N70_DESARROLLO!BU50/0.014285714)*LN(N70_DESARROLLO!BV50/N70_DESARROLLO!BU50))</f>
        <v>1.8406280838869304E-2</v>
      </c>
      <c r="EV135" s="1">
        <f>(1+(N70_DESARROLLO!BV50/0.014285714)*LN(N70_DESARROLLO!BW50/N70_DESARROLLO!BV50))</f>
        <v>1.7752708797880712E-2</v>
      </c>
      <c r="EW135" s="1">
        <f>(1+(N70_DESARROLLO!BW50/0.014285714)*LN(N70_DESARROLLO!BX50/N70_DESARROLLO!BW50))</f>
        <v>-24.609848423277462</v>
      </c>
    </row>
    <row r="136" spans="7:153" x14ac:dyDescent="0.25">
      <c r="G136" s="3">
        <v>42</v>
      </c>
      <c r="H136" s="3">
        <f>-(N70_DESARROLLO!G51/0.014285714)*LN(N70_DESARROLLO!G51/N70_DESARROLLO!F51)-1</f>
        <v>-1.2146128714477955E-2</v>
      </c>
      <c r="I136" s="3">
        <f>-(N70_DESARROLLO!H51/0.014285714)*LN(N70_DESARROLLO!H51/N70_DESARROLLO!G51)-1</f>
        <v>-1.2448543134984225E-2</v>
      </c>
      <c r="J136" s="3">
        <f>-(N70_DESARROLLO!I51/0.014285714)*LN(N70_DESARROLLO!I51/N70_DESARROLLO!H51)-1</f>
        <v>-1.2766401641831959E-2</v>
      </c>
      <c r="K136" s="3">
        <f>-(N70_DESARROLLO!J51/0.014285714)*LN(N70_DESARROLLO!J51/N70_DESARROLLO!I51)-1</f>
        <v>-1.3100918360510971E-2</v>
      </c>
      <c r="L136" s="3">
        <f>-(N70_DESARROLLO!K51/0.014285714)*LN(N70_DESARROLLO!K51/N70_DESARROLLO!J51)-1</f>
        <v>-1.3453438110015759E-2</v>
      </c>
      <c r="M136" s="3">
        <f>-(N70_DESARROLLO!L51/0.014285714)*LN(N70_DESARROLLO!L51/N70_DESARROLLO!K51)-1</f>
        <v>-1.3825454475317467E-2</v>
      </c>
      <c r="N136" s="3">
        <f>-(N70_DESARROLLO!M51/0.014285714)*LN(N70_DESARROLLO!M51/N70_DESARROLLO!L51)-1</f>
        <v>-1.4218630964444534E-2</v>
      </c>
      <c r="O136" s="3">
        <f>-(N70_DESARROLLO!N51/0.014285714)*LN(N70_DESARROLLO!N51/N70_DESARROLLO!M51)-1</f>
        <v>-1.4634825881869595E-2</v>
      </c>
      <c r="P136" s="3">
        <f>-(N70_DESARROLLO!O51/0.014285714)*LN(N70_DESARROLLO!O51/N70_DESARROLLO!N51)-1</f>
        <v>-1.5076121703332279E-2</v>
      </c>
      <c r="Q136" s="3">
        <f>-(N70_DESARROLLO!P51/0.014285714)*LN(N70_DESARROLLO!P51/N70_DESARROLLO!O51)-1</f>
        <v>-1.5544859931607813E-2</v>
      </c>
      <c r="R136" s="3">
        <f>-(N70_DESARROLLO!Q51/0.014285714)*LN(N70_DESARROLLO!Q51/N70_DESARROLLO!P51)-1</f>
        <v>-1.6043682665119796E-2</v>
      </c>
      <c r="S136" s="3">
        <f>-(N70_DESARROLLO!R51/0.014285714)*LN(N70_DESARROLLO!R51/N70_DESARROLLO!Q51)-1</f>
        <v>-1.6575582437552416E-2</v>
      </c>
      <c r="T136" s="3">
        <f>-(N70_DESARROLLO!S51/0.014285714)*LN(N70_DESARROLLO!S51/N70_DESARROLLO!R51)-1</f>
        <v>-1.7143962314553618E-2</v>
      </c>
      <c r="U136" s="3">
        <f>-(N70_DESARROLLO!T51/0.014285714)*LN(N70_DESARROLLO!T51/N70_DESARROLLO!S51)-1</f>
        <v>-1.7752708797878491E-2</v>
      </c>
      <c r="V136" s="3">
        <f>-(N70_DESARROLLO!U51/0.014285714)*LN(N70_DESARROLLO!U51/N70_DESARROLLO!T51)-1</f>
        <v>-1.8406280838871414E-2</v>
      </c>
      <c r="W136" s="3">
        <f>-(N70_DESARROLLO!V51/0.014285714)*LN(N70_DESARROLLO!V51/N70_DESARROLLO!U51)-1</f>
        <v>-1.910981927339972E-2</v>
      </c>
      <c r="X136" s="3">
        <f>-(N70_DESARROLLO!W51/0.014285714)*LN(N70_DESARROLLO!W51/N70_DESARROLLO!V51)-1</f>
        <v>-1.9869282361751228E-2</v>
      </c>
      <c r="Y136" s="3">
        <f>-(N70_DESARROLLO!X51/0.014285714)*LN(N70_DESARROLLO!X51/N70_DESARROLLO!W51)-1</f>
        <v>-2.0691615000488106E-2</v>
      </c>
      <c r="Z136" s="3">
        <f>-(N70_DESARROLLO!Y51/0.014285714)*LN(N70_DESARROLLO!Y51/N70_DESARROLLO!X51)-1</f>
        <v>-2.1584961787574075E-2</v>
      </c>
      <c r="AA136" s="3">
        <f>-(N70_DESARROLLO!Z51/0.014285714)*LN(N70_DESARROLLO!Z51/N70_DESARROLLO!Y51)-1</f>
        <v>-2.2558937800894574E-2</v>
      </c>
      <c r="AB136" s="3">
        <f>-(N70_DESARROLLO!AA51/0.014285714)*LN(N70_DESARROLLO!AA51/N70_DESARROLLO!Z51)-1</f>
        <v>-2.3624976192780478E-2</v>
      </c>
      <c r="AC136" s="3">
        <f>-(N70_DESARROLLO!AB51/0.014285714)*LN(N70_DESARROLLO!AB51/N70_DESARROLLO!AA51)-1</f>
        <v>-2.4796779290037874E-2</v>
      </c>
      <c r="AD136" s="3">
        <f>-(N70_DESARROLLO!AC51/0.014285714)*LN(N70_DESARROLLO!AC51/N70_DESARROLLO!AB51)-1</f>
        <v>-2.6090911041510623E-2</v>
      </c>
      <c r="AE136" s="3">
        <f>-(N70_DESARROLLO!AD51/0.014285714)*LN(N70_DESARROLLO!AD51/N70_DESARROLLO!AC51)-1</f>
        <v>-2.7527585341363237E-2</v>
      </c>
      <c r="AF136" s="3">
        <f>-(N70_DESARROLLO!AE51/0.014285714)*LN(N70_DESARROLLO!AE51/N70_DESARROLLO!AD51)-1</f>
        <v>-2.9131730204232431E-2</v>
      </c>
      <c r="AG136" s="3">
        <f>-(N70_DESARROLLO!AF51/0.014285714)*LN(N70_DESARROLLO!AF51/N70_DESARROLLO!AE51)-1</f>
        <v>-3.0934447408011101E-2</v>
      </c>
      <c r="AH136" s="3">
        <f>-(N70_DESARROLLO!AG51/0.014285714)*LN(N70_DESARROLLO!AG51/N70_DESARROLLO!AF51)-1</f>
        <v>-3.2975050428757924E-2</v>
      </c>
      <c r="AI136" s="3">
        <f>-(N70_DESARROLLO!AH51/0.014285714)*LN(N70_DESARROLLO!AH51/N70_DESARROLLO!AG51)-1</f>
        <v>-3.5303966947122012E-2</v>
      </c>
      <c r="AJ136" s="3">
        <f>-(N70_DESARROLLO!AI51/0.014285714)*LN(N70_DESARROLLO!AI51/N70_DESARROLLO!AH51)-1</f>
        <v>-3.7986966558135049E-2</v>
      </c>
      <c r="AK136" s="3">
        <f>-(N70_DESARROLLO!AJ51/0.014285714)*LN(N70_DESARROLLO!AJ51/N70_DESARROLLO!AI51)-1</f>
        <v>-4.1111478023142745E-2</v>
      </c>
      <c r="AL136" s="3">
        <f>-(N70_DESARROLLO!AK51/0.014285714)*LN(N70_DESARROLLO!AK51/N70_DESARROLLO!AJ51)-1</f>
        <v>-4.4796309735794959E-2</v>
      </c>
      <c r="AM136" s="3">
        <f>-(N70_DESARROLLO!AL51/0.014285714)*LN(N70_DESARROLLO!AL51/N70_DESARROLLO!AK51)-1</f>
        <v>-4.9207124692808302E-2</v>
      </c>
      <c r="AN136" s="3">
        <f>-(N70_DESARROLLO!AM51/0.014285714)*LN(N70_DESARROLLO!AM51/N70_DESARROLLO!AL51)-1</f>
        <v>-5.4582082654734299E-2</v>
      </c>
      <c r="AO136" s="3">
        <f>-(N70_DESARROLLO!AN51/0.014285714)*LN(N70_DESARROLLO!AN51/N70_DESARROLLO!AM51)-1</f>
        <v>-6.1276409070482818E-2</v>
      </c>
      <c r="AP136" s="3">
        <f>-(N70_DESARROLLO!AO51/0.014285714)*LN(N70_DESARROLLO!AO51/N70_DESARROLLO!AN51)-1</f>
        <v>-6.9844497732512556E-2</v>
      </c>
      <c r="AQ136" s="3">
        <f>-(N70_DESARROLLO!AP51/0.014285714)*LN(N70_DESARROLLO!AP51/N70_DESARROLLO!AO51)-1</f>
        <v>-8.1202515976639078E-2</v>
      </c>
      <c r="AR136" s="3">
        <f>-(N70_DESARROLLO!AQ51/0.014285714)*LN(N70_DESARROLLO!AQ51/N70_DESARROLLO!AP51)-1</f>
        <v>-9.6981852359953602E-2</v>
      </c>
      <c r="AS136" s="3">
        <f>-(N70_DESARROLLO!AR51/0.014285714)*LN(N70_DESARROLLO!AR51/N70_DESARROLLO!AQ51)-1</f>
        <v>-0.12039948342482121</v>
      </c>
      <c r="AT136" s="3">
        <f>-(N70_DESARROLLO!AS51/0.014285714)*LN(N70_DESARROLLO!AS51/N70_DESARROLLO!AR51)-1</f>
        <v>-0.15881939162335246</v>
      </c>
      <c r="AU136" s="3">
        <f>-(N70_DESARROLLO!AT51/0.014285714)*LN(N70_DESARROLLO!AT51/N70_DESARROLLO!AS51)-1</f>
        <v>-0.23376154902624657</v>
      </c>
      <c r="AV136" s="3">
        <f>-(N70_DESARROLLO!AU51/0.014285714)*LN(N70_DESARROLLO!AU51/N70_DESARROLLO!AT51)-1</f>
        <v>-0.45069384467982143</v>
      </c>
      <c r="AW136" s="3">
        <v>-1</v>
      </c>
      <c r="AX136" s="3">
        <f>-(N70_DESARROLLO!AW51/0.014285714)*LN(N70_DESARROLLO!AW51/N70_DESARROLLO!AV51)-1</f>
        <v>0.64791846596052816</v>
      </c>
      <c r="AY136" s="3">
        <f>-(N70_DESARROLLO!AX51/0.014285714)*LN(N70_DESARROLLO!AX51/N70_DESARROLLO!AW51)-1</f>
        <v>0.27706408495626578</v>
      </c>
      <c r="AZ136" s="3">
        <f>-(N70_DESARROLLO!AY51/0.014285714)*LN(N70_DESARROLLO!AY51/N70_DESARROLLO!AX51)-1</f>
        <v>0.17765285172729772</v>
      </c>
      <c r="BA136" s="3">
        <f>-(N70_DESARROLLO!AZ51/0.014285714)*LN(N70_DESARROLLO!AZ51/N70_DESARROLLO!AY51)-1</f>
        <v>0.13091494988238206</v>
      </c>
      <c r="BB136" s="3">
        <f>-(N70_DESARROLLO!BA51/0.014285714)*LN(N70_DESARROLLO!BA51/N70_DESARROLLO!AZ51)-1</f>
        <v>0.10368884711560411</v>
      </c>
      <c r="BC136" s="3">
        <f>-(N70_DESARROLLO!BB51/0.014285714)*LN(N70_DESARROLLO!BB51/N70_DESARROLLO!BA51)-1</f>
        <v>8.5851572027616951E-2</v>
      </c>
      <c r="BD136" s="3">
        <f>-(N70_DESARROLLO!BC51/0.014285714)*LN(N70_DESARROLLO!BC51/N70_DESARROLLO!BB51)-1</f>
        <v>7.3256348770172952E-2</v>
      </c>
      <c r="BE136" s="3">
        <f>-(N70_DESARROLLO!BD51/0.014285714)*LN(N70_DESARROLLO!BD51/N70_DESARROLLO!BC51)-1</f>
        <v>6.3886736386790766E-2</v>
      </c>
      <c r="BF136" s="3">
        <f>-(N70_DESARROLLO!BE51/0.014285714)*LN(N70_DESARROLLO!BE51/N70_DESARROLLO!BD51)-1</f>
        <v>5.664355467999882E-2</v>
      </c>
      <c r="BG136" s="3">
        <f>-(N70_DESARROLLO!BF51/0.014285714)*LN(N70_DESARROLLO!BF51/N70_DESARROLLO!BE51)-1</f>
        <v>5.0876335865848832E-2</v>
      </c>
      <c r="BH136" s="3">
        <f>-(N70_DESARROLLO!BG51/0.014285714)*LN(N70_DESARROLLO!BG51/N70_DESARROLLO!BF51)-1</f>
        <v>4.6175470289362641E-2</v>
      </c>
      <c r="BI136" s="3">
        <f>-(N70_DESARROLLO!BH51/0.014285714)*LN(N70_DESARROLLO!BH51/N70_DESARROLLO!BG51)-1</f>
        <v>4.227013258353729E-2</v>
      </c>
      <c r="BJ136" s="3">
        <f>-(N70_DESARROLLO!BI51/0.014285714)*LN(N70_DESARROLLO!BI51/N70_DESARROLLO!BH51)-1</f>
        <v>3.8974076117217482E-2</v>
      </c>
      <c r="BK136" s="3">
        <f>-(N70_DESARROLLO!BJ51/0.014285714)*LN(N70_DESARROLLO!BJ51/N70_DESARROLLO!BI51)-1</f>
        <v>3.6154998464196897E-2</v>
      </c>
      <c r="BL136" s="3">
        <f>-(N70_DESARROLLO!BK51/0.014285714)*LN(N70_DESARROLLO!BK51/N70_DESARROLLO!BJ51)-1</f>
        <v>3.3716325403751135E-2</v>
      </c>
      <c r="BM136" s="3">
        <f>-(N70_DESARROLLO!BL51/0.014285714)*LN(N70_DESARROLLO!BL51/N70_DESARROLLO!BK51)-1</f>
        <v>3.1585910823724417E-2</v>
      </c>
      <c r="BN136" s="3">
        <f>-(N70_DESARROLLO!BM51/0.014285714)*LN(N70_DESARROLLO!BM51/N70_DESARROLLO!BL51)-1</f>
        <v>2.97087709955135E-2</v>
      </c>
      <c r="BO136" s="3">
        <f>-(N70_DESARROLLO!BN51/0.014285714)*LN(N70_DESARROLLO!BN51/N70_DESARROLLO!BM51)-1</f>
        <v>2.8042266924840797E-2</v>
      </c>
      <c r="BP136" s="3">
        <f>-(N70_DESARROLLO!BO51/0.014285714)*LN(N70_DESARROLLO!BO51/N70_DESARROLLO!BN51)-1</f>
        <v>2.6552823496791333E-2</v>
      </c>
      <c r="BQ136" s="3">
        <f>-(N70_DESARROLLO!BP51/0.014285714)*LN(N70_DESARROLLO!BP51/N70_DESARROLLO!BO51)-1</f>
        <v>2.5213642284827253E-2</v>
      </c>
      <c r="BR136" s="3">
        <f>-(N70_DESARROLLO!BQ51/0.014285714)*LN(N70_DESARROLLO!BQ51/N70_DESARROLLO!BP51)-1</f>
        <v>2.4003073749041315E-2</v>
      </c>
      <c r="BS136" s="3">
        <f>-(N70_DESARROLLO!BR51/0.014285714)*LN(N70_DESARROLLO!BR51/N70_DESARROLLO!BQ51)-1</f>
        <v>2.2903437185105791E-2</v>
      </c>
      <c r="BT136" s="3">
        <f>-(N70_DESARROLLO!BS51/0.014285714)*LN(N70_DESARROLLO!BS51/N70_DESARROLLO!BR51)-1</f>
        <v>2.1900151021861713E-2</v>
      </c>
      <c r="BU136" s="3">
        <f>-(N70_DESARROLLO!BT51/0.014285714)*LN(N70_DESARROLLO!BT51/N70_DESARROLLO!BS51)-1</f>
        <v>2.0981082233544779E-2</v>
      </c>
      <c r="BV136" s="3">
        <f>-(N70_DESARROLLO!BU51/0.014285714)*LN(N70_DESARROLLO!BU51/N70_DESARROLLO!BT51)-1</f>
        <v>2.0136053052045133E-2</v>
      </c>
      <c r="BW136" s="3">
        <f>-(N70_DESARROLLO!BV51/0.014285714)*LN(N70_DESARROLLO!BV51/N70_DESARROLLO!BU51)-1</f>
        <v>1.9356462323727008E-2</v>
      </c>
      <c r="BX136" s="3">
        <f>-(N70_DESARROLLO!BW51/0.014285714)*LN(N70_DESARROLLO!BW51/N70_DESARROLLO!BV51)-1</f>
        <v>1.8634991582293425E-2</v>
      </c>
      <c r="BY136" s="3">
        <f>-(N70_DESARROLLO!BX51/0.014285714)*LN(N70_DESARROLLO!BX51/N70_DESARROLLO!BW51)-1</f>
        <v>64.401647924411307</v>
      </c>
      <c r="CD136" s="1">
        <v>42</v>
      </c>
      <c r="CE136" s="1">
        <v>0</v>
      </c>
      <c r="CF136" s="1">
        <f>(1+(N70_DESARROLLO!F51/0.014285714)*LN(N70_DESARROLLO!G51/N70_DESARROLLO!F51))</f>
        <v>-1.224532489751029E-2</v>
      </c>
      <c r="CG136" s="1">
        <f>(1+(N70_DESARROLLO!G51/0.014285714)*LN(N70_DESARROLLO!H51/N70_DESARROLLO!G51))</f>
        <v>-1.2552759570459315E-2</v>
      </c>
      <c r="CH136" s="1">
        <f>(1+(N70_DESARROLLO!H51/0.014285714)*LN(N70_DESARROLLO!I51/N70_DESARROLLO!H51))</f>
        <v>-1.2876029484353957E-2</v>
      </c>
      <c r="CI136" s="1">
        <f>(1+(N70_DESARROLLO!I51/0.014285714)*LN(N70_DESARROLLO!J51/N70_DESARROLLO!I51))</f>
        <v>-1.3216390483208995E-2</v>
      </c>
      <c r="CJ136" s="1">
        <f>(1+(N70_DESARROLLO!J51/0.014285714)*LN(N70_DESARROLLO!K51/N70_DESARROLLO!J51))</f>
        <v>-1.3575234818476778E-2</v>
      </c>
      <c r="CK136" s="1">
        <f>(1+(N70_DESARROLLO!K51/0.014285714)*LN(N70_DESARROLLO!L51/N70_DESARROLLO!K51))</f>
        <v>-1.3954110187349711E-2</v>
      </c>
      <c r="CL136" s="1">
        <f>(1+(N70_DESARROLLO!L51/0.014285714)*LN(N70_DESARROLLO!M51/N70_DESARROLLO!L51))</f>
        <v>-1.4354742051078784E-2</v>
      </c>
      <c r="CM136" s="1">
        <f>(1+(N70_DESARROLLO!M51/0.014285714)*LN(N70_DESARROLLO!N51/N70_DESARROLLO!M51))</f>
        <v>-1.4779059912701564E-2</v>
      </c>
      <c r="CN136" s="1">
        <f>(1+(N70_DESARROLLO!N51/0.014285714)*LN(N70_DESARROLLO!O51/N70_DESARROLLO!N51))</f>
        <v>-1.5229228398103478E-2</v>
      </c>
      <c r="CO136" s="1">
        <f>(1+(N70_DESARROLLO!O51/0.014285714)*LN(N70_DESARROLLO!P51/N70_DESARROLLO!O51))</f>
        <v>-1.5707684197547644E-2</v>
      </c>
      <c r="CP136" s="1">
        <f>(1+(N70_DESARROLLO!P51/0.014285714)*LN(N70_DESARROLLO!Q51/N70_DESARROLLO!P51))</f>
        <v>-1.6217180198318859E-2</v>
      </c>
      <c r="CQ136" s="1">
        <f>(1+(N70_DESARROLLO!Q51/0.014285714)*LN(N70_DESARROLLO!R51/N70_DESARROLLO!Q51))</f>
        <v>-1.6760838496767905E-2</v>
      </c>
      <c r="CR136" s="1">
        <f>(1+(N70_DESARROLLO!R51/0.014285714)*LN(N70_DESARROLLO!S51/N70_DESARROLLO!R51))</f>
        <v>-1.7342214446339321E-2</v>
      </c>
      <c r="CS136" s="1">
        <f>(1+(N70_DESARROLLO!S51/0.014285714)*LN(N70_DESARROLLO!T51/N70_DESARROLLO!S51))</f>
        <v>-1.7965374518562172E-2</v>
      </c>
      <c r="CT136" s="1">
        <f>(1+(N70_DESARROLLO!T51/0.014285714)*LN(N70_DESARROLLO!U51/N70_DESARROLLO!T51))</f>
        <v>-1.8634991582303417E-2</v>
      </c>
      <c r="CU136" s="1">
        <f>(1+(N70_DESARROLLO!U51/0.014285714)*LN(N70_DESARROLLO!V51/N70_DESARROLLO!U51))</f>
        <v>-1.9356462323721679E-2</v>
      </c>
      <c r="CV136" s="1">
        <f>(1+(N70_DESARROLLO!V51/0.014285714)*LN(N70_DESARROLLO!W51/N70_DESARROLLO!V51))</f>
        <v>-2.0136053052055125E-2</v>
      </c>
      <c r="CW136" s="1">
        <f>(1+(N70_DESARROLLO!W51/0.014285714)*LN(N70_DESARROLLO!X51/N70_DESARROLLO!W51))</f>
        <v>-2.0981082233533677E-2</v>
      </c>
      <c r="CX136" s="1">
        <f>(1+(N70_DESARROLLO!X51/0.014285714)*LN(N70_DESARROLLO!Y51/N70_DESARROLLO!X51))</f>
        <v>-2.1900151021867043E-2</v>
      </c>
      <c r="CY136" s="1">
        <f>(1+(N70_DESARROLLO!Y51/0.014285714)*LN(N70_DESARROLLO!Z51/N70_DESARROLLO!Y51))</f>
        <v>-2.2903437185110453E-2</v>
      </c>
      <c r="CZ136" s="1">
        <f>(1+(N70_DESARROLLO!Z51/0.014285714)*LN(N70_DESARROLLO!AA51/N70_DESARROLLO!Z51))</f>
        <v>-2.4003073749035098E-2</v>
      </c>
      <c r="DA136" s="1">
        <f>(1+(N70_DESARROLLO!AA51/0.014285714)*LN(N70_DESARROLLO!AB51/N70_DESARROLLO!AA51))</f>
        <v>-2.5213642284832138E-2</v>
      </c>
      <c r="DB136" s="1">
        <f>(1+(N70_DESARROLLO!AB51/0.014285714)*LN(N70_DESARROLLO!AC51/N70_DESARROLLO!AB51))</f>
        <v>-2.6552823496786004E-2</v>
      </c>
      <c r="DC136" s="1">
        <f>(1+(N70_DESARROLLO!AC51/0.014285714)*LN(N70_DESARROLLO!AD51/N70_DESARROLLO!AC51))</f>
        <v>-2.8042266924844572E-2</v>
      </c>
      <c r="DD136" s="1">
        <f>(1+(N70_DESARROLLO!AD51/0.014285714)*LN(N70_DESARROLLO!AE51/N70_DESARROLLO!AD51))</f>
        <v>-2.9708770995511058E-2</v>
      </c>
      <c r="DE136" s="1">
        <f>(1+(N70_DESARROLLO!AE51/0.014285714)*LN(N70_DESARROLLO!AF51/N70_DESARROLLO!AE51))</f>
        <v>-3.158591082373019E-2</v>
      </c>
      <c r="DF136" s="1">
        <f>(1+(N70_DESARROLLO!AF51/0.014285714)*LN(N70_DESARROLLO!AG51/N70_DESARROLLO!AF51))</f>
        <v>-3.3716325403741365E-2</v>
      </c>
      <c r="DG136" s="1">
        <f>(1+(N70_DESARROLLO!AG51/0.014285714)*LN(N70_DESARROLLO!AH51/N70_DESARROLLO!AG51))</f>
        <v>-3.6154998464202448E-2</v>
      </c>
      <c r="DH136" s="1">
        <f>(1+(N70_DESARROLLO!AH51/0.014285714)*LN(N70_DESARROLLO!AI51/N70_DESARROLLO!AH51))</f>
        <v>-3.8974076117214151E-2</v>
      </c>
      <c r="DI136" s="1">
        <f>(1+(N70_DESARROLLO!AI51/0.014285714)*LN(N70_DESARROLLO!AJ51/N70_DESARROLLO!AI51))</f>
        <v>-4.2270132583540621E-2</v>
      </c>
      <c r="DJ136" s="1">
        <f>(1+(N70_DESARROLLO!AJ51/0.014285714)*LN(N70_DESARROLLO!AK51/N70_DESARROLLO!AJ51))</f>
        <v>-4.6175470289367304E-2</v>
      </c>
      <c r="DK136" s="1">
        <f>(1+(N70_DESARROLLO!AK51/0.014285714)*LN(N70_DESARROLLO!AL51/N70_DESARROLLO!AK51))</f>
        <v>-5.0876335865843503E-2</v>
      </c>
      <c r="DL136" s="1">
        <f>(1+(N70_DESARROLLO!AL51/0.014285714)*LN(N70_DESARROLLO!AM51/N70_DESARROLLO!AL51))</f>
        <v>-5.6643554680002817E-2</v>
      </c>
      <c r="DM136" s="1">
        <f>(1+(N70_DESARROLLO!AM51/0.014285714)*LN(N70_DESARROLLO!AN51/N70_DESARROLLO!AM51))</f>
        <v>-6.3886736386786325E-2</v>
      </c>
      <c r="DN136" s="1">
        <f>(1+(N70_DESARROLLO!AN51/0.014285714)*LN(N70_DESARROLLO!AO51/N70_DESARROLLO!AN51))</f>
        <v>-7.3256348770177837E-2</v>
      </c>
      <c r="DO136" s="1">
        <f>(1+(N70_DESARROLLO!AO51/0.014285714)*LN(N70_DESARROLLO!AP51/N70_DESARROLLO!AO51))</f>
        <v>-8.5851572027607403E-2</v>
      </c>
      <c r="DP136" s="1">
        <f>(1+(N70_DESARROLLO!AP51/0.014285714)*LN(N70_DESARROLLO!AQ51/N70_DESARROLLO!AP51))</f>
        <v>-0.10368884711561321</v>
      </c>
      <c r="DQ136" s="1">
        <f>(1+(N70_DESARROLLO!AQ51/0.014285714)*LN(N70_DESARROLLO!AR51/N70_DESARROLLO!AQ51))</f>
        <v>-0.13091494988237162</v>
      </c>
      <c r="DR136" s="1">
        <f>(1+(N70_DESARROLLO!AR51/0.014285714)*LN(N70_DESARROLLO!AS51/N70_DESARROLLO!AR51))</f>
        <v>-0.17765285172730816</v>
      </c>
      <c r="DS136" s="1">
        <f>(1+(N70_DESARROLLO!AS51/0.014285714)*LN(N70_DESARROLLO!AT51/N70_DESARROLLO!AS51))</f>
        <v>-0.27706408495625312</v>
      </c>
      <c r="DT136" s="1">
        <f>(1+(N70_DESARROLLO!AT51/0.014285714)*LN(N70_DESARROLLO!AU51/N70_DESARROLLO!AT51))</f>
        <v>-0.64791846596054437</v>
      </c>
      <c r="DU136" s="1">
        <v>1</v>
      </c>
      <c r="DV136" s="1">
        <f>(1+(N70_DESARROLLO!AV51/0.014285714)*LN(N70_DESARROLLO!AW51/N70_DESARROLLO!AV51))</f>
        <v>0.45069384467982399</v>
      </c>
      <c r="DW136" s="1">
        <f>(1+(N70_DESARROLLO!AW51/0.014285714)*LN(N70_DESARROLLO!AX51/N70_DESARROLLO!AW51))</f>
        <v>0.23376154902624291</v>
      </c>
      <c r="DX136" s="1">
        <f>(1+(N70_DESARROLLO!AX51/0.014285714)*LN(N70_DESARROLLO!AY51/N70_DESARROLLO!AX51))</f>
        <v>0.15881939162335801</v>
      </c>
      <c r="DY136" s="1">
        <f>(1+(N70_DESARROLLO!AY51/0.014285714)*LN(N70_DESARROLLO!AZ51/N70_DESARROLLO!AY51))</f>
        <v>0.12039948342481499</v>
      </c>
      <c r="DZ136" s="1">
        <f>(1+(N70_DESARROLLO!AZ51/0.014285714)*LN(N70_DESARROLLO!BA51/N70_DESARROLLO!AZ51))</f>
        <v>9.6981852359959819E-2</v>
      </c>
      <c r="EA136" s="1">
        <f>(1+(N70_DESARROLLO!BA51/0.014285714)*LN(N70_DESARROLLO!BB51/N70_DESARROLLO!BA51))</f>
        <v>8.1202515976632528E-2</v>
      </c>
      <c r="EB136" s="1">
        <f>(1+(N70_DESARROLLO!BB51/0.014285714)*LN(N70_DESARROLLO!BC51/N70_DESARROLLO!BB51))</f>
        <v>6.9844497732516331E-2</v>
      </c>
      <c r="EC136" s="1">
        <f>(1+(N70_DESARROLLO!BC51/0.014285714)*LN(N70_DESARROLLO!BD51/N70_DESARROLLO!BC51))</f>
        <v>6.1276409070479265E-2</v>
      </c>
      <c r="ED136" s="1">
        <f>(1+(N70_DESARROLLO!BD51/0.014285714)*LN(N70_DESARROLLO!BE51/N70_DESARROLLO!BD51))</f>
        <v>5.4582082654737407E-2</v>
      </c>
      <c r="EE136" s="1">
        <f>(1+(N70_DESARROLLO!BE51/0.014285714)*LN(N70_DESARROLLO!BF51/N70_DESARROLLO!BE51))</f>
        <v>4.9207124692803972E-2</v>
      </c>
      <c r="EF136" s="1">
        <f>(1+(N70_DESARROLLO!BF51/0.014285714)*LN(N70_DESARROLLO!BG51/N70_DESARROLLO!BF51))</f>
        <v>4.4796309735798956E-2</v>
      </c>
      <c r="EG136" s="1">
        <f>(1+(N70_DESARROLLO!BG51/0.014285714)*LN(N70_DESARROLLO!BH51/N70_DESARROLLO!BG51))</f>
        <v>4.1111478023145409E-2</v>
      </c>
      <c r="EH136" s="1">
        <f>(1+(N70_DESARROLLO!BH51/0.014285714)*LN(N70_DESARROLLO!BI51/N70_DESARROLLO!BH51))</f>
        <v>3.7986966558132274E-2</v>
      </c>
      <c r="EI136" s="1">
        <f>(1+(N70_DESARROLLO!BI51/0.014285714)*LN(N70_DESARROLLO!BJ51/N70_DESARROLLO!BI51))</f>
        <v>3.5303966947126675E-2</v>
      </c>
      <c r="EJ136" s="1">
        <f>(1+(N70_DESARROLLO!BJ51/0.014285714)*LN(N70_DESARROLLO!BK51/N70_DESARROLLO!BJ51))</f>
        <v>3.2975050428749264E-2</v>
      </c>
      <c r="EK136" s="1">
        <f>(1+(N70_DESARROLLO!BK51/0.014285714)*LN(N70_DESARROLLO!BL51/N70_DESARROLLO!BK51))</f>
        <v>3.0934447408016319E-2</v>
      </c>
      <c r="EL136" s="1">
        <f>(1+(N70_DESARROLLO!BL51/0.014285714)*LN(N70_DESARROLLO!BM51/N70_DESARROLLO!BL51))</f>
        <v>2.9131730204230433E-2</v>
      </c>
      <c r="EM136" s="1">
        <f>(1+(N70_DESARROLLO!BM51/0.014285714)*LN(N70_DESARROLLO!BN51/N70_DESARROLLO!BM51))</f>
        <v>2.7527585341366678E-2</v>
      </c>
      <c r="EN136" s="1">
        <f>(1+(N70_DESARROLLO!BN51/0.014285714)*LN(N70_DESARROLLO!BO51/N70_DESARROLLO!BN51))</f>
        <v>2.6090911041505627E-2</v>
      </c>
      <c r="EO136" s="1">
        <f>(1+(N70_DESARROLLO!BO51/0.014285714)*LN(N70_DESARROLLO!BP51/N70_DESARROLLO!BO51))</f>
        <v>2.4796779290042203E-2</v>
      </c>
      <c r="EP136" s="1">
        <f>(1+(N70_DESARROLLO!BP51/0.014285714)*LN(N70_DESARROLLO!BQ51/N70_DESARROLLO!BP51))</f>
        <v>2.3624976192774816E-2</v>
      </c>
      <c r="EQ136" s="1">
        <f>(1+(N70_DESARROLLO!BQ51/0.014285714)*LN(N70_DESARROLLO!BR51/N70_DESARROLLO!BQ51))</f>
        <v>2.2558937800898904E-2</v>
      </c>
      <c r="ER136" s="1">
        <f>(1+(N70_DESARROLLO!BR51/0.014285714)*LN(N70_DESARROLLO!BS51/N70_DESARROLLO!BR51))</f>
        <v>2.1584961787579071E-2</v>
      </c>
      <c r="ES136" s="1">
        <f>(1+(N70_DESARROLLO!BS51/0.014285714)*LN(N70_DESARROLLO!BT51/N70_DESARROLLO!BS51))</f>
        <v>2.0691615000477559E-2</v>
      </c>
      <c r="ET136" s="1">
        <f>(1+(N70_DESARROLLO!BT51/0.014285714)*LN(N70_DESARROLLO!BU51/N70_DESARROLLO!BT51))</f>
        <v>1.9869282361760443E-2</v>
      </c>
      <c r="EU136" s="1">
        <f>(1+(N70_DESARROLLO!BU51/0.014285714)*LN(N70_DESARROLLO!BV51/N70_DESARROLLO!BU51))</f>
        <v>1.9109819273394835E-2</v>
      </c>
      <c r="EV136" s="1">
        <f>(1+(N70_DESARROLLO!BV51/0.014285714)*LN(N70_DESARROLLO!BW51/N70_DESARROLLO!BV51))</f>
        <v>1.840628083888074E-2</v>
      </c>
      <c r="EW136" s="1">
        <f>(1+(N70_DESARROLLO!BW51/0.014285714)*LN(N70_DESARROLLO!BX51/N70_DESARROLLO!BW51))</f>
        <v>-24.693504541733009</v>
      </c>
    </row>
    <row r="137" spans="7:153" x14ac:dyDescent="0.25">
      <c r="G137" s="3">
        <v>43</v>
      </c>
      <c r="H137" s="3">
        <f>-(N70_DESARROLLO!G52/0.014285714)*LN(N70_DESARROLLO!G52/N70_DESARROLLO!F52)-1</f>
        <v>-1.185805944784557E-2</v>
      </c>
      <c r="I137" s="3">
        <f>-(N70_DESARROLLO!H52/0.014285714)*LN(N70_DESARROLLO!H52/N70_DESARROLLO!G52)-1</f>
        <v>-1.2146128714473514E-2</v>
      </c>
      <c r="J137" s="3">
        <f>-(N70_DESARROLLO!I52/0.014285714)*LN(N70_DESARROLLO!I52/N70_DESARROLLO!H52)-1</f>
        <v>-1.2448543134993217E-2</v>
      </c>
      <c r="K137" s="3">
        <f>-(N70_DESARROLLO!J52/0.014285714)*LN(N70_DESARROLLO!J52/N70_DESARROLLO!I52)-1</f>
        <v>-1.2766401641823411E-2</v>
      </c>
      <c r="L137" s="3">
        <f>-(N70_DESARROLLO!K52/0.014285714)*LN(N70_DESARROLLO!K52/N70_DESARROLLO!J52)-1</f>
        <v>-1.3100918360519631E-2</v>
      </c>
      <c r="M137" s="3">
        <f>-(N70_DESARROLLO!L52/0.014285714)*LN(N70_DESARROLLO!L52/N70_DESARROLLO!K52)-1</f>
        <v>-1.3453438110011762E-2</v>
      </c>
      <c r="N137" s="3">
        <f>-(N70_DESARROLLO!M52/0.014285714)*LN(N70_DESARROLLO!M52/N70_DESARROLLO!L52)-1</f>
        <v>-1.3825454475325571E-2</v>
      </c>
      <c r="O137" s="3">
        <f>-(N70_DESARROLLO!N52/0.014285714)*LN(N70_DESARROLLO!N52/N70_DESARROLLO!M52)-1</f>
        <v>-1.4218630964440648E-2</v>
      </c>
      <c r="P137" s="3">
        <f>-(N70_DESARROLLO!O52/0.014285714)*LN(N70_DESARROLLO!O52/N70_DESARROLLO!N52)-1</f>
        <v>-1.4634825881869595E-2</v>
      </c>
      <c r="Q137" s="3">
        <f>-(N70_DESARROLLO!P52/0.014285714)*LN(N70_DESARROLLO!P52/N70_DESARROLLO!O52)-1</f>
        <v>-1.5076121703332501E-2</v>
      </c>
      <c r="R137" s="3">
        <f>-(N70_DESARROLLO!Q52/0.014285714)*LN(N70_DESARROLLO!Q52/N70_DESARROLLO!P52)-1</f>
        <v>-1.5544859931607924E-2</v>
      </c>
      <c r="S137" s="3">
        <f>-(N70_DESARROLLO!R52/0.014285714)*LN(N70_DESARROLLO!R52/N70_DESARROLLO!Q52)-1</f>
        <v>-1.6043682665120018E-2</v>
      </c>
      <c r="T137" s="3">
        <f>-(N70_DESARROLLO!S52/0.014285714)*LN(N70_DESARROLLO!S52/N70_DESARROLLO!R52)-1</f>
        <v>-1.6575582437552527E-2</v>
      </c>
      <c r="U137" s="3">
        <f>-(N70_DESARROLLO!T52/0.014285714)*LN(N70_DESARROLLO!T52/N70_DESARROLLO!S52)-1</f>
        <v>-1.7143962314556949E-2</v>
      </c>
      <c r="V137" s="3">
        <f>-(N70_DESARROLLO!U52/0.014285714)*LN(N70_DESARROLLO!U52/N70_DESARROLLO!T52)-1</f>
        <v>-1.7752708797872385E-2</v>
      </c>
      <c r="W137" s="3">
        <f>-(N70_DESARROLLO!V52/0.014285714)*LN(N70_DESARROLLO!V52/N70_DESARROLLO!U52)-1</f>
        <v>-1.8406280838877631E-2</v>
      </c>
      <c r="X137" s="3">
        <f>-(N70_DESARROLLO!W52/0.014285714)*LN(N70_DESARROLLO!W52/N70_DESARROLLO!V52)-1</f>
        <v>-1.9109819273391393E-2</v>
      </c>
      <c r="Y137" s="3">
        <f>-(N70_DESARROLLO!X52/0.014285714)*LN(N70_DESARROLLO!X52/N70_DESARROLLO!W52)-1</f>
        <v>-1.9869282361759777E-2</v>
      </c>
      <c r="Z137" s="3">
        <f>-(N70_DESARROLLO!Y52/0.014285714)*LN(N70_DESARROLLO!Y52/N70_DESARROLLO!X52)-1</f>
        <v>-2.0691615000482666E-2</v>
      </c>
      <c r="AA137" s="3">
        <f>-(N70_DESARROLLO!Z52/0.014285714)*LN(N70_DESARROLLO!Z52/N70_DESARROLLO!Y52)-1</f>
        <v>-2.1584961787574186E-2</v>
      </c>
      <c r="AB137" s="3">
        <f>-(N70_DESARROLLO!AA52/0.014285714)*LN(N70_DESARROLLO!AA52/N70_DESARROLLO!Z52)-1</f>
        <v>-2.2558937800894796E-2</v>
      </c>
      <c r="AC137" s="3">
        <f>-(N70_DESARROLLO!AB52/0.014285714)*LN(N70_DESARROLLO!AB52/N70_DESARROLLO!AA52)-1</f>
        <v>-2.3624976192780589E-2</v>
      </c>
      <c r="AD137" s="3">
        <f>-(N70_DESARROLLO!AC52/0.014285714)*LN(N70_DESARROLLO!AC52/N70_DESARROLLO!AB52)-1</f>
        <v>-2.4796779290038096E-2</v>
      </c>
      <c r="AE137" s="3">
        <f>-(N70_DESARROLLO!AD52/0.014285714)*LN(N70_DESARROLLO!AD52/N70_DESARROLLO!AC52)-1</f>
        <v>-2.6090911041510845E-2</v>
      </c>
      <c r="AF137" s="3">
        <f>-(N70_DESARROLLO!AE52/0.014285714)*LN(N70_DESARROLLO!AE52/N70_DESARROLLO!AD52)-1</f>
        <v>-2.7527585341363459E-2</v>
      </c>
      <c r="AG137" s="3">
        <f>-(N70_DESARROLLO!AF52/0.014285714)*LN(N70_DESARROLLO!AF52/N70_DESARROLLO!AE52)-1</f>
        <v>-2.9131730204232653E-2</v>
      </c>
      <c r="AH137" s="3">
        <f>-(N70_DESARROLLO!AG52/0.014285714)*LN(N70_DESARROLLO!AG52/N70_DESARROLLO!AF52)-1</f>
        <v>-3.0934447408014765E-2</v>
      </c>
      <c r="AI137" s="3">
        <f>-(N70_DESARROLLO!AH52/0.014285714)*LN(N70_DESARROLLO!AH52/N70_DESARROLLO!AG52)-1</f>
        <v>-3.2975050428753039E-2</v>
      </c>
      <c r="AJ137" s="3">
        <f>-(N70_DESARROLLO!AI52/0.014285714)*LN(N70_DESARROLLO!AI52/N70_DESARROLLO!AH52)-1</f>
        <v>-3.5303966947122234E-2</v>
      </c>
      <c r="AK137" s="3">
        <f>-(N70_DESARROLLO!AJ52/0.014285714)*LN(N70_DESARROLLO!AJ52/N70_DESARROLLO!AI52)-1</f>
        <v>-3.7986966558135382E-2</v>
      </c>
      <c r="AL137" s="3">
        <f>-(N70_DESARROLLO!AK52/0.014285714)*LN(N70_DESARROLLO!AK52/N70_DESARROLLO!AJ52)-1</f>
        <v>-4.1111478023141634E-2</v>
      </c>
      <c r="AM137" s="3">
        <f>-(N70_DESARROLLO!AL52/0.014285714)*LN(N70_DESARROLLO!AL52/N70_DESARROLLO!AK52)-1</f>
        <v>-4.4796309735795514E-2</v>
      </c>
      <c r="AN137" s="3">
        <f>-(N70_DESARROLLO!AM52/0.014285714)*LN(N70_DESARROLLO!AM52/N70_DESARROLLO!AL52)-1</f>
        <v>-4.9207124692807525E-2</v>
      </c>
      <c r="AO137" s="3">
        <f>-(N70_DESARROLLO!AN52/0.014285714)*LN(N70_DESARROLLO!AN52/N70_DESARROLLO!AM52)-1</f>
        <v>-5.4582082654733854E-2</v>
      </c>
      <c r="AP137" s="3">
        <f>-(N70_DESARROLLO!AO52/0.014285714)*LN(N70_DESARROLLO!AO52/N70_DESARROLLO!AN52)-1</f>
        <v>-6.1276409070483262E-2</v>
      </c>
      <c r="AQ137" s="3">
        <f>-(N70_DESARROLLO!AP52/0.014285714)*LN(N70_DESARROLLO!AP52/N70_DESARROLLO!AO52)-1</f>
        <v>-6.9844497732515998E-2</v>
      </c>
      <c r="AR137" s="3">
        <f>-(N70_DESARROLLO!AQ52/0.014285714)*LN(N70_DESARROLLO!AQ52/N70_DESARROLLO!AP52)-1</f>
        <v>-8.1202515976632528E-2</v>
      </c>
      <c r="AS137" s="3">
        <f>-(N70_DESARROLLO!AR52/0.014285714)*LN(N70_DESARROLLO!AR52/N70_DESARROLLO!AQ52)-1</f>
        <v>-9.6981852359959708E-2</v>
      </c>
      <c r="AT137" s="3">
        <f>-(N70_DESARROLLO!AS52/0.014285714)*LN(N70_DESARROLLO!AS52/N70_DESARROLLO!AR52)-1</f>
        <v>-0.1203994834248151</v>
      </c>
      <c r="AU137" s="3">
        <f>-(N70_DESARROLLO!AT52/0.014285714)*LN(N70_DESARROLLO!AT52/N70_DESARROLLO!AS52)-1</f>
        <v>-0.15881939162335823</v>
      </c>
      <c r="AV137" s="3">
        <f>-(N70_DESARROLLO!AU52/0.014285714)*LN(N70_DESARROLLO!AU52/N70_DESARROLLO!AT52)-1</f>
        <v>-0.23376154902624291</v>
      </c>
      <c r="AW137" s="3">
        <f>-(N70_DESARROLLO!AV52/0.014285714)*LN(N70_DESARROLLO!AV52/N70_DESARROLLO!AU52)-1</f>
        <v>-0.45069384467982399</v>
      </c>
      <c r="AX137" s="3">
        <v>-1</v>
      </c>
      <c r="AY137" s="3">
        <f>-(N70_DESARROLLO!AX52/0.014285714)*LN(N70_DESARROLLO!AX52/N70_DESARROLLO!AW52)-1</f>
        <v>0.64791846596054437</v>
      </c>
      <c r="AZ137" s="3">
        <f>-(N70_DESARROLLO!AY52/0.014285714)*LN(N70_DESARROLLO!AY52/N70_DESARROLLO!AX52)-1</f>
        <v>0.2770640849562529</v>
      </c>
      <c r="BA137" s="3">
        <f>-(N70_DESARROLLO!AZ52/0.014285714)*LN(N70_DESARROLLO!AZ52/N70_DESARROLLO!AY52)-1</f>
        <v>0.17765285172730816</v>
      </c>
      <c r="BB137" s="3">
        <f>-(N70_DESARROLLO!BA52/0.014285714)*LN(N70_DESARROLLO!BA52/N70_DESARROLLO!AZ52)-1</f>
        <v>0.13091494988237184</v>
      </c>
      <c r="BC137" s="3">
        <f>-(N70_DESARROLLO!BB52/0.014285714)*LN(N70_DESARROLLO!BB52/N70_DESARROLLO!BA52)-1</f>
        <v>0.10368884711561366</v>
      </c>
      <c r="BD137" s="3">
        <f>-(N70_DESARROLLO!BC52/0.014285714)*LN(N70_DESARROLLO!BC52/N70_DESARROLLO!BB52)-1</f>
        <v>8.5851572027607181E-2</v>
      </c>
      <c r="BE137" s="3">
        <f>-(N70_DESARROLLO!BD52/0.014285714)*LN(N70_DESARROLLO!BD52/N70_DESARROLLO!BC52)-1</f>
        <v>7.325634877018139E-2</v>
      </c>
      <c r="BF137" s="3">
        <f>-(N70_DESARROLLO!BE52/0.014285714)*LN(N70_DESARROLLO!BE52/N70_DESARROLLO!BD52)-1</f>
        <v>6.388673638678255E-2</v>
      </c>
      <c r="BG137" s="3">
        <f>-(N70_DESARROLLO!BF52/0.014285714)*LN(N70_DESARROLLO!BF52/N70_DESARROLLO!BE52)-1</f>
        <v>5.6643554680007258E-2</v>
      </c>
      <c r="BH137" s="3">
        <f>-(N70_DESARROLLO!BG52/0.014285714)*LN(N70_DESARROLLO!BG52/N70_DESARROLLO!BF52)-1</f>
        <v>5.0876335865840394E-2</v>
      </c>
      <c r="BI137" s="3">
        <f>-(N70_DESARROLLO!BH52/0.014285714)*LN(N70_DESARROLLO!BH52/N70_DESARROLLO!BG52)-1</f>
        <v>4.6175470289362641E-2</v>
      </c>
      <c r="BJ137" s="3">
        <f>-(N70_DESARROLLO!BI52/0.014285714)*LN(N70_DESARROLLO!BI52/N70_DESARROLLO!BH52)-1</f>
        <v>4.2270132583545728E-2</v>
      </c>
      <c r="BK137" s="3">
        <f>-(N70_DESARROLLO!BJ52/0.014285714)*LN(N70_DESARROLLO!BJ52/N70_DESARROLLO!BI52)-1</f>
        <v>3.8974076117209266E-2</v>
      </c>
      <c r="BL137" s="3">
        <f>-(N70_DESARROLLO!BK52/0.014285714)*LN(N70_DESARROLLO!BK52/N70_DESARROLLO!BJ52)-1</f>
        <v>3.6154998464206445E-2</v>
      </c>
      <c r="BM137" s="3">
        <f>-(N70_DESARROLLO!BL52/0.014285714)*LN(N70_DESARROLLO!BL52/N70_DESARROLLO!BK52)-1</f>
        <v>3.3716325403741587E-2</v>
      </c>
      <c r="BN137" s="3">
        <f>-(N70_DESARROLLO!BM52/0.014285714)*LN(N70_DESARROLLO!BM52/N70_DESARROLLO!BL52)-1</f>
        <v>3.1585910823731744E-2</v>
      </c>
      <c r="BO137" s="3">
        <f>-(N70_DESARROLLO!BN52/0.014285714)*LN(N70_DESARROLLO!BN52/N70_DESARROLLO!BM52)-1</f>
        <v>2.9708770995506173E-2</v>
      </c>
      <c r="BP137" s="3">
        <f>-(N70_DESARROLLO!BO52/0.014285714)*LN(N70_DESARROLLO!BO52/N70_DESARROLLO!BN52)-1</f>
        <v>2.8042266924849013E-2</v>
      </c>
      <c r="BQ137" s="3">
        <f>-(N70_DESARROLLO!BP52/0.014285714)*LN(N70_DESARROLLO!BP52/N70_DESARROLLO!BO52)-1</f>
        <v>2.6552823496783118E-2</v>
      </c>
      <c r="BR137" s="3">
        <f>-(N70_DESARROLLO!BQ52/0.014285714)*LN(N70_DESARROLLO!BQ52/N70_DESARROLLO!BP52)-1</f>
        <v>2.5213642284836357E-2</v>
      </c>
      <c r="BS137" s="3">
        <f>-(N70_DESARROLLO!BR52/0.014285714)*LN(N70_DESARROLLO!BR52/N70_DESARROLLO!BQ52)-1</f>
        <v>2.4003073749032211E-2</v>
      </c>
      <c r="BT137" s="3">
        <f>-(N70_DESARROLLO!BS52/0.014285714)*LN(N70_DESARROLLO!BS52/N70_DESARROLLO!BR52)-1</f>
        <v>2.2903437185105791E-2</v>
      </c>
      <c r="BU137" s="3">
        <f>-(N70_DESARROLLO!BT52/0.014285714)*LN(N70_DESARROLLO!BT52/N70_DESARROLLO!BS52)-1</f>
        <v>2.190015102187215E-2</v>
      </c>
      <c r="BV137" s="3">
        <f>-(N70_DESARROLLO!BU52/0.014285714)*LN(N70_DESARROLLO!BU52/N70_DESARROLLO!BT52)-1</f>
        <v>2.0981082233534565E-2</v>
      </c>
      <c r="BW137" s="3">
        <f>-(N70_DESARROLLO!BV52/0.014285714)*LN(N70_DESARROLLO!BV52/N70_DESARROLLO!BU52)-1</f>
        <v>2.0136053052056457E-2</v>
      </c>
      <c r="BX137" s="3">
        <f>-(N70_DESARROLLO!BW52/0.014285714)*LN(N70_DESARROLLO!BW52/N70_DESARROLLO!BV52)-1</f>
        <v>1.9356462323721457E-2</v>
      </c>
      <c r="BY137" s="3">
        <f>-(N70_DESARROLLO!BX52/0.014285714)*LN(N70_DESARROLLO!BX52/N70_DESARROLLO!BW52)-1</f>
        <v>66.994536993893519</v>
      </c>
      <c r="CD137">
        <v>43</v>
      </c>
      <c r="CE137" s="1">
        <v>0</v>
      </c>
      <c r="CF137" s="1">
        <f>(1+(N70_DESARROLLO!F52/0.014285714)*LN(N70_DESARROLLO!G52/N70_DESARROLLO!F52))</f>
        <v>-1.1952589722085794E-2</v>
      </c>
      <c r="CG137" s="1">
        <f>(1+(N70_DESARROLLO!G52/0.014285714)*LN(N70_DESARROLLO!H52/N70_DESARROLLO!G52))</f>
        <v>-1.2245324897514953E-2</v>
      </c>
      <c r="CH137" s="1">
        <f>(1+(N70_DESARROLLO!H52/0.014285714)*LN(N70_DESARROLLO!I52/N70_DESARROLLO!H52))</f>
        <v>-1.2552759570449767E-2</v>
      </c>
      <c r="CI137" s="1">
        <f>(1+(N70_DESARROLLO!I52/0.014285714)*LN(N70_DESARROLLO!J52/N70_DESARROLLO!I52))</f>
        <v>-1.2876029484363061E-2</v>
      </c>
      <c r="CJ137" s="1">
        <f>(1+(N70_DESARROLLO!J52/0.014285714)*LN(N70_DESARROLLO!K52/N70_DESARROLLO!J52))</f>
        <v>-1.3216390483199891E-2</v>
      </c>
      <c r="CK137" s="1">
        <f>(1+(N70_DESARROLLO!K52/0.014285714)*LN(N70_DESARROLLO!L52/N70_DESARROLLO!K52))</f>
        <v>-1.3575234818481219E-2</v>
      </c>
      <c r="CL137" s="1">
        <f>(1+(N70_DESARROLLO!L52/0.014285714)*LN(N70_DESARROLLO!M52/N70_DESARROLLO!L52))</f>
        <v>-1.3954110187341273E-2</v>
      </c>
      <c r="CM137" s="1">
        <f>(1+(N70_DESARROLLO!M52/0.014285714)*LN(N70_DESARROLLO!N52/N70_DESARROLLO!M52))</f>
        <v>-1.4354742051083003E-2</v>
      </c>
      <c r="CN137" s="1">
        <f>(1+(N70_DESARROLLO!N52/0.014285714)*LN(N70_DESARROLLO!O52/N70_DESARROLLO!N52))</f>
        <v>-1.4779059912701564E-2</v>
      </c>
      <c r="CO137" s="1">
        <f>(1+(N70_DESARROLLO!O52/0.014285714)*LN(N70_DESARROLLO!P52/N70_DESARROLLO!O52))</f>
        <v>-1.5229228398103478E-2</v>
      </c>
      <c r="CP137" s="1">
        <f>(1+(N70_DESARROLLO!P52/0.014285714)*LN(N70_DESARROLLO!Q52/N70_DESARROLLO!P52))</f>
        <v>-1.5707684197547422E-2</v>
      </c>
      <c r="CQ137" s="1">
        <f>(1+(N70_DESARROLLO!Q52/0.014285714)*LN(N70_DESARROLLO!R52/N70_DESARROLLO!Q52))</f>
        <v>-1.6217180198318637E-2</v>
      </c>
      <c r="CR137" s="1">
        <f>(1+(N70_DESARROLLO!R52/0.014285714)*LN(N70_DESARROLLO!S52/N70_DESARROLLO!R52))</f>
        <v>-1.6760838496767683E-2</v>
      </c>
      <c r="CS137" s="1">
        <f>(1+(N70_DESARROLLO!S52/0.014285714)*LN(N70_DESARROLLO!T52/N70_DESARROLLO!S52))</f>
        <v>-1.7342214446335769E-2</v>
      </c>
      <c r="CT137" s="1">
        <f>(1+(N70_DESARROLLO!T52/0.014285714)*LN(N70_DESARROLLO!U52/N70_DESARROLLO!T52))</f>
        <v>-1.7965374518568833E-2</v>
      </c>
      <c r="CU137" s="1">
        <f>(1+(N70_DESARROLLO!U52/0.014285714)*LN(N70_DESARROLLO!V52/N70_DESARROLLO!U52))</f>
        <v>-1.8634991582296534E-2</v>
      </c>
      <c r="CV137" s="1">
        <f>(1+(N70_DESARROLLO!V52/0.014285714)*LN(N70_DESARROLLO!W52/N70_DESARROLLO!V52))</f>
        <v>-1.9356462323730783E-2</v>
      </c>
      <c r="CW137" s="1">
        <f>(1+(N70_DESARROLLO!W52/0.014285714)*LN(N70_DESARROLLO!X52/N70_DESARROLLO!W52))</f>
        <v>-2.0136053052045799E-2</v>
      </c>
      <c r="CX137" s="1">
        <f>(1+(N70_DESARROLLO!X52/0.014285714)*LN(N70_DESARROLLO!Y52/N70_DESARROLLO!X52))</f>
        <v>-2.098108223353945E-2</v>
      </c>
      <c r="CY137" s="1">
        <f>(1+(N70_DESARROLLO!Y52/0.014285714)*LN(N70_DESARROLLO!Z52/N70_DESARROLLO!Y52))</f>
        <v>-2.190015102186682E-2</v>
      </c>
      <c r="CZ137" s="1">
        <f>(1+(N70_DESARROLLO!Z52/0.014285714)*LN(N70_DESARROLLO!AA52/N70_DESARROLLO!Z52))</f>
        <v>-2.2903437185110231E-2</v>
      </c>
      <c r="DA137" s="1">
        <f>(1+(N70_DESARROLLO!AA52/0.014285714)*LN(N70_DESARROLLO!AB52/N70_DESARROLLO!AA52))</f>
        <v>-2.4003073749035098E-2</v>
      </c>
      <c r="DB137" s="1">
        <f>(1+(N70_DESARROLLO!AB52/0.014285714)*LN(N70_DESARROLLO!AC52/N70_DESARROLLO!AB52))</f>
        <v>-2.5213642284831916E-2</v>
      </c>
      <c r="DC137" s="1">
        <f>(1+(N70_DESARROLLO!AC52/0.014285714)*LN(N70_DESARROLLO!AD52/N70_DESARROLLO!AC52))</f>
        <v>-2.6552823496785782E-2</v>
      </c>
      <c r="DD137" s="1">
        <f>(1+(N70_DESARROLLO!AD52/0.014285714)*LN(N70_DESARROLLO!AE52/N70_DESARROLLO!AD52))</f>
        <v>-2.804226692484435E-2</v>
      </c>
      <c r="DE137" s="1">
        <f>(1+(N70_DESARROLLO!AE52/0.014285714)*LN(N70_DESARROLLO!AF52/N70_DESARROLLO!AE52))</f>
        <v>-2.9708770995510836E-2</v>
      </c>
      <c r="DF137" s="1">
        <f>(1+(N70_DESARROLLO!AF52/0.014285714)*LN(N70_DESARROLLO!AG52/N70_DESARROLLO!AF52))</f>
        <v>-3.1585910823725971E-2</v>
      </c>
      <c r="DG137" s="1">
        <f>(1+(N70_DESARROLLO!AG52/0.014285714)*LN(N70_DESARROLLO!AH52/N70_DESARROLLO!AG52))</f>
        <v>-3.3716325403746916E-2</v>
      </c>
      <c r="DH137" s="1">
        <f>(1+(N70_DESARROLLO!AH52/0.014285714)*LN(N70_DESARROLLO!AI52/N70_DESARROLLO!AH52))</f>
        <v>-3.6154998464202004E-2</v>
      </c>
      <c r="DI137" s="1">
        <f>(1+(N70_DESARROLLO!AI52/0.014285714)*LN(N70_DESARROLLO!AJ52/N70_DESARROLLO!AI52))</f>
        <v>-3.8974076117213929E-2</v>
      </c>
      <c r="DJ137" s="1">
        <f>(1+(N70_DESARROLLO!AJ52/0.014285714)*LN(N70_DESARROLLO!AK52/N70_DESARROLLO!AJ52))</f>
        <v>-4.2270132583541731E-2</v>
      </c>
      <c r="DK137" s="1">
        <f>(1+(N70_DESARROLLO!AK52/0.014285714)*LN(N70_DESARROLLO!AL52/N70_DESARROLLO!AK52))</f>
        <v>-4.6175470289367082E-2</v>
      </c>
      <c r="DL137" s="1">
        <f>(1+(N70_DESARROLLO!AL52/0.014285714)*LN(N70_DESARROLLO!AM52/N70_DESARROLLO!AL52))</f>
        <v>-5.0876335865844391E-2</v>
      </c>
      <c r="DM137" s="1">
        <f>(1+(N70_DESARROLLO!AM52/0.014285714)*LN(N70_DESARROLLO!AN52/N70_DESARROLLO!AM52))</f>
        <v>-5.6643554680003483E-2</v>
      </c>
      <c r="DN137" s="1">
        <f>(1+(N70_DESARROLLO!AN52/0.014285714)*LN(N70_DESARROLLO!AO52/N70_DESARROLLO!AN52))</f>
        <v>-6.3886736386785659E-2</v>
      </c>
      <c r="DO137" s="1">
        <f>(1+(N70_DESARROLLO!AO52/0.014285714)*LN(N70_DESARROLLO!AP52/N70_DESARROLLO!AO52))</f>
        <v>-7.3256348770173396E-2</v>
      </c>
      <c r="DP137" s="1">
        <f>(1+(N70_DESARROLLO!AP52/0.014285714)*LN(N70_DESARROLLO!AQ52/N70_DESARROLLO!AP52))</f>
        <v>-8.5851572027616951E-2</v>
      </c>
      <c r="DQ137" s="1">
        <f>(1+(N70_DESARROLLO!AQ52/0.014285714)*LN(N70_DESARROLLO!AR52/N70_DESARROLLO!AQ52))</f>
        <v>-0.10368884711560411</v>
      </c>
      <c r="DR137" s="1">
        <f>(1+(N70_DESARROLLO!AR52/0.014285714)*LN(N70_DESARROLLO!AS52/N70_DESARROLLO!AR52))</f>
        <v>-0.13091494988238184</v>
      </c>
      <c r="DS137" s="1">
        <f>(1+(N70_DESARROLLO!AS52/0.014285714)*LN(N70_DESARROLLO!AT52/N70_DESARROLLO!AS52))</f>
        <v>-0.17765285172729728</v>
      </c>
      <c r="DT137" s="1">
        <f>(1+(N70_DESARROLLO!AT52/0.014285714)*LN(N70_DESARROLLO!AU52/N70_DESARROLLO!AT52))</f>
        <v>-0.27706408495626578</v>
      </c>
      <c r="DU137" s="1">
        <f>(1+(N70_DESARROLLO!AU52/0.014285714)*LN(N70_DESARROLLO!AV52/N70_DESARROLLO!AU52))</f>
        <v>-0.64791846596052816</v>
      </c>
      <c r="DV137" s="1">
        <v>1</v>
      </c>
      <c r="DW137" s="1">
        <f>(1+(N70_DESARROLLO!AW52/0.014285714)*LN(N70_DESARROLLO!AX52/N70_DESARROLLO!AW52))</f>
        <v>0.45069384467982143</v>
      </c>
      <c r="DX137" s="1">
        <f>(1+(N70_DESARROLLO!AX52/0.014285714)*LN(N70_DESARROLLO!AY52/N70_DESARROLLO!AX52))</f>
        <v>0.2337615490262468</v>
      </c>
      <c r="DY137" s="1">
        <f>(1+(N70_DESARROLLO!AY52/0.014285714)*LN(N70_DESARROLLO!AZ52/N70_DESARROLLO!AY52))</f>
        <v>0.15881939162335246</v>
      </c>
      <c r="DZ137" s="1">
        <f>(1+(N70_DESARROLLO!AZ52/0.014285714)*LN(N70_DESARROLLO!BA52/N70_DESARROLLO!AZ52))</f>
        <v>0.12039948342482099</v>
      </c>
      <c r="EA137" s="1">
        <f>(1+(N70_DESARROLLO!BA52/0.014285714)*LN(N70_DESARROLLO!BB52/N70_DESARROLLO!BA52))</f>
        <v>9.6981852359953269E-2</v>
      </c>
      <c r="EB137" s="1">
        <f>(1+(N70_DESARROLLO!BB52/0.014285714)*LN(N70_DESARROLLO!BC52/N70_DESARROLLO!BB52))</f>
        <v>8.1202515976639411E-2</v>
      </c>
      <c r="EC137" s="1">
        <f>(1+(N70_DESARROLLO!BC52/0.014285714)*LN(N70_DESARROLLO!BD52/N70_DESARROLLO!BC52))</f>
        <v>6.9844497732510114E-2</v>
      </c>
      <c r="ED137" s="1">
        <f>(1+(N70_DESARROLLO!BD52/0.014285714)*LN(N70_DESARROLLO!BE52/N70_DESARROLLO!BD52))</f>
        <v>6.1276409070485593E-2</v>
      </c>
      <c r="EE137" s="1">
        <f>(1+(N70_DESARROLLO!BE52/0.014285714)*LN(N70_DESARROLLO!BF52/N70_DESARROLLO!BE52))</f>
        <v>5.4582082654730635E-2</v>
      </c>
      <c r="EF137" s="1">
        <f>(1+(N70_DESARROLLO!BF52/0.014285714)*LN(N70_DESARROLLO!BG52/N70_DESARROLLO!BF52))</f>
        <v>4.9207124692810855E-2</v>
      </c>
      <c r="EG137" s="1">
        <f>(1+(N70_DESARROLLO!BG52/0.014285714)*LN(N70_DESARROLLO!BH52/N70_DESARROLLO!BG52))</f>
        <v>4.4796309735798956E-2</v>
      </c>
      <c r="EH137" s="1">
        <f>(1+(N70_DESARROLLO!BH52/0.014285714)*LN(N70_DESARROLLO!BI52/N70_DESARROLLO!BH52))</f>
        <v>4.1111478023138415E-2</v>
      </c>
      <c r="EI137" s="1">
        <f>(1+(N70_DESARROLLO!BI52/0.014285714)*LN(N70_DESARROLLO!BJ52/N70_DESARROLLO!BI52))</f>
        <v>3.7986966558139379E-2</v>
      </c>
      <c r="EJ137" s="1">
        <f>(1+(N70_DESARROLLO!BJ52/0.014285714)*LN(N70_DESARROLLO!BK52/N70_DESARROLLO!BJ52))</f>
        <v>3.5303966947118459E-2</v>
      </c>
      <c r="EK137" s="1">
        <f>(1+(N70_DESARROLLO!BK52/0.014285714)*LN(N70_DESARROLLO!BL52/N70_DESARROLLO!BK52))</f>
        <v>3.2975050428757702E-2</v>
      </c>
      <c r="EL137" s="1">
        <f>(1+(N70_DESARROLLO!BL52/0.014285714)*LN(N70_DESARROLLO!BM52/N70_DESARROLLO!BL52))</f>
        <v>3.0934447408009769E-2</v>
      </c>
      <c r="EM137" s="1">
        <f>(1+(N70_DESARROLLO!BM52/0.014285714)*LN(N70_DESARROLLO!BN52/N70_DESARROLLO!BM52))</f>
        <v>2.9131730204236872E-2</v>
      </c>
      <c r="EN137" s="1">
        <f>(1+(N70_DESARROLLO!BN52/0.014285714)*LN(N70_DESARROLLO!BO52/N70_DESARROLLO!BN52))</f>
        <v>2.752758534135924E-2</v>
      </c>
      <c r="EO137" s="1">
        <f>(1+(N70_DESARROLLO!BO52/0.014285714)*LN(N70_DESARROLLO!BP52/N70_DESARROLLO!BO52))</f>
        <v>2.6090911041513176E-2</v>
      </c>
      <c r="EP137" s="1">
        <f>(1+(N70_DESARROLLO!BP52/0.014285714)*LN(N70_DESARROLLO!BQ52/N70_DESARROLLO!BP52))</f>
        <v>2.4796779290033988E-2</v>
      </c>
      <c r="EQ137" s="1">
        <f>(1+(N70_DESARROLLO!BQ52/0.014285714)*LN(N70_DESARROLLO!BR52/N70_DESARROLLO!BQ52))</f>
        <v>2.3624976192783143E-2</v>
      </c>
      <c r="ER137" s="1">
        <f>(1+(N70_DESARROLLO!BR52/0.014285714)*LN(N70_DESARROLLO!BS52/N70_DESARROLLO!BR52))</f>
        <v>2.2558937800898904E-2</v>
      </c>
      <c r="ES137" s="1">
        <f>(1+(N70_DESARROLLO!BS52/0.014285714)*LN(N70_DESARROLLO!BT52/N70_DESARROLLO!BS52))</f>
        <v>2.1584961787569412E-2</v>
      </c>
      <c r="ET137" s="1">
        <f>(1+(N70_DESARROLLO!BT52/0.014285714)*LN(N70_DESARROLLO!BU52/N70_DESARROLLO!BT52))</f>
        <v>2.0691615000487218E-2</v>
      </c>
      <c r="EU137" s="1">
        <f>(1+(N70_DESARROLLO!BU52/0.014285714)*LN(N70_DESARROLLO!BV52/N70_DESARROLLO!BU52))</f>
        <v>1.9869282361749896E-2</v>
      </c>
      <c r="EV137" s="1">
        <f>(1+(N70_DESARROLLO!BV52/0.014285714)*LN(N70_DESARROLLO!BW52/N70_DESARROLLO!BV52))</f>
        <v>1.9109819273400053E-2</v>
      </c>
      <c r="EW137" s="1">
        <f>(1+(N70_DESARROLLO!BW52/0.014285714)*LN(N70_DESARROLLO!BX52/N70_DESARROLLO!BW52))</f>
        <v>-24.740789004831118</v>
      </c>
    </row>
    <row r="138" spans="7:153" x14ac:dyDescent="0.25">
      <c r="G138" s="3">
        <v>44</v>
      </c>
      <c r="H138" s="3">
        <f>-(N70_DESARROLLO!G53/0.014285714)*LN(N70_DESARROLLO!G53/N70_DESARROLLO!F53)-1</f>
        <v>-1.1583338250309216E-2</v>
      </c>
      <c r="I138" s="3">
        <f>-(N70_DESARROLLO!H53/0.014285714)*LN(N70_DESARROLLO!H53/N70_DESARROLLO!G53)-1</f>
        <v>-1.1858059447836244E-2</v>
      </c>
      <c r="J138" s="3">
        <f>-(N70_DESARROLLO!I53/0.014285714)*LN(N70_DESARROLLO!I53/N70_DESARROLLO!H53)-1</f>
        <v>-1.2146128714477955E-2</v>
      </c>
      <c r="K138" s="3">
        <f>-(N70_DESARROLLO!J53/0.014285714)*LN(N70_DESARROLLO!J53/N70_DESARROLLO!I53)-1</f>
        <v>-1.2448543134984225E-2</v>
      </c>
      <c r="L138" s="3">
        <f>-(N70_DESARROLLO!K53/0.014285714)*LN(N70_DESARROLLO!K53/N70_DESARROLLO!J53)-1</f>
        <v>-1.2766401641831959E-2</v>
      </c>
      <c r="M138" s="3">
        <f>-(N70_DESARROLLO!L53/0.014285714)*LN(N70_DESARROLLO!L53/N70_DESARROLLO!K53)-1</f>
        <v>-1.3100918360510971E-2</v>
      </c>
      <c r="N138" s="3">
        <f>-(N70_DESARROLLO!M53/0.014285714)*LN(N70_DESARROLLO!M53/N70_DESARROLLO!L53)-1</f>
        <v>-1.3453438110015759E-2</v>
      </c>
      <c r="O138" s="3">
        <f>-(N70_DESARROLLO!N53/0.014285714)*LN(N70_DESARROLLO!N53/N70_DESARROLLO!M53)-1</f>
        <v>-1.3825454475317467E-2</v>
      </c>
      <c r="P138" s="3">
        <f>-(N70_DESARROLLO!O53/0.014285714)*LN(N70_DESARROLLO!O53/N70_DESARROLLO!N53)-1</f>
        <v>-1.4218630964444534E-2</v>
      </c>
      <c r="Q138" s="3">
        <f>-(N70_DESARROLLO!P53/0.014285714)*LN(N70_DESARROLLO!P53/N70_DESARROLLO!O53)-1</f>
        <v>-1.4634825881869595E-2</v>
      </c>
      <c r="R138" s="3">
        <f>-(N70_DESARROLLO!Q53/0.014285714)*LN(N70_DESARROLLO!Q53/N70_DESARROLLO!P53)-1</f>
        <v>-1.5076121703332279E-2</v>
      </c>
      <c r="S138" s="3">
        <f>-(N70_DESARROLLO!R53/0.014285714)*LN(N70_DESARROLLO!R53/N70_DESARROLLO!Q53)-1</f>
        <v>-1.5544859931607813E-2</v>
      </c>
      <c r="T138" s="3">
        <f>-(N70_DESARROLLO!S53/0.014285714)*LN(N70_DESARROLLO!S53/N70_DESARROLLO!R53)-1</f>
        <v>-1.6043682665119796E-2</v>
      </c>
      <c r="U138" s="3">
        <f>-(N70_DESARROLLO!T53/0.014285714)*LN(N70_DESARROLLO!T53/N70_DESARROLLO!S53)-1</f>
        <v>-1.6575582437555747E-2</v>
      </c>
      <c r="V138" s="3">
        <f>-(N70_DESARROLLO!U53/0.014285714)*LN(N70_DESARROLLO!U53/N70_DESARROLLO!T53)-1</f>
        <v>-1.7143962314550287E-2</v>
      </c>
      <c r="W138" s="3">
        <f>-(N70_DESARROLLO!V53/0.014285714)*LN(N70_DESARROLLO!V53/N70_DESARROLLO!U53)-1</f>
        <v>-1.7752708797878491E-2</v>
      </c>
      <c r="X138" s="3">
        <f>-(N70_DESARROLLO!W53/0.014285714)*LN(N70_DESARROLLO!W53/N70_DESARROLLO!V53)-1</f>
        <v>-1.8406280838871414E-2</v>
      </c>
      <c r="Y138" s="3">
        <f>-(N70_DESARROLLO!X53/0.014285714)*LN(N70_DESARROLLO!X53/N70_DESARROLLO!W53)-1</f>
        <v>-1.910981927339972E-2</v>
      </c>
      <c r="Z138" s="3">
        <f>-(N70_DESARROLLO!Y53/0.014285714)*LN(N70_DESARROLLO!Y53/N70_DESARROLLO!X53)-1</f>
        <v>-1.986928236175689E-2</v>
      </c>
      <c r="AA138" s="3">
        <f>-(N70_DESARROLLO!Z53/0.014285714)*LN(N70_DESARROLLO!Z53/N70_DESARROLLO!Y53)-1</f>
        <v>-2.0691615000482555E-2</v>
      </c>
      <c r="AB138" s="3">
        <f>-(N70_DESARROLLO!AA53/0.014285714)*LN(N70_DESARROLLO!AA53/N70_DESARROLLO!Z53)-1</f>
        <v>-2.1584961787574075E-2</v>
      </c>
      <c r="AC138" s="3">
        <f>-(N70_DESARROLLO!AB53/0.014285714)*LN(N70_DESARROLLO!AB53/N70_DESARROLLO!AA53)-1</f>
        <v>-2.2558937800894574E-2</v>
      </c>
      <c r="AD138" s="3">
        <f>-(N70_DESARROLLO!AC53/0.014285714)*LN(N70_DESARROLLO!AC53/N70_DESARROLLO!AB53)-1</f>
        <v>-2.3624976192780478E-2</v>
      </c>
      <c r="AE138" s="3">
        <f>-(N70_DESARROLLO!AD53/0.014285714)*LN(N70_DESARROLLO!AD53/N70_DESARROLLO!AC53)-1</f>
        <v>-2.4796779290037874E-2</v>
      </c>
      <c r="AF138" s="3">
        <f>-(N70_DESARROLLO!AE53/0.014285714)*LN(N70_DESARROLLO!AE53/N70_DESARROLLO!AD53)-1</f>
        <v>-2.6090911041510623E-2</v>
      </c>
      <c r="AG138" s="3">
        <f>-(N70_DESARROLLO!AF53/0.014285714)*LN(N70_DESARROLLO!AF53/N70_DESARROLLO!AE53)-1</f>
        <v>-2.7527585341363237E-2</v>
      </c>
      <c r="AH138" s="3">
        <f>-(N70_DESARROLLO!AG53/0.014285714)*LN(N70_DESARROLLO!AG53/N70_DESARROLLO!AF53)-1</f>
        <v>-2.9131730204236206E-2</v>
      </c>
      <c r="AI138" s="3">
        <f>-(N70_DESARROLLO!AH53/0.014285714)*LN(N70_DESARROLLO!AH53/N70_DESARROLLO!AG53)-1</f>
        <v>-3.0934447408010879E-2</v>
      </c>
      <c r="AJ138" s="3">
        <f>-(N70_DESARROLLO!AI53/0.014285714)*LN(N70_DESARROLLO!AI53/N70_DESARROLLO!AH53)-1</f>
        <v>-3.2975050428752706E-2</v>
      </c>
      <c r="AK138" s="3">
        <f>-(N70_DESARROLLO!AJ53/0.014285714)*LN(N70_DESARROLLO!AJ53/N70_DESARROLLO!AI53)-1</f>
        <v>-3.5303966947122012E-2</v>
      </c>
      <c r="AL138" s="3">
        <f>-(N70_DESARROLLO!AK53/0.014285714)*LN(N70_DESARROLLO!AK53/N70_DESARROLLO!AJ53)-1</f>
        <v>-3.7986966558135049E-2</v>
      </c>
      <c r="AM138" s="3">
        <f>-(N70_DESARROLLO!AL53/0.014285714)*LN(N70_DESARROLLO!AL53/N70_DESARROLLO!AK53)-1</f>
        <v>-4.1111478023142745E-2</v>
      </c>
      <c r="AN138" s="3">
        <f>-(N70_DESARROLLO!AM53/0.014285714)*LN(N70_DESARROLLO!AM53/N70_DESARROLLO!AL53)-1</f>
        <v>-4.4796309735794959E-2</v>
      </c>
      <c r="AO138" s="3">
        <f>-(N70_DESARROLLO!AN53/0.014285714)*LN(N70_DESARROLLO!AN53/N70_DESARROLLO!AM53)-1</f>
        <v>-4.9207124692808302E-2</v>
      </c>
      <c r="AP138" s="3">
        <f>-(N70_DESARROLLO!AO53/0.014285714)*LN(N70_DESARROLLO!AO53/N70_DESARROLLO!AN53)-1</f>
        <v>-5.4582082654734299E-2</v>
      </c>
      <c r="AQ138" s="3">
        <f>-(N70_DESARROLLO!AP53/0.014285714)*LN(N70_DESARROLLO!AP53/N70_DESARROLLO!AO53)-1</f>
        <v>-6.1276409070485927E-2</v>
      </c>
      <c r="AR138" s="3">
        <f>-(N70_DESARROLLO!AQ53/0.014285714)*LN(N70_DESARROLLO!AQ53/N70_DESARROLLO!AP53)-1</f>
        <v>-6.9844497732509336E-2</v>
      </c>
      <c r="AS138" s="3">
        <f>-(N70_DESARROLLO!AR53/0.014285714)*LN(N70_DESARROLLO!AR53/N70_DESARROLLO!AQ53)-1</f>
        <v>-8.1202515976639078E-2</v>
      </c>
      <c r="AT138" s="3">
        <f>-(N70_DESARROLLO!AS53/0.014285714)*LN(N70_DESARROLLO!AS53/N70_DESARROLLO!AR53)-1</f>
        <v>-9.6981852359953602E-2</v>
      </c>
      <c r="AU138" s="3">
        <f>-(N70_DESARROLLO!AT53/0.014285714)*LN(N70_DESARROLLO!AT53/N70_DESARROLLO!AS53)-1</f>
        <v>-0.12039948342482121</v>
      </c>
      <c r="AV138" s="3">
        <f>-(N70_DESARROLLO!AU53/0.014285714)*LN(N70_DESARROLLO!AU53/N70_DESARROLLO!AT53)-1</f>
        <v>-0.15881939162335246</v>
      </c>
      <c r="AW138" s="3">
        <f>-(N70_DESARROLLO!AV53/0.014285714)*LN(N70_DESARROLLO!AV53/N70_DESARROLLO!AU53)-1</f>
        <v>-0.23376154902624657</v>
      </c>
      <c r="AX138" s="3">
        <f>-(N70_DESARROLLO!AW53/0.014285714)*LN(N70_DESARROLLO!AW53/N70_DESARROLLO!AV53)-1</f>
        <v>-0.45069384467982065</v>
      </c>
      <c r="AY138" s="3">
        <v>-1</v>
      </c>
      <c r="AZ138" s="3">
        <f>-(N70_DESARROLLO!AY53/0.014285714)*LN(N70_DESARROLLO!AY53/N70_DESARROLLO!AX53)-1</f>
        <v>0.64791846596052816</v>
      </c>
      <c r="BA138" s="3">
        <f>-(N70_DESARROLLO!AZ53/0.014285714)*LN(N70_DESARROLLO!AZ53/N70_DESARROLLO!AY53)-1</f>
        <v>0.27706408495626578</v>
      </c>
      <c r="BB138" s="3">
        <f>-(N70_DESARROLLO!BA53/0.014285714)*LN(N70_DESARROLLO!BA53/N70_DESARROLLO!AZ53)-1</f>
        <v>0.17765285172729772</v>
      </c>
      <c r="BC138" s="3">
        <f>-(N70_DESARROLLO!BB53/0.014285714)*LN(N70_DESARROLLO!BB53/N70_DESARROLLO!BA53)-1</f>
        <v>0.13091494988238206</v>
      </c>
      <c r="BD138" s="3">
        <f>-(N70_DESARROLLO!BC53/0.014285714)*LN(N70_DESARROLLO!BC53/N70_DESARROLLO!BB53)-1</f>
        <v>0.10368884711560411</v>
      </c>
      <c r="BE138" s="3">
        <f>-(N70_DESARROLLO!BD53/0.014285714)*LN(N70_DESARROLLO!BD53/N70_DESARROLLO!BC53)-1</f>
        <v>8.5851572027616951E-2</v>
      </c>
      <c r="BF138" s="3">
        <f>-(N70_DESARROLLO!BE53/0.014285714)*LN(N70_DESARROLLO!BE53/N70_DESARROLLO!BD53)-1</f>
        <v>7.3256348770172952E-2</v>
      </c>
      <c r="BG138" s="3">
        <f>-(N70_DESARROLLO!BF53/0.014285714)*LN(N70_DESARROLLO!BF53/N70_DESARROLLO!BE53)-1</f>
        <v>6.3886736386790766E-2</v>
      </c>
      <c r="BH138" s="3">
        <f>-(N70_DESARROLLO!BG53/0.014285714)*LN(N70_DESARROLLO!BG53/N70_DESARROLLO!BF53)-1</f>
        <v>5.664355467999882E-2</v>
      </c>
      <c r="BI138" s="3">
        <f>-(N70_DESARROLLO!BH53/0.014285714)*LN(N70_DESARROLLO!BH53/N70_DESARROLLO!BG53)-1</f>
        <v>5.0876335865839506E-2</v>
      </c>
      <c r="BJ138" s="3">
        <f>-(N70_DESARROLLO!BI53/0.014285714)*LN(N70_DESARROLLO!BI53/N70_DESARROLLO!BH53)-1</f>
        <v>4.6175470289372189E-2</v>
      </c>
      <c r="BK138" s="3">
        <f>-(N70_DESARROLLO!BJ53/0.014285714)*LN(N70_DESARROLLO!BJ53/N70_DESARROLLO!BI53)-1</f>
        <v>4.227013258353729E-2</v>
      </c>
      <c r="BL138" s="3">
        <f>-(N70_DESARROLLO!BK53/0.014285714)*LN(N70_DESARROLLO!BK53/N70_DESARROLLO!BJ53)-1</f>
        <v>3.8974076117217482E-2</v>
      </c>
      <c r="BM138" s="3">
        <f>-(N70_DESARROLLO!BL53/0.014285714)*LN(N70_DESARROLLO!BL53/N70_DESARROLLO!BK53)-1</f>
        <v>3.6154998464196897E-2</v>
      </c>
      <c r="BN138" s="3">
        <f>-(N70_DESARROLLO!BM53/0.014285714)*LN(N70_DESARROLLO!BM53/N70_DESARROLLO!BL53)-1</f>
        <v>3.3716325403751135E-2</v>
      </c>
      <c r="BO138" s="3">
        <f>-(N70_DESARROLLO!BN53/0.014285714)*LN(N70_DESARROLLO!BN53/N70_DESARROLLO!BM53)-1</f>
        <v>3.1585910823724417E-2</v>
      </c>
      <c r="BP138" s="3">
        <f>-(N70_DESARROLLO!BO53/0.014285714)*LN(N70_DESARROLLO!BO53/N70_DESARROLLO!BN53)-1</f>
        <v>2.97087709955135E-2</v>
      </c>
      <c r="BQ138" s="3">
        <f>-(N70_DESARROLLO!BP53/0.014285714)*LN(N70_DESARROLLO!BP53/N70_DESARROLLO!BO53)-1</f>
        <v>2.8042266924840797E-2</v>
      </c>
      <c r="BR138" s="3">
        <f>-(N70_DESARROLLO!BQ53/0.014285714)*LN(N70_DESARROLLO!BQ53/N70_DESARROLLO!BP53)-1</f>
        <v>2.6552823496791333E-2</v>
      </c>
      <c r="BS138" s="3">
        <f>-(N70_DESARROLLO!BR53/0.014285714)*LN(N70_DESARROLLO!BR53/N70_DESARROLLO!BQ53)-1</f>
        <v>2.5213642284827253E-2</v>
      </c>
      <c r="BT138" s="3">
        <f>-(N70_DESARROLLO!BS53/0.014285714)*LN(N70_DESARROLLO!BS53/N70_DESARROLLO!BR53)-1</f>
        <v>2.4003073749031767E-2</v>
      </c>
      <c r="BU138" s="3">
        <f>-(N70_DESARROLLO!BT53/0.014285714)*LN(N70_DESARROLLO!BT53/N70_DESARROLLO!BS53)-1</f>
        <v>2.2903437185115338E-2</v>
      </c>
      <c r="BV138" s="3">
        <f>-(N70_DESARROLLO!BU53/0.014285714)*LN(N70_DESARROLLO!BU53/N70_DESARROLLO!BT53)-1</f>
        <v>2.1900151021861713E-2</v>
      </c>
      <c r="BW138" s="3">
        <f>-(N70_DESARROLLO!BV53/0.014285714)*LN(N70_DESARROLLO!BV53/N70_DESARROLLO!BU53)-1</f>
        <v>2.0981082233544779E-2</v>
      </c>
      <c r="BX138" s="3">
        <f>-(N70_DESARROLLO!BW53/0.014285714)*LN(N70_DESARROLLO!BW53/N70_DESARROLLO!BV53)-1</f>
        <v>2.0136053052045133E-2</v>
      </c>
      <c r="BY138" s="3">
        <f>-(N70_DESARROLLO!BX53/0.014285714)*LN(N70_DESARROLLO!BX53/N70_DESARROLLO!BW53)-1</f>
        <v>69.687176705692053</v>
      </c>
      <c r="CD138" s="1">
        <v>44</v>
      </c>
      <c r="CE138" s="1">
        <v>0</v>
      </c>
      <c r="CF138" s="1">
        <f>(1+(N70_DESARROLLO!F53/0.014285714)*LN(N70_DESARROLLO!G53/N70_DESARROLLO!F53))</f>
        <v>-1.1673524379095301E-2</v>
      </c>
      <c r="CG138" s="1">
        <f>(1+(N70_DESARROLLO!G53/0.014285714)*LN(N70_DESARROLLO!H53/N70_DESARROLLO!G53))</f>
        <v>-1.1952589722095563E-2</v>
      </c>
      <c r="CH138" s="1">
        <f>(1+(N70_DESARROLLO!H53/0.014285714)*LN(N70_DESARROLLO!I53/N70_DESARROLLO!H53))</f>
        <v>-1.224532489751029E-2</v>
      </c>
      <c r="CI138" s="1">
        <f>(1+(N70_DESARROLLO!I53/0.014285714)*LN(N70_DESARROLLO!J53/N70_DESARROLLO!I53))</f>
        <v>-1.2552759570459315E-2</v>
      </c>
      <c r="CJ138" s="1">
        <f>(1+(N70_DESARROLLO!J53/0.014285714)*LN(N70_DESARROLLO!K53/N70_DESARROLLO!J53))</f>
        <v>-1.2876029484353957E-2</v>
      </c>
      <c r="CK138" s="1">
        <f>(1+(N70_DESARROLLO!K53/0.014285714)*LN(N70_DESARROLLO!L53/N70_DESARROLLO!K53))</f>
        <v>-1.3216390483208995E-2</v>
      </c>
      <c r="CL138" s="1">
        <f>(1+(N70_DESARROLLO!L53/0.014285714)*LN(N70_DESARROLLO!M53/N70_DESARROLLO!L53))</f>
        <v>-1.3575234818476778E-2</v>
      </c>
      <c r="CM138" s="1">
        <f>(1+(N70_DESARROLLO!M53/0.014285714)*LN(N70_DESARROLLO!N53/N70_DESARROLLO!M53))</f>
        <v>-1.3954110187349711E-2</v>
      </c>
      <c r="CN138" s="1">
        <f>(1+(N70_DESARROLLO!N53/0.014285714)*LN(N70_DESARROLLO!O53/N70_DESARROLLO!N53))</f>
        <v>-1.4354742051078784E-2</v>
      </c>
      <c r="CO138" s="1">
        <f>(1+(N70_DESARROLLO!O53/0.014285714)*LN(N70_DESARROLLO!P53/N70_DESARROLLO!O53))</f>
        <v>-1.4779059912701564E-2</v>
      </c>
      <c r="CP138" s="1">
        <f>(1+(N70_DESARROLLO!P53/0.014285714)*LN(N70_DESARROLLO!Q53/N70_DESARROLLO!P53))</f>
        <v>-1.5229228398103478E-2</v>
      </c>
      <c r="CQ138" s="1">
        <f>(1+(N70_DESARROLLO!Q53/0.014285714)*LN(N70_DESARROLLO!R53/N70_DESARROLLO!Q53))</f>
        <v>-1.5707684197547644E-2</v>
      </c>
      <c r="CR138" s="1">
        <f>(1+(N70_DESARROLLO!R53/0.014285714)*LN(N70_DESARROLLO!S53/N70_DESARROLLO!R53))</f>
        <v>-1.6217180198318859E-2</v>
      </c>
      <c r="CS138" s="1">
        <f>(1+(N70_DESARROLLO!S53/0.014285714)*LN(N70_DESARROLLO!T53/N70_DESARROLLO!S53))</f>
        <v>-1.6760838496764352E-2</v>
      </c>
      <c r="CT138" s="1">
        <f>(1+(N70_DESARROLLO!T53/0.014285714)*LN(N70_DESARROLLO!U53/N70_DESARROLLO!T53))</f>
        <v>-1.7342214446342874E-2</v>
      </c>
      <c r="CU138" s="1">
        <f>(1+(N70_DESARROLLO!U53/0.014285714)*LN(N70_DESARROLLO!V53/N70_DESARROLLO!U53))</f>
        <v>-1.7965374518562172E-2</v>
      </c>
      <c r="CV138" s="1">
        <f>(1+(N70_DESARROLLO!V53/0.014285714)*LN(N70_DESARROLLO!W53/N70_DESARROLLO!V53))</f>
        <v>-1.8634991582303417E-2</v>
      </c>
      <c r="CW138" s="1">
        <f>(1+(N70_DESARROLLO!W53/0.014285714)*LN(N70_DESARROLLO!X53/N70_DESARROLLO!W53))</f>
        <v>-1.9356462323721679E-2</v>
      </c>
      <c r="CX138" s="1">
        <f>(1+(N70_DESARROLLO!X53/0.014285714)*LN(N70_DESARROLLO!Y53/N70_DESARROLLO!X53))</f>
        <v>-2.0136053052048908E-2</v>
      </c>
      <c r="CY138" s="1">
        <f>(1+(N70_DESARROLLO!Y53/0.014285714)*LN(N70_DESARROLLO!Z53/N70_DESARROLLO!Y53))</f>
        <v>-2.098108223353945E-2</v>
      </c>
      <c r="CZ138" s="1">
        <f>(1+(N70_DESARROLLO!Z53/0.014285714)*LN(N70_DESARROLLO!AA53/N70_DESARROLLO!Z53))</f>
        <v>-2.1900151021867043E-2</v>
      </c>
      <c r="DA138" s="1">
        <f>(1+(N70_DESARROLLO!AA53/0.014285714)*LN(N70_DESARROLLO!AB53/N70_DESARROLLO!AA53))</f>
        <v>-2.2903437185110453E-2</v>
      </c>
      <c r="DB138" s="1">
        <f>(1+(N70_DESARROLLO!AB53/0.014285714)*LN(N70_DESARROLLO!AC53/N70_DESARROLLO!AB53))</f>
        <v>-2.4003073749035098E-2</v>
      </c>
      <c r="DC138" s="1">
        <f>(1+(N70_DESARROLLO!AC53/0.014285714)*LN(N70_DESARROLLO!AD53/N70_DESARROLLO!AC53))</f>
        <v>-2.5213642284832138E-2</v>
      </c>
      <c r="DD138" s="1">
        <f>(1+(N70_DESARROLLO!AD53/0.014285714)*LN(N70_DESARROLLO!AE53/N70_DESARROLLO!AD53))</f>
        <v>-2.6552823496786004E-2</v>
      </c>
      <c r="DE138" s="1">
        <f>(1+(N70_DESARROLLO!AE53/0.014285714)*LN(N70_DESARROLLO!AF53/N70_DESARROLLO!AE53))</f>
        <v>-2.8042266924844572E-2</v>
      </c>
      <c r="DF138" s="1">
        <f>(1+(N70_DESARROLLO!AF53/0.014285714)*LN(N70_DESARROLLO!AG53/N70_DESARROLLO!AF53))</f>
        <v>-2.9708770995507061E-2</v>
      </c>
      <c r="DG138" s="1">
        <f>(1+(N70_DESARROLLO!AG53/0.014285714)*LN(N70_DESARROLLO!AH53/N70_DESARROLLO!AG53))</f>
        <v>-3.1585910823730412E-2</v>
      </c>
      <c r="DH138" s="1">
        <f>(1+(N70_DESARROLLO!AH53/0.014285714)*LN(N70_DESARROLLO!AI53/N70_DESARROLLO!AH53))</f>
        <v>-3.3716325403747138E-2</v>
      </c>
      <c r="DI138" s="1">
        <f>(1+(N70_DESARROLLO!AI53/0.014285714)*LN(N70_DESARROLLO!AJ53/N70_DESARROLLO!AI53))</f>
        <v>-3.6154998464202448E-2</v>
      </c>
      <c r="DJ138" s="1">
        <f>(1+(N70_DESARROLLO!AJ53/0.014285714)*LN(N70_DESARROLLO!AK53/N70_DESARROLLO!AJ53))</f>
        <v>-3.8974076117214151E-2</v>
      </c>
      <c r="DK138" s="1">
        <f>(1+(N70_DESARROLLO!AK53/0.014285714)*LN(N70_DESARROLLO!AL53/N70_DESARROLLO!AK53))</f>
        <v>-4.2270132583540621E-2</v>
      </c>
      <c r="DL138" s="1">
        <f>(1+(N70_DESARROLLO!AL53/0.014285714)*LN(N70_DESARROLLO!AM53/N70_DESARROLLO!AL53))</f>
        <v>-4.6175470289367304E-2</v>
      </c>
      <c r="DM138" s="1">
        <f>(1+(N70_DESARROLLO!AM53/0.014285714)*LN(N70_DESARROLLO!AN53/N70_DESARROLLO!AM53))</f>
        <v>-5.0876335865843503E-2</v>
      </c>
      <c r="DN138" s="1">
        <f>(1+(N70_DESARROLLO!AN53/0.014285714)*LN(N70_DESARROLLO!AO53/N70_DESARROLLO!AN53))</f>
        <v>-5.6643554680002817E-2</v>
      </c>
      <c r="DO138" s="1">
        <f>(1+(N70_DESARROLLO!AO53/0.014285714)*LN(N70_DESARROLLO!AP53/N70_DESARROLLO!AO53))</f>
        <v>-6.3886736386782106E-2</v>
      </c>
      <c r="DP138" s="1">
        <f>(1+(N70_DESARROLLO!AP53/0.014285714)*LN(N70_DESARROLLO!AQ53/N70_DESARROLLO!AP53))</f>
        <v>-7.3256348770182278E-2</v>
      </c>
      <c r="DQ138" s="1">
        <f>(1+(N70_DESARROLLO!AQ53/0.014285714)*LN(N70_DESARROLLO!AR53/N70_DESARROLLO!AQ53))</f>
        <v>-8.5851572027607403E-2</v>
      </c>
      <c r="DR138" s="1">
        <f>(1+(N70_DESARROLLO!AR53/0.014285714)*LN(N70_DESARROLLO!AS53/N70_DESARROLLO!AR53))</f>
        <v>-0.10368884711561321</v>
      </c>
      <c r="DS138" s="1">
        <f>(1+(N70_DESARROLLO!AS53/0.014285714)*LN(N70_DESARROLLO!AT53/N70_DESARROLLO!AS53))</f>
        <v>-0.13091494988237162</v>
      </c>
      <c r="DT138" s="1">
        <f>(1+(N70_DESARROLLO!AT53/0.014285714)*LN(N70_DESARROLLO!AU53/N70_DESARROLLO!AT53))</f>
        <v>-0.17765285172730816</v>
      </c>
      <c r="DU138" s="1">
        <f>(1+(N70_DESARROLLO!AU53/0.014285714)*LN(N70_DESARROLLO!AV53/N70_DESARROLLO!AU53))</f>
        <v>-0.27706408495625312</v>
      </c>
      <c r="DV138" s="1">
        <f>(1+(N70_DESARROLLO!AV53/0.014285714)*LN(N70_DESARROLLO!AW53/N70_DESARROLLO!AV53))</f>
        <v>-0.64791846596052105</v>
      </c>
      <c r="DW138" s="1">
        <v>1</v>
      </c>
      <c r="DX138" s="1">
        <f>(1+(N70_DESARROLLO!AX53/0.014285714)*LN(N70_DESARROLLO!AY53/N70_DESARROLLO!AX53))</f>
        <v>0.45069384467982399</v>
      </c>
      <c r="DY138" s="1">
        <f>(1+(N70_DESARROLLO!AY53/0.014285714)*LN(N70_DESARROLLO!AZ53/N70_DESARROLLO!AY53))</f>
        <v>0.23376154902624291</v>
      </c>
      <c r="DZ138" s="1">
        <f>(1+(N70_DESARROLLO!AZ53/0.014285714)*LN(N70_DESARROLLO!BA53/N70_DESARROLLO!AZ53))</f>
        <v>0.15881939162335801</v>
      </c>
      <c r="EA138" s="1">
        <f>(1+(N70_DESARROLLO!BA53/0.014285714)*LN(N70_DESARROLLO!BB53/N70_DESARROLLO!BA53))</f>
        <v>0.12039948342481499</v>
      </c>
      <c r="EB138" s="1">
        <f>(1+(N70_DESARROLLO!BB53/0.014285714)*LN(N70_DESARROLLO!BC53/N70_DESARROLLO!BB53))</f>
        <v>9.6981852359959819E-2</v>
      </c>
      <c r="EC138" s="1">
        <f>(1+(N70_DESARROLLO!BC53/0.014285714)*LN(N70_DESARROLLO!BD53/N70_DESARROLLO!BC53))</f>
        <v>8.1202515976632528E-2</v>
      </c>
      <c r="ED138" s="1">
        <f>(1+(N70_DESARROLLO!BD53/0.014285714)*LN(N70_DESARROLLO!BE53/N70_DESARROLLO!BD53))</f>
        <v>6.9844497732516331E-2</v>
      </c>
      <c r="EE138" s="1">
        <f>(1+(N70_DESARROLLO!BE53/0.014285714)*LN(N70_DESARROLLO!BF53/N70_DESARROLLO!BE53))</f>
        <v>6.1276409070479265E-2</v>
      </c>
      <c r="EF138" s="1">
        <f>(1+(N70_DESARROLLO!BF53/0.014285714)*LN(N70_DESARROLLO!BG53/N70_DESARROLLO!BF53))</f>
        <v>5.4582082654737407E-2</v>
      </c>
      <c r="EG138" s="1">
        <f>(1+(N70_DESARROLLO!BG53/0.014285714)*LN(N70_DESARROLLO!BH53/N70_DESARROLLO!BG53))</f>
        <v>4.9207124692811632E-2</v>
      </c>
      <c r="EH138" s="1">
        <f>(1+(N70_DESARROLLO!BH53/0.014285714)*LN(N70_DESARROLLO!BI53/N70_DESARROLLO!BH53))</f>
        <v>4.4796309735791184E-2</v>
      </c>
      <c r="EI138" s="1">
        <f>(1+(N70_DESARROLLO!BI53/0.014285714)*LN(N70_DESARROLLO!BJ53/N70_DESARROLLO!BI53))</f>
        <v>4.1111478023145409E-2</v>
      </c>
      <c r="EJ138" s="1">
        <f>(1+(N70_DESARROLLO!BJ53/0.014285714)*LN(N70_DESARROLLO!BK53/N70_DESARROLLO!BJ53))</f>
        <v>3.7986966558132274E-2</v>
      </c>
      <c r="EK138" s="1">
        <f>(1+(N70_DESARROLLO!BK53/0.014285714)*LN(N70_DESARROLLO!BL53/N70_DESARROLLO!BK53))</f>
        <v>3.5303966947126675E-2</v>
      </c>
      <c r="EL138" s="1">
        <f>(1+(N70_DESARROLLO!BL53/0.014285714)*LN(N70_DESARROLLO!BM53/N70_DESARROLLO!BL53))</f>
        <v>3.2975050428749264E-2</v>
      </c>
      <c r="EM138" s="1">
        <f>(1+(N70_DESARROLLO!BM53/0.014285714)*LN(N70_DESARROLLO!BN53/N70_DESARROLLO!BM53))</f>
        <v>3.0934447408016319E-2</v>
      </c>
      <c r="EN138" s="1">
        <f>(1+(N70_DESARROLLO!BN53/0.014285714)*LN(N70_DESARROLLO!BO53/N70_DESARROLLO!BN53))</f>
        <v>2.9131730204230433E-2</v>
      </c>
      <c r="EO138" s="1">
        <f>(1+(N70_DESARROLLO!BO53/0.014285714)*LN(N70_DESARROLLO!BP53/N70_DESARROLLO!BO53))</f>
        <v>2.7527585341366678E-2</v>
      </c>
      <c r="EP138" s="1">
        <f>(1+(N70_DESARROLLO!BP53/0.014285714)*LN(N70_DESARROLLO!BQ53/N70_DESARROLLO!BP53))</f>
        <v>2.6090911041505627E-2</v>
      </c>
      <c r="EQ138" s="1">
        <f>(1+(N70_DESARROLLO!BQ53/0.014285714)*LN(N70_DESARROLLO!BR53/N70_DESARROLLO!BQ53))</f>
        <v>2.4796779290042203E-2</v>
      </c>
      <c r="ER138" s="1">
        <f>(1+(N70_DESARROLLO!BR53/0.014285714)*LN(N70_DESARROLLO!BS53/N70_DESARROLLO!BR53))</f>
        <v>2.3624976192783476E-2</v>
      </c>
      <c r="ES138" s="1">
        <f>(1+(N70_DESARROLLO!BS53/0.014285714)*LN(N70_DESARROLLO!BT53/N70_DESARROLLO!BS53))</f>
        <v>2.2558937800890022E-2</v>
      </c>
      <c r="ET138" s="1">
        <f>(1+(N70_DESARROLLO!BT53/0.014285714)*LN(N70_DESARROLLO!BU53/N70_DESARROLLO!BT53))</f>
        <v>2.1584961787579071E-2</v>
      </c>
      <c r="EU138" s="1">
        <f>(1+(N70_DESARROLLO!BU53/0.014285714)*LN(N70_DESARROLLO!BV53/N70_DESARROLLO!BU53))</f>
        <v>2.0691615000477559E-2</v>
      </c>
      <c r="EV138" s="1">
        <f>(1+(N70_DESARROLLO!BV53/0.014285714)*LN(N70_DESARROLLO!BW53/N70_DESARROLLO!BV53))</f>
        <v>1.9869282361760443E-2</v>
      </c>
      <c r="EW138" s="1">
        <f>(1+(N70_DESARROLLO!BW53/0.014285714)*LN(N70_DESARROLLO!BX53/N70_DESARROLLO!BW53))</f>
        <v>-24.750328657073528</v>
      </c>
    </row>
    <row r="139" spans="7:153" x14ac:dyDescent="0.25">
      <c r="G139" s="3">
        <v>45</v>
      </c>
      <c r="H139" s="3">
        <f>-(N70_DESARROLLO!G54/0.014285714)*LN(N70_DESARROLLO!G54/N70_DESARROLLO!F54)-1</f>
        <v>-1.1321058352732338E-2</v>
      </c>
      <c r="I139" s="3">
        <f>-(N70_DESARROLLO!H54/0.014285714)*LN(N70_DESARROLLO!H54/N70_DESARROLLO!G54)-1</f>
        <v>-1.1583338250304442E-2</v>
      </c>
      <c r="J139" s="3">
        <f>-(N70_DESARROLLO!I54/0.014285714)*LN(N70_DESARROLLO!I54/N70_DESARROLLO!H54)-1</f>
        <v>-1.185805944784557E-2</v>
      </c>
      <c r="K139" s="3">
        <f>-(N70_DESARROLLO!J54/0.014285714)*LN(N70_DESARROLLO!J54/N70_DESARROLLO!I54)-1</f>
        <v>-1.2146128714473514E-2</v>
      </c>
      <c r="L139" s="3">
        <f>-(N70_DESARROLLO!K54/0.014285714)*LN(N70_DESARROLLO!K54/N70_DESARROLLO!J54)-1</f>
        <v>-1.2448543134993217E-2</v>
      </c>
      <c r="M139" s="3">
        <f>-(N70_DESARROLLO!L54/0.014285714)*LN(N70_DESARROLLO!L54/N70_DESARROLLO!K54)-1</f>
        <v>-1.2766401641823411E-2</v>
      </c>
      <c r="N139" s="3">
        <f>-(N70_DESARROLLO!M54/0.014285714)*LN(N70_DESARROLLO!M54/N70_DESARROLLO!L54)-1</f>
        <v>-1.3100918360519631E-2</v>
      </c>
      <c r="O139" s="3">
        <f>-(N70_DESARROLLO!N54/0.014285714)*LN(N70_DESARROLLO!N54/N70_DESARROLLO!M54)-1</f>
        <v>-1.3453438110011762E-2</v>
      </c>
      <c r="P139" s="3">
        <f>-(N70_DESARROLLO!O54/0.014285714)*LN(N70_DESARROLLO!O54/N70_DESARROLLO!N54)-1</f>
        <v>-1.3825454475325571E-2</v>
      </c>
      <c r="Q139" s="3">
        <f>-(N70_DESARROLLO!P54/0.014285714)*LN(N70_DESARROLLO!P54/N70_DESARROLLO!O54)-1</f>
        <v>-1.4218630964440648E-2</v>
      </c>
      <c r="R139" s="3">
        <f>-(N70_DESARROLLO!Q54/0.014285714)*LN(N70_DESARROLLO!Q54/N70_DESARROLLO!P54)-1</f>
        <v>-1.4634825881869595E-2</v>
      </c>
      <c r="S139" s="3">
        <f>-(N70_DESARROLLO!R54/0.014285714)*LN(N70_DESARROLLO!R54/N70_DESARROLLO!Q54)-1</f>
        <v>-1.5076121703332501E-2</v>
      </c>
      <c r="T139" s="3">
        <f>-(N70_DESARROLLO!S54/0.014285714)*LN(N70_DESARROLLO!S54/N70_DESARROLLO!R54)-1</f>
        <v>-1.5544859931607924E-2</v>
      </c>
      <c r="U139" s="3">
        <f>-(N70_DESARROLLO!T54/0.014285714)*LN(N70_DESARROLLO!T54/N70_DESARROLLO!S54)-1</f>
        <v>-1.6043682665123127E-2</v>
      </c>
      <c r="V139" s="3">
        <f>-(N70_DESARROLLO!U54/0.014285714)*LN(N70_DESARROLLO!U54/N70_DESARROLLO!T54)-1</f>
        <v>-1.6575582437549308E-2</v>
      </c>
      <c r="W139" s="3">
        <f>-(N70_DESARROLLO!V54/0.014285714)*LN(N70_DESARROLLO!V54/N70_DESARROLLO!U54)-1</f>
        <v>-1.7143962314556949E-2</v>
      </c>
      <c r="X139" s="3">
        <f>-(N70_DESARROLLO!W54/0.014285714)*LN(N70_DESARROLLO!W54/N70_DESARROLLO!V54)-1</f>
        <v>-1.7752708797872385E-2</v>
      </c>
      <c r="Y139" s="3">
        <f>-(N70_DESARROLLO!X54/0.014285714)*LN(N70_DESARROLLO!X54/N70_DESARROLLO!W54)-1</f>
        <v>-1.8406280838877631E-2</v>
      </c>
      <c r="Z139" s="3">
        <f>-(N70_DESARROLLO!Y54/0.014285714)*LN(N70_DESARROLLO!Y54/N70_DESARROLLO!X54)-1</f>
        <v>-1.9109819273397055E-2</v>
      </c>
      <c r="AA139" s="3">
        <f>-(N70_DESARROLLO!Z54/0.014285714)*LN(N70_DESARROLLO!Z54/N70_DESARROLLO!Y54)-1</f>
        <v>-1.9869282361757001E-2</v>
      </c>
      <c r="AB139" s="3">
        <f>-(N70_DESARROLLO!AA54/0.014285714)*LN(N70_DESARROLLO!AA54/N70_DESARROLLO!Z54)-1</f>
        <v>-2.0691615000482666E-2</v>
      </c>
      <c r="AC139" s="3">
        <f>-(N70_DESARROLLO!AB54/0.014285714)*LN(N70_DESARROLLO!AB54/N70_DESARROLLO!AA54)-1</f>
        <v>-2.1584961787574186E-2</v>
      </c>
      <c r="AD139" s="3">
        <f>-(N70_DESARROLLO!AC54/0.014285714)*LN(N70_DESARROLLO!AC54/N70_DESARROLLO!AB54)-1</f>
        <v>-2.2558937800894796E-2</v>
      </c>
      <c r="AE139" s="3">
        <f>-(N70_DESARROLLO!AD54/0.014285714)*LN(N70_DESARROLLO!AD54/N70_DESARROLLO!AC54)-1</f>
        <v>-2.3624976192780589E-2</v>
      </c>
      <c r="AF139" s="3">
        <f>-(N70_DESARROLLO!AE54/0.014285714)*LN(N70_DESARROLLO!AE54/N70_DESARROLLO!AD54)-1</f>
        <v>-2.4796779290038096E-2</v>
      </c>
      <c r="AG139" s="3">
        <f>-(N70_DESARROLLO!AF54/0.014285714)*LN(N70_DESARROLLO!AF54/N70_DESARROLLO!AE54)-1</f>
        <v>-2.6090911041510845E-2</v>
      </c>
      <c r="AH139" s="3">
        <f>-(N70_DESARROLLO!AG54/0.014285714)*LN(N70_DESARROLLO!AG54/N70_DESARROLLO!AF54)-1</f>
        <v>-2.7527585341367344E-2</v>
      </c>
      <c r="AI139" s="3">
        <f>-(N70_DESARROLLO!AH54/0.014285714)*LN(N70_DESARROLLO!AH54/N70_DESARROLLO!AG54)-1</f>
        <v>-2.9131730204232431E-2</v>
      </c>
      <c r="AJ139" s="3">
        <f>-(N70_DESARROLLO!AI54/0.014285714)*LN(N70_DESARROLLO!AI54/N70_DESARROLLO!AH54)-1</f>
        <v>-3.0934447408011101E-2</v>
      </c>
      <c r="AK139" s="3">
        <f>-(N70_DESARROLLO!AJ54/0.014285714)*LN(N70_DESARROLLO!AJ54/N70_DESARROLLO!AI54)-1</f>
        <v>-3.2975050428753039E-2</v>
      </c>
      <c r="AL139" s="3">
        <f>-(N70_DESARROLLO!AK54/0.014285714)*LN(N70_DESARROLLO!AK54/N70_DESARROLLO!AJ54)-1</f>
        <v>-3.5303966947122234E-2</v>
      </c>
      <c r="AM139" s="3">
        <f>-(N70_DESARROLLO!AL54/0.014285714)*LN(N70_DESARROLLO!AL54/N70_DESARROLLO!AK54)-1</f>
        <v>-3.7986966558135382E-2</v>
      </c>
      <c r="AN139" s="3">
        <f>-(N70_DESARROLLO!AM54/0.014285714)*LN(N70_DESARROLLO!AM54/N70_DESARROLLO!AL54)-1</f>
        <v>-4.1111478023141634E-2</v>
      </c>
      <c r="AO139" s="3">
        <f>-(N70_DESARROLLO!AN54/0.014285714)*LN(N70_DESARROLLO!AN54/N70_DESARROLLO!AM54)-1</f>
        <v>-4.4796309735795514E-2</v>
      </c>
      <c r="AP139" s="3">
        <f>-(N70_DESARROLLO!AO54/0.014285714)*LN(N70_DESARROLLO!AO54/N70_DESARROLLO!AN54)-1</f>
        <v>-4.9207124692807525E-2</v>
      </c>
      <c r="AQ139" s="3">
        <f>-(N70_DESARROLLO!AP54/0.014285714)*LN(N70_DESARROLLO!AP54/N70_DESARROLLO!AO54)-1</f>
        <v>-5.4582082654737407E-2</v>
      </c>
      <c r="AR139" s="3">
        <f>-(N70_DESARROLLO!AQ54/0.014285714)*LN(N70_DESARROLLO!AQ54/N70_DESARROLLO!AP54)-1</f>
        <v>-6.1276409070479487E-2</v>
      </c>
      <c r="AS139" s="3">
        <f>-(N70_DESARROLLO!AR54/0.014285714)*LN(N70_DESARROLLO!AR54/N70_DESARROLLO!AQ54)-1</f>
        <v>-6.9844497732515998E-2</v>
      </c>
      <c r="AT139" s="3">
        <f>-(N70_DESARROLLO!AS54/0.014285714)*LN(N70_DESARROLLO!AS54/N70_DESARROLLO!AR54)-1</f>
        <v>-8.1202515976632528E-2</v>
      </c>
      <c r="AU139" s="3">
        <f>-(N70_DESARROLLO!AT54/0.014285714)*LN(N70_DESARROLLO!AT54/N70_DESARROLLO!AS54)-1</f>
        <v>-9.6981852359959708E-2</v>
      </c>
      <c r="AV139" s="3">
        <f>-(N70_DESARROLLO!AU54/0.014285714)*LN(N70_DESARROLLO!AU54/N70_DESARROLLO!AT54)-1</f>
        <v>-0.1203994834248151</v>
      </c>
      <c r="AW139" s="3">
        <f>-(N70_DESARROLLO!AV54/0.014285714)*LN(N70_DESARROLLO!AV54/N70_DESARROLLO!AU54)-1</f>
        <v>-0.15881939162335823</v>
      </c>
      <c r="AX139" s="3">
        <f>-(N70_DESARROLLO!AW54/0.014285714)*LN(N70_DESARROLLO!AW54/N70_DESARROLLO!AV54)-1</f>
        <v>-0.23376154902624657</v>
      </c>
      <c r="AY139" s="3">
        <f>-(N70_DESARROLLO!AX54/0.014285714)*LN(N70_DESARROLLO!AX54/N70_DESARROLLO!AW54)-1</f>
        <v>-0.45069384467982143</v>
      </c>
      <c r="AZ139" s="3">
        <v>-1</v>
      </c>
      <c r="BA139" s="3">
        <f>-(N70_DESARROLLO!AZ54/0.014285714)*LN(N70_DESARROLLO!AZ54/N70_DESARROLLO!AY54)-1</f>
        <v>0.64791846596054437</v>
      </c>
      <c r="BB139" s="3">
        <f>-(N70_DESARROLLO!BA54/0.014285714)*LN(N70_DESARROLLO!BA54/N70_DESARROLLO!AZ54)-1</f>
        <v>0.2770640849562529</v>
      </c>
      <c r="BC139" s="3">
        <f>-(N70_DESARROLLO!BB54/0.014285714)*LN(N70_DESARROLLO!BB54/N70_DESARROLLO!BA54)-1</f>
        <v>0.17765285172730816</v>
      </c>
      <c r="BD139" s="3">
        <f>-(N70_DESARROLLO!BC54/0.014285714)*LN(N70_DESARROLLO!BC54/N70_DESARROLLO!BB54)-1</f>
        <v>0.13091494988237184</v>
      </c>
      <c r="BE139" s="3">
        <f>-(N70_DESARROLLO!BD54/0.014285714)*LN(N70_DESARROLLO!BD54/N70_DESARROLLO!BC54)-1</f>
        <v>0.10368884711561366</v>
      </c>
      <c r="BF139" s="3">
        <f>-(N70_DESARROLLO!BE54/0.014285714)*LN(N70_DESARROLLO!BE54/N70_DESARROLLO!BD54)-1</f>
        <v>8.5851572027607181E-2</v>
      </c>
      <c r="BG139" s="3">
        <f>-(N70_DESARROLLO!BF54/0.014285714)*LN(N70_DESARROLLO!BF54/N70_DESARROLLO!BE54)-1</f>
        <v>7.325634877018139E-2</v>
      </c>
      <c r="BH139" s="3">
        <f>-(N70_DESARROLLO!BG54/0.014285714)*LN(N70_DESARROLLO!BG54/N70_DESARROLLO!BF54)-1</f>
        <v>6.388673638678255E-2</v>
      </c>
      <c r="BI139" s="3">
        <f>-(N70_DESARROLLO!BH54/0.014285714)*LN(N70_DESARROLLO!BH54/N70_DESARROLLO!BG54)-1</f>
        <v>5.664355467999882E-2</v>
      </c>
      <c r="BJ139" s="3">
        <f>-(N70_DESARROLLO!BI54/0.014285714)*LN(N70_DESARROLLO!BI54/N70_DESARROLLO!BH54)-1</f>
        <v>5.0876335865848832E-2</v>
      </c>
      <c r="BK139" s="3">
        <f>-(N70_DESARROLLO!BJ54/0.014285714)*LN(N70_DESARROLLO!BJ54/N70_DESARROLLO!BI54)-1</f>
        <v>4.6175470289362641E-2</v>
      </c>
      <c r="BL139" s="3">
        <f>-(N70_DESARROLLO!BK54/0.014285714)*LN(N70_DESARROLLO!BK54/N70_DESARROLLO!BJ54)-1</f>
        <v>4.2270132583545728E-2</v>
      </c>
      <c r="BM139" s="3">
        <f>-(N70_DESARROLLO!BL54/0.014285714)*LN(N70_DESARROLLO!BL54/N70_DESARROLLO!BK54)-1</f>
        <v>3.8974076117209266E-2</v>
      </c>
      <c r="BN139" s="3">
        <f>-(N70_DESARROLLO!BM54/0.014285714)*LN(N70_DESARROLLO!BM54/N70_DESARROLLO!BL54)-1</f>
        <v>3.6154998464206445E-2</v>
      </c>
      <c r="BO139" s="3">
        <f>-(N70_DESARROLLO!BN54/0.014285714)*LN(N70_DESARROLLO!BN54/N70_DESARROLLO!BM54)-1</f>
        <v>3.3716325403741587E-2</v>
      </c>
      <c r="BP139" s="3">
        <f>-(N70_DESARROLLO!BO54/0.014285714)*LN(N70_DESARROLLO!BO54/N70_DESARROLLO!BN54)-1</f>
        <v>3.1585910823731744E-2</v>
      </c>
      <c r="BQ139" s="3">
        <f>-(N70_DESARROLLO!BP54/0.014285714)*LN(N70_DESARROLLO!BP54/N70_DESARROLLO!BO54)-1</f>
        <v>2.9708770995506173E-2</v>
      </c>
      <c r="BR139" s="3">
        <f>-(N70_DESARROLLO!BQ54/0.014285714)*LN(N70_DESARROLLO!BQ54/N70_DESARROLLO!BP54)-1</f>
        <v>2.8042266924849013E-2</v>
      </c>
      <c r="BS139" s="3">
        <f>-(N70_DESARROLLO!BR54/0.014285714)*LN(N70_DESARROLLO!BR54/N70_DESARROLLO!BQ54)-1</f>
        <v>2.6552823496783118E-2</v>
      </c>
      <c r="BT139" s="3">
        <f>-(N70_DESARROLLO!BS54/0.014285714)*LN(N70_DESARROLLO!BS54/N70_DESARROLLO!BR54)-1</f>
        <v>2.5213642284827253E-2</v>
      </c>
      <c r="BU139" s="3">
        <f>-(N70_DESARROLLO!BT54/0.014285714)*LN(N70_DESARROLLO!BT54/N70_DESARROLLO!BS54)-1</f>
        <v>2.4003073749041315E-2</v>
      </c>
      <c r="BV139" s="3">
        <f>-(N70_DESARROLLO!BU54/0.014285714)*LN(N70_DESARROLLO!BU54/N70_DESARROLLO!BT54)-1</f>
        <v>2.2903437185105791E-2</v>
      </c>
      <c r="BW139" s="3">
        <f>-(N70_DESARROLLO!BV54/0.014285714)*LN(N70_DESARROLLO!BV54/N70_DESARROLLO!BU54)-1</f>
        <v>2.190015102187215E-2</v>
      </c>
      <c r="BX139" s="3">
        <f>-(N70_DESARROLLO!BW54/0.014285714)*LN(N70_DESARROLLO!BW54/N70_DESARROLLO!BV54)-1</f>
        <v>2.0981082233534565E-2</v>
      </c>
      <c r="BY139" s="3">
        <f>-(N70_DESARROLLO!BX54/0.014285714)*LN(N70_DESARROLLO!BX54/N70_DESARROLLO!BW54)-1</f>
        <v>72.487550184658446</v>
      </c>
      <c r="CD139">
        <v>45</v>
      </c>
      <c r="CE139" s="1">
        <v>0</v>
      </c>
      <c r="CF139" s="1">
        <f>(1+(N70_DESARROLLO!F54/0.014285714)*LN(N70_DESARROLLO!G54/N70_DESARROLLO!F54))</f>
        <v>-1.1407193179388653E-2</v>
      </c>
      <c r="CG139" s="1">
        <f>(1+(N70_DESARROLLO!G54/0.014285714)*LN(N70_DESARROLLO!H54/N70_DESARROLLO!G54))</f>
        <v>-1.1673524379100408E-2</v>
      </c>
      <c r="CH139" s="1">
        <f>(1+(N70_DESARROLLO!H54/0.014285714)*LN(N70_DESARROLLO!I54/N70_DESARROLLO!H54))</f>
        <v>-1.1952589722085794E-2</v>
      </c>
      <c r="CI139" s="1">
        <f>(1+(N70_DESARROLLO!I54/0.014285714)*LN(N70_DESARROLLO!J54/N70_DESARROLLO!I54))</f>
        <v>-1.2245324897514953E-2</v>
      </c>
      <c r="CJ139" s="1">
        <f>(1+(N70_DESARROLLO!J54/0.014285714)*LN(N70_DESARROLLO!K54/N70_DESARROLLO!J54))</f>
        <v>-1.2552759570449767E-2</v>
      </c>
      <c r="CK139" s="1">
        <f>(1+(N70_DESARROLLO!K54/0.014285714)*LN(N70_DESARROLLO!L54/N70_DESARROLLO!K54))</f>
        <v>-1.2876029484363061E-2</v>
      </c>
      <c r="CL139" s="1">
        <f>(1+(N70_DESARROLLO!L54/0.014285714)*LN(N70_DESARROLLO!M54/N70_DESARROLLO!L54))</f>
        <v>-1.3216390483199891E-2</v>
      </c>
      <c r="CM139" s="1">
        <f>(1+(N70_DESARROLLO!M54/0.014285714)*LN(N70_DESARROLLO!N54/N70_DESARROLLO!M54))</f>
        <v>-1.3575234818481219E-2</v>
      </c>
      <c r="CN139" s="1">
        <f>(1+(N70_DESARROLLO!N54/0.014285714)*LN(N70_DESARROLLO!O54/N70_DESARROLLO!N54))</f>
        <v>-1.3954110187341273E-2</v>
      </c>
      <c r="CO139" s="1">
        <f>(1+(N70_DESARROLLO!O54/0.014285714)*LN(N70_DESARROLLO!P54/N70_DESARROLLO!O54))</f>
        <v>-1.4354742051083003E-2</v>
      </c>
      <c r="CP139" s="1">
        <f>(1+(N70_DESARROLLO!P54/0.014285714)*LN(N70_DESARROLLO!Q54/N70_DESARROLLO!P54))</f>
        <v>-1.4779059912701564E-2</v>
      </c>
      <c r="CQ139" s="1">
        <f>(1+(N70_DESARROLLO!Q54/0.014285714)*LN(N70_DESARROLLO!R54/N70_DESARROLLO!Q54))</f>
        <v>-1.5229228398103478E-2</v>
      </c>
      <c r="CR139" s="1">
        <f>(1+(N70_DESARROLLO!R54/0.014285714)*LN(N70_DESARROLLO!S54/N70_DESARROLLO!R54))</f>
        <v>-1.5707684197547422E-2</v>
      </c>
      <c r="CS139" s="1">
        <f>(1+(N70_DESARROLLO!S54/0.014285714)*LN(N70_DESARROLLO!T54/N70_DESARROLLO!S54))</f>
        <v>-1.6217180198315306E-2</v>
      </c>
      <c r="CT139" s="1">
        <f>(1+(N70_DESARROLLO!T54/0.014285714)*LN(N70_DESARROLLO!U54/N70_DESARROLLO!T54))</f>
        <v>-1.6760838496771235E-2</v>
      </c>
      <c r="CU139" s="1">
        <f>(1+(N70_DESARROLLO!U54/0.014285714)*LN(N70_DESARROLLO!V54/N70_DESARROLLO!U54))</f>
        <v>-1.7342214446335769E-2</v>
      </c>
      <c r="CV139" s="1">
        <f>(1+(N70_DESARROLLO!V54/0.014285714)*LN(N70_DESARROLLO!W54/N70_DESARROLLO!V54))</f>
        <v>-1.7965374518568833E-2</v>
      </c>
      <c r="CW139" s="1">
        <f>(1+(N70_DESARROLLO!W54/0.014285714)*LN(N70_DESARROLLO!X54/N70_DESARROLLO!W54))</f>
        <v>-1.8634991582296534E-2</v>
      </c>
      <c r="CX139" s="1">
        <f>(1+(N70_DESARROLLO!X54/0.014285714)*LN(N70_DESARROLLO!Y54/N70_DESARROLLO!X54))</f>
        <v>-1.9356462323724788E-2</v>
      </c>
      <c r="CY139" s="1">
        <f>(1+(N70_DESARROLLO!Y54/0.014285714)*LN(N70_DESARROLLO!Z54/N70_DESARROLLO!Y54))</f>
        <v>-2.0136053052048908E-2</v>
      </c>
      <c r="CZ139" s="1">
        <f>(1+(N70_DESARROLLO!Z54/0.014285714)*LN(N70_DESARROLLO!AA54/N70_DESARROLLO!Z54))</f>
        <v>-2.098108223353945E-2</v>
      </c>
      <c r="DA139" s="1">
        <f>(1+(N70_DESARROLLO!AA54/0.014285714)*LN(N70_DESARROLLO!AB54/N70_DESARROLLO!AA54))</f>
        <v>-2.190015102186682E-2</v>
      </c>
      <c r="DB139" s="1">
        <f>(1+(N70_DESARROLLO!AB54/0.014285714)*LN(N70_DESARROLLO!AC54/N70_DESARROLLO!AB54))</f>
        <v>-2.2903437185110231E-2</v>
      </c>
      <c r="DC139" s="1">
        <f>(1+(N70_DESARROLLO!AC54/0.014285714)*LN(N70_DESARROLLO!AD54/N70_DESARROLLO!AC54))</f>
        <v>-2.4003073749035098E-2</v>
      </c>
      <c r="DD139" s="1">
        <f>(1+(N70_DESARROLLO!AD54/0.014285714)*LN(N70_DESARROLLO!AE54/N70_DESARROLLO!AD54))</f>
        <v>-2.5213642284831916E-2</v>
      </c>
      <c r="DE139" s="1">
        <f>(1+(N70_DESARROLLO!AE54/0.014285714)*LN(N70_DESARROLLO!AF54/N70_DESARROLLO!AE54))</f>
        <v>-2.6552823496785782E-2</v>
      </c>
      <c r="DF139" s="1">
        <f>(1+(N70_DESARROLLO!AF54/0.014285714)*LN(N70_DESARROLLO!AG54/N70_DESARROLLO!AF54))</f>
        <v>-2.8042266924840131E-2</v>
      </c>
      <c r="DG139" s="1">
        <f>(1+(N70_DESARROLLO!AG54/0.014285714)*LN(N70_DESARROLLO!AH54/N70_DESARROLLO!AG54))</f>
        <v>-2.9708770995511058E-2</v>
      </c>
      <c r="DH139" s="1">
        <f>(1+(N70_DESARROLLO!AH54/0.014285714)*LN(N70_DESARROLLO!AI54/N70_DESARROLLO!AH54))</f>
        <v>-3.158591082373019E-2</v>
      </c>
      <c r="DI139" s="1">
        <f>(1+(N70_DESARROLLO!AI54/0.014285714)*LN(N70_DESARROLLO!AJ54/N70_DESARROLLO!AI54))</f>
        <v>-3.3716325403746916E-2</v>
      </c>
      <c r="DJ139" s="1">
        <f>(1+(N70_DESARROLLO!AJ54/0.014285714)*LN(N70_DESARROLLO!AK54/N70_DESARROLLO!AJ54))</f>
        <v>-3.6154998464202004E-2</v>
      </c>
      <c r="DK139" s="1">
        <f>(1+(N70_DESARROLLO!AK54/0.014285714)*LN(N70_DESARROLLO!AL54/N70_DESARROLLO!AK54))</f>
        <v>-3.8974076117213929E-2</v>
      </c>
      <c r="DL139" s="1">
        <f>(1+(N70_DESARROLLO!AL54/0.014285714)*LN(N70_DESARROLLO!AM54/N70_DESARROLLO!AL54))</f>
        <v>-4.2270132583541731E-2</v>
      </c>
      <c r="DM139" s="1">
        <f>(1+(N70_DESARROLLO!AM54/0.014285714)*LN(N70_DESARROLLO!AN54/N70_DESARROLLO!AM54))</f>
        <v>-4.6175470289367082E-2</v>
      </c>
      <c r="DN139" s="1">
        <f>(1+(N70_DESARROLLO!AN54/0.014285714)*LN(N70_DESARROLLO!AO54/N70_DESARROLLO!AN54))</f>
        <v>-5.0876335865844391E-2</v>
      </c>
      <c r="DO139" s="1">
        <f>(1+(N70_DESARROLLO!AO54/0.014285714)*LN(N70_DESARROLLO!AP54/N70_DESARROLLO!AO54))</f>
        <v>-5.664355467999882E-2</v>
      </c>
      <c r="DP139" s="1">
        <f>(1+(N70_DESARROLLO!AP54/0.014285714)*LN(N70_DESARROLLO!AQ54/N70_DESARROLLO!AP54))</f>
        <v>-6.3886736386790544E-2</v>
      </c>
      <c r="DQ139" s="1">
        <f>(1+(N70_DESARROLLO!AQ54/0.014285714)*LN(N70_DESARROLLO!AR54/N70_DESARROLLO!AQ54))</f>
        <v>-7.3256348770173396E-2</v>
      </c>
      <c r="DR139" s="1">
        <f>(1+(N70_DESARROLLO!AR54/0.014285714)*LN(N70_DESARROLLO!AS54/N70_DESARROLLO!AR54))</f>
        <v>-8.5851572027616951E-2</v>
      </c>
      <c r="DS139" s="1">
        <f>(1+(N70_DESARROLLO!AS54/0.014285714)*LN(N70_DESARROLLO!AT54/N70_DESARROLLO!AS54))</f>
        <v>-0.10368884711560411</v>
      </c>
      <c r="DT139" s="1">
        <f>(1+(N70_DESARROLLO!AT54/0.014285714)*LN(N70_DESARROLLO!AU54/N70_DESARROLLO!AT54))</f>
        <v>-0.13091494988238184</v>
      </c>
      <c r="DU139" s="1">
        <f>(1+(N70_DESARROLLO!AU54/0.014285714)*LN(N70_DESARROLLO!AV54/N70_DESARROLLO!AU54))</f>
        <v>-0.17765285172729728</v>
      </c>
      <c r="DV139" s="1">
        <f>(1+(N70_DESARROLLO!AV54/0.014285714)*LN(N70_DESARROLLO!AW54/N70_DESARROLLO!AV54))</f>
        <v>-0.27706408495625312</v>
      </c>
      <c r="DW139" s="1">
        <f>(1+(N70_DESARROLLO!AW54/0.014285714)*LN(N70_DESARROLLO!AX54/N70_DESARROLLO!AW54))</f>
        <v>-0.64791846596054437</v>
      </c>
      <c r="DX139" s="1">
        <v>1</v>
      </c>
      <c r="DY139" s="1">
        <f>(1+(N70_DESARROLLO!AY54/0.014285714)*LN(N70_DESARROLLO!AZ54/N70_DESARROLLO!AY54))</f>
        <v>0.45069384467982143</v>
      </c>
      <c r="DZ139" s="1">
        <f>(1+(N70_DESARROLLO!AZ54/0.014285714)*LN(N70_DESARROLLO!BA54/N70_DESARROLLO!AZ54))</f>
        <v>0.2337615490262468</v>
      </c>
      <c r="EA139" s="1">
        <f>(1+(N70_DESARROLLO!BA54/0.014285714)*LN(N70_DESARROLLO!BB54/N70_DESARROLLO!BA54))</f>
        <v>0.15881939162335246</v>
      </c>
      <c r="EB139" s="1">
        <f>(1+(N70_DESARROLLO!BB54/0.014285714)*LN(N70_DESARROLLO!BC54/N70_DESARROLLO!BB54))</f>
        <v>0.12039948342482099</v>
      </c>
      <c r="EC139" s="1">
        <f>(1+(N70_DESARROLLO!BC54/0.014285714)*LN(N70_DESARROLLO!BD54/N70_DESARROLLO!BC54))</f>
        <v>9.6981852359953269E-2</v>
      </c>
      <c r="ED139" s="1">
        <f>(1+(N70_DESARROLLO!BD54/0.014285714)*LN(N70_DESARROLLO!BE54/N70_DESARROLLO!BD54))</f>
        <v>8.1202515976639411E-2</v>
      </c>
      <c r="EE139" s="1">
        <f>(1+(N70_DESARROLLO!BE54/0.014285714)*LN(N70_DESARROLLO!BF54/N70_DESARROLLO!BE54))</f>
        <v>6.9844497732510114E-2</v>
      </c>
      <c r="EF139" s="1">
        <f>(1+(N70_DESARROLLO!BF54/0.014285714)*LN(N70_DESARROLLO!BG54/N70_DESARROLLO!BF54))</f>
        <v>6.1276409070485593E-2</v>
      </c>
      <c r="EG139" s="1">
        <f>(1+(N70_DESARROLLO!BG54/0.014285714)*LN(N70_DESARROLLO!BH54/N70_DESARROLLO!BG54))</f>
        <v>5.4582082654737407E-2</v>
      </c>
      <c r="EH139" s="1">
        <f>(1+(N70_DESARROLLO!BH54/0.014285714)*LN(N70_DESARROLLO!BI54/N70_DESARROLLO!BH54))</f>
        <v>4.9207124692803972E-2</v>
      </c>
      <c r="EI139" s="1">
        <f>(1+(N70_DESARROLLO!BI54/0.014285714)*LN(N70_DESARROLLO!BJ54/N70_DESARROLLO!BI54))</f>
        <v>4.4796309735798956E-2</v>
      </c>
      <c r="EJ139" s="1">
        <f>(1+(N70_DESARROLLO!BJ54/0.014285714)*LN(N70_DESARROLLO!BK54/N70_DESARROLLO!BJ54))</f>
        <v>4.1111478023138415E-2</v>
      </c>
      <c r="EK139" s="1">
        <f>(1+(N70_DESARROLLO!BK54/0.014285714)*LN(N70_DESARROLLO!BL54/N70_DESARROLLO!BK54))</f>
        <v>3.7986966558139379E-2</v>
      </c>
      <c r="EL139" s="1">
        <f>(1+(N70_DESARROLLO!BL54/0.014285714)*LN(N70_DESARROLLO!BM54/N70_DESARROLLO!BL54))</f>
        <v>3.5303966947118459E-2</v>
      </c>
      <c r="EM139" s="1">
        <f>(1+(N70_DESARROLLO!BM54/0.014285714)*LN(N70_DESARROLLO!BN54/N70_DESARROLLO!BM54))</f>
        <v>3.2975050428757702E-2</v>
      </c>
      <c r="EN139" s="1">
        <f>(1+(N70_DESARROLLO!BN54/0.014285714)*LN(N70_DESARROLLO!BO54/N70_DESARROLLO!BN54))</f>
        <v>3.0934447408009769E-2</v>
      </c>
      <c r="EO139" s="1">
        <f>(1+(N70_DESARROLLO!BO54/0.014285714)*LN(N70_DESARROLLO!BP54/N70_DESARROLLO!BO54))</f>
        <v>2.9131730204236872E-2</v>
      </c>
      <c r="EP139" s="1">
        <f>(1+(N70_DESARROLLO!BP54/0.014285714)*LN(N70_DESARROLLO!BQ54/N70_DESARROLLO!BP54))</f>
        <v>2.752758534135924E-2</v>
      </c>
      <c r="EQ139" s="1">
        <f>(1+(N70_DESARROLLO!BQ54/0.014285714)*LN(N70_DESARROLLO!BR54/N70_DESARROLLO!BQ54))</f>
        <v>2.6090911041513176E-2</v>
      </c>
      <c r="ER139" s="1">
        <f>(1+(N70_DESARROLLO!BR54/0.014285714)*LN(N70_DESARROLLO!BS54/N70_DESARROLLO!BR54))</f>
        <v>2.4796779290042203E-2</v>
      </c>
      <c r="ES139" s="1">
        <f>(1+(N70_DESARROLLO!BS54/0.014285714)*LN(N70_DESARROLLO!BT54/N70_DESARROLLO!BS54))</f>
        <v>2.3624976192774816E-2</v>
      </c>
      <c r="ET139" s="1">
        <f>(1+(N70_DESARROLLO!BT54/0.014285714)*LN(N70_DESARROLLO!BU54/N70_DESARROLLO!BT54))</f>
        <v>2.2558937800898904E-2</v>
      </c>
      <c r="EU139" s="1">
        <f>(1+(N70_DESARROLLO!BU54/0.014285714)*LN(N70_DESARROLLO!BV54/N70_DESARROLLO!BU54))</f>
        <v>2.1584961787569412E-2</v>
      </c>
      <c r="EV139" s="1">
        <f>(1+(N70_DESARROLLO!BV54/0.014285714)*LN(N70_DESARROLLO!BW54/N70_DESARROLLO!BV54))</f>
        <v>2.0691615000487218E-2</v>
      </c>
      <c r="EW139" s="1">
        <f>(1+(N70_DESARROLLO!BW54/0.014285714)*LN(N70_DESARROLLO!BX54/N70_DESARROLLO!BW54))</f>
        <v>-24.720642564630452</v>
      </c>
    </row>
    <row r="140" spans="7:153" x14ac:dyDescent="0.25">
      <c r="G140" s="3">
        <v>46</v>
      </c>
      <c r="H140" s="3">
        <f>-(N70_DESARROLLO!G55/0.014285714)*LN(N70_DESARROLLO!G55/N70_DESARROLLO!F55)-1</f>
        <v>-1.1070393301807369E-2</v>
      </c>
      <c r="I140" s="3">
        <f>-(N70_DESARROLLO!H55/0.014285714)*LN(N70_DESARROLLO!H55/N70_DESARROLLO!G55)-1</f>
        <v>-1.1321058352727786E-2</v>
      </c>
      <c r="J140" s="3">
        <f>-(N70_DESARROLLO!I55/0.014285714)*LN(N70_DESARROLLO!I55/N70_DESARROLLO!H55)-1</f>
        <v>-1.1583338250309327E-2</v>
      </c>
      <c r="K140" s="3">
        <f>-(N70_DESARROLLO!J55/0.014285714)*LN(N70_DESARROLLO!J55/N70_DESARROLLO!I55)-1</f>
        <v>-1.1858059447836355E-2</v>
      </c>
      <c r="L140" s="3">
        <f>-(N70_DESARROLLO!K55/0.014285714)*LN(N70_DESARROLLO!K55/N70_DESARROLLO!J55)-1</f>
        <v>-1.2146128714478177E-2</v>
      </c>
      <c r="M140" s="3">
        <f>-(N70_DESARROLLO!L55/0.014285714)*LN(N70_DESARROLLO!L55/N70_DESARROLLO!K55)-1</f>
        <v>-1.2448543134984336E-2</v>
      </c>
      <c r="N140" s="3">
        <f>-(N70_DESARROLLO!M55/0.014285714)*LN(N70_DESARROLLO!M55/N70_DESARROLLO!L55)-1</f>
        <v>-1.2766401641832181E-2</v>
      </c>
      <c r="O140" s="3">
        <f>-(N70_DESARROLLO!N55/0.014285714)*LN(N70_DESARROLLO!N55/N70_DESARROLLO!M55)-1</f>
        <v>-1.3100918360511193E-2</v>
      </c>
      <c r="P140" s="3">
        <f>-(N70_DESARROLLO!O55/0.014285714)*LN(N70_DESARROLLO!O55/N70_DESARROLLO!N55)-1</f>
        <v>-1.345343811001587E-2</v>
      </c>
      <c r="Q140" s="3">
        <f>-(N70_DESARROLLO!P55/0.014285714)*LN(N70_DESARROLLO!P55/N70_DESARROLLO!O55)-1</f>
        <v>-1.3825454475325571E-2</v>
      </c>
      <c r="R140" s="3">
        <f>-(N70_DESARROLLO!Q55/0.014285714)*LN(N70_DESARROLLO!Q55/N70_DESARROLLO!P55)-1</f>
        <v>-1.4218630964436874E-2</v>
      </c>
      <c r="S140" s="3">
        <f>-(N70_DESARROLLO!R55/0.014285714)*LN(N70_DESARROLLO!R55/N70_DESARROLLO!Q55)-1</f>
        <v>-1.4634825881869817E-2</v>
      </c>
      <c r="T140" s="3">
        <f>-(N70_DESARROLLO!S55/0.014285714)*LN(N70_DESARROLLO!S55/N70_DESARROLLO!R55)-1</f>
        <v>-1.5076121703332723E-2</v>
      </c>
      <c r="U140" s="3">
        <f>-(N70_DESARROLLO!T55/0.014285714)*LN(N70_DESARROLLO!T55/N70_DESARROLLO!S55)-1</f>
        <v>-1.5544859931611588E-2</v>
      </c>
      <c r="V140" s="3">
        <f>-(N70_DESARROLLO!U55/0.014285714)*LN(N70_DESARROLLO!U55/N70_DESARROLLO!T55)-1</f>
        <v>-1.6043682665116576E-2</v>
      </c>
      <c r="W140" s="3">
        <f>-(N70_DESARROLLO!V55/0.014285714)*LN(N70_DESARROLLO!V55/N70_DESARROLLO!U55)-1</f>
        <v>-1.657558243755608E-2</v>
      </c>
      <c r="X140" s="3">
        <f>-(N70_DESARROLLO!W55/0.014285714)*LN(N70_DESARROLLO!W55/N70_DESARROLLO!V55)-1</f>
        <v>-1.7143962314550509E-2</v>
      </c>
      <c r="Y140" s="3">
        <f>-(N70_DESARROLLO!X55/0.014285714)*LN(N70_DESARROLLO!X55/N70_DESARROLLO!W55)-1</f>
        <v>-1.7752708797878713E-2</v>
      </c>
      <c r="Z140" s="3">
        <f>-(N70_DESARROLLO!Y55/0.014285714)*LN(N70_DESARROLLO!Y55/N70_DESARROLLO!X55)-1</f>
        <v>-1.8406280838874745E-2</v>
      </c>
      <c r="AA140" s="3">
        <f>-(N70_DESARROLLO!Z55/0.014285714)*LN(N70_DESARROLLO!Z55/N70_DESARROLLO!Y55)-1</f>
        <v>-1.9109819273397166E-2</v>
      </c>
      <c r="AB140" s="3">
        <f>-(N70_DESARROLLO!AA55/0.014285714)*LN(N70_DESARROLLO!AA55/N70_DESARROLLO!Z55)-1</f>
        <v>-1.9869282361757112E-2</v>
      </c>
      <c r="AC140" s="3">
        <f>-(N70_DESARROLLO!AB55/0.014285714)*LN(N70_DESARROLLO!AB55/N70_DESARROLLO!AA55)-1</f>
        <v>-2.0691615000482777E-2</v>
      </c>
      <c r="AD140" s="3">
        <f>-(N70_DESARROLLO!AC55/0.014285714)*LN(N70_DESARROLLO!AC55/N70_DESARROLLO!AB55)-1</f>
        <v>-2.1584961787574519E-2</v>
      </c>
      <c r="AE140" s="3">
        <f>-(N70_DESARROLLO!AD55/0.014285714)*LN(N70_DESARROLLO!AD55/N70_DESARROLLO!AC55)-1</f>
        <v>-2.2558937800894907E-2</v>
      </c>
      <c r="AF140" s="3">
        <f>-(N70_DESARROLLO!AE55/0.014285714)*LN(N70_DESARROLLO!AE55/N70_DESARROLLO!AD55)-1</f>
        <v>-2.3624976192778369E-2</v>
      </c>
      <c r="AG140" s="3">
        <f>-(N70_DESARROLLO!AF55/0.014285714)*LN(N70_DESARROLLO!AF55/N70_DESARROLLO!AE55)-1</f>
        <v>-2.4796779290038207E-2</v>
      </c>
      <c r="AH140" s="3">
        <f>-(N70_DESARROLLO!AG55/0.014285714)*LN(N70_DESARROLLO!AG55/N70_DESARROLLO!AF55)-1</f>
        <v>-2.6090911041515175E-2</v>
      </c>
      <c r="AI140" s="3">
        <f>-(N70_DESARROLLO!AH55/0.014285714)*LN(N70_DESARROLLO!AH55/N70_DESARROLLO!AG55)-1</f>
        <v>-2.7527585341363459E-2</v>
      </c>
      <c r="AJ140" s="3">
        <f>-(N70_DESARROLLO!AI55/0.014285714)*LN(N70_DESARROLLO!AI55/N70_DESARROLLO!AH55)-1</f>
        <v>-2.9131730204232653E-2</v>
      </c>
      <c r="AK140" s="3">
        <f>-(N70_DESARROLLO!AJ55/0.014285714)*LN(N70_DESARROLLO!AJ55/N70_DESARROLLO!AI55)-1</f>
        <v>-3.0934447408011323E-2</v>
      </c>
      <c r="AL140" s="3">
        <f>-(N70_DESARROLLO!AK55/0.014285714)*LN(N70_DESARROLLO!AK55/N70_DESARROLLO!AJ55)-1</f>
        <v>-3.2975050428753261E-2</v>
      </c>
      <c r="AM140" s="3">
        <f>-(N70_DESARROLLO!AL55/0.014285714)*LN(N70_DESARROLLO!AL55/N70_DESARROLLO!AK55)-1</f>
        <v>-3.5303966947122456E-2</v>
      </c>
      <c r="AN140" s="3">
        <f>-(N70_DESARROLLO!AM55/0.014285714)*LN(N70_DESARROLLO!AM55/N70_DESARROLLO!AL55)-1</f>
        <v>-3.7986966558134272E-2</v>
      </c>
      <c r="AO140" s="3">
        <f>-(N70_DESARROLLO!AN55/0.014285714)*LN(N70_DESARROLLO!AN55/N70_DESARROLLO!AM55)-1</f>
        <v>-4.1111478023141856E-2</v>
      </c>
      <c r="AP140" s="3">
        <f>-(N70_DESARROLLO!AO55/0.014285714)*LN(N70_DESARROLLO!AO55/N70_DESARROLLO!AN55)-1</f>
        <v>-4.4796309735795847E-2</v>
      </c>
      <c r="AQ140" s="3">
        <f>-(N70_DESARROLLO!AP55/0.014285714)*LN(N70_DESARROLLO!AP55/N70_DESARROLLO!AO55)-1</f>
        <v>-4.9207124692811077E-2</v>
      </c>
      <c r="AR140" s="3">
        <f>-(N70_DESARROLLO!AQ55/0.014285714)*LN(N70_DESARROLLO!AQ55/N70_DESARROLLO!AP55)-1</f>
        <v>-5.4582082654730968E-2</v>
      </c>
      <c r="AS140" s="3">
        <f>-(N70_DESARROLLO!AR55/0.014285714)*LN(N70_DESARROLLO!AR55/N70_DESARROLLO!AQ55)-1</f>
        <v>-6.1276409070486149E-2</v>
      </c>
      <c r="AT140" s="3">
        <f>-(N70_DESARROLLO!AS55/0.014285714)*LN(N70_DESARROLLO!AS55/N70_DESARROLLO!AR55)-1</f>
        <v>-6.9844497732509558E-2</v>
      </c>
      <c r="AU140" s="3">
        <f>-(N70_DESARROLLO!AT55/0.014285714)*LN(N70_DESARROLLO!AT55/N70_DESARROLLO!AS55)-1</f>
        <v>-8.1202515976638967E-2</v>
      </c>
      <c r="AV140" s="3">
        <f>-(N70_DESARROLLO!AU55/0.014285714)*LN(N70_DESARROLLO!AU55/N70_DESARROLLO!AT55)-1</f>
        <v>-9.6981852359953269E-2</v>
      </c>
      <c r="AW140" s="3">
        <f>-(N70_DESARROLLO!AV55/0.014285714)*LN(N70_DESARROLLO!AV55/N70_DESARROLLO!AU55)-1</f>
        <v>-0.12039948342482121</v>
      </c>
      <c r="AX140" s="3">
        <f>-(N70_DESARROLLO!AW55/0.014285714)*LN(N70_DESARROLLO!AW55/N70_DESARROLLO!AV55)-1</f>
        <v>-0.15881939162335823</v>
      </c>
      <c r="AY140" s="3">
        <f>-(N70_DESARROLLO!AX55/0.014285714)*LN(N70_DESARROLLO!AX55/N70_DESARROLLO!AW55)-1</f>
        <v>-0.23376154902624291</v>
      </c>
      <c r="AZ140" s="3">
        <f>-(N70_DESARROLLO!AY55/0.014285714)*LN(N70_DESARROLLO!AY55/N70_DESARROLLO!AX55)-1</f>
        <v>-0.45069384467982399</v>
      </c>
      <c r="BA140" s="3">
        <v>-1</v>
      </c>
      <c r="BB140" s="3">
        <f>-(N70_DESARROLLO!BA55/0.014285714)*LN(N70_DESARROLLO!BA55/N70_DESARROLLO!AZ55)-1</f>
        <v>0.64791846596052105</v>
      </c>
      <c r="BC140" s="3">
        <f>-(N70_DESARROLLO!BB55/0.014285714)*LN(N70_DESARROLLO!BB55/N70_DESARROLLO!BA55)-1</f>
        <v>0.27706408495626422</v>
      </c>
      <c r="BD140" s="3">
        <f>-(N70_DESARROLLO!BC55/0.014285714)*LN(N70_DESARROLLO!BC55/N70_DESARROLLO!BB55)-1</f>
        <v>0.17765285172729706</v>
      </c>
      <c r="BE140" s="3">
        <f>-(N70_DESARROLLO!BD55/0.014285714)*LN(N70_DESARROLLO!BD55/N70_DESARROLLO!BC55)-1</f>
        <v>0.13091494988238161</v>
      </c>
      <c r="BF140" s="3">
        <f>-(N70_DESARROLLO!BE55/0.014285714)*LN(N70_DESARROLLO!BE55/N70_DESARROLLO!BD55)-1</f>
        <v>0.10368884711560367</v>
      </c>
      <c r="BG140" s="3">
        <f>-(N70_DESARROLLO!BF55/0.014285714)*LN(N70_DESARROLLO!BF55/N70_DESARROLLO!BE55)-1</f>
        <v>8.5851572027617173E-2</v>
      </c>
      <c r="BH140" s="3">
        <f>-(N70_DESARROLLO!BG55/0.014285714)*LN(N70_DESARROLLO!BG55/N70_DESARROLLO!BF55)-1</f>
        <v>7.325634877017273E-2</v>
      </c>
      <c r="BI140" s="3">
        <f>-(N70_DESARROLLO!BH55/0.014285714)*LN(N70_DESARROLLO!BH55/N70_DESARROLLO!BG55)-1</f>
        <v>6.388673638678255E-2</v>
      </c>
      <c r="BJ140" s="3">
        <f>-(N70_DESARROLLO!BI55/0.014285714)*LN(N70_DESARROLLO!BI55/N70_DESARROLLO!BH55)-1</f>
        <v>5.6643554680007258E-2</v>
      </c>
      <c r="BK140" s="3">
        <f>-(N70_DESARROLLO!BJ55/0.014285714)*LN(N70_DESARROLLO!BJ55/N70_DESARROLLO!BI55)-1</f>
        <v>5.0876335865840394E-2</v>
      </c>
      <c r="BL140" s="3">
        <f>-(N70_DESARROLLO!BK55/0.014285714)*LN(N70_DESARROLLO!BK55/N70_DESARROLLO!BJ55)-1</f>
        <v>4.6175470289370413E-2</v>
      </c>
      <c r="BM140" s="3">
        <f>-(N70_DESARROLLO!BL55/0.014285714)*LN(N70_DESARROLLO!BL55/N70_DESARROLLO!BK55)-1</f>
        <v>4.2270132583537956E-2</v>
      </c>
      <c r="BN140" s="3">
        <f>-(N70_DESARROLLO!BM55/0.014285714)*LN(N70_DESARROLLO!BM55/N70_DESARROLLO!BL55)-1</f>
        <v>3.8974076117218148E-2</v>
      </c>
      <c r="BO140" s="3">
        <f>-(N70_DESARROLLO!BN55/0.014285714)*LN(N70_DESARROLLO!BN55/N70_DESARROLLO!BM55)-1</f>
        <v>3.6154998464197563E-2</v>
      </c>
      <c r="BP140" s="3">
        <f>-(N70_DESARROLLO!BO55/0.014285714)*LN(N70_DESARROLLO!BO55/N70_DESARROLLO!BN55)-1</f>
        <v>3.3716325403751579E-2</v>
      </c>
      <c r="BQ140" s="3">
        <f>-(N70_DESARROLLO!BP55/0.014285714)*LN(N70_DESARROLLO!BP55/N70_DESARROLLO!BO55)-1</f>
        <v>3.1585910823724861E-2</v>
      </c>
      <c r="BR140" s="3">
        <f>-(N70_DESARROLLO!BQ55/0.014285714)*LN(N70_DESARROLLO!BQ55/N70_DESARROLLO!BP55)-1</f>
        <v>2.9708770995513945E-2</v>
      </c>
      <c r="BS140" s="3">
        <f>-(N70_DESARROLLO!BR55/0.014285714)*LN(N70_DESARROLLO!BR55/N70_DESARROLLO!BQ55)-1</f>
        <v>2.8042266924841242E-2</v>
      </c>
      <c r="BT140" s="3">
        <f>-(N70_DESARROLLO!BS55/0.014285714)*LN(N70_DESARROLLO!BS55/N70_DESARROLLO!BR55)-1</f>
        <v>2.6552823496783118E-2</v>
      </c>
      <c r="BU140" s="3">
        <f>-(N70_DESARROLLO!BT55/0.014285714)*LN(N70_DESARROLLO!BT55/N70_DESARROLLO!BS55)-1</f>
        <v>2.5213642284836357E-2</v>
      </c>
      <c r="BV140" s="3">
        <f>-(N70_DESARROLLO!BU55/0.014285714)*LN(N70_DESARROLLO!BU55/N70_DESARROLLO!BT55)-1</f>
        <v>2.4003073749032211E-2</v>
      </c>
      <c r="BW140" s="3">
        <f>-(N70_DESARROLLO!BV55/0.014285714)*LN(N70_DESARROLLO!BV55/N70_DESARROLLO!BU55)-1</f>
        <v>2.2903437185110898E-2</v>
      </c>
      <c r="BX140" s="3">
        <f>-(N70_DESARROLLO!BW55/0.014285714)*LN(N70_DESARROLLO!BW55/N70_DESARROLLO!BV55)-1</f>
        <v>2.1900151021861936E-2</v>
      </c>
      <c r="BY140" s="3">
        <f>-(N70_DESARROLLO!BX55/0.014285714)*LN(N70_DESARROLLO!BX55/N70_DESARROLLO!BW55)-1</f>
        <v>75.404638991039974</v>
      </c>
      <c r="CD140" s="1">
        <v>46</v>
      </c>
      <c r="CE140" s="1">
        <v>0</v>
      </c>
      <c r="CF140" s="1">
        <f>(1+(N70_DESARROLLO!F55/0.014285714)*LN(N70_DESARROLLO!G55/N70_DESARROLLO!F55))</f>
        <v>-1.1152743927365316E-2</v>
      </c>
      <c r="CG140" s="1">
        <f>(1+(N70_DESARROLLO!G55/0.014285714)*LN(N70_DESARROLLO!H55/N70_DESARROLLO!G55))</f>
        <v>-1.1407193179393538E-2</v>
      </c>
      <c r="CH140" s="1">
        <f>(1+(N70_DESARROLLO!H55/0.014285714)*LN(N70_DESARROLLO!I55/N70_DESARROLLO!H55))</f>
        <v>-1.1673524379095079E-2</v>
      </c>
      <c r="CI140" s="1">
        <f>(1+(N70_DESARROLLO!I55/0.014285714)*LN(N70_DESARROLLO!J55/N70_DESARROLLO!I55))</f>
        <v>-1.1952589722095341E-2</v>
      </c>
      <c r="CJ140" s="1">
        <f>(1+(N70_DESARROLLO!J55/0.014285714)*LN(N70_DESARROLLO!K55/N70_DESARROLLO!J55))</f>
        <v>-1.2245324897510068E-2</v>
      </c>
      <c r="CK140" s="1">
        <f>(1+(N70_DESARROLLO!K55/0.014285714)*LN(N70_DESARROLLO!L55/N70_DESARROLLO!K55))</f>
        <v>-1.2552759570459093E-2</v>
      </c>
      <c r="CL140" s="1">
        <f>(1+(N70_DESARROLLO!L55/0.014285714)*LN(N70_DESARROLLO!M55/N70_DESARROLLO!L55))</f>
        <v>-1.2876029484353735E-2</v>
      </c>
      <c r="CM140" s="1">
        <f>(1+(N70_DESARROLLO!M55/0.014285714)*LN(N70_DESARROLLO!N55/N70_DESARROLLO!M55))</f>
        <v>-1.3216390483208773E-2</v>
      </c>
      <c r="CN140" s="1">
        <f>(1+(N70_DESARROLLO!N55/0.014285714)*LN(N70_DESARROLLO!O55/N70_DESARROLLO!N55))</f>
        <v>-1.3575234818476556E-2</v>
      </c>
      <c r="CO140" s="1">
        <f>(1+(N70_DESARROLLO!O55/0.014285714)*LN(N70_DESARROLLO!P55/N70_DESARROLLO!O55))</f>
        <v>-1.3954110187341273E-2</v>
      </c>
      <c r="CP140" s="1">
        <f>(1+(N70_DESARROLLO!P55/0.014285714)*LN(N70_DESARROLLO!Q55/N70_DESARROLLO!P55))</f>
        <v>-1.4354742051086999E-2</v>
      </c>
      <c r="CQ140" s="1">
        <f>(1+(N70_DESARROLLO!Q55/0.014285714)*LN(N70_DESARROLLO!R55/N70_DESARROLLO!Q55))</f>
        <v>-1.4779059912701342E-2</v>
      </c>
      <c r="CR140" s="1">
        <f>(1+(N70_DESARROLLO!R55/0.014285714)*LN(N70_DESARROLLO!S55/N70_DESARROLLO!R55))</f>
        <v>-1.5229228398103256E-2</v>
      </c>
      <c r="CS140" s="1">
        <f>(1+(N70_DESARROLLO!S55/0.014285714)*LN(N70_DESARROLLO!T55/N70_DESARROLLO!S55))</f>
        <v>-1.5707684197543426E-2</v>
      </c>
      <c r="CT140" s="1">
        <f>(1+(N70_DESARROLLO!T55/0.014285714)*LN(N70_DESARROLLO!U55/N70_DESARROLLO!T55))</f>
        <v>-1.6217180198322412E-2</v>
      </c>
      <c r="CU140" s="1">
        <f>(1+(N70_DESARROLLO!U55/0.014285714)*LN(N70_DESARROLLO!V55/N70_DESARROLLO!U55))</f>
        <v>-1.6760838496763908E-2</v>
      </c>
      <c r="CV140" s="1">
        <f>(1+(N70_DESARROLLO!V55/0.014285714)*LN(N70_DESARROLLO!W55/N70_DESARROLLO!V55))</f>
        <v>-1.7342214446342652E-2</v>
      </c>
      <c r="CW140" s="1">
        <f>(1+(N70_DESARROLLO!W55/0.014285714)*LN(N70_DESARROLLO!X55/N70_DESARROLLO!W55))</f>
        <v>-1.796537451856195E-2</v>
      </c>
      <c r="CX140" s="1">
        <f>(1+(N70_DESARROLLO!X55/0.014285714)*LN(N70_DESARROLLO!Y55/N70_DESARROLLO!X55))</f>
        <v>-1.8634991582299865E-2</v>
      </c>
      <c r="CY140" s="1">
        <f>(1+(N70_DESARROLLO!Y55/0.014285714)*LN(N70_DESARROLLO!Z55/N70_DESARROLLO!Y55))</f>
        <v>-1.9356462323724344E-2</v>
      </c>
      <c r="CZ140" s="1">
        <f>(1+(N70_DESARROLLO!Z55/0.014285714)*LN(N70_DESARROLLO!AA55/N70_DESARROLLO!Z55))</f>
        <v>-2.0136053052048686E-2</v>
      </c>
      <c r="DA140" s="1">
        <f>(1+(N70_DESARROLLO!AA55/0.014285714)*LN(N70_DESARROLLO!AB55/N70_DESARROLLO!AA55))</f>
        <v>-2.0981082233539228E-2</v>
      </c>
      <c r="DB140" s="1">
        <f>(1+(N70_DESARROLLO!AB55/0.014285714)*LN(N70_DESARROLLO!AC55/N70_DESARROLLO!AB55))</f>
        <v>-2.1900151021866598E-2</v>
      </c>
      <c r="DC140" s="1">
        <f>(1+(N70_DESARROLLO!AC55/0.014285714)*LN(N70_DESARROLLO!AD55/N70_DESARROLLO!AC55))</f>
        <v>-2.2903437185109787E-2</v>
      </c>
      <c r="DD140" s="1">
        <f>(1+(N70_DESARROLLO!AD55/0.014285714)*LN(N70_DESARROLLO!AE55/N70_DESARROLLO!AD55))</f>
        <v>-2.4003073749037318E-2</v>
      </c>
      <c r="DE140" s="1">
        <f>(1+(N70_DESARROLLO!AE55/0.014285714)*LN(N70_DESARROLLO!AF55/N70_DESARROLLO!AE55))</f>
        <v>-2.5213642284831694E-2</v>
      </c>
      <c r="DF140" s="1">
        <f>(1+(N70_DESARROLLO!AF55/0.014285714)*LN(N70_DESARROLLO!AG55/N70_DESARROLLO!AF55))</f>
        <v>-2.6552823496780897E-2</v>
      </c>
      <c r="DG140" s="1">
        <f>(1+(N70_DESARROLLO!AG55/0.014285714)*LN(N70_DESARROLLO!AH55/N70_DESARROLLO!AG55))</f>
        <v>-2.804226692484435E-2</v>
      </c>
      <c r="DH140" s="1">
        <f>(1+(N70_DESARROLLO!AH55/0.014285714)*LN(N70_DESARROLLO!AI55/N70_DESARROLLO!AH55))</f>
        <v>-2.9708770995510836E-2</v>
      </c>
      <c r="DI140" s="1">
        <f>(1+(N70_DESARROLLO!AI55/0.014285714)*LN(N70_DESARROLLO!AJ55/N70_DESARROLLO!AI55))</f>
        <v>-3.1585910823729968E-2</v>
      </c>
      <c r="DJ140" s="1">
        <f>(1+(N70_DESARROLLO!AJ55/0.014285714)*LN(N70_DESARROLLO!AK55/N70_DESARROLLO!AJ55))</f>
        <v>-3.3716325403746694E-2</v>
      </c>
      <c r="DK140" s="1">
        <f>(1+(N70_DESARROLLO!AK55/0.014285714)*LN(N70_DESARROLLO!AL55/N70_DESARROLLO!AK55))</f>
        <v>-3.6154998464201782E-2</v>
      </c>
      <c r="DL140" s="1">
        <f>(1+(N70_DESARROLLO!AL55/0.014285714)*LN(N70_DESARROLLO!AM55/N70_DESARROLLO!AL55))</f>
        <v>-3.897407611721504E-2</v>
      </c>
      <c r="DM140" s="1">
        <f>(1+(N70_DESARROLLO!AM55/0.014285714)*LN(N70_DESARROLLO!AN55/N70_DESARROLLO!AM55))</f>
        <v>-4.2270132583541509E-2</v>
      </c>
      <c r="DN140" s="1">
        <f>(1+(N70_DESARROLLO!AN55/0.014285714)*LN(N70_DESARROLLO!AO55/N70_DESARROLLO!AN55))</f>
        <v>-4.6175470289366638E-2</v>
      </c>
      <c r="DO140" s="1">
        <f>(1+(N70_DESARROLLO!AO55/0.014285714)*LN(N70_DESARROLLO!AP55/N70_DESARROLLO!AO55))</f>
        <v>-5.087633586583995E-2</v>
      </c>
      <c r="DP140" s="1">
        <f>(1+(N70_DESARROLLO!AP55/0.014285714)*LN(N70_DESARROLLO!AQ55/N70_DESARROLLO!AP55))</f>
        <v>-5.6643554680007036E-2</v>
      </c>
      <c r="DQ140" s="1">
        <f>(1+(N70_DESARROLLO!AQ55/0.014285714)*LN(N70_DESARROLLO!AR55/N70_DESARROLLO!AQ55))</f>
        <v>-6.3886736386781884E-2</v>
      </c>
      <c r="DR140" s="1">
        <f>(1+(N70_DESARROLLO!AR55/0.014285714)*LN(N70_DESARROLLO!AS55/N70_DESARROLLO!AR55))</f>
        <v>-7.3256348770182056E-2</v>
      </c>
      <c r="DS140" s="1">
        <f>(1+(N70_DESARROLLO!AS55/0.014285714)*LN(N70_DESARROLLO!AT55/N70_DESARROLLO!AS55))</f>
        <v>-8.5851572027607848E-2</v>
      </c>
      <c r="DT140" s="1">
        <f>(1+(N70_DESARROLLO!AT55/0.014285714)*LN(N70_DESARROLLO!AU55/N70_DESARROLLO!AT55))</f>
        <v>-0.10368884711561388</v>
      </c>
      <c r="DU140" s="1">
        <f>(1+(N70_DESARROLLO!AU55/0.014285714)*LN(N70_DESARROLLO!AV55/N70_DESARROLLO!AU55))</f>
        <v>-0.13091494988237207</v>
      </c>
      <c r="DV140" s="1">
        <f>(1+(N70_DESARROLLO!AV55/0.014285714)*LN(N70_DESARROLLO!AW55/N70_DESARROLLO!AV55))</f>
        <v>-0.17765285172729728</v>
      </c>
      <c r="DW140" s="1">
        <f>(1+(N70_DESARROLLO!AW55/0.014285714)*LN(N70_DESARROLLO!AX55/N70_DESARROLLO!AW55))</f>
        <v>-0.27706408495626578</v>
      </c>
      <c r="DX140" s="1">
        <f>(1+(N70_DESARROLLO!AX55/0.014285714)*LN(N70_DESARROLLO!AY55/N70_DESARROLLO!AX55))</f>
        <v>-0.64791846596052816</v>
      </c>
      <c r="DY140" s="1">
        <v>1</v>
      </c>
      <c r="DZ140" s="1">
        <f>(1+(N70_DESARROLLO!AZ55/0.014285714)*LN(N70_DESARROLLO!BA55/N70_DESARROLLO!AZ55))</f>
        <v>0.45069384467982065</v>
      </c>
      <c r="EA140" s="1">
        <f>(1+(N70_DESARROLLO!BA55/0.014285714)*LN(N70_DESARROLLO!BB55/N70_DESARROLLO!BA55))</f>
        <v>0.23376154902624224</v>
      </c>
      <c r="EB140" s="1">
        <f>(1+(N70_DESARROLLO!BB55/0.014285714)*LN(N70_DESARROLLO!BC55/N70_DESARROLLO!BB55))</f>
        <v>0.15881939162335779</v>
      </c>
      <c r="EC140" s="1">
        <f>(1+(N70_DESARROLLO!BC55/0.014285714)*LN(N70_DESARROLLO!BD55/N70_DESARROLLO!BC55))</f>
        <v>0.12039948342481499</v>
      </c>
      <c r="ED140" s="1">
        <f>(1+(N70_DESARROLLO!BD55/0.014285714)*LN(N70_DESARROLLO!BE55/N70_DESARROLLO!BD55))</f>
        <v>9.6981852359959819E-2</v>
      </c>
      <c r="EE140" s="1">
        <f>(1+(N70_DESARROLLO!BE55/0.014285714)*LN(N70_DESARROLLO!BF55/N70_DESARROLLO!BE55))</f>
        <v>8.1202515976632084E-2</v>
      </c>
      <c r="EF140" s="1">
        <f>(1+(N70_DESARROLLO!BF55/0.014285714)*LN(N70_DESARROLLO!BG55/N70_DESARROLLO!BF55))</f>
        <v>6.9844497732516553E-2</v>
      </c>
      <c r="EG140" s="1">
        <f>(1+(N70_DESARROLLO!BG55/0.014285714)*LN(N70_DESARROLLO!BH55/N70_DESARROLLO!BG55))</f>
        <v>6.1276409070485593E-2</v>
      </c>
      <c r="EH140" s="1">
        <f>(1+(N70_DESARROLLO!BH55/0.014285714)*LN(N70_DESARROLLO!BI55/N70_DESARROLLO!BH55))</f>
        <v>5.4582082654730635E-2</v>
      </c>
      <c r="EI140" s="1">
        <f>(1+(N70_DESARROLLO!BI55/0.014285714)*LN(N70_DESARROLLO!BJ55/N70_DESARROLLO!BI55))</f>
        <v>4.9207124692810855E-2</v>
      </c>
      <c r="EJ140" s="1">
        <f>(1+(N70_DESARROLLO!BJ55/0.014285714)*LN(N70_DESARROLLO!BK55/N70_DESARROLLO!BJ55))</f>
        <v>4.4796309735792517E-2</v>
      </c>
      <c r="EK140" s="1">
        <f>(1+(N70_DESARROLLO!BK55/0.014285714)*LN(N70_DESARROLLO!BL55/N70_DESARROLLO!BK55))</f>
        <v>4.1111478023144854E-2</v>
      </c>
      <c r="EL140" s="1">
        <f>(1+(N70_DESARROLLO!BL55/0.014285714)*LN(N70_DESARROLLO!BM55/N70_DESARROLLO!BL55))</f>
        <v>3.7986966558131607E-2</v>
      </c>
      <c r="EM140" s="1">
        <f>(1+(N70_DESARROLLO!BM55/0.014285714)*LN(N70_DESARROLLO!BN55/N70_DESARROLLO!BM55))</f>
        <v>3.5303966947126231E-2</v>
      </c>
      <c r="EN140" s="1">
        <f>(1+(N70_DESARROLLO!BN55/0.014285714)*LN(N70_DESARROLLO!BO55/N70_DESARROLLO!BN55))</f>
        <v>3.2975050428748598E-2</v>
      </c>
      <c r="EO140" s="1">
        <f>(1+(N70_DESARROLLO!BO55/0.014285714)*LN(N70_DESARROLLO!BP55/N70_DESARROLLO!BO55))</f>
        <v>3.0934447408015875E-2</v>
      </c>
      <c r="EP140" s="1">
        <f>(1+(N70_DESARROLLO!BP55/0.014285714)*LN(N70_DESARROLLO!BQ55/N70_DESARROLLO!BP55))</f>
        <v>2.9131730204229989E-2</v>
      </c>
      <c r="EQ140" s="1">
        <f>(1+(N70_DESARROLLO!BQ55/0.014285714)*LN(N70_DESARROLLO!BR55/N70_DESARROLLO!BQ55))</f>
        <v>2.7527585341366345E-2</v>
      </c>
      <c r="ER140" s="1">
        <f>(1+(N70_DESARROLLO!BR55/0.014285714)*LN(N70_DESARROLLO!BS55/N70_DESARROLLO!BR55))</f>
        <v>2.6090911041513176E-2</v>
      </c>
      <c r="ES140" s="1">
        <f>(1+(N70_DESARROLLO!BS55/0.014285714)*LN(N70_DESARROLLO!BT55/N70_DESARROLLO!BS55))</f>
        <v>2.4796779290033988E-2</v>
      </c>
      <c r="ET140" s="1">
        <f>(1+(N70_DESARROLLO!BT55/0.014285714)*LN(N70_DESARROLLO!BU55/N70_DESARROLLO!BT55))</f>
        <v>2.3624976192783143E-2</v>
      </c>
      <c r="EU140" s="1">
        <f>(1+(N70_DESARROLLO!BU55/0.014285714)*LN(N70_DESARROLLO!BV55/N70_DESARROLLO!BU55))</f>
        <v>2.2558937800894241E-2</v>
      </c>
      <c r="EV140" s="1">
        <f>(1+(N70_DESARROLLO!BV55/0.014285714)*LN(N70_DESARROLLO!BW55/N70_DESARROLLO!BV55))</f>
        <v>2.1584961787578738E-2</v>
      </c>
      <c r="EW140" s="1">
        <f>(1+(N70_DESARROLLO!BW55/0.014285714)*LN(N70_DESARROLLO!BX55/N70_DESARROLLO!BW55))</f>
        <v>-24.650128804134852</v>
      </c>
    </row>
    <row r="141" spans="7:153" x14ac:dyDescent="0.25">
      <c r="G141" s="3">
        <v>47</v>
      </c>
      <c r="H141" s="3">
        <f>-(N70_DESARROLLO!G56/0.014285714)*LN(N70_DESARROLLO!G56/N70_DESARROLLO!F56)-1</f>
        <v>-1.0830588260149487E-2</v>
      </c>
      <c r="I141" s="3">
        <f>-(N70_DESARROLLO!H56/0.014285714)*LN(N70_DESARROLLO!H56/N70_DESARROLLO!G56)-1</f>
        <v>-1.1070393301797377E-2</v>
      </c>
      <c r="J141" s="3">
        <f>-(N70_DESARROLLO!I56/0.014285714)*LN(N70_DESARROLLO!I56/N70_DESARROLLO!H56)-1</f>
        <v>-1.1321058352732338E-2</v>
      </c>
      <c r="K141" s="3">
        <f>-(N70_DESARROLLO!J56/0.014285714)*LN(N70_DESARROLLO!J56/N70_DESARROLLO!I56)-1</f>
        <v>-1.1583338250304442E-2</v>
      </c>
      <c r="L141" s="3">
        <f>-(N70_DESARROLLO!K56/0.014285714)*LN(N70_DESARROLLO!K56/N70_DESARROLLO!J56)-1</f>
        <v>-1.185805944784557E-2</v>
      </c>
      <c r="M141" s="3">
        <f>-(N70_DESARROLLO!L56/0.014285714)*LN(N70_DESARROLLO!L56/N70_DESARROLLO!K56)-1</f>
        <v>-1.2146128714473514E-2</v>
      </c>
      <c r="N141" s="3">
        <f>-(N70_DESARROLLO!M56/0.014285714)*LN(N70_DESARROLLO!M56/N70_DESARROLLO!L56)-1</f>
        <v>-1.2448543134993217E-2</v>
      </c>
      <c r="O141" s="3">
        <f>-(N70_DESARROLLO!N56/0.014285714)*LN(N70_DESARROLLO!N56/N70_DESARROLLO!M56)-1</f>
        <v>-1.2766401641823411E-2</v>
      </c>
      <c r="P141" s="3">
        <f>-(N70_DESARROLLO!O56/0.014285714)*LN(N70_DESARROLLO!O56/N70_DESARROLLO!N56)-1</f>
        <v>-1.3100918360519631E-2</v>
      </c>
      <c r="Q141" s="3">
        <f>-(N70_DESARROLLO!P56/0.014285714)*LN(N70_DESARROLLO!P56/N70_DESARROLLO!O56)-1</f>
        <v>-1.3453438110011762E-2</v>
      </c>
      <c r="R141" s="3">
        <f>-(N70_DESARROLLO!Q56/0.014285714)*LN(N70_DESARROLLO!Q56/N70_DESARROLLO!P56)-1</f>
        <v>-1.3825454475325571E-2</v>
      </c>
      <c r="S141" s="3">
        <f>-(N70_DESARROLLO!R56/0.014285714)*LN(N70_DESARROLLO!R56/N70_DESARROLLO!Q56)-1</f>
        <v>-1.4218630964440648E-2</v>
      </c>
      <c r="T141" s="3">
        <f>-(N70_DESARROLLO!S56/0.014285714)*LN(N70_DESARROLLO!S56/N70_DESARROLLO!R56)-1</f>
        <v>-1.4634825881869595E-2</v>
      </c>
      <c r="U141" s="3">
        <f>-(N70_DESARROLLO!T56/0.014285714)*LN(N70_DESARROLLO!T56/N70_DESARROLLO!S56)-1</f>
        <v>-1.5076121703336054E-2</v>
      </c>
      <c r="V141" s="3">
        <f>-(N70_DESARROLLO!U56/0.014285714)*LN(N70_DESARROLLO!U56/N70_DESARROLLO!T56)-1</f>
        <v>-1.5544859931604371E-2</v>
      </c>
      <c r="W141" s="3">
        <f>-(N70_DESARROLLO!V56/0.014285714)*LN(N70_DESARROLLO!V56/N70_DESARROLLO!U56)-1</f>
        <v>-1.6043682665123127E-2</v>
      </c>
      <c r="X141" s="3">
        <f>-(N70_DESARROLLO!W56/0.014285714)*LN(N70_DESARROLLO!W56/N70_DESARROLLO!V56)-1</f>
        <v>-1.6575582437549308E-2</v>
      </c>
      <c r="Y141" s="3">
        <f>-(N70_DESARROLLO!X56/0.014285714)*LN(N70_DESARROLLO!X56/N70_DESARROLLO!W56)-1</f>
        <v>-1.7143962314556949E-2</v>
      </c>
      <c r="Z141" s="3">
        <f>-(N70_DESARROLLO!Y56/0.014285714)*LN(N70_DESARROLLO!Y56/N70_DESARROLLO!X56)-1</f>
        <v>-1.7752708797875383E-2</v>
      </c>
      <c r="AA141" s="3">
        <f>-(N70_DESARROLLO!Z56/0.014285714)*LN(N70_DESARROLLO!Z56/N70_DESARROLLO!Y56)-1</f>
        <v>-1.8406280838874522E-2</v>
      </c>
      <c r="AB141" s="3">
        <f>-(N70_DESARROLLO!AA56/0.014285714)*LN(N70_DESARROLLO!AA56/N70_DESARROLLO!Z56)-1</f>
        <v>-1.9109819273397055E-2</v>
      </c>
      <c r="AC141" s="3">
        <f>-(N70_DESARROLLO!AB56/0.014285714)*LN(N70_DESARROLLO!AB56/N70_DESARROLLO!AA56)-1</f>
        <v>-1.9869282361757001E-2</v>
      </c>
      <c r="AD141" s="3">
        <f>-(N70_DESARROLLO!AC56/0.014285714)*LN(N70_DESARROLLO!AC56/N70_DESARROLLO!AB56)-1</f>
        <v>-2.0691615000482666E-2</v>
      </c>
      <c r="AE141" s="3">
        <f>-(N70_DESARROLLO!AD56/0.014285714)*LN(N70_DESARROLLO!AD56/N70_DESARROLLO!AC56)-1</f>
        <v>-2.1584961787574186E-2</v>
      </c>
      <c r="AF141" s="3">
        <f>-(N70_DESARROLLO!AE56/0.014285714)*LN(N70_DESARROLLO!AE56/N70_DESARROLLO!AD56)-1</f>
        <v>-2.2558937800894796E-2</v>
      </c>
      <c r="AG141" s="3">
        <f>-(N70_DESARROLLO!AF56/0.014285714)*LN(N70_DESARROLLO!AF56/N70_DESARROLLO!AE56)-1</f>
        <v>-2.3624976192780589E-2</v>
      </c>
      <c r="AH141" s="3">
        <f>-(N70_DESARROLLO!AG56/0.014285714)*LN(N70_DESARROLLO!AG56/N70_DESARROLLO!AF56)-1</f>
        <v>-2.4796779290042426E-2</v>
      </c>
      <c r="AI141" s="3">
        <f>-(N70_DESARROLLO!AH56/0.014285714)*LN(N70_DESARROLLO!AH56/N70_DESARROLLO!AG56)-1</f>
        <v>-2.6090911041510623E-2</v>
      </c>
      <c r="AJ141" s="3">
        <f>-(N70_DESARROLLO!AI56/0.014285714)*LN(N70_DESARROLLO!AI56/N70_DESARROLLO!AH56)-1</f>
        <v>-2.7527585341363237E-2</v>
      </c>
      <c r="AK141" s="3">
        <f>-(N70_DESARROLLO!AJ56/0.014285714)*LN(N70_DESARROLLO!AJ56/N70_DESARROLLO!AI56)-1</f>
        <v>-2.9131730204232431E-2</v>
      </c>
      <c r="AL141" s="3">
        <f>-(N70_DESARROLLO!AK56/0.014285714)*LN(N70_DESARROLLO!AK56/N70_DESARROLLO!AJ56)-1</f>
        <v>-3.0934447408011101E-2</v>
      </c>
      <c r="AM141" s="3">
        <f>-(N70_DESARROLLO!AL56/0.014285714)*LN(N70_DESARROLLO!AL56/N70_DESARROLLO!AK56)-1</f>
        <v>-3.2975050428753039E-2</v>
      </c>
      <c r="AN141" s="3">
        <f>-(N70_DESARROLLO!AM56/0.014285714)*LN(N70_DESARROLLO!AM56/N70_DESARROLLO!AL56)-1</f>
        <v>-3.5303966947122234E-2</v>
      </c>
      <c r="AO141" s="3">
        <f>-(N70_DESARROLLO!AN56/0.014285714)*LN(N70_DESARROLLO!AN56/N70_DESARROLLO!AM56)-1</f>
        <v>-3.7986966558135382E-2</v>
      </c>
      <c r="AP141" s="3">
        <f>-(N70_DESARROLLO!AO56/0.014285714)*LN(N70_DESARROLLO!AO56/N70_DESARROLLO!AN56)-1</f>
        <v>-4.1111478023141634E-2</v>
      </c>
      <c r="AQ141" s="3">
        <f>-(N70_DESARROLLO!AP56/0.014285714)*LN(N70_DESARROLLO!AP56/N70_DESARROLLO!AO56)-1</f>
        <v>-4.4796309735798956E-2</v>
      </c>
      <c r="AR141" s="3">
        <f>-(N70_DESARROLLO!AQ56/0.014285714)*LN(N70_DESARROLLO!AQ56/N70_DESARROLLO!AP56)-1</f>
        <v>-4.9207124692804083E-2</v>
      </c>
      <c r="AS141" s="3">
        <f>-(N70_DESARROLLO!AR56/0.014285714)*LN(N70_DESARROLLO!AR56/N70_DESARROLLO!AQ56)-1</f>
        <v>-5.4582082654737407E-2</v>
      </c>
      <c r="AT141" s="3">
        <f>-(N70_DESARROLLO!AS56/0.014285714)*LN(N70_DESARROLLO!AS56/N70_DESARROLLO!AR56)-1</f>
        <v>-6.1276409070479487E-2</v>
      </c>
      <c r="AU141" s="3">
        <f>-(N70_DESARROLLO!AT56/0.014285714)*LN(N70_DESARROLLO!AT56/N70_DESARROLLO!AS56)-1</f>
        <v>-6.9844497732515998E-2</v>
      </c>
      <c r="AV141" s="3">
        <f>-(N70_DESARROLLO!AU56/0.014285714)*LN(N70_DESARROLLO!AU56/N70_DESARROLLO!AT56)-1</f>
        <v>-8.1202515976632528E-2</v>
      </c>
      <c r="AW141" s="3">
        <f>-(N70_DESARROLLO!AV56/0.014285714)*LN(N70_DESARROLLO!AV56/N70_DESARROLLO!AU56)-1</f>
        <v>-9.6981852359959708E-2</v>
      </c>
      <c r="AX141" s="3">
        <f>-(N70_DESARROLLO!AW56/0.014285714)*LN(N70_DESARROLLO!AW56/N70_DESARROLLO!AV56)-1</f>
        <v>-0.12039948342482121</v>
      </c>
      <c r="AY141" s="3">
        <f>-(N70_DESARROLLO!AX56/0.014285714)*LN(N70_DESARROLLO!AX56/N70_DESARROLLO!AW56)-1</f>
        <v>-0.15881939162335246</v>
      </c>
      <c r="AZ141" s="3">
        <f>-(N70_DESARROLLO!AY56/0.014285714)*LN(N70_DESARROLLO!AY56/N70_DESARROLLO!AX56)-1</f>
        <v>-0.23376154902624657</v>
      </c>
      <c r="BA141" s="3">
        <f>-(N70_DESARROLLO!AZ56/0.014285714)*LN(N70_DESARROLLO!AZ56/N70_DESARROLLO!AY56)-1</f>
        <v>-0.45069384467982143</v>
      </c>
      <c r="BB141" s="3">
        <v>-1</v>
      </c>
      <c r="BC141" s="3">
        <f>-(N70_DESARROLLO!BB56/0.014285714)*LN(N70_DESARROLLO!BB56/N70_DESARROLLO!BA56)-1</f>
        <v>0.64791846596054437</v>
      </c>
      <c r="BD141" s="3">
        <f>-(N70_DESARROLLO!BC56/0.014285714)*LN(N70_DESARROLLO!BC56/N70_DESARROLLO!BB56)-1</f>
        <v>0.2770640849562529</v>
      </c>
      <c r="BE141" s="3">
        <f>-(N70_DESARROLLO!BD56/0.014285714)*LN(N70_DESARROLLO!BD56/N70_DESARROLLO!BC56)-1</f>
        <v>0.17765285172730816</v>
      </c>
      <c r="BF141" s="3">
        <f>-(N70_DESARROLLO!BE56/0.014285714)*LN(N70_DESARROLLO!BE56/N70_DESARROLLO!BD56)-1</f>
        <v>0.13091494988237184</v>
      </c>
      <c r="BG141" s="3">
        <f>-(N70_DESARROLLO!BF56/0.014285714)*LN(N70_DESARROLLO!BF56/N70_DESARROLLO!BE56)-1</f>
        <v>0.10368884711561366</v>
      </c>
      <c r="BH141" s="3">
        <f>-(N70_DESARROLLO!BG56/0.014285714)*LN(N70_DESARROLLO!BG56/N70_DESARROLLO!BF56)-1</f>
        <v>8.5851572027607181E-2</v>
      </c>
      <c r="BI141" s="3">
        <f>-(N70_DESARROLLO!BH56/0.014285714)*LN(N70_DESARROLLO!BH56/N70_DESARROLLO!BG56)-1</f>
        <v>7.3256348770172952E-2</v>
      </c>
      <c r="BJ141" s="3">
        <f>-(N70_DESARROLLO!BI56/0.014285714)*LN(N70_DESARROLLO!BI56/N70_DESARROLLO!BH56)-1</f>
        <v>6.3886736386790766E-2</v>
      </c>
      <c r="BK141" s="3">
        <f>-(N70_DESARROLLO!BJ56/0.014285714)*LN(N70_DESARROLLO!BJ56/N70_DESARROLLO!BI56)-1</f>
        <v>5.664355467999882E-2</v>
      </c>
      <c r="BL141" s="3">
        <f>-(N70_DESARROLLO!BK56/0.014285714)*LN(N70_DESARROLLO!BK56/N70_DESARROLLO!BJ56)-1</f>
        <v>5.0876335865848832E-2</v>
      </c>
      <c r="BM141" s="3">
        <f>-(N70_DESARROLLO!BL56/0.014285714)*LN(N70_DESARROLLO!BL56/N70_DESARROLLO!BK56)-1</f>
        <v>4.6175470289362641E-2</v>
      </c>
      <c r="BN141" s="3">
        <f>-(N70_DESARROLLO!BM56/0.014285714)*LN(N70_DESARROLLO!BM56/N70_DESARROLLO!BL56)-1</f>
        <v>4.2270132583545728E-2</v>
      </c>
      <c r="BO141" s="3">
        <f>-(N70_DESARROLLO!BN56/0.014285714)*LN(N70_DESARROLLO!BN56/N70_DESARROLLO!BM56)-1</f>
        <v>3.8974076117209266E-2</v>
      </c>
      <c r="BP141" s="3">
        <f>-(N70_DESARROLLO!BO56/0.014285714)*LN(N70_DESARROLLO!BO56/N70_DESARROLLO!BN56)-1</f>
        <v>3.6154998464206445E-2</v>
      </c>
      <c r="BQ141" s="3">
        <f>-(N70_DESARROLLO!BP56/0.014285714)*LN(N70_DESARROLLO!BP56/N70_DESARROLLO!BO56)-1</f>
        <v>3.3716325403741587E-2</v>
      </c>
      <c r="BR141" s="3">
        <f>-(N70_DESARROLLO!BQ56/0.014285714)*LN(N70_DESARROLLO!BQ56/N70_DESARROLLO!BP56)-1</f>
        <v>3.1585910823731744E-2</v>
      </c>
      <c r="BS141" s="3">
        <f>-(N70_DESARROLLO!BR56/0.014285714)*LN(N70_DESARROLLO!BR56/N70_DESARROLLO!BQ56)-1</f>
        <v>2.9708770995506173E-2</v>
      </c>
      <c r="BT141" s="3">
        <f>-(N70_DESARROLLO!BS56/0.014285714)*LN(N70_DESARROLLO!BS56/N70_DESARROLLO!BR56)-1</f>
        <v>2.8042266924840797E-2</v>
      </c>
      <c r="BU141" s="3">
        <f>-(N70_DESARROLLO!BT56/0.014285714)*LN(N70_DESARROLLO!BT56/N70_DESARROLLO!BS56)-1</f>
        <v>2.6552823496791333E-2</v>
      </c>
      <c r="BV141" s="3">
        <f>-(N70_DESARROLLO!BU56/0.014285714)*LN(N70_DESARROLLO!BU56/N70_DESARROLLO!BT56)-1</f>
        <v>2.5213642284827253E-2</v>
      </c>
      <c r="BW141" s="3">
        <f>-(N70_DESARROLLO!BV56/0.014285714)*LN(N70_DESARROLLO!BV56/N70_DESARROLLO!BU56)-1</f>
        <v>2.4003073749041315E-2</v>
      </c>
      <c r="BX141" s="3">
        <f>-(N70_DESARROLLO!BW56/0.014285714)*LN(N70_DESARROLLO!BW56/N70_DESARROLLO!BV56)-1</f>
        <v>2.2903437185105791E-2</v>
      </c>
      <c r="BY141" s="3">
        <f>-(N70_DESARROLLO!BX56/0.014285714)*LN(N70_DESARROLLO!BX56/N70_DESARROLLO!BW56)-1</f>
        <v>78.448596887700873</v>
      </c>
      <c r="CD141">
        <v>47</v>
      </c>
      <c r="CE141" s="1">
        <v>0</v>
      </c>
      <c r="CF141" s="1">
        <f>(1+(N70_DESARROLLO!F56/0.014285714)*LN(N70_DESARROLLO!G56/N70_DESARROLLO!F56))</f>
        <v>-1.0909398811056015E-2</v>
      </c>
      <c r="CG141" s="1">
        <f>(1+(N70_DESARROLLO!G56/0.014285714)*LN(N70_DESARROLLO!H56/N70_DESARROLLO!G56))</f>
        <v>-1.1152743927375752E-2</v>
      </c>
      <c r="CH141" s="1">
        <f>(1+(N70_DESARROLLO!H56/0.014285714)*LN(N70_DESARROLLO!I56/N70_DESARROLLO!H56))</f>
        <v>-1.1407193179388653E-2</v>
      </c>
      <c r="CI141" s="1">
        <f>(1+(N70_DESARROLLO!I56/0.014285714)*LN(N70_DESARROLLO!J56/N70_DESARROLLO!I56))</f>
        <v>-1.1673524379100408E-2</v>
      </c>
      <c r="CJ141" s="1">
        <f>(1+(N70_DESARROLLO!J56/0.014285714)*LN(N70_DESARROLLO!K56/N70_DESARROLLO!J56))</f>
        <v>-1.1952589722085794E-2</v>
      </c>
      <c r="CK141" s="1">
        <f>(1+(N70_DESARROLLO!K56/0.014285714)*LN(N70_DESARROLLO!L56/N70_DESARROLLO!K56))</f>
        <v>-1.2245324897514953E-2</v>
      </c>
      <c r="CL141" s="1">
        <f>(1+(N70_DESARROLLO!L56/0.014285714)*LN(N70_DESARROLLO!M56/N70_DESARROLLO!L56))</f>
        <v>-1.2552759570449767E-2</v>
      </c>
      <c r="CM141" s="1">
        <f>(1+(N70_DESARROLLO!M56/0.014285714)*LN(N70_DESARROLLO!N56/N70_DESARROLLO!M56))</f>
        <v>-1.2876029484363061E-2</v>
      </c>
      <c r="CN141" s="1">
        <f>(1+(N70_DESARROLLO!N56/0.014285714)*LN(N70_DESARROLLO!O56/N70_DESARROLLO!N56))</f>
        <v>-1.3216390483199891E-2</v>
      </c>
      <c r="CO141" s="1">
        <f>(1+(N70_DESARROLLO!O56/0.014285714)*LN(N70_DESARROLLO!P56/N70_DESARROLLO!O56))</f>
        <v>-1.3575234818481219E-2</v>
      </c>
      <c r="CP141" s="1">
        <f>(1+(N70_DESARROLLO!P56/0.014285714)*LN(N70_DESARROLLO!Q56/N70_DESARROLLO!P56))</f>
        <v>-1.3954110187341273E-2</v>
      </c>
      <c r="CQ141" s="1">
        <f>(1+(N70_DESARROLLO!Q56/0.014285714)*LN(N70_DESARROLLO!R56/N70_DESARROLLO!Q56))</f>
        <v>-1.4354742051083003E-2</v>
      </c>
      <c r="CR141" s="1">
        <f>(1+(N70_DESARROLLO!R56/0.014285714)*LN(N70_DESARROLLO!S56/N70_DESARROLLO!R56))</f>
        <v>-1.4779059912701564E-2</v>
      </c>
      <c r="CS141" s="1">
        <f>(1+(N70_DESARROLLO!S56/0.014285714)*LN(N70_DESARROLLO!T56/N70_DESARROLLO!S56))</f>
        <v>-1.5229228398099703E-2</v>
      </c>
      <c r="CT141" s="1">
        <f>(1+(N70_DESARROLLO!T56/0.014285714)*LN(N70_DESARROLLO!U56/N70_DESARROLLO!T56))</f>
        <v>-1.5707684197551197E-2</v>
      </c>
      <c r="CU141" s="1">
        <f>(1+(N70_DESARROLLO!U56/0.014285714)*LN(N70_DESARROLLO!V56/N70_DESARROLLO!U56))</f>
        <v>-1.6217180198315306E-2</v>
      </c>
      <c r="CV141" s="1">
        <f>(1+(N70_DESARROLLO!V56/0.014285714)*LN(N70_DESARROLLO!W56/N70_DESARROLLO!V56))</f>
        <v>-1.6760838496771235E-2</v>
      </c>
      <c r="CW141" s="1">
        <f>(1+(N70_DESARROLLO!W56/0.014285714)*LN(N70_DESARROLLO!X56/N70_DESARROLLO!W56))</f>
        <v>-1.7342214446335769E-2</v>
      </c>
      <c r="CX141" s="1">
        <f>(1+(N70_DESARROLLO!X56/0.014285714)*LN(N70_DESARROLLO!Y56/N70_DESARROLLO!X56))</f>
        <v>-1.7965374518565502E-2</v>
      </c>
      <c r="CY141" s="1">
        <f>(1+(N70_DESARROLLO!Y56/0.014285714)*LN(N70_DESARROLLO!Z56/N70_DESARROLLO!Y56))</f>
        <v>-1.8634991582299865E-2</v>
      </c>
      <c r="CZ141" s="1">
        <f>(1+(N70_DESARROLLO!Z56/0.014285714)*LN(N70_DESARROLLO!AA56/N70_DESARROLLO!Z56))</f>
        <v>-1.9356462323724788E-2</v>
      </c>
      <c r="DA141" s="1">
        <f>(1+(N70_DESARROLLO!AA56/0.014285714)*LN(N70_DESARROLLO!AB56/N70_DESARROLLO!AA56))</f>
        <v>-2.0136053052048908E-2</v>
      </c>
      <c r="DB141" s="1">
        <f>(1+(N70_DESARROLLO!AB56/0.014285714)*LN(N70_DESARROLLO!AC56/N70_DESARROLLO!AB56))</f>
        <v>-2.098108223353945E-2</v>
      </c>
      <c r="DC141" s="1">
        <f>(1+(N70_DESARROLLO!AC56/0.014285714)*LN(N70_DESARROLLO!AD56/N70_DESARROLLO!AC56))</f>
        <v>-2.190015102186682E-2</v>
      </c>
      <c r="DD141" s="1">
        <f>(1+(N70_DESARROLLO!AD56/0.014285714)*LN(N70_DESARROLLO!AE56/N70_DESARROLLO!AD56))</f>
        <v>-2.2903437185110231E-2</v>
      </c>
      <c r="DE141" s="1">
        <f>(1+(N70_DESARROLLO!AE56/0.014285714)*LN(N70_DESARROLLO!AF56/N70_DESARROLLO!AE56))</f>
        <v>-2.4003073749035098E-2</v>
      </c>
      <c r="DF141" s="1">
        <f>(1+(N70_DESARROLLO!AF56/0.014285714)*LN(N70_DESARROLLO!AG56/N70_DESARROLLO!AF56))</f>
        <v>-2.5213642284827031E-2</v>
      </c>
      <c r="DG141" s="1">
        <f>(1+(N70_DESARROLLO!AG56/0.014285714)*LN(N70_DESARROLLO!AH56/N70_DESARROLLO!AG56))</f>
        <v>-2.6552823496786004E-2</v>
      </c>
      <c r="DH141" s="1">
        <f>(1+(N70_DESARROLLO!AH56/0.014285714)*LN(N70_DESARROLLO!AI56/N70_DESARROLLO!AH56))</f>
        <v>-2.8042266924844572E-2</v>
      </c>
      <c r="DI141" s="1">
        <f>(1+(N70_DESARROLLO!AI56/0.014285714)*LN(N70_DESARROLLO!AJ56/N70_DESARROLLO!AI56))</f>
        <v>-2.9708770995511058E-2</v>
      </c>
      <c r="DJ141" s="1">
        <f>(1+(N70_DESARROLLO!AJ56/0.014285714)*LN(N70_DESARROLLO!AK56/N70_DESARROLLO!AJ56))</f>
        <v>-3.158591082373019E-2</v>
      </c>
      <c r="DK141" s="1">
        <f>(1+(N70_DESARROLLO!AK56/0.014285714)*LN(N70_DESARROLLO!AL56/N70_DESARROLLO!AK56))</f>
        <v>-3.3716325403746916E-2</v>
      </c>
      <c r="DL141" s="1">
        <f>(1+(N70_DESARROLLO!AL56/0.014285714)*LN(N70_DESARROLLO!AM56/N70_DESARROLLO!AL56))</f>
        <v>-3.6154998464202004E-2</v>
      </c>
      <c r="DM141" s="1">
        <f>(1+(N70_DESARROLLO!AM56/0.014285714)*LN(N70_DESARROLLO!AN56/N70_DESARROLLO!AM56))</f>
        <v>-3.8974076117213929E-2</v>
      </c>
      <c r="DN141" s="1">
        <f>(1+(N70_DESARROLLO!AN56/0.014285714)*LN(N70_DESARROLLO!AO56/N70_DESARROLLO!AN56))</f>
        <v>-4.2270132583541731E-2</v>
      </c>
      <c r="DO141" s="1">
        <f>(1+(N70_DESARROLLO!AO56/0.014285714)*LN(N70_DESARROLLO!AP56/N70_DESARROLLO!AO56))</f>
        <v>-4.6175470289362641E-2</v>
      </c>
      <c r="DP141" s="1">
        <f>(1+(N70_DESARROLLO!AP56/0.014285714)*LN(N70_DESARROLLO!AQ56/N70_DESARROLLO!AP56))</f>
        <v>-5.087633586584861E-2</v>
      </c>
      <c r="DQ141" s="1">
        <f>(1+(N70_DESARROLLO!AQ56/0.014285714)*LN(N70_DESARROLLO!AR56/N70_DESARROLLO!AQ56))</f>
        <v>-5.664355467999882E-2</v>
      </c>
      <c r="DR141" s="1">
        <f>(1+(N70_DESARROLLO!AR56/0.014285714)*LN(N70_DESARROLLO!AS56/N70_DESARROLLO!AR56))</f>
        <v>-6.3886736386790544E-2</v>
      </c>
      <c r="DS141" s="1">
        <f>(1+(N70_DESARROLLO!AS56/0.014285714)*LN(N70_DESARROLLO!AT56/N70_DESARROLLO!AS56))</f>
        <v>-7.3256348770173396E-2</v>
      </c>
      <c r="DT141" s="1">
        <f>(1+(N70_DESARROLLO!AT56/0.014285714)*LN(N70_DESARROLLO!AU56/N70_DESARROLLO!AT56))</f>
        <v>-8.5851572027616951E-2</v>
      </c>
      <c r="DU141" s="1">
        <f>(1+(N70_DESARROLLO!AU56/0.014285714)*LN(N70_DESARROLLO!AV56/N70_DESARROLLO!AU56))</f>
        <v>-0.10368884711560411</v>
      </c>
      <c r="DV141" s="1">
        <f>(1+(N70_DESARROLLO!AV56/0.014285714)*LN(N70_DESARROLLO!AW56/N70_DESARROLLO!AV56))</f>
        <v>-0.13091494988237162</v>
      </c>
      <c r="DW141" s="1">
        <f>(1+(N70_DESARROLLO!AW56/0.014285714)*LN(N70_DESARROLLO!AX56/N70_DESARROLLO!AW56))</f>
        <v>-0.17765285172730816</v>
      </c>
      <c r="DX141" s="1">
        <f>(1+(N70_DESARROLLO!AX56/0.014285714)*LN(N70_DESARROLLO!AY56/N70_DESARROLLO!AX56))</f>
        <v>-0.27706408495625312</v>
      </c>
      <c r="DY141" s="1">
        <f>(1+(N70_DESARROLLO!AY56/0.014285714)*LN(N70_DESARROLLO!AZ56/N70_DESARROLLO!AY56))</f>
        <v>-0.64791846596054437</v>
      </c>
      <c r="DZ141" s="1">
        <v>1</v>
      </c>
      <c r="EA141" s="1">
        <f>(1+(N70_DESARROLLO!BA56/0.014285714)*LN(N70_DESARROLLO!BB56/N70_DESARROLLO!BA56))</f>
        <v>0.45069384467982143</v>
      </c>
      <c r="EB141" s="1">
        <f>(1+(N70_DESARROLLO!BB56/0.014285714)*LN(N70_DESARROLLO!BC56/N70_DESARROLLO!BB56))</f>
        <v>0.2337615490262468</v>
      </c>
      <c r="EC141" s="1">
        <f>(1+(N70_DESARROLLO!BC56/0.014285714)*LN(N70_DESARROLLO!BD56/N70_DESARROLLO!BC56))</f>
        <v>0.15881939162335246</v>
      </c>
      <c r="ED141" s="1">
        <f>(1+(N70_DESARROLLO!BD56/0.014285714)*LN(N70_DESARROLLO!BE56/N70_DESARROLLO!BD56))</f>
        <v>0.12039948342482099</v>
      </c>
      <c r="EE141" s="1">
        <f>(1+(N70_DESARROLLO!BE56/0.014285714)*LN(N70_DESARROLLO!BF56/N70_DESARROLLO!BE56))</f>
        <v>9.6981852359953269E-2</v>
      </c>
      <c r="EF141" s="1">
        <f>(1+(N70_DESARROLLO!BF56/0.014285714)*LN(N70_DESARROLLO!BG56/N70_DESARROLLO!BF56))</f>
        <v>8.1202515976639411E-2</v>
      </c>
      <c r="EG141" s="1">
        <f>(1+(N70_DESARROLLO!BG56/0.014285714)*LN(N70_DESARROLLO!BH56/N70_DESARROLLO!BG56))</f>
        <v>6.9844497732516331E-2</v>
      </c>
      <c r="EH141" s="1">
        <f>(1+(N70_DESARROLLO!BH56/0.014285714)*LN(N70_DESARROLLO!BI56/N70_DESARROLLO!BH56))</f>
        <v>6.1276409070479265E-2</v>
      </c>
      <c r="EI141" s="1">
        <f>(1+(N70_DESARROLLO!BI56/0.014285714)*LN(N70_DESARROLLO!BJ56/N70_DESARROLLO!BI56))</f>
        <v>5.4582082654737407E-2</v>
      </c>
      <c r="EJ141" s="1">
        <f>(1+(N70_DESARROLLO!BJ56/0.014285714)*LN(N70_DESARROLLO!BK56/N70_DESARROLLO!BJ56))</f>
        <v>4.9207124692803972E-2</v>
      </c>
      <c r="EK141" s="1">
        <f>(1+(N70_DESARROLLO!BK56/0.014285714)*LN(N70_DESARROLLO!BL56/N70_DESARROLLO!BK56))</f>
        <v>4.4796309735798956E-2</v>
      </c>
      <c r="EL141" s="1">
        <f>(1+(N70_DESARROLLO!BL56/0.014285714)*LN(N70_DESARROLLO!BM56/N70_DESARROLLO!BL56))</f>
        <v>4.1111478023138415E-2</v>
      </c>
      <c r="EM141" s="1">
        <f>(1+(N70_DESARROLLO!BM56/0.014285714)*LN(N70_DESARROLLO!BN56/N70_DESARROLLO!BM56))</f>
        <v>3.7986966558139379E-2</v>
      </c>
      <c r="EN141" s="1">
        <f>(1+(N70_DESARROLLO!BN56/0.014285714)*LN(N70_DESARROLLO!BO56/N70_DESARROLLO!BN56))</f>
        <v>3.5303966947118459E-2</v>
      </c>
      <c r="EO141" s="1">
        <f>(1+(N70_DESARROLLO!BO56/0.014285714)*LN(N70_DESARROLLO!BP56/N70_DESARROLLO!BO56))</f>
        <v>3.2975050428757702E-2</v>
      </c>
      <c r="EP141" s="1">
        <f>(1+(N70_DESARROLLO!BP56/0.014285714)*LN(N70_DESARROLLO!BQ56/N70_DESARROLLO!BP56))</f>
        <v>3.0934447408009769E-2</v>
      </c>
      <c r="EQ141" s="1">
        <f>(1+(N70_DESARROLLO!BQ56/0.014285714)*LN(N70_DESARROLLO!BR56/N70_DESARROLLO!BQ56))</f>
        <v>2.9131730204236872E-2</v>
      </c>
      <c r="ER141" s="1">
        <f>(1+(N70_DESARROLLO!BR56/0.014285714)*LN(N70_DESARROLLO!BS56/N70_DESARROLLO!BR56))</f>
        <v>2.7527585341366678E-2</v>
      </c>
      <c r="ES141" s="1">
        <f>(1+(N70_DESARROLLO!BS56/0.014285714)*LN(N70_DESARROLLO!BT56/N70_DESARROLLO!BS56))</f>
        <v>2.6090911041505627E-2</v>
      </c>
      <c r="ET141" s="1">
        <f>(1+(N70_DESARROLLO!BT56/0.014285714)*LN(N70_DESARROLLO!BU56/N70_DESARROLLO!BT56))</f>
        <v>2.4796779290042203E-2</v>
      </c>
      <c r="EU141" s="1">
        <f>(1+(N70_DESARROLLO!BU56/0.014285714)*LN(N70_DESARROLLO!BV56/N70_DESARROLLO!BU56))</f>
        <v>2.3624976192774816E-2</v>
      </c>
      <c r="EV141" s="1">
        <f>(1+(N70_DESARROLLO!BV56/0.014285714)*LN(N70_DESARROLLO!BW56/N70_DESARROLLO!BV56))</f>
        <v>2.2558937800898904E-2</v>
      </c>
      <c r="EW141" s="1">
        <f>(1+(N70_DESARROLLO!BW56/0.014285714)*LN(N70_DESARROLLO!BX56/N70_DESARROLLO!BW56))</f>
        <v>-24.537048999618136</v>
      </c>
    </row>
    <row r="142" spans="7:153" x14ac:dyDescent="0.25">
      <c r="G142" s="3">
        <v>48</v>
      </c>
      <c r="H142" s="3">
        <f>-(N70_DESARROLLO!G57/0.014285714)*LN(N70_DESARROLLO!G57/N70_DESARROLLO!F57)-1</f>
        <v>-1.0600952413273301E-2</v>
      </c>
      <c r="I142" s="3">
        <f>-(N70_DESARROLLO!H57/0.014285714)*LN(N70_DESARROLLO!H57/N70_DESARROLLO!G57)-1</f>
        <v>-1.0830588260139273E-2</v>
      </c>
      <c r="J142" s="3">
        <f>-(N70_DESARROLLO!I57/0.014285714)*LN(N70_DESARROLLO!I57/N70_DESARROLLO!H57)-1</f>
        <v>-1.1070393301807147E-2</v>
      </c>
      <c r="K142" s="3">
        <f>-(N70_DESARROLLO!J57/0.014285714)*LN(N70_DESARROLLO!J57/N70_DESARROLLO!I57)-1</f>
        <v>-1.1321058352727453E-2</v>
      </c>
      <c r="L142" s="3">
        <f>-(N70_DESARROLLO!K57/0.014285714)*LN(N70_DESARROLLO!K57/N70_DESARROLLO!J57)-1</f>
        <v>-1.1583338250309216E-2</v>
      </c>
      <c r="M142" s="3">
        <f>-(N70_DESARROLLO!L57/0.014285714)*LN(N70_DESARROLLO!L57/N70_DESARROLLO!K57)-1</f>
        <v>-1.1858059447836244E-2</v>
      </c>
      <c r="N142" s="3">
        <f>-(N70_DESARROLLO!M57/0.014285714)*LN(N70_DESARROLLO!M57/N70_DESARROLLO!L57)-1</f>
        <v>-1.2146128714477955E-2</v>
      </c>
      <c r="O142" s="3">
        <f>-(N70_DESARROLLO!N57/0.014285714)*LN(N70_DESARROLLO!N57/N70_DESARROLLO!M57)-1</f>
        <v>-1.2448543134984225E-2</v>
      </c>
      <c r="P142" s="3">
        <f>-(N70_DESARROLLO!O57/0.014285714)*LN(N70_DESARROLLO!O57/N70_DESARROLLO!N57)-1</f>
        <v>-1.2766401641831959E-2</v>
      </c>
      <c r="Q142" s="3">
        <f>-(N70_DESARROLLO!P57/0.014285714)*LN(N70_DESARROLLO!P57/N70_DESARROLLO!O57)-1</f>
        <v>-1.3100918360519409E-2</v>
      </c>
      <c r="R142" s="3">
        <f>-(N70_DESARROLLO!Q57/0.014285714)*LN(N70_DESARROLLO!Q57/N70_DESARROLLO!P57)-1</f>
        <v>-1.345343811001154E-2</v>
      </c>
      <c r="S142" s="3">
        <f>-(N70_DESARROLLO!R57/0.014285714)*LN(N70_DESARROLLO!R57/N70_DESARROLLO!Q57)-1</f>
        <v>-1.3825454475317467E-2</v>
      </c>
      <c r="T142" s="3">
        <f>-(N70_DESARROLLO!S57/0.014285714)*LN(N70_DESARROLLO!S57/N70_DESARROLLO!R57)-1</f>
        <v>-1.4218630964444534E-2</v>
      </c>
      <c r="U142" s="3">
        <f>-(N70_DESARROLLO!T57/0.014285714)*LN(N70_DESARROLLO!T57/N70_DESARROLLO!S57)-1</f>
        <v>-1.4634825881873259E-2</v>
      </c>
      <c r="V142" s="3">
        <f>-(N70_DESARROLLO!U57/0.014285714)*LN(N70_DESARROLLO!U57/N70_DESARROLLO!T57)-1</f>
        <v>-1.5076121703328615E-2</v>
      </c>
      <c r="W142" s="3">
        <f>-(N70_DESARROLLO!V57/0.014285714)*LN(N70_DESARROLLO!V57/N70_DESARROLLO!U57)-1</f>
        <v>-1.5544859931611366E-2</v>
      </c>
      <c r="X142" s="3">
        <f>-(N70_DESARROLLO!W57/0.014285714)*LN(N70_DESARROLLO!W57/N70_DESARROLLO!V57)-1</f>
        <v>-1.6043682665116243E-2</v>
      </c>
      <c r="Y142" s="3">
        <f>-(N70_DESARROLLO!X57/0.014285714)*LN(N70_DESARROLLO!X57/N70_DESARROLLO!W57)-1</f>
        <v>-1.6575582437555747E-2</v>
      </c>
      <c r="Z142" s="3">
        <f>-(N70_DESARROLLO!Y57/0.014285714)*LN(N70_DESARROLLO!Y57/N70_DESARROLLO!X57)-1</f>
        <v>-1.7143962314553507E-2</v>
      </c>
      <c r="AA142" s="3">
        <f>-(N70_DESARROLLO!Z57/0.014285714)*LN(N70_DESARROLLO!Z57/N70_DESARROLLO!Y57)-1</f>
        <v>-1.7752708797875161E-2</v>
      </c>
      <c r="AB142" s="3">
        <f>-(N70_DESARROLLO!AA57/0.014285714)*LN(N70_DESARROLLO!AA57/N70_DESARROLLO!Z57)-1</f>
        <v>-1.8406280838874411E-2</v>
      </c>
      <c r="AC142" s="3">
        <f>-(N70_DESARROLLO!AB57/0.014285714)*LN(N70_DESARROLLO!AB57/N70_DESARROLLO!AA57)-1</f>
        <v>-1.9109819273396944E-2</v>
      </c>
      <c r="AD142" s="3">
        <f>-(N70_DESARROLLO!AC57/0.014285714)*LN(N70_DESARROLLO!AC57/N70_DESARROLLO!AB57)-1</f>
        <v>-1.986928236175689E-2</v>
      </c>
      <c r="AE142" s="3">
        <f>-(N70_DESARROLLO!AD57/0.014285714)*LN(N70_DESARROLLO!AD57/N70_DESARROLLO!AC57)-1</f>
        <v>-2.0691615000482555E-2</v>
      </c>
      <c r="AF142" s="3">
        <f>-(N70_DESARROLLO!AE57/0.014285714)*LN(N70_DESARROLLO!AE57/N70_DESARROLLO!AD57)-1</f>
        <v>-2.1584961787574075E-2</v>
      </c>
      <c r="AG142" s="3">
        <f>-(N70_DESARROLLO!AF57/0.014285714)*LN(N70_DESARROLLO!AF57/N70_DESARROLLO!AE57)-1</f>
        <v>-2.2558937800894574E-2</v>
      </c>
      <c r="AH142" s="3">
        <f>-(N70_DESARROLLO!AG57/0.014285714)*LN(N70_DESARROLLO!AG57/N70_DESARROLLO!AF57)-1</f>
        <v>-2.3624976192782587E-2</v>
      </c>
      <c r="AI142" s="3">
        <f>-(N70_DESARROLLO!AH57/0.014285714)*LN(N70_DESARROLLO!AH57/N70_DESARROLLO!AG57)-1</f>
        <v>-2.4796779290037541E-2</v>
      </c>
      <c r="AJ142" s="3">
        <f>-(N70_DESARROLLO!AI57/0.014285714)*LN(N70_DESARROLLO!AI57/N70_DESARROLLO!AH57)-1</f>
        <v>-2.6090911041510401E-2</v>
      </c>
      <c r="AK142" s="3">
        <f>-(N70_DESARROLLO!AJ57/0.014285714)*LN(N70_DESARROLLO!AJ57/N70_DESARROLLO!AI57)-1</f>
        <v>-2.7527585341363126E-2</v>
      </c>
      <c r="AL142" s="3">
        <f>-(N70_DESARROLLO!AK57/0.014285714)*LN(N70_DESARROLLO!AK57/N70_DESARROLLO!AJ57)-1</f>
        <v>-2.913173020423232E-2</v>
      </c>
      <c r="AM142" s="3">
        <f>-(N70_DESARROLLO!AL57/0.014285714)*LN(N70_DESARROLLO!AL57/N70_DESARROLLO!AK57)-1</f>
        <v>-3.0934447408010879E-2</v>
      </c>
      <c r="AN142" s="3">
        <f>-(N70_DESARROLLO!AM57/0.014285714)*LN(N70_DESARROLLO!AM57/N70_DESARROLLO!AL57)-1</f>
        <v>-3.2975050428752706E-2</v>
      </c>
      <c r="AO142" s="3">
        <f>-(N70_DESARROLLO!AN57/0.014285714)*LN(N70_DESARROLLO!AN57/N70_DESARROLLO!AM57)-1</f>
        <v>-3.5303966947122012E-2</v>
      </c>
      <c r="AP142" s="3">
        <f>-(N70_DESARROLLO!AO57/0.014285714)*LN(N70_DESARROLLO!AO57/N70_DESARROLLO!AN57)-1</f>
        <v>-3.7986966558135049E-2</v>
      </c>
      <c r="AQ142" s="3">
        <f>-(N70_DESARROLLO!AP57/0.014285714)*LN(N70_DESARROLLO!AP57/N70_DESARROLLO!AO57)-1</f>
        <v>-4.1111478023145187E-2</v>
      </c>
      <c r="AR142" s="3">
        <f>-(N70_DESARROLLO!AQ57/0.014285714)*LN(N70_DESARROLLO!AQ57/N70_DESARROLLO!AP57)-1</f>
        <v>-4.4796309735792517E-2</v>
      </c>
      <c r="AS142" s="3">
        <f>-(N70_DESARROLLO!AR57/0.014285714)*LN(N70_DESARROLLO!AR57/N70_DESARROLLO!AQ57)-1</f>
        <v>-4.920712469281141E-2</v>
      </c>
      <c r="AT142" s="3">
        <f>-(N70_DESARROLLO!AS57/0.014285714)*LN(N70_DESARROLLO!AS57/N70_DESARROLLO!AR57)-1</f>
        <v>-5.458208265473008E-2</v>
      </c>
      <c r="AU142" s="3">
        <f>-(N70_DESARROLLO!AT57/0.014285714)*LN(N70_DESARROLLO!AT57/N70_DESARROLLO!AS57)-1</f>
        <v>-6.1276409070485927E-2</v>
      </c>
      <c r="AV142" s="3">
        <f>-(N70_DESARROLLO!AU57/0.014285714)*LN(N70_DESARROLLO!AU57/N70_DESARROLLO!AT57)-1</f>
        <v>-6.9844497732509336E-2</v>
      </c>
      <c r="AW142" s="3">
        <f>-(N70_DESARROLLO!AV57/0.014285714)*LN(N70_DESARROLLO!AV57/N70_DESARROLLO!AU57)-1</f>
        <v>-8.1202515976639078E-2</v>
      </c>
      <c r="AX142" s="3">
        <f>-(N70_DESARROLLO!AW57/0.014285714)*LN(N70_DESARROLLO!AW57/N70_DESARROLLO!AV57)-1</f>
        <v>-9.6981852359959375E-2</v>
      </c>
      <c r="AY142" s="3">
        <f>-(N70_DESARROLLO!AX57/0.014285714)*LN(N70_DESARROLLO!AX57/N70_DESARROLLO!AW57)-1</f>
        <v>-0.12039948342481521</v>
      </c>
      <c r="AZ142" s="3">
        <f>-(N70_DESARROLLO!AY57/0.014285714)*LN(N70_DESARROLLO!AY57/N70_DESARROLLO!AX57)-1</f>
        <v>-0.15881939162335768</v>
      </c>
      <c r="BA142" s="3">
        <f>-(N70_DESARROLLO!AZ57/0.014285714)*LN(N70_DESARROLLO!AZ57/N70_DESARROLLO!AY57)-1</f>
        <v>-0.23376154902624224</v>
      </c>
      <c r="BB142" s="3">
        <f>-(N70_DESARROLLO!BA57/0.014285714)*LN(N70_DESARROLLO!BA57/N70_DESARROLLO!AZ57)-1</f>
        <v>-0.45069384467982065</v>
      </c>
      <c r="BC142" s="3">
        <v>-1</v>
      </c>
      <c r="BD142" s="3">
        <f>-(N70_DESARROLLO!BC57/0.014285714)*LN(N70_DESARROLLO!BC57/N70_DESARROLLO!BB57)-1</f>
        <v>0.64791846596052816</v>
      </c>
      <c r="BE142" s="3">
        <f>-(N70_DESARROLLO!BD57/0.014285714)*LN(N70_DESARROLLO!BD57/N70_DESARROLLO!BC57)-1</f>
        <v>0.27706408495626578</v>
      </c>
      <c r="BF142" s="3">
        <f>-(N70_DESARROLLO!BE57/0.014285714)*LN(N70_DESARROLLO!BE57/N70_DESARROLLO!BD57)-1</f>
        <v>0.17765285172729772</v>
      </c>
      <c r="BG142" s="3">
        <f>-(N70_DESARROLLO!BF57/0.014285714)*LN(N70_DESARROLLO!BF57/N70_DESARROLLO!BE57)-1</f>
        <v>0.13091494988238206</v>
      </c>
      <c r="BH142" s="3">
        <f>-(N70_DESARROLLO!BG57/0.014285714)*LN(N70_DESARROLLO!BG57/N70_DESARROLLO!BF57)-1</f>
        <v>0.10368884711560411</v>
      </c>
      <c r="BI142" s="3">
        <f>-(N70_DESARROLLO!BH57/0.014285714)*LN(N70_DESARROLLO!BH57/N70_DESARROLLO!BG57)-1</f>
        <v>8.5851572027606959E-2</v>
      </c>
      <c r="BJ142" s="3">
        <f>-(N70_DESARROLLO!BI57/0.014285714)*LN(N70_DESARROLLO!BI57/N70_DESARROLLO!BH57)-1</f>
        <v>7.3256348770181612E-2</v>
      </c>
      <c r="BK142" s="3">
        <f>-(N70_DESARROLLO!BJ57/0.014285714)*LN(N70_DESARROLLO!BJ57/N70_DESARROLLO!BI57)-1</f>
        <v>6.388673638678144E-2</v>
      </c>
      <c r="BL142" s="3">
        <f>-(N70_DESARROLLO!BK57/0.014285714)*LN(N70_DESARROLLO!BK57/N70_DESARROLLO!BJ57)-1</f>
        <v>5.6643554680008368E-2</v>
      </c>
      <c r="BM142" s="3">
        <f>-(N70_DESARROLLO!BL57/0.014285714)*LN(N70_DESARROLLO!BL57/N70_DESARROLLO!BK57)-1</f>
        <v>5.0876335865839506E-2</v>
      </c>
      <c r="BN142" s="3">
        <f>-(N70_DESARROLLO!BM57/0.014285714)*LN(N70_DESARROLLO!BM57/N70_DESARROLLO!BL57)-1</f>
        <v>4.6175470289372189E-2</v>
      </c>
      <c r="BO142" s="3">
        <f>-(N70_DESARROLLO!BN57/0.014285714)*LN(N70_DESARROLLO!BN57/N70_DESARROLLO!BM57)-1</f>
        <v>4.227013258353729E-2</v>
      </c>
      <c r="BP142" s="3">
        <f>-(N70_DESARROLLO!BO57/0.014285714)*LN(N70_DESARROLLO!BO57/N70_DESARROLLO!BN57)-1</f>
        <v>3.8974076117217482E-2</v>
      </c>
      <c r="BQ142" s="3">
        <f>-(N70_DESARROLLO!BP57/0.014285714)*LN(N70_DESARROLLO!BP57/N70_DESARROLLO!BO57)-1</f>
        <v>3.6154998464196897E-2</v>
      </c>
      <c r="BR142" s="3">
        <f>-(N70_DESARROLLO!BQ57/0.014285714)*LN(N70_DESARROLLO!BQ57/N70_DESARROLLO!BP57)-1</f>
        <v>3.3716325403751135E-2</v>
      </c>
      <c r="BS142" s="3">
        <f>-(N70_DESARROLLO!BR57/0.014285714)*LN(N70_DESARROLLO!BR57/N70_DESARROLLO!BQ57)-1</f>
        <v>3.1585910823724417E-2</v>
      </c>
      <c r="BT142" s="3">
        <f>-(N70_DESARROLLO!BS57/0.014285714)*LN(N70_DESARROLLO!BS57/N70_DESARROLLO!BR57)-1</f>
        <v>2.9708770995505729E-2</v>
      </c>
      <c r="BU142" s="3">
        <f>-(N70_DESARROLLO!BT57/0.014285714)*LN(N70_DESARROLLO!BT57/N70_DESARROLLO!BS57)-1</f>
        <v>2.8042266924848569E-2</v>
      </c>
      <c r="BV142" s="3">
        <f>-(N70_DESARROLLO!BU57/0.014285714)*LN(N70_DESARROLLO!BU57/N70_DESARROLLO!BT57)-1</f>
        <v>2.6552823496782674E-2</v>
      </c>
      <c r="BW142" s="3">
        <f>-(N70_DESARROLLO!BV57/0.014285714)*LN(N70_DESARROLLO!BV57/N70_DESARROLLO!BU57)-1</f>
        <v>2.5213642284835913E-2</v>
      </c>
      <c r="BX142" s="3">
        <f>-(N70_DESARROLLO!BW57/0.014285714)*LN(N70_DESARROLLO!BW57/N70_DESARROLLO!BV57)-1</f>
        <v>2.4003073749031767E-2</v>
      </c>
      <c r="BY142" s="3">
        <f>-(N70_DESARROLLO!BX57/0.014285714)*LN(N70_DESARROLLO!BX57/N70_DESARROLLO!BW57)-1</f>
        <v>81.630963136721221</v>
      </c>
      <c r="CD142" s="1">
        <v>48</v>
      </c>
      <c r="CE142" s="1">
        <v>0</v>
      </c>
      <c r="CF142" s="1">
        <f>(1+(N70_DESARROLLO!F57/0.014285714)*LN(N70_DESARROLLO!G57/N70_DESARROLLO!F57))</f>
        <v>-1.0676446459559452E-2</v>
      </c>
      <c r="CG142" s="1">
        <f>(1+(N70_DESARROLLO!G57/0.014285714)*LN(N70_DESARROLLO!H57/N70_DESARROLLO!G57))</f>
        <v>-1.0909398811066673E-2</v>
      </c>
      <c r="CH142" s="1">
        <f>(1+(N70_DESARROLLO!H57/0.014285714)*LN(N70_DESARROLLO!I57/N70_DESARROLLO!H57))</f>
        <v>-1.1152743927365538E-2</v>
      </c>
      <c r="CI142" s="1">
        <f>(1+(N70_DESARROLLO!I57/0.014285714)*LN(N70_DESARROLLO!J57/N70_DESARROLLO!I57))</f>
        <v>-1.140719317939376E-2</v>
      </c>
      <c r="CJ142" s="1">
        <f>(1+(N70_DESARROLLO!J57/0.014285714)*LN(N70_DESARROLLO!K57/N70_DESARROLLO!J57))</f>
        <v>-1.1673524379095301E-2</v>
      </c>
      <c r="CK142" s="1">
        <f>(1+(N70_DESARROLLO!K57/0.014285714)*LN(N70_DESARROLLO!L57/N70_DESARROLLO!K57))</f>
        <v>-1.1952589722095563E-2</v>
      </c>
      <c r="CL142" s="1">
        <f>(1+(N70_DESARROLLO!L57/0.014285714)*LN(N70_DESARROLLO!M57/N70_DESARROLLO!L57))</f>
        <v>-1.224532489751029E-2</v>
      </c>
      <c r="CM142" s="1">
        <f>(1+(N70_DESARROLLO!M57/0.014285714)*LN(N70_DESARROLLO!N57/N70_DESARROLLO!M57))</f>
        <v>-1.2552759570459315E-2</v>
      </c>
      <c r="CN142" s="1">
        <f>(1+(N70_DESARROLLO!N57/0.014285714)*LN(N70_DESARROLLO!O57/N70_DESARROLLO!N57))</f>
        <v>-1.2876029484353957E-2</v>
      </c>
      <c r="CO142" s="1">
        <f>(1+(N70_DESARROLLO!O57/0.014285714)*LN(N70_DESARROLLO!P57/N70_DESARROLLO!O57))</f>
        <v>-1.3216390483200113E-2</v>
      </c>
      <c r="CP142" s="1">
        <f>(1+(N70_DESARROLLO!P57/0.014285714)*LN(N70_DESARROLLO!Q57/N70_DESARROLLO!P57))</f>
        <v>-1.3575234818481441E-2</v>
      </c>
      <c r="CQ142" s="1">
        <f>(1+(N70_DESARROLLO!Q57/0.014285714)*LN(N70_DESARROLLO!R57/N70_DESARROLLO!Q57))</f>
        <v>-1.3954110187349711E-2</v>
      </c>
      <c r="CR142" s="1">
        <f>(1+(N70_DESARROLLO!R57/0.014285714)*LN(N70_DESARROLLO!S57/N70_DESARROLLO!R57))</f>
        <v>-1.4354742051078784E-2</v>
      </c>
      <c r="CS142" s="1">
        <f>(1+(N70_DESARROLLO!S57/0.014285714)*LN(N70_DESARROLLO!T57/N70_DESARROLLO!S57))</f>
        <v>-1.4779059912697567E-2</v>
      </c>
      <c r="CT142" s="1">
        <f>(1+(N70_DESARROLLO!T57/0.014285714)*LN(N70_DESARROLLO!U57/N70_DESARROLLO!T57))</f>
        <v>-1.5229228398107475E-2</v>
      </c>
      <c r="CU142" s="1">
        <f>(1+(N70_DESARROLLO!U57/0.014285714)*LN(N70_DESARROLLO!V57/N70_DESARROLLO!U57))</f>
        <v>-1.570768419754387E-2</v>
      </c>
      <c r="CV142" s="1">
        <f>(1+(N70_DESARROLLO!V57/0.014285714)*LN(N70_DESARROLLO!W57/N70_DESARROLLO!V57))</f>
        <v>-1.6217180198322634E-2</v>
      </c>
      <c r="CW142" s="1">
        <f>(1+(N70_DESARROLLO!W57/0.014285714)*LN(N70_DESARROLLO!X57/N70_DESARROLLO!W57))</f>
        <v>-1.6760838496764352E-2</v>
      </c>
      <c r="CX142" s="1">
        <f>(1+(N70_DESARROLLO!X57/0.014285714)*LN(N70_DESARROLLO!Y57/N70_DESARROLLO!X57))</f>
        <v>-1.7342214446339321E-2</v>
      </c>
      <c r="CY142" s="1">
        <f>(1+(N70_DESARROLLO!Y57/0.014285714)*LN(N70_DESARROLLO!Z57/N70_DESARROLLO!Y57))</f>
        <v>-1.7965374518565724E-2</v>
      </c>
      <c r="CZ142" s="1">
        <f>(1+(N70_DESARROLLO!Z57/0.014285714)*LN(N70_DESARROLLO!AA57/N70_DESARROLLO!Z57))</f>
        <v>-1.8634991582300087E-2</v>
      </c>
      <c r="DA142" s="1">
        <f>(1+(N70_DESARROLLO!AA57/0.014285714)*LN(N70_DESARROLLO!AB57/N70_DESARROLLO!AA57))</f>
        <v>-1.9356462323724788E-2</v>
      </c>
      <c r="DB142" s="1">
        <f>(1+(N70_DESARROLLO!AB57/0.014285714)*LN(N70_DESARROLLO!AC57/N70_DESARROLLO!AB57))</f>
        <v>-2.0136053052048908E-2</v>
      </c>
      <c r="DC142" s="1">
        <f>(1+(N70_DESARROLLO!AC57/0.014285714)*LN(N70_DESARROLLO!AD57/N70_DESARROLLO!AC57))</f>
        <v>-2.098108223353945E-2</v>
      </c>
      <c r="DD142" s="1">
        <f>(1+(N70_DESARROLLO!AD57/0.014285714)*LN(N70_DESARROLLO!AE57/N70_DESARROLLO!AD57))</f>
        <v>-2.1900151021867043E-2</v>
      </c>
      <c r="DE142" s="1">
        <f>(1+(N70_DESARROLLO!AE57/0.014285714)*LN(N70_DESARROLLO!AF57/N70_DESARROLLO!AE57))</f>
        <v>-2.2903437185110453E-2</v>
      </c>
      <c r="DF142" s="1">
        <f>(1+(N70_DESARROLLO!AF57/0.014285714)*LN(N70_DESARROLLO!AG57/N70_DESARROLLO!AF57))</f>
        <v>-2.4003073749032877E-2</v>
      </c>
      <c r="DG142" s="1">
        <f>(1+(N70_DESARROLLO!AG57/0.014285714)*LN(N70_DESARROLLO!AH57/N70_DESARROLLO!AG57))</f>
        <v>-2.5213642284832138E-2</v>
      </c>
      <c r="DH142" s="1">
        <f>(1+(N70_DESARROLLO!AH57/0.014285714)*LN(N70_DESARROLLO!AI57/N70_DESARROLLO!AH57))</f>
        <v>-2.6552823496786448E-2</v>
      </c>
      <c r="DI142" s="1">
        <f>(1+(N70_DESARROLLO!AI57/0.014285714)*LN(N70_DESARROLLO!AJ57/N70_DESARROLLO!AI57))</f>
        <v>-2.8042266924844794E-2</v>
      </c>
      <c r="DJ142" s="1">
        <f>(1+(N70_DESARROLLO!AJ57/0.014285714)*LN(N70_DESARROLLO!AK57/N70_DESARROLLO!AJ57))</f>
        <v>-2.970877099551128E-2</v>
      </c>
      <c r="DK142" s="1">
        <f>(1+(N70_DESARROLLO!AK57/0.014285714)*LN(N70_DESARROLLO!AL57/N70_DESARROLLO!AK57))</f>
        <v>-3.1585910823730412E-2</v>
      </c>
      <c r="DL142" s="1">
        <f>(1+(N70_DESARROLLO!AL57/0.014285714)*LN(N70_DESARROLLO!AM57/N70_DESARROLLO!AL57))</f>
        <v>-3.3716325403747138E-2</v>
      </c>
      <c r="DM142" s="1">
        <f>(1+(N70_DESARROLLO!AM57/0.014285714)*LN(N70_DESARROLLO!AN57/N70_DESARROLLO!AM57))</f>
        <v>-3.6154998464202448E-2</v>
      </c>
      <c r="DN142" s="1">
        <f>(1+(N70_DESARROLLO!AN57/0.014285714)*LN(N70_DESARROLLO!AO57/N70_DESARROLLO!AN57))</f>
        <v>-3.8974076117214151E-2</v>
      </c>
      <c r="DO142" s="1">
        <f>(1+(N70_DESARROLLO!AO57/0.014285714)*LN(N70_DESARROLLO!AP57/N70_DESARROLLO!AO57))</f>
        <v>-4.2270132583537734E-2</v>
      </c>
      <c r="DP142" s="1">
        <f>(1+(N70_DESARROLLO!AP57/0.014285714)*LN(N70_DESARROLLO!AQ57/N70_DESARROLLO!AP57))</f>
        <v>-4.6175470289370413E-2</v>
      </c>
      <c r="DQ142" s="1">
        <f>(1+(N70_DESARROLLO!AQ57/0.014285714)*LN(N70_DESARROLLO!AR57/N70_DESARROLLO!AQ57))</f>
        <v>-5.0876335865839728E-2</v>
      </c>
      <c r="DR142" s="1">
        <f>(1+(N70_DESARROLLO!AR57/0.014285714)*LN(N70_DESARROLLO!AS57/N70_DESARROLLO!AR57))</f>
        <v>-5.6643554680007924E-2</v>
      </c>
      <c r="DS142" s="1">
        <f>(1+(N70_DESARROLLO!AS57/0.014285714)*LN(N70_DESARROLLO!AT57/N70_DESARROLLO!AS57))</f>
        <v>-6.3886736386782106E-2</v>
      </c>
      <c r="DT142" s="1">
        <f>(1+(N70_DESARROLLO!AT57/0.014285714)*LN(N70_DESARROLLO!AU57/N70_DESARROLLO!AT57))</f>
        <v>-7.3256348770182278E-2</v>
      </c>
      <c r="DU142" s="1">
        <f>(1+(N70_DESARROLLO!AU57/0.014285714)*LN(N70_DESARROLLO!AV57/N70_DESARROLLO!AU57))</f>
        <v>-8.5851572027607403E-2</v>
      </c>
      <c r="DV142" s="1">
        <f>(1+(N70_DESARROLLO!AV57/0.014285714)*LN(N70_DESARROLLO!AW57/N70_DESARROLLO!AV57))</f>
        <v>-0.10368884711560433</v>
      </c>
      <c r="DW142" s="1">
        <f>(1+(N70_DESARROLLO!AW57/0.014285714)*LN(N70_DESARROLLO!AX57/N70_DESARROLLO!AW57))</f>
        <v>-0.13091494988238139</v>
      </c>
      <c r="DX142" s="1">
        <f>(1+(N70_DESARROLLO!AX57/0.014285714)*LN(N70_DESARROLLO!AY57/N70_DESARROLLO!AX57))</f>
        <v>-0.17765285172729728</v>
      </c>
      <c r="DY142" s="1">
        <f>(1+(N70_DESARROLLO!AY57/0.014285714)*LN(N70_DESARROLLO!AZ57/N70_DESARROLLO!AY57))</f>
        <v>-0.27706408495626422</v>
      </c>
      <c r="DZ142" s="1">
        <f>(1+(N70_DESARROLLO!AZ57/0.014285714)*LN(N70_DESARROLLO!BA57/N70_DESARROLLO!AZ57))</f>
        <v>-0.64791846596052105</v>
      </c>
      <c r="EA142" s="1">
        <v>1</v>
      </c>
      <c r="EB142" s="1">
        <f>(1+(N70_DESARROLLO!BB57/0.014285714)*LN(N70_DESARROLLO!BC57/N70_DESARROLLO!BB57))</f>
        <v>0.45069384467982399</v>
      </c>
      <c r="EC142" s="1">
        <f>(1+(N70_DESARROLLO!BC57/0.014285714)*LN(N70_DESARROLLO!BD57/N70_DESARROLLO!BC57))</f>
        <v>0.23376154902624291</v>
      </c>
      <c r="ED142" s="1">
        <f>(1+(N70_DESARROLLO!BD57/0.014285714)*LN(N70_DESARROLLO!BE57/N70_DESARROLLO!BD57))</f>
        <v>0.15881939162335801</v>
      </c>
      <c r="EE142" s="1">
        <f>(1+(N70_DESARROLLO!BE57/0.014285714)*LN(N70_DESARROLLO!BF57/N70_DESARROLLO!BE57))</f>
        <v>0.12039948342481499</v>
      </c>
      <c r="EF142" s="1">
        <f>(1+(N70_DESARROLLO!BF57/0.014285714)*LN(N70_DESARROLLO!BG57/N70_DESARROLLO!BF57))</f>
        <v>9.6981852359959819E-2</v>
      </c>
      <c r="EG142" s="1">
        <f>(1+(N70_DESARROLLO!BG57/0.014285714)*LN(N70_DESARROLLO!BH57/N70_DESARROLLO!BG57))</f>
        <v>8.1202515976639744E-2</v>
      </c>
      <c r="EH142" s="1">
        <f>(1+(N70_DESARROLLO!BH57/0.014285714)*LN(N70_DESARROLLO!BI57/N70_DESARROLLO!BH57))</f>
        <v>6.9844497732510002E-2</v>
      </c>
      <c r="EI142" s="1">
        <f>(1+(N70_DESARROLLO!BI57/0.014285714)*LN(N70_DESARROLLO!BJ57/N70_DESARROLLO!BI57))</f>
        <v>6.1276409070486593E-2</v>
      </c>
      <c r="EJ142" s="1">
        <f>(1+(N70_DESARROLLO!BJ57/0.014285714)*LN(N70_DESARROLLO!BK57/N70_DESARROLLO!BJ57))</f>
        <v>5.4582082654729969E-2</v>
      </c>
      <c r="EK142" s="1">
        <f>(1+(N70_DESARROLLO!BK57/0.014285714)*LN(N70_DESARROLLO!BL57/N70_DESARROLLO!BK57))</f>
        <v>4.9207124692811632E-2</v>
      </c>
      <c r="EL142" s="1">
        <f>(1+(N70_DESARROLLO!BL57/0.014285714)*LN(N70_DESARROLLO!BM57/N70_DESARROLLO!BL57))</f>
        <v>4.4796309735791184E-2</v>
      </c>
      <c r="EM142" s="1">
        <f>(1+(N70_DESARROLLO!BM57/0.014285714)*LN(N70_DESARROLLO!BN57/N70_DESARROLLO!BM57))</f>
        <v>4.1111478023145409E-2</v>
      </c>
      <c r="EN142" s="1">
        <f>(1+(N70_DESARROLLO!BN57/0.014285714)*LN(N70_DESARROLLO!BO57/N70_DESARROLLO!BN57))</f>
        <v>3.7986966558132274E-2</v>
      </c>
      <c r="EO142" s="1">
        <f>(1+(N70_DESARROLLO!BO57/0.014285714)*LN(N70_DESARROLLO!BP57/N70_DESARROLLO!BO57))</f>
        <v>3.5303966947126675E-2</v>
      </c>
      <c r="EP142" s="1">
        <f>(1+(N70_DESARROLLO!BP57/0.014285714)*LN(N70_DESARROLLO!BQ57/N70_DESARROLLO!BP57))</f>
        <v>3.2975050428749264E-2</v>
      </c>
      <c r="EQ142" s="1">
        <f>(1+(N70_DESARROLLO!BQ57/0.014285714)*LN(N70_DESARROLLO!BR57/N70_DESARROLLO!BQ57))</f>
        <v>3.0934447408016319E-2</v>
      </c>
      <c r="ER142" s="1">
        <f>(1+(N70_DESARROLLO!BR57/0.014285714)*LN(N70_DESARROLLO!BS57/N70_DESARROLLO!BR57))</f>
        <v>2.9131730204237316E-2</v>
      </c>
      <c r="ES142" s="1">
        <f>(1+(N70_DESARROLLO!BS57/0.014285714)*LN(N70_DESARROLLO!BT57/N70_DESARROLLO!BS57))</f>
        <v>2.7527585341359684E-2</v>
      </c>
      <c r="ET142" s="1">
        <f>(1+(N70_DESARROLLO!BT57/0.014285714)*LN(N70_DESARROLLO!BU57/N70_DESARROLLO!BT57))</f>
        <v>2.6090911041513509E-2</v>
      </c>
      <c r="EU142" s="1">
        <f>(1+(N70_DESARROLLO!BU57/0.014285714)*LN(N70_DESARROLLO!BV57/N70_DESARROLLO!BU57))</f>
        <v>2.4796779290034321E-2</v>
      </c>
      <c r="EV142" s="1">
        <f>(1+(N70_DESARROLLO!BV57/0.014285714)*LN(N70_DESARROLLO!BW57/N70_DESARROLLO!BV57))</f>
        <v>2.3624976192783476E-2</v>
      </c>
      <c r="EW142" s="1">
        <f>(1+(N70_DESARROLLO!BW57/0.014285714)*LN(N70_DESARROLLO!BX57/N70_DESARROLLO!BW57))</f>
        <v>-24.379510106278651</v>
      </c>
    </row>
    <row r="143" spans="7:153" x14ac:dyDescent="0.25">
      <c r="G143" s="3">
        <v>49</v>
      </c>
      <c r="H143" s="3">
        <f>-(N70_DESARROLLO!G58/0.014285714)*LN(N70_DESARROLLO!G58/N70_DESARROLLO!F58)-1</f>
        <v>-1.0380852322626088E-2</v>
      </c>
      <c r="I143" s="3">
        <f>-(N70_DESARROLLO!H58/0.014285714)*LN(N70_DESARROLLO!H58/N70_DESARROLLO!G58)-1</f>
        <v>-1.0600952413268083E-2</v>
      </c>
      <c r="J143" s="3">
        <f>-(N70_DESARROLLO!I58/0.014285714)*LN(N70_DESARROLLO!I58/N70_DESARROLLO!H58)-1</f>
        <v>-1.0830588260149487E-2</v>
      </c>
      <c r="K143" s="3">
        <f>-(N70_DESARROLLO!J58/0.014285714)*LN(N70_DESARROLLO!J58/N70_DESARROLLO!I58)-1</f>
        <v>-1.1070393301797377E-2</v>
      </c>
      <c r="L143" s="3">
        <f>-(N70_DESARROLLO!K58/0.014285714)*LN(N70_DESARROLLO!K58/N70_DESARROLLO!J58)-1</f>
        <v>-1.1321058352732338E-2</v>
      </c>
      <c r="M143" s="3">
        <f>-(N70_DESARROLLO!L58/0.014285714)*LN(N70_DESARROLLO!L58/N70_DESARROLLO!K58)-1</f>
        <v>-1.1583338250304442E-2</v>
      </c>
      <c r="N143" s="3">
        <f>-(N70_DESARROLLO!M58/0.014285714)*LN(N70_DESARROLLO!M58/N70_DESARROLLO!L58)-1</f>
        <v>-1.185805944784557E-2</v>
      </c>
      <c r="O143" s="3">
        <f>-(N70_DESARROLLO!N58/0.014285714)*LN(N70_DESARROLLO!N58/N70_DESARROLLO!M58)-1</f>
        <v>-1.2146128714473514E-2</v>
      </c>
      <c r="P143" s="3">
        <f>-(N70_DESARROLLO!O58/0.014285714)*LN(N70_DESARROLLO!O58/N70_DESARROLLO!N58)-1</f>
        <v>-1.2448543134993217E-2</v>
      </c>
      <c r="Q143" s="3">
        <f>-(N70_DESARROLLO!P58/0.014285714)*LN(N70_DESARROLLO!P58/N70_DESARROLLO!O58)-1</f>
        <v>-1.2766401641831959E-2</v>
      </c>
      <c r="R143" s="3">
        <f>-(N70_DESARROLLO!Q58/0.014285714)*LN(N70_DESARROLLO!Q58/N70_DESARROLLO!P58)-1</f>
        <v>-1.3100918360510971E-2</v>
      </c>
      <c r="S143" s="3">
        <f>-(N70_DESARROLLO!R58/0.014285714)*LN(N70_DESARROLLO!R58/N70_DESARROLLO!Q58)-1</f>
        <v>-1.3453438110011762E-2</v>
      </c>
      <c r="T143" s="3">
        <f>-(N70_DESARROLLO!S58/0.014285714)*LN(N70_DESARROLLO!S58/N70_DESARROLLO!R58)-1</f>
        <v>-1.3825454475325571E-2</v>
      </c>
      <c r="U143" s="3">
        <f>-(N70_DESARROLLO!T58/0.014285714)*LN(N70_DESARROLLO!T58/N70_DESARROLLO!S58)-1</f>
        <v>-1.4218630964444534E-2</v>
      </c>
      <c r="V143" s="3">
        <f>-(N70_DESARROLLO!U58/0.014285714)*LN(N70_DESARROLLO!U58/N70_DESARROLLO!T58)-1</f>
        <v>-1.4634825881865821E-2</v>
      </c>
      <c r="W143" s="3">
        <f>-(N70_DESARROLLO!V58/0.014285714)*LN(N70_DESARROLLO!V58/N70_DESARROLLO!U58)-1</f>
        <v>-1.5076121703336054E-2</v>
      </c>
      <c r="X143" s="3">
        <f>-(N70_DESARROLLO!W58/0.014285714)*LN(N70_DESARROLLO!W58/N70_DESARROLLO!V58)-1</f>
        <v>-1.5544859931604371E-2</v>
      </c>
      <c r="Y143" s="3">
        <f>-(N70_DESARROLLO!X58/0.014285714)*LN(N70_DESARROLLO!X58/N70_DESARROLLO!W58)-1</f>
        <v>-1.6043682665123127E-2</v>
      </c>
      <c r="Z143" s="3">
        <f>-(N70_DESARROLLO!Y58/0.014285714)*LN(N70_DESARROLLO!Y58/N70_DESARROLLO!X58)-1</f>
        <v>-1.6575582437552416E-2</v>
      </c>
      <c r="AA143" s="3">
        <f>-(N70_DESARROLLO!Z58/0.014285714)*LN(N70_DESARROLLO!Z58/N70_DESARROLLO!Y58)-1</f>
        <v>-1.7143962314553618E-2</v>
      </c>
      <c r="AB143" s="3">
        <f>-(N70_DESARROLLO!AA58/0.014285714)*LN(N70_DESARROLLO!AA58/N70_DESARROLLO!Z58)-1</f>
        <v>-1.7752708797875383E-2</v>
      </c>
      <c r="AC143" s="3">
        <f>-(N70_DESARROLLO!AB58/0.014285714)*LN(N70_DESARROLLO!AB58/N70_DESARROLLO!AA58)-1</f>
        <v>-1.8406280838874522E-2</v>
      </c>
      <c r="AD143" s="3">
        <f>-(N70_DESARROLLO!AC58/0.014285714)*LN(N70_DESARROLLO!AC58/N70_DESARROLLO!AB58)-1</f>
        <v>-1.9109819273397055E-2</v>
      </c>
      <c r="AE143" s="3">
        <f>-(N70_DESARROLLO!AD58/0.014285714)*LN(N70_DESARROLLO!AD58/N70_DESARROLLO!AC58)-1</f>
        <v>-1.9869282361757001E-2</v>
      </c>
      <c r="AF143" s="3">
        <f>-(N70_DESARROLLO!AE58/0.014285714)*LN(N70_DESARROLLO!AE58/N70_DESARROLLO!AD58)-1</f>
        <v>-2.0691615000482666E-2</v>
      </c>
      <c r="AG143" s="3">
        <f>-(N70_DESARROLLO!AF58/0.014285714)*LN(N70_DESARROLLO!AF58/N70_DESARROLLO!AE58)-1</f>
        <v>-2.1584961787574186E-2</v>
      </c>
      <c r="AH143" s="3">
        <f>-(N70_DESARROLLO!AG58/0.014285714)*LN(N70_DESARROLLO!AG58/N70_DESARROLLO!AF58)-1</f>
        <v>-2.2558937800899459E-2</v>
      </c>
      <c r="AI143" s="3">
        <f>-(N70_DESARROLLO!AH58/0.014285714)*LN(N70_DESARROLLO!AH58/N70_DESARROLLO!AG58)-1</f>
        <v>-2.3624976192780478E-2</v>
      </c>
      <c r="AJ143" s="3">
        <f>-(N70_DESARROLLO!AI58/0.014285714)*LN(N70_DESARROLLO!AI58/N70_DESARROLLO!AH58)-1</f>
        <v>-2.4796779290037874E-2</v>
      </c>
      <c r="AK143" s="3">
        <f>-(N70_DESARROLLO!AJ58/0.014285714)*LN(N70_DESARROLLO!AJ58/N70_DESARROLLO!AI58)-1</f>
        <v>-2.6090911041510623E-2</v>
      </c>
      <c r="AL143" s="3">
        <f>-(N70_DESARROLLO!AK58/0.014285714)*LN(N70_DESARROLLO!AK58/N70_DESARROLLO!AJ58)-1</f>
        <v>-2.7527585341363237E-2</v>
      </c>
      <c r="AM143" s="3">
        <f>-(N70_DESARROLLO!AL58/0.014285714)*LN(N70_DESARROLLO!AL58/N70_DESARROLLO!AK58)-1</f>
        <v>-2.9131730204232431E-2</v>
      </c>
      <c r="AN143" s="3">
        <f>-(N70_DESARROLLO!AM58/0.014285714)*LN(N70_DESARROLLO!AM58/N70_DESARROLLO!AL58)-1</f>
        <v>-3.0934447408011101E-2</v>
      </c>
      <c r="AO143" s="3">
        <f>-(N70_DESARROLLO!AN58/0.014285714)*LN(N70_DESARROLLO!AN58/N70_DESARROLLO!AM58)-1</f>
        <v>-3.2975050428753039E-2</v>
      </c>
      <c r="AP143" s="3">
        <f>-(N70_DESARROLLO!AO58/0.014285714)*LN(N70_DESARROLLO!AO58/N70_DESARROLLO!AN58)-1</f>
        <v>-3.5303966947122234E-2</v>
      </c>
      <c r="AQ143" s="3">
        <f>-(N70_DESARROLLO!AP58/0.014285714)*LN(N70_DESARROLLO!AP58/N70_DESARROLLO!AO58)-1</f>
        <v>-3.7986966558138158E-2</v>
      </c>
      <c r="AR143" s="3">
        <f>-(N70_DESARROLLO!AQ58/0.014285714)*LN(N70_DESARROLLO!AQ58/N70_DESARROLLO!AP58)-1</f>
        <v>-4.1111478023138859E-2</v>
      </c>
      <c r="AS143" s="3">
        <f>-(N70_DESARROLLO!AR58/0.014285714)*LN(N70_DESARROLLO!AR58/N70_DESARROLLO!AQ58)-1</f>
        <v>-4.4796309735798956E-2</v>
      </c>
      <c r="AT143" s="3">
        <f>-(N70_DESARROLLO!AS58/0.014285714)*LN(N70_DESARROLLO!AS58/N70_DESARROLLO!AR58)-1</f>
        <v>-4.9207124692804083E-2</v>
      </c>
      <c r="AU143" s="3">
        <f>-(N70_DESARROLLO!AT58/0.014285714)*LN(N70_DESARROLLO!AT58/N70_DESARROLLO!AS58)-1</f>
        <v>-5.4582082654737407E-2</v>
      </c>
      <c r="AV143" s="3">
        <f>-(N70_DESARROLLO!AU58/0.014285714)*LN(N70_DESARROLLO!AU58/N70_DESARROLLO!AT58)-1</f>
        <v>-6.1276409070479487E-2</v>
      </c>
      <c r="AW143" s="3">
        <f>-(N70_DESARROLLO!AV58/0.014285714)*LN(N70_DESARROLLO!AV58/N70_DESARROLLO!AU58)-1</f>
        <v>-6.9844497732515998E-2</v>
      </c>
      <c r="AX143" s="3">
        <f>-(N70_DESARROLLO!AW58/0.014285714)*LN(N70_DESARROLLO!AW58/N70_DESARROLLO!AV58)-1</f>
        <v>-8.1202515976639078E-2</v>
      </c>
      <c r="AY143" s="3">
        <f>-(N70_DESARROLLO!AX58/0.014285714)*LN(N70_DESARROLLO!AX58/N70_DESARROLLO!AW58)-1</f>
        <v>-9.6981852359953602E-2</v>
      </c>
      <c r="AZ143" s="3">
        <f>-(N70_DESARROLLO!AY58/0.014285714)*LN(N70_DESARROLLO!AY58/N70_DESARROLLO!AX58)-1</f>
        <v>-0.12039948342482121</v>
      </c>
      <c r="BA143" s="3">
        <f>-(N70_DESARROLLO!AZ58/0.014285714)*LN(N70_DESARROLLO!AZ58/N70_DESARROLLO!AY58)-1</f>
        <v>-0.15881939162335246</v>
      </c>
      <c r="BB143" s="3">
        <f>-(N70_DESARROLLO!BA58/0.014285714)*LN(N70_DESARROLLO!BA58/N70_DESARROLLO!AZ58)-1</f>
        <v>-0.23376154902624657</v>
      </c>
      <c r="BC143" s="3">
        <f>-(N70_DESARROLLO!BB58/0.014285714)*LN(N70_DESARROLLO!BB58/N70_DESARROLLO!BA58)-1</f>
        <v>-0.45069384467982143</v>
      </c>
      <c r="BD143" s="3">
        <v>-1</v>
      </c>
      <c r="BE143" s="3">
        <f>-(N70_DESARROLLO!BD58/0.014285714)*LN(N70_DESARROLLO!BD58/N70_DESARROLLO!BC58)-1</f>
        <v>0.64791846596054437</v>
      </c>
      <c r="BF143" s="3">
        <f>-(N70_DESARROLLO!BE58/0.014285714)*LN(N70_DESARROLLO!BE58/N70_DESARROLLO!BD58)-1</f>
        <v>0.2770640849562529</v>
      </c>
      <c r="BG143" s="3">
        <f>-(N70_DESARROLLO!BF58/0.014285714)*LN(N70_DESARROLLO!BF58/N70_DESARROLLO!BE58)-1</f>
        <v>0.17765285172730816</v>
      </c>
      <c r="BH143" s="3">
        <f>-(N70_DESARROLLO!BG58/0.014285714)*LN(N70_DESARROLLO!BG58/N70_DESARROLLO!BF58)-1</f>
        <v>0.13091494988237184</v>
      </c>
      <c r="BI143" s="3">
        <f>-(N70_DESARROLLO!BH58/0.014285714)*LN(N70_DESARROLLO!BH58/N70_DESARROLLO!BG58)-1</f>
        <v>0.10368884711560411</v>
      </c>
      <c r="BJ143" s="3">
        <f>-(N70_DESARROLLO!BI58/0.014285714)*LN(N70_DESARROLLO!BI58/N70_DESARROLLO!BH58)-1</f>
        <v>8.5851572027616951E-2</v>
      </c>
      <c r="BK143" s="3">
        <f>-(N70_DESARROLLO!BJ58/0.014285714)*LN(N70_DESARROLLO!BJ58/N70_DESARROLLO!BI58)-1</f>
        <v>7.3256348770172952E-2</v>
      </c>
      <c r="BL143" s="3">
        <f>-(N70_DESARROLLO!BK58/0.014285714)*LN(N70_DESARROLLO!BK58/N70_DESARROLLO!BJ58)-1</f>
        <v>6.3886736386790766E-2</v>
      </c>
      <c r="BM143" s="3">
        <f>-(N70_DESARROLLO!BL58/0.014285714)*LN(N70_DESARROLLO!BL58/N70_DESARROLLO!BK58)-1</f>
        <v>5.664355467999882E-2</v>
      </c>
      <c r="BN143" s="3">
        <f>-(N70_DESARROLLO!BM58/0.014285714)*LN(N70_DESARROLLO!BM58/N70_DESARROLLO!BL58)-1</f>
        <v>5.0876335865848832E-2</v>
      </c>
      <c r="BO143" s="3">
        <f>-(N70_DESARROLLO!BN58/0.014285714)*LN(N70_DESARROLLO!BN58/N70_DESARROLLO!BM58)-1</f>
        <v>4.6175470289362641E-2</v>
      </c>
      <c r="BP143" s="3">
        <f>-(N70_DESARROLLO!BO58/0.014285714)*LN(N70_DESARROLLO!BO58/N70_DESARROLLO!BN58)-1</f>
        <v>4.2270132583545728E-2</v>
      </c>
      <c r="BQ143" s="3">
        <f>-(N70_DESARROLLO!BP58/0.014285714)*LN(N70_DESARROLLO!BP58/N70_DESARROLLO!BO58)-1</f>
        <v>3.8974076117209266E-2</v>
      </c>
      <c r="BR143" s="3">
        <f>-(N70_DESARROLLO!BQ58/0.014285714)*LN(N70_DESARROLLO!BQ58/N70_DESARROLLO!BP58)-1</f>
        <v>3.6154998464206445E-2</v>
      </c>
      <c r="BS143" s="3">
        <f>-(N70_DESARROLLO!BR58/0.014285714)*LN(N70_DESARROLLO!BR58/N70_DESARROLLO!BQ58)-1</f>
        <v>3.3716325403741587E-2</v>
      </c>
      <c r="BT143" s="3">
        <f>-(N70_DESARROLLO!BS58/0.014285714)*LN(N70_DESARROLLO!BS58/N70_DESARROLLO!BR58)-1</f>
        <v>3.1585910823724417E-2</v>
      </c>
      <c r="BU143" s="3">
        <f>-(N70_DESARROLLO!BT58/0.014285714)*LN(N70_DESARROLLO!BT58/N70_DESARROLLO!BS58)-1</f>
        <v>2.97087709955135E-2</v>
      </c>
      <c r="BV143" s="3">
        <f>-(N70_DESARROLLO!BU58/0.014285714)*LN(N70_DESARROLLO!BU58/N70_DESARROLLO!BT58)-1</f>
        <v>2.8042266924840797E-2</v>
      </c>
      <c r="BW143" s="3">
        <f>-(N70_DESARROLLO!BV58/0.014285714)*LN(N70_DESARROLLO!BV58/N70_DESARROLLO!BU58)-1</f>
        <v>2.6552823496791333E-2</v>
      </c>
      <c r="BX143" s="3">
        <f>-(N70_DESARROLLO!BW58/0.014285714)*LN(N70_DESARROLLO!BW58/N70_DESARROLLO!BV58)-1</f>
        <v>2.5213642284827253E-2</v>
      </c>
      <c r="BY143" s="3">
        <f>-(N70_DESARROLLO!BX58/0.014285714)*LN(N70_DESARROLLO!BX58/N70_DESARROLLO!BW58)-1</f>
        <v>84.9649266326483</v>
      </c>
      <c r="CD143">
        <v>49</v>
      </c>
      <c r="CE143" s="1">
        <v>0</v>
      </c>
      <c r="CF143" s="1">
        <f>(1+(N70_DESARROLLO!F58/0.014285714)*LN(N70_DESARROLLO!G58/N70_DESARROLLO!F58))</f>
        <v>-1.0453234996897542E-2</v>
      </c>
      <c r="CG143" s="1">
        <f>(1+(N70_DESARROLLO!G58/0.014285714)*LN(N70_DESARROLLO!H58/N70_DESARROLLO!G58))</f>
        <v>-1.0676446459564781E-2</v>
      </c>
      <c r="CH143" s="1">
        <f>(1+(N70_DESARROLLO!H58/0.014285714)*LN(N70_DESARROLLO!I58/N70_DESARROLLO!H58))</f>
        <v>-1.0909398811056015E-2</v>
      </c>
      <c r="CI143" s="1">
        <f>(1+(N70_DESARROLLO!I58/0.014285714)*LN(N70_DESARROLLO!J58/N70_DESARROLLO!I58))</f>
        <v>-1.1152743927375752E-2</v>
      </c>
      <c r="CJ143" s="1">
        <f>(1+(N70_DESARROLLO!J58/0.014285714)*LN(N70_DESARROLLO!K58/N70_DESARROLLO!J58))</f>
        <v>-1.1407193179388653E-2</v>
      </c>
      <c r="CK143" s="1">
        <f>(1+(N70_DESARROLLO!K58/0.014285714)*LN(N70_DESARROLLO!L58/N70_DESARROLLO!K58))</f>
        <v>-1.1673524379100408E-2</v>
      </c>
      <c r="CL143" s="1">
        <f>(1+(N70_DESARROLLO!L58/0.014285714)*LN(N70_DESARROLLO!M58/N70_DESARROLLO!L58))</f>
        <v>-1.1952589722085794E-2</v>
      </c>
      <c r="CM143" s="1">
        <f>(1+(N70_DESARROLLO!M58/0.014285714)*LN(N70_DESARROLLO!N58/N70_DESARROLLO!M58))</f>
        <v>-1.2245324897514953E-2</v>
      </c>
      <c r="CN143" s="1">
        <f>(1+(N70_DESARROLLO!N58/0.014285714)*LN(N70_DESARROLLO!O58/N70_DESARROLLO!N58))</f>
        <v>-1.2552759570449767E-2</v>
      </c>
      <c r="CO143" s="1">
        <f>(1+(N70_DESARROLLO!O58/0.014285714)*LN(N70_DESARROLLO!P58/N70_DESARROLLO!O58))</f>
        <v>-1.2876029484353957E-2</v>
      </c>
      <c r="CP143" s="1">
        <f>(1+(N70_DESARROLLO!P58/0.014285714)*LN(N70_DESARROLLO!Q58/N70_DESARROLLO!P58))</f>
        <v>-1.3216390483208995E-2</v>
      </c>
      <c r="CQ143" s="1">
        <f>(1+(N70_DESARROLLO!Q58/0.014285714)*LN(N70_DESARROLLO!R58/N70_DESARROLLO!Q58))</f>
        <v>-1.3575234818481219E-2</v>
      </c>
      <c r="CR143" s="1">
        <f>(1+(N70_DESARROLLO!R58/0.014285714)*LN(N70_DESARROLLO!S58/N70_DESARROLLO!R58))</f>
        <v>-1.3954110187341273E-2</v>
      </c>
      <c r="CS143" s="1">
        <f>(1+(N70_DESARROLLO!S58/0.014285714)*LN(N70_DESARROLLO!T58/N70_DESARROLLO!S58))</f>
        <v>-1.4354742051078784E-2</v>
      </c>
      <c r="CT143" s="1">
        <f>(1+(N70_DESARROLLO!T58/0.014285714)*LN(N70_DESARROLLO!U58/N70_DESARROLLO!T58))</f>
        <v>-1.4779059912705339E-2</v>
      </c>
      <c r="CU143" s="1">
        <f>(1+(N70_DESARROLLO!U58/0.014285714)*LN(N70_DESARROLLO!V58/N70_DESARROLLO!U58))</f>
        <v>-1.5229228398099703E-2</v>
      </c>
      <c r="CV143" s="1">
        <f>(1+(N70_DESARROLLO!V58/0.014285714)*LN(N70_DESARROLLO!W58/N70_DESARROLLO!V58))</f>
        <v>-1.5707684197551197E-2</v>
      </c>
      <c r="CW143" s="1">
        <f>(1+(N70_DESARROLLO!W58/0.014285714)*LN(N70_DESARROLLO!X58/N70_DESARROLLO!W58))</f>
        <v>-1.6217180198315306E-2</v>
      </c>
      <c r="CX143" s="1">
        <f>(1+(N70_DESARROLLO!X58/0.014285714)*LN(N70_DESARROLLO!Y58/N70_DESARROLLO!X58))</f>
        <v>-1.6760838496767905E-2</v>
      </c>
      <c r="CY143" s="1">
        <f>(1+(N70_DESARROLLO!Y58/0.014285714)*LN(N70_DESARROLLO!Z58/N70_DESARROLLO!Y58))</f>
        <v>-1.7342214446339321E-2</v>
      </c>
      <c r="CZ143" s="1">
        <f>(1+(N70_DESARROLLO!Z58/0.014285714)*LN(N70_DESARROLLO!AA58/N70_DESARROLLO!Z58))</f>
        <v>-1.7965374518565502E-2</v>
      </c>
      <c r="DA143" s="1">
        <f>(1+(N70_DESARROLLO!AA58/0.014285714)*LN(N70_DESARROLLO!AB58/N70_DESARROLLO!AA58))</f>
        <v>-1.8634991582299865E-2</v>
      </c>
      <c r="DB143" s="1">
        <f>(1+(N70_DESARROLLO!AB58/0.014285714)*LN(N70_DESARROLLO!AC58/N70_DESARROLLO!AB58))</f>
        <v>-1.9356462323724788E-2</v>
      </c>
      <c r="DC143" s="1">
        <f>(1+(N70_DESARROLLO!AC58/0.014285714)*LN(N70_DESARROLLO!AD58/N70_DESARROLLO!AC58))</f>
        <v>-2.0136053052048908E-2</v>
      </c>
      <c r="DD143" s="1">
        <f>(1+(N70_DESARROLLO!AD58/0.014285714)*LN(N70_DESARROLLO!AE58/N70_DESARROLLO!AD58))</f>
        <v>-2.098108223353945E-2</v>
      </c>
      <c r="DE143" s="1">
        <f>(1+(N70_DESARROLLO!AE58/0.014285714)*LN(N70_DESARROLLO!AF58/N70_DESARROLLO!AE58))</f>
        <v>-2.190015102186682E-2</v>
      </c>
      <c r="DF143" s="1">
        <f>(1+(N70_DESARROLLO!AF58/0.014285714)*LN(N70_DESARROLLO!AG58/N70_DESARROLLO!AF58))</f>
        <v>-2.2903437185105124E-2</v>
      </c>
      <c r="DG143" s="1">
        <f>(1+(N70_DESARROLLO!AG58/0.014285714)*LN(N70_DESARROLLO!AH58/N70_DESARROLLO!AG58))</f>
        <v>-2.4003073749035098E-2</v>
      </c>
      <c r="DH143" s="1">
        <f>(1+(N70_DESARROLLO!AH58/0.014285714)*LN(N70_DESARROLLO!AI58/N70_DESARROLLO!AH58))</f>
        <v>-2.5213642284832138E-2</v>
      </c>
      <c r="DI143" s="1">
        <f>(1+(N70_DESARROLLO!AI58/0.014285714)*LN(N70_DESARROLLO!AJ58/N70_DESARROLLO!AI58))</f>
        <v>-2.6552823496786004E-2</v>
      </c>
      <c r="DJ143" s="1">
        <f>(1+(N70_DESARROLLO!AJ58/0.014285714)*LN(N70_DESARROLLO!AK58/N70_DESARROLLO!AJ58))</f>
        <v>-2.8042266924844572E-2</v>
      </c>
      <c r="DK143" s="1">
        <f>(1+(N70_DESARROLLO!AK58/0.014285714)*LN(N70_DESARROLLO!AL58/N70_DESARROLLO!AK58))</f>
        <v>-2.9708770995511058E-2</v>
      </c>
      <c r="DL143" s="1">
        <f>(1+(N70_DESARROLLO!AL58/0.014285714)*LN(N70_DESARROLLO!AM58/N70_DESARROLLO!AL58))</f>
        <v>-3.158591082373019E-2</v>
      </c>
      <c r="DM143" s="1">
        <f>(1+(N70_DESARROLLO!AM58/0.014285714)*LN(N70_DESARROLLO!AN58/N70_DESARROLLO!AM58))</f>
        <v>-3.3716325403746916E-2</v>
      </c>
      <c r="DN143" s="1">
        <f>(1+(N70_DESARROLLO!AN58/0.014285714)*LN(N70_DESARROLLO!AO58/N70_DESARROLLO!AN58))</f>
        <v>-3.6154998464202004E-2</v>
      </c>
      <c r="DO143" s="1">
        <f>(1+(N70_DESARROLLO!AO58/0.014285714)*LN(N70_DESARROLLO!AP58/N70_DESARROLLO!AO58))</f>
        <v>-3.8974076117210377E-2</v>
      </c>
      <c r="DP143" s="1">
        <f>(1+(N70_DESARROLLO!AP58/0.014285714)*LN(N70_DESARROLLO!AQ58/N70_DESARROLLO!AP58))</f>
        <v>-4.2270132583545061E-2</v>
      </c>
      <c r="DQ143" s="1">
        <f>(1+(N70_DESARROLLO!AQ58/0.014285714)*LN(N70_DESARROLLO!AR58/N70_DESARROLLO!AQ58))</f>
        <v>-4.6175470289362641E-2</v>
      </c>
      <c r="DR143" s="1">
        <f>(1+(N70_DESARROLLO!AR58/0.014285714)*LN(N70_DESARROLLO!AS58/N70_DESARROLLO!AR58))</f>
        <v>-5.087633586584861E-2</v>
      </c>
      <c r="DS143" s="1">
        <f>(1+(N70_DESARROLLO!AS58/0.014285714)*LN(N70_DESARROLLO!AT58/N70_DESARROLLO!AS58))</f>
        <v>-5.664355467999882E-2</v>
      </c>
      <c r="DT143" s="1">
        <f>(1+(N70_DESARROLLO!AT58/0.014285714)*LN(N70_DESARROLLO!AU58/N70_DESARROLLO!AT58))</f>
        <v>-6.3886736386790544E-2</v>
      </c>
      <c r="DU143" s="1">
        <f>(1+(N70_DESARROLLO!AU58/0.014285714)*LN(N70_DESARROLLO!AV58/N70_DESARROLLO!AU58))</f>
        <v>-7.3256348770173396E-2</v>
      </c>
      <c r="DV143" s="1">
        <f>(1+(N70_DESARROLLO!AV58/0.014285714)*LN(N70_DESARROLLO!AW58/N70_DESARROLLO!AV58))</f>
        <v>-8.5851572027607403E-2</v>
      </c>
      <c r="DW143" s="1">
        <f>(1+(N70_DESARROLLO!AW58/0.014285714)*LN(N70_DESARROLLO!AX58/N70_DESARROLLO!AW58))</f>
        <v>-0.10368884711561321</v>
      </c>
      <c r="DX143" s="1">
        <f>(1+(N70_DESARROLLO!AX58/0.014285714)*LN(N70_DESARROLLO!AY58/N70_DESARROLLO!AX58))</f>
        <v>-0.13091494988237162</v>
      </c>
      <c r="DY143" s="1">
        <f>(1+(N70_DESARROLLO!AY58/0.014285714)*LN(N70_DESARROLLO!AZ58/N70_DESARROLLO!AY58))</f>
        <v>-0.17765285172730816</v>
      </c>
      <c r="DZ143" s="1">
        <f>(1+(N70_DESARROLLO!AZ58/0.014285714)*LN(N70_DESARROLLO!BA58/N70_DESARROLLO!AZ58))</f>
        <v>-0.27706408495625312</v>
      </c>
      <c r="EA143" s="1">
        <f>(1+(N70_DESARROLLO!BA58/0.014285714)*LN(N70_DESARROLLO!BB58/N70_DESARROLLO!BA58))</f>
        <v>-0.64791846596054437</v>
      </c>
      <c r="EB143" s="1">
        <v>1</v>
      </c>
      <c r="EC143" s="1">
        <f>(1+(N70_DESARROLLO!BC58/0.014285714)*LN(N70_DESARROLLO!BD58/N70_DESARROLLO!BC58))</f>
        <v>0.45069384467982143</v>
      </c>
      <c r="ED143" s="1">
        <f>(1+(N70_DESARROLLO!BD58/0.014285714)*LN(N70_DESARROLLO!BE58/N70_DESARROLLO!BD58))</f>
        <v>0.2337615490262468</v>
      </c>
      <c r="EE143" s="1">
        <f>(1+(N70_DESARROLLO!BE58/0.014285714)*LN(N70_DESARROLLO!BF58/N70_DESARROLLO!BE58))</f>
        <v>0.15881939162335246</v>
      </c>
      <c r="EF143" s="1">
        <f>(1+(N70_DESARROLLO!BF58/0.014285714)*LN(N70_DESARROLLO!BG58/N70_DESARROLLO!BF58))</f>
        <v>0.12039948342482099</v>
      </c>
      <c r="EG143" s="1">
        <f>(1+(N70_DESARROLLO!BG58/0.014285714)*LN(N70_DESARROLLO!BH58/N70_DESARROLLO!BG58))</f>
        <v>9.6981852359959819E-2</v>
      </c>
      <c r="EH143" s="1">
        <f>(1+(N70_DESARROLLO!BH58/0.014285714)*LN(N70_DESARROLLO!BI58/N70_DESARROLLO!BH58))</f>
        <v>8.1202515976632528E-2</v>
      </c>
      <c r="EI143" s="1">
        <f>(1+(N70_DESARROLLO!BI58/0.014285714)*LN(N70_DESARROLLO!BJ58/N70_DESARROLLO!BI58))</f>
        <v>6.9844497732516331E-2</v>
      </c>
      <c r="EJ143" s="1">
        <f>(1+(N70_DESARROLLO!BJ58/0.014285714)*LN(N70_DESARROLLO!BK58/N70_DESARROLLO!BJ58))</f>
        <v>6.1276409070479265E-2</v>
      </c>
      <c r="EK143" s="1">
        <f>(1+(N70_DESARROLLO!BK58/0.014285714)*LN(N70_DESARROLLO!BL58/N70_DESARROLLO!BK58))</f>
        <v>5.4582082654737407E-2</v>
      </c>
      <c r="EL143" s="1">
        <f>(1+(N70_DESARROLLO!BL58/0.014285714)*LN(N70_DESARROLLO!BM58/N70_DESARROLLO!BL58))</f>
        <v>4.9207124692803972E-2</v>
      </c>
      <c r="EM143" s="1">
        <f>(1+(N70_DESARROLLO!BM58/0.014285714)*LN(N70_DESARROLLO!BN58/N70_DESARROLLO!BM58))</f>
        <v>4.4796309735798956E-2</v>
      </c>
      <c r="EN143" s="1">
        <f>(1+(N70_DESARROLLO!BN58/0.014285714)*LN(N70_DESARROLLO!BO58/N70_DESARROLLO!BN58))</f>
        <v>4.1111478023138415E-2</v>
      </c>
      <c r="EO143" s="1">
        <f>(1+(N70_DESARROLLO!BO58/0.014285714)*LN(N70_DESARROLLO!BP58/N70_DESARROLLO!BO58))</f>
        <v>3.7986966558139379E-2</v>
      </c>
      <c r="EP143" s="1">
        <f>(1+(N70_DESARROLLO!BP58/0.014285714)*LN(N70_DESARROLLO!BQ58/N70_DESARROLLO!BP58))</f>
        <v>3.5303966947118459E-2</v>
      </c>
      <c r="EQ143" s="1">
        <f>(1+(N70_DESARROLLO!BQ58/0.014285714)*LN(N70_DESARROLLO!BR58/N70_DESARROLLO!BQ58))</f>
        <v>3.2975050428757702E-2</v>
      </c>
      <c r="ER143" s="1">
        <f>(1+(N70_DESARROLLO!BR58/0.014285714)*LN(N70_DESARROLLO!BS58/N70_DESARROLLO!BR58))</f>
        <v>3.0934447408016319E-2</v>
      </c>
      <c r="ES143" s="1">
        <f>(1+(N70_DESARROLLO!BS58/0.014285714)*LN(N70_DESARROLLO!BT58/N70_DESARROLLO!BS58))</f>
        <v>2.9131730204230433E-2</v>
      </c>
      <c r="ET143" s="1">
        <f>(1+(N70_DESARROLLO!BT58/0.014285714)*LN(N70_DESARROLLO!BU58/N70_DESARROLLO!BT58))</f>
        <v>2.7527585341366678E-2</v>
      </c>
      <c r="EU143" s="1">
        <f>(1+(N70_DESARROLLO!BU58/0.014285714)*LN(N70_DESARROLLO!BV58/N70_DESARROLLO!BU58))</f>
        <v>2.6090911041505627E-2</v>
      </c>
      <c r="EV143" s="1">
        <f>(1+(N70_DESARROLLO!BV58/0.014285714)*LN(N70_DESARROLLO!BW58/N70_DESARROLLO!BV58))</f>
        <v>2.4796779290042203E-2</v>
      </c>
      <c r="EW143" s="1">
        <f>(1+(N70_DESARROLLO!BW58/0.014285714)*LN(N70_DESARROLLO!BX58/N70_DESARROLLO!BW58))</f>
        <v>-24.175442799561282</v>
      </c>
    </row>
    <row r="144" spans="7:153" x14ac:dyDescent="0.25">
      <c r="G144" s="3">
        <v>50</v>
      </c>
      <c r="H144" s="3">
        <f>-(N70_DESARROLLO!G59/0.014285714)*LN(N70_DESARROLLO!G59/N70_DESARROLLO!F59)-1</f>
        <v>-1.0169706089854125E-2</v>
      </c>
      <c r="I144" s="3">
        <f>-(N70_DESARROLLO!H59/0.014285714)*LN(N70_DESARROLLO!H59/N70_DESARROLLO!G59)-1</f>
        <v>-1.0380852322620981E-2</v>
      </c>
      <c r="J144" s="3">
        <f>-(N70_DESARROLLO!I59/0.014285714)*LN(N70_DESARROLLO!I59/N70_DESARROLLO!H59)-1</f>
        <v>-1.0600952413273412E-2</v>
      </c>
      <c r="K144" s="3">
        <f>-(N70_DESARROLLO!J59/0.014285714)*LN(N70_DESARROLLO!J59/N70_DESARROLLO!I59)-1</f>
        <v>-1.0830588260139384E-2</v>
      </c>
      <c r="L144" s="3">
        <f>-(N70_DESARROLLO!K59/0.014285714)*LN(N70_DESARROLLO!K59/N70_DESARROLLO!J59)-1</f>
        <v>-1.1070393301807369E-2</v>
      </c>
      <c r="M144" s="3">
        <f>-(N70_DESARROLLO!L59/0.014285714)*LN(N70_DESARROLLO!L59/N70_DESARROLLO!K59)-1</f>
        <v>-1.1321058352727786E-2</v>
      </c>
      <c r="N144" s="3">
        <f>-(N70_DESARROLLO!M59/0.014285714)*LN(N70_DESARROLLO!M59/N70_DESARROLLO!L59)-1</f>
        <v>-1.1583338250309327E-2</v>
      </c>
      <c r="O144" s="3">
        <f>-(N70_DESARROLLO!N59/0.014285714)*LN(N70_DESARROLLO!N59/N70_DESARROLLO!M59)-1</f>
        <v>-1.1858059447836355E-2</v>
      </c>
      <c r="P144" s="3">
        <f>-(N70_DESARROLLO!O59/0.014285714)*LN(N70_DESARROLLO!O59/N70_DESARROLLO!N59)-1</f>
        <v>-1.2146128714478177E-2</v>
      </c>
      <c r="Q144" s="3">
        <f>-(N70_DESARROLLO!P59/0.014285714)*LN(N70_DESARROLLO!P59/N70_DESARROLLO!O59)-1</f>
        <v>-1.2448543134993217E-2</v>
      </c>
      <c r="R144" s="3">
        <f>-(N70_DESARROLLO!Q59/0.014285714)*LN(N70_DESARROLLO!Q59/N70_DESARROLLO!P59)-1</f>
        <v>-1.2766401641823411E-2</v>
      </c>
      <c r="S144" s="3">
        <f>-(N70_DESARROLLO!R59/0.014285714)*LN(N70_DESARROLLO!R59/N70_DESARROLLO!Q59)-1</f>
        <v>-1.3100918360511193E-2</v>
      </c>
      <c r="T144" s="3">
        <f>-(N70_DESARROLLO!S59/0.014285714)*LN(N70_DESARROLLO!S59/N70_DESARROLLO!R59)-1</f>
        <v>-1.345343811001587E-2</v>
      </c>
      <c r="U144" s="3">
        <f>-(N70_DESARROLLO!T59/0.014285714)*LN(N70_DESARROLLO!T59/N70_DESARROLLO!S59)-1</f>
        <v>-1.3825454475325571E-2</v>
      </c>
      <c r="V144" s="3">
        <f>-(N70_DESARROLLO!U59/0.014285714)*LN(N70_DESARROLLO!U59/N70_DESARROLLO!T59)-1</f>
        <v>-1.4218630964436874E-2</v>
      </c>
      <c r="W144" s="3">
        <f>-(N70_DESARROLLO!V59/0.014285714)*LN(N70_DESARROLLO!V59/N70_DESARROLLO!U59)-1</f>
        <v>-1.4634825881873481E-2</v>
      </c>
      <c r="X144" s="3">
        <f>-(N70_DESARROLLO!W59/0.014285714)*LN(N70_DESARROLLO!W59/N70_DESARROLLO!V59)-1</f>
        <v>-1.5076121703328949E-2</v>
      </c>
      <c r="Y144" s="3">
        <f>-(N70_DESARROLLO!X59/0.014285714)*LN(N70_DESARROLLO!X59/N70_DESARROLLO!W59)-1</f>
        <v>-1.5544859931611588E-2</v>
      </c>
      <c r="Z144" s="3">
        <f>-(N70_DESARROLLO!Y59/0.014285714)*LN(N70_DESARROLLO!Y59/N70_DESARROLLO!X59)-1</f>
        <v>-1.6043682665120018E-2</v>
      </c>
      <c r="AA144" s="3">
        <f>-(N70_DESARROLLO!Z59/0.014285714)*LN(N70_DESARROLLO!Z59/N70_DESARROLLO!Y59)-1</f>
        <v>-1.6575582437552527E-2</v>
      </c>
      <c r="AB144" s="3">
        <f>-(N70_DESARROLLO!AA59/0.014285714)*LN(N70_DESARROLLO!AA59/N70_DESARROLLO!Z59)-1</f>
        <v>-1.7143962314553729E-2</v>
      </c>
      <c r="AC144" s="3">
        <f>-(N70_DESARROLLO!AB59/0.014285714)*LN(N70_DESARROLLO!AB59/N70_DESARROLLO!AA59)-1</f>
        <v>-1.7752708797875494E-2</v>
      </c>
      <c r="AD144" s="3">
        <f>-(N70_DESARROLLO!AC59/0.014285714)*LN(N70_DESARROLLO!AC59/N70_DESARROLLO!AB59)-1</f>
        <v>-1.8406280838874745E-2</v>
      </c>
      <c r="AE144" s="3">
        <f>-(N70_DESARROLLO!AD59/0.014285714)*LN(N70_DESARROLLO!AD59/N70_DESARROLLO!AC59)-1</f>
        <v>-1.9109819273397166E-2</v>
      </c>
      <c r="AF144" s="3">
        <f>-(N70_DESARROLLO!AE59/0.014285714)*LN(N70_DESARROLLO!AE59/N70_DESARROLLO!AD59)-1</f>
        <v>-1.9869282361757112E-2</v>
      </c>
      <c r="AG144" s="3">
        <f>-(N70_DESARROLLO!AF59/0.014285714)*LN(N70_DESARROLLO!AF59/N70_DESARROLLO!AE59)-1</f>
        <v>-2.0691615000482777E-2</v>
      </c>
      <c r="AH144" s="3">
        <f>-(N70_DESARROLLO!AG59/0.014285714)*LN(N70_DESARROLLO!AG59/N70_DESARROLLO!AF59)-1</f>
        <v>-2.1584961787579404E-2</v>
      </c>
      <c r="AI144" s="3">
        <f>-(N70_DESARROLLO!AH59/0.014285714)*LN(N70_DESARROLLO!AH59/N70_DESARROLLO!AG59)-1</f>
        <v>-2.2558937800894796E-2</v>
      </c>
      <c r="AJ144" s="3">
        <f>-(N70_DESARROLLO!AI59/0.014285714)*LN(N70_DESARROLLO!AI59/N70_DESARROLLO!AH59)-1</f>
        <v>-2.3624976192780589E-2</v>
      </c>
      <c r="AK144" s="3">
        <f>-(N70_DESARROLLO!AJ59/0.014285714)*LN(N70_DESARROLLO!AJ59/N70_DESARROLLO!AI59)-1</f>
        <v>-2.4796779290038096E-2</v>
      </c>
      <c r="AL144" s="3">
        <f>-(N70_DESARROLLO!AK59/0.014285714)*LN(N70_DESARROLLO!AK59/N70_DESARROLLO!AJ59)-1</f>
        <v>-2.6090911041510845E-2</v>
      </c>
      <c r="AM144" s="3">
        <f>-(N70_DESARROLLO!AL59/0.014285714)*LN(N70_DESARROLLO!AL59/N70_DESARROLLO!AK59)-1</f>
        <v>-2.7527585341363459E-2</v>
      </c>
      <c r="AN144" s="3">
        <f>-(N70_DESARROLLO!AM59/0.014285714)*LN(N70_DESARROLLO!AM59/N70_DESARROLLO!AL59)-1</f>
        <v>-2.9131730204232653E-2</v>
      </c>
      <c r="AO144" s="3">
        <f>-(N70_DESARROLLO!AN59/0.014285714)*LN(N70_DESARROLLO!AN59/N70_DESARROLLO!AM59)-1</f>
        <v>-3.0934447408011323E-2</v>
      </c>
      <c r="AP144" s="3">
        <f>-(N70_DESARROLLO!AO59/0.014285714)*LN(N70_DESARROLLO!AO59/N70_DESARROLLO!AN59)-1</f>
        <v>-3.2975050428753261E-2</v>
      </c>
      <c r="AQ144" s="3">
        <f>-(N70_DESARROLLO!AP59/0.014285714)*LN(N70_DESARROLLO!AP59/N70_DESARROLLO!AO59)-1</f>
        <v>-3.5303966947125343E-2</v>
      </c>
      <c r="AR144" s="3">
        <f>-(N70_DESARROLLO!AQ59/0.014285714)*LN(N70_DESARROLLO!AQ59/N70_DESARROLLO!AP59)-1</f>
        <v>-3.7986966558131163E-2</v>
      </c>
      <c r="AS144" s="3">
        <f>-(N70_DESARROLLO!AR59/0.014285714)*LN(N70_DESARROLLO!AR59/N70_DESARROLLO!AQ59)-1</f>
        <v>-4.1111478023145742E-2</v>
      </c>
      <c r="AT144" s="3">
        <f>-(N70_DESARROLLO!AS59/0.014285714)*LN(N70_DESARROLLO!AS59/N70_DESARROLLO!AR59)-1</f>
        <v>-4.4796309735792073E-2</v>
      </c>
      <c r="AU144" s="3">
        <f>-(N70_DESARROLLO!AT59/0.014285714)*LN(N70_DESARROLLO!AT59/N70_DESARROLLO!AS59)-1</f>
        <v>-4.9207124692811077E-2</v>
      </c>
      <c r="AV144" s="3">
        <f>-(N70_DESARROLLO!AU59/0.014285714)*LN(N70_DESARROLLO!AU59/N70_DESARROLLO!AT59)-1</f>
        <v>-5.4582082654730968E-2</v>
      </c>
      <c r="AW144" s="3">
        <f>-(N70_DESARROLLO!AV59/0.014285714)*LN(N70_DESARROLLO!AV59/N70_DESARROLLO!AU59)-1</f>
        <v>-6.1276409070486149E-2</v>
      </c>
      <c r="AX144" s="3">
        <f>-(N70_DESARROLLO!AW59/0.014285714)*LN(N70_DESARROLLO!AW59/N70_DESARROLLO!AV59)-1</f>
        <v>-6.9844497732515998E-2</v>
      </c>
      <c r="AY144" s="3">
        <f>-(N70_DESARROLLO!AX59/0.014285714)*LN(N70_DESARROLLO!AX59/N70_DESARROLLO!AW59)-1</f>
        <v>-8.1202515976632528E-2</v>
      </c>
      <c r="AZ144" s="3">
        <f>-(N70_DESARROLLO!AY59/0.014285714)*LN(N70_DESARROLLO!AY59/N70_DESARROLLO!AX59)-1</f>
        <v>-9.6981852359959708E-2</v>
      </c>
      <c r="BA144" s="3">
        <f>-(N70_DESARROLLO!AZ59/0.014285714)*LN(N70_DESARROLLO!AZ59/N70_DESARROLLO!AY59)-1</f>
        <v>-0.1203994834248151</v>
      </c>
      <c r="BB144" s="3">
        <f>-(N70_DESARROLLO!BA59/0.014285714)*LN(N70_DESARROLLO!BA59/N70_DESARROLLO!AZ59)-1</f>
        <v>-0.15881939162335823</v>
      </c>
      <c r="BC144" s="3">
        <f>-(N70_DESARROLLO!BB59/0.014285714)*LN(N70_DESARROLLO!BB59/N70_DESARROLLO!BA59)-1</f>
        <v>-0.23376154902624291</v>
      </c>
      <c r="BD144" s="3">
        <f>-(N70_DESARROLLO!BC59/0.014285714)*LN(N70_DESARROLLO!BC59/N70_DESARROLLO!BB59)-1</f>
        <v>-0.45069384467982399</v>
      </c>
      <c r="BE144" s="3">
        <v>-1</v>
      </c>
      <c r="BF144" s="3">
        <f>-(N70_DESARROLLO!BE59/0.014285714)*LN(N70_DESARROLLO!BE59/N70_DESARROLLO!BD59)-1</f>
        <v>0.64791846596052105</v>
      </c>
      <c r="BG144" s="3">
        <f>-(N70_DESARROLLO!BF59/0.014285714)*LN(N70_DESARROLLO!BF59/N70_DESARROLLO!BE59)-1</f>
        <v>0.27706408495626422</v>
      </c>
      <c r="BH144" s="3">
        <f>-(N70_DESARROLLO!BG59/0.014285714)*LN(N70_DESARROLLO!BG59/N70_DESARROLLO!BF59)-1</f>
        <v>0.17765285172729706</v>
      </c>
      <c r="BI144" s="3">
        <f>-(N70_DESARROLLO!BH59/0.014285714)*LN(N70_DESARROLLO!BH59/N70_DESARROLLO!BG59)-1</f>
        <v>0.13091494988237184</v>
      </c>
      <c r="BJ144" s="3">
        <f>-(N70_DESARROLLO!BI59/0.014285714)*LN(N70_DESARROLLO!BI59/N70_DESARROLLO!BH59)-1</f>
        <v>0.10368884711561366</v>
      </c>
      <c r="BK144" s="3">
        <f>-(N70_DESARROLLO!BJ59/0.014285714)*LN(N70_DESARROLLO!BJ59/N70_DESARROLLO!BI59)-1</f>
        <v>8.5851572027607181E-2</v>
      </c>
      <c r="BL144" s="3">
        <f>-(N70_DESARROLLO!BK59/0.014285714)*LN(N70_DESARROLLO!BK59/N70_DESARROLLO!BJ59)-1</f>
        <v>7.325634877018139E-2</v>
      </c>
      <c r="BM144" s="3">
        <f>-(N70_DESARROLLO!BL59/0.014285714)*LN(N70_DESARROLLO!BL59/N70_DESARROLLO!BK59)-1</f>
        <v>6.388673638678255E-2</v>
      </c>
      <c r="BN144" s="3">
        <f>-(N70_DESARROLLO!BM59/0.014285714)*LN(N70_DESARROLLO!BM59/N70_DESARROLLO!BL59)-1</f>
        <v>5.6643554680007258E-2</v>
      </c>
      <c r="BO144" s="3">
        <f>-(N70_DESARROLLO!BN59/0.014285714)*LN(N70_DESARROLLO!BN59/N70_DESARROLLO!BM59)-1</f>
        <v>5.0876335865840394E-2</v>
      </c>
      <c r="BP144" s="3">
        <f>-(N70_DESARROLLO!BO59/0.014285714)*LN(N70_DESARROLLO!BO59/N70_DESARROLLO!BN59)-1</f>
        <v>4.6175470289370413E-2</v>
      </c>
      <c r="BQ144" s="3">
        <f>-(N70_DESARROLLO!BP59/0.014285714)*LN(N70_DESARROLLO!BP59/N70_DESARROLLO!BO59)-1</f>
        <v>4.2270132583537956E-2</v>
      </c>
      <c r="BR144" s="3">
        <f>-(N70_DESARROLLO!BQ59/0.014285714)*LN(N70_DESARROLLO!BQ59/N70_DESARROLLO!BP59)-1</f>
        <v>3.8974076117218148E-2</v>
      </c>
      <c r="BS144" s="3">
        <f>-(N70_DESARROLLO!BR59/0.014285714)*LN(N70_DESARROLLO!BR59/N70_DESARROLLO!BQ59)-1</f>
        <v>3.6154998464197563E-2</v>
      </c>
      <c r="BT144" s="3">
        <f>-(N70_DESARROLLO!BS59/0.014285714)*LN(N70_DESARROLLO!BS59/N70_DESARROLLO!BR59)-1</f>
        <v>3.3716325403741587E-2</v>
      </c>
      <c r="BU144" s="3">
        <f>-(N70_DESARROLLO!BT59/0.014285714)*LN(N70_DESARROLLO!BT59/N70_DESARROLLO!BS59)-1</f>
        <v>3.1585910823731744E-2</v>
      </c>
      <c r="BV144" s="3">
        <f>-(N70_DESARROLLO!BU59/0.014285714)*LN(N70_DESARROLLO!BU59/N70_DESARROLLO!BT59)-1</f>
        <v>2.9708770995506173E-2</v>
      </c>
      <c r="BW144" s="3">
        <f>-(N70_DESARROLLO!BV59/0.014285714)*LN(N70_DESARROLLO!BV59/N70_DESARROLLO!BU59)-1</f>
        <v>2.8042266924849013E-2</v>
      </c>
      <c r="BX144" s="3">
        <f>-(N70_DESARROLLO!BW59/0.014285714)*LN(N70_DESARROLLO!BW59/N70_DESARROLLO!BV59)-1</f>
        <v>2.6552823496783118E-2</v>
      </c>
      <c r="BY144" s="3">
        <f>-(N70_DESARROLLO!BX59/0.014285714)*LN(N70_DESARROLLO!BX59/N70_DESARROLLO!BW59)-1</f>
        <v>88.465656142889173</v>
      </c>
      <c r="CD144" s="1">
        <v>50</v>
      </c>
      <c r="CE144" s="1">
        <v>0</v>
      </c>
      <c r="CF144" s="1">
        <f>(1+(N70_DESARROLLO!F59/0.014285714)*LN(N70_DESARROLLO!G59/N70_DESARROLLO!F59))</f>
        <v>-1.0239165949530449E-2</v>
      </c>
      <c r="CG144" s="1">
        <f>(1+(N70_DESARROLLO!G59/0.014285714)*LN(N70_DESARROLLO!H59/N70_DESARROLLO!G59))</f>
        <v>-1.0453234996902872E-2</v>
      </c>
      <c r="CH144" s="1">
        <f>(1+(N70_DESARROLLO!H59/0.014285714)*LN(N70_DESARROLLO!I59/N70_DESARROLLO!H59))</f>
        <v>-1.067644645955923E-2</v>
      </c>
      <c r="CI144" s="1">
        <f>(1+(N70_DESARROLLO!I59/0.014285714)*LN(N70_DESARROLLO!J59/N70_DESARROLLO!I59))</f>
        <v>-1.0909398811066451E-2</v>
      </c>
      <c r="CJ144" s="1">
        <f>(1+(N70_DESARROLLO!J59/0.014285714)*LN(N70_DESARROLLO!K59/N70_DESARROLLO!J59))</f>
        <v>-1.1152743927365316E-2</v>
      </c>
      <c r="CK144" s="1">
        <f>(1+(N70_DESARROLLO!K59/0.014285714)*LN(N70_DESARROLLO!L59/N70_DESARROLLO!K59))</f>
        <v>-1.1407193179393538E-2</v>
      </c>
      <c r="CL144" s="1">
        <f>(1+(N70_DESARROLLO!L59/0.014285714)*LN(N70_DESARROLLO!M59/N70_DESARROLLO!L59))</f>
        <v>-1.1673524379095079E-2</v>
      </c>
      <c r="CM144" s="1">
        <f>(1+(N70_DESARROLLO!M59/0.014285714)*LN(N70_DESARROLLO!N59/N70_DESARROLLO!M59))</f>
        <v>-1.1952589722095341E-2</v>
      </c>
      <c r="CN144" s="1">
        <f>(1+(N70_DESARROLLO!N59/0.014285714)*LN(N70_DESARROLLO!O59/N70_DESARROLLO!N59))</f>
        <v>-1.2245324897510068E-2</v>
      </c>
      <c r="CO144" s="1">
        <f>(1+(N70_DESARROLLO!O59/0.014285714)*LN(N70_DESARROLLO!P59/N70_DESARROLLO!O59))</f>
        <v>-1.2552759570449767E-2</v>
      </c>
      <c r="CP144" s="1">
        <f>(1+(N70_DESARROLLO!P59/0.014285714)*LN(N70_DESARROLLO!Q59/N70_DESARROLLO!P59))</f>
        <v>-1.2876029484363061E-2</v>
      </c>
      <c r="CQ144" s="1">
        <f>(1+(N70_DESARROLLO!Q59/0.014285714)*LN(N70_DESARROLLO!R59/N70_DESARROLLO!Q59))</f>
        <v>-1.3216390483208773E-2</v>
      </c>
      <c r="CR144" s="1">
        <f>(1+(N70_DESARROLLO!R59/0.014285714)*LN(N70_DESARROLLO!S59/N70_DESARROLLO!R59))</f>
        <v>-1.3575234818476556E-2</v>
      </c>
      <c r="CS144" s="1">
        <f>(1+(N70_DESARROLLO!S59/0.014285714)*LN(N70_DESARROLLO!T59/N70_DESARROLLO!S59))</f>
        <v>-1.3954110187341273E-2</v>
      </c>
      <c r="CT144" s="1">
        <f>(1+(N70_DESARROLLO!T59/0.014285714)*LN(N70_DESARROLLO!U59/N70_DESARROLLO!T59))</f>
        <v>-1.4354742051086999E-2</v>
      </c>
      <c r="CU144" s="1">
        <f>(1+(N70_DESARROLLO!U59/0.014285714)*LN(N70_DESARROLLO!V59/N70_DESARROLLO!U59))</f>
        <v>-1.4779059912697345E-2</v>
      </c>
      <c r="CV144" s="1">
        <f>(1+(N70_DESARROLLO!V59/0.014285714)*LN(N70_DESARROLLO!W59/N70_DESARROLLO!V59))</f>
        <v>-1.5229228398107253E-2</v>
      </c>
      <c r="CW144" s="1">
        <f>(1+(N70_DESARROLLO!W59/0.014285714)*LN(N70_DESARROLLO!X59/N70_DESARROLLO!W59))</f>
        <v>-1.5707684197543426E-2</v>
      </c>
      <c r="CX144" s="1">
        <f>(1+(N70_DESARROLLO!X59/0.014285714)*LN(N70_DESARROLLO!Y59/N70_DESARROLLO!X59))</f>
        <v>-1.6217180198318637E-2</v>
      </c>
      <c r="CY144" s="1">
        <f>(1+(N70_DESARROLLO!Y59/0.014285714)*LN(N70_DESARROLLO!Z59/N70_DESARROLLO!Y59))</f>
        <v>-1.6760838496767683E-2</v>
      </c>
      <c r="CZ144" s="1">
        <f>(1+(N70_DESARROLLO!Z59/0.014285714)*LN(N70_DESARROLLO!AA59/N70_DESARROLLO!Z59))</f>
        <v>-1.7342214446339099E-2</v>
      </c>
      <c r="DA144" s="1">
        <f>(1+(N70_DESARROLLO!AA59/0.014285714)*LN(N70_DESARROLLO!AB59/N70_DESARROLLO!AA59))</f>
        <v>-1.7965374518565502E-2</v>
      </c>
      <c r="DB144" s="1">
        <f>(1+(N70_DESARROLLO!AB59/0.014285714)*LN(N70_DESARROLLO!AC59/N70_DESARROLLO!AB59))</f>
        <v>-1.8634991582299865E-2</v>
      </c>
      <c r="DC144" s="1">
        <f>(1+(N70_DESARROLLO!AC59/0.014285714)*LN(N70_DESARROLLO!AD59/N70_DESARROLLO!AC59))</f>
        <v>-1.9356462323724344E-2</v>
      </c>
      <c r="DD144" s="1">
        <f>(1+(N70_DESARROLLO!AD59/0.014285714)*LN(N70_DESARROLLO!AE59/N70_DESARROLLO!AD59))</f>
        <v>-2.0136053052048686E-2</v>
      </c>
      <c r="DE144" s="1">
        <f>(1+(N70_DESARROLLO!AE59/0.014285714)*LN(N70_DESARROLLO!AF59/N70_DESARROLLO!AE59))</f>
        <v>-2.0981082233539228E-2</v>
      </c>
      <c r="DF144" s="1">
        <f>(1+(N70_DESARROLLO!AF59/0.014285714)*LN(N70_DESARROLLO!AG59/N70_DESARROLLO!AF59))</f>
        <v>-2.1900151021861269E-2</v>
      </c>
      <c r="DG144" s="1">
        <f>(1+(N70_DESARROLLO!AG59/0.014285714)*LN(N70_DESARROLLO!AH59/N70_DESARROLLO!AG59))</f>
        <v>-2.2903437185110231E-2</v>
      </c>
      <c r="DH144" s="1">
        <f>(1+(N70_DESARROLLO!AH59/0.014285714)*LN(N70_DESARROLLO!AI59/N70_DESARROLLO!AH59))</f>
        <v>-2.4003073749035098E-2</v>
      </c>
      <c r="DI144" s="1">
        <f>(1+(N70_DESARROLLO!AI59/0.014285714)*LN(N70_DESARROLLO!AJ59/N70_DESARROLLO!AI59))</f>
        <v>-2.5213642284831916E-2</v>
      </c>
      <c r="DJ144" s="1">
        <f>(1+(N70_DESARROLLO!AJ59/0.014285714)*LN(N70_DESARROLLO!AK59/N70_DESARROLLO!AJ59))</f>
        <v>-2.6552823496785782E-2</v>
      </c>
      <c r="DK144" s="1">
        <f>(1+(N70_DESARROLLO!AK59/0.014285714)*LN(N70_DESARROLLO!AL59/N70_DESARROLLO!AK59))</f>
        <v>-2.804226692484435E-2</v>
      </c>
      <c r="DL144" s="1">
        <f>(1+(N70_DESARROLLO!AL59/0.014285714)*LN(N70_DESARROLLO!AM59/N70_DESARROLLO!AL59))</f>
        <v>-2.9708770995510836E-2</v>
      </c>
      <c r="DM144" s="1">
        <f>(1+(N70_DESARROLLO!AM59/0.014285714)*LN(N70_DESARROLLO!AN59/N70_DESARROLLO!AM59))</f>
        <v>-3.1585910823729968E-2</v>
      </c>
      <c r="DN144" s="1">
        <f>(1+(N70_DESARROLLO!AN59/0.014285714)*LN(N70_DESARROLLO!AO59/N70_DESARROLLO!AN59))</f>
        <v>-3.3716325403746694E-2</v>
      </c>
      <c r="DO144" s="1">
        <f>(1+(N70_DESARROLLO!AO59/0.014285714)*LN(N70_DESARROLLO!AP59/N70_DESARROLLO!AO59))</f>
        <v>-3.6154998464198451E-2</v>
      </c>
      <c r="DP144" s="1">
        <f>(1+(N70_DESARROLLO!AP59/0.014285714)*LN(N70_DESARROLLO!AQ59/N70_DESARROLLO!AP59))</f>
        <v>-3.8974076117218814E-2</v>
      </c>
      <c r="DQ144" s="1">
        <f>(1+(N70_DESARROLLO!AQ59/0.014285714)*LN(N70_DESARROLLO!AR59/N70_DESARROLLO!AQ59))</f>
        <v>-4.2270132583536846E-2</v>
      </c>
      <c r="DR144" s="1">
        <f>(1+(N70_DESARROLLO!AR59/0.014285714)*LN(N70_DESARROLLO!AS59/N70_DESARROLLO!AR59))</f>
        <v>-4.6175470289371079E-2</v>
      </c>
      <c r="DS144" s="1">
        <f>(1+(N70_DESARROLLO!AS59/0.014285714)*LN(N70_DESARROLLO!AT59/N70_DESARROLLO!AS59))</f>
        <v>-5.087633586583995E-2</v>
      </c>
      <c r="DT144" s="1">
        <f>(1+(N70_DESARROLLO!AT59/0.014285714)*LN(N70_DESARROLLO!AU59/N70_DESARROLLO!AT59))</f>
        <v>-5.6643554680007036E-2</v>
      </c>
      <c r="DU144" s="1">
        <f>(1+(N70_DESARROLLO!AU59/0.014285714)*LN(N70_DESARROLLO!AV59/N70_DESARROLLO!AU59))</f>
        <v>-6.3886736386781884E-2</v>
      </c>
      <c r="DV144" s="1">
        <f>(1+(N70_DESARROLLO!AV59/0.014285714)*LN(N70_DESARROLLO!AW59/N70_DESARROLLO!AV59))</f>
        <v>-7.3256348770173396E-2</v>
      </c>
      <c r="DW144" s="1">
        <f>(1+(N70_DESARROLLO!AW59/0.014285714)*LN(N70_DESARROLLO!AX59/N70_DESARROLLO!AW59))</f>
        <v>-8.5851572027616951E-2</v>
      </c>
      <c r="DX144" s="1">
        <f>(1+(N70_DESARROLLO!AX59/0.014285714)*LN(N70_DESARROLLO!AY59/N70_DESARROLLO!AX59))</f>
        <v>-0.10368884711560411</v>
      </c>
      <c r="DY144" s="1">
        <f>(1+(N70_DESARROLLO!AY59/0.014285714)*LN(N70_DESARROLLO!AZ59/N70_DESARROLLO!AY59))</f>
        <v>-0.13091494988238184</v>
      </c>
      <c r="DZ144" s="1">
        <f>(1+(N70_DESARROLLO!AZ59/0.014285714)*LN(N70_DESARROLLO!BA59/N70_DESARROLLO!AZ59))</f>
        <v>-0.17765285172729728</v>
      </c>
      <c r="EA144" s="1">
        <f>(1+(N70_DESARROLLO!BA59/0.014285714)*LN(N70_DESARROLLO!BB59/N70_DESARROLLO!BA59))</f>
        <v>-0.27706408495626578</v>
      </c>
      <c r="EB144" s="1">
        <f>(1+(N70_DESARROLLO!BB59/0.014285714)*LN(N70_DESARROLLO!BC59/N70_DESARROLLO!BB59))</f>
        <v>-0.64791846596052816</v>
      </c>
      <c r="EC144" s="1">
        <v>1</v>
      </c>
      <c r="ED144" s="1">
        <f>(1+(N70_DESARROLLO!BD59/0.014285714)*LN(N70_DESARROLLO!BE59/N70_DESARROLLO!BD59))</f>
        <v>0.45069384467982065</v>
      </c>
      <c r="EE144" s="1">
        <f>(1+(N70_DESARROLLO!BE59/0.014285714)*LN(N70_DESARROLLO!BF59/N70_DESARROLLO!BE59))</f>
        <v>0.23376154902624224</v>
      </c>
      <c r="EF144" s="1">
        <f>(1+(N70_DESARROLLO!BF59/0.014285714)*LN(N70_DESARROLLO!BG59/N70_DESARROLLO!BF59))</f>
        <v>0.15881939162335779</v>
      </c>
      <c r="EG144" s="1">
        <f>(1+(N70_DESARROLLO!BG59/0.014285714)*LN(N70_DESARROLLO!BH59/N70_DESARROLLO!BG59))</f>
        <v>0.12039948342482099</v>
      </c>
      <c r="EH144" s="1">
        <f>(1+(N70_DESARROLLO!BH59/0.014285714)*LN(N70_DESARROLLO!BI59/N70_DESARROLLO!BH59))</f>
        <v>9.6981852359953269E-2</v>
      </c>
      <c r="EI144" s="1">
        <f>(1+(N70_DESARROLLO!BI59/0.014285714)*LN(N70_DESARROLLO!BJ59/N70_DESARROLLO!BI59))</f>
        <v>8.1202515976639411E-2</v>
      </c>
      <c r="EJ144" s="1">
        <f>(1+(N70_DESARROLLO!BJ59/0.014285714)*LN(N70_DESARROLLO!BK59/N70_DESARROLLO!BJ59))</f>
        <v>6.9844497732510114E-2</v>
      </c>
      <c r="EK144" s="1">
        <f>(1+(N70_DESARROLLO!BK59/0.014285714)*LN(N70_DESARROLLO!BL59/N70_DESARROLLO!BK59))</f>
        <v>6.1276409070485593E-2</v>
      </c>
      <c r="EL144" s="1">
        <f>(1+(N70_DESARROLLO!BL59/0.014285714)*LN(N70_DESARROLLO!BM59/N70_DESARROLLO!BL59))</f>
        <v>5.4582082654730635E-2</v>
      </c>
      <c r="EM144" s="1">
        <f>(1+(N70_DESARROLLO!BM59/0.014285714)*LN(N70_DESARROLLO!BN59/N70_DESARROLLO!BM59))</f>
        <v>4.9207124692810855E-2</v>
      </c>
      <c r="EN144" s="1">
        <f>(1+(N70_DESARROLLO!BN59/0.014285714)*LN(N70_DESARROLLO!BO59/N70_DESARROLLO!BN59))</f>
        <v>4.4796309735792517E-2</v>
      </c>
      <c r="EO144" s="1">
        <f>(1+(N70_DESARROLLO!BO59/0.014285714)*LN(N70_DESARROLLO!BP59/N70_DESARROLLO!BO59))</f>
        <v>4.1111478023144854E-2</v>
      </c>
      <c r="EP144" s="1">
        <f>(1+(N70_DESARROLLO!BP59/0.014285714)*LN(N70_DESARROLLO!BQ59/N70_DESARROLLO!BP59))</f>
        <v>3.7986966558131607E-2</v>
      </c>
      <c r="EQ144" s="1">
        <f>(1+(N70_DESARROLLO!BQ59/0.014285714)*LN(N70_DESARROLLO!BR59/N70_DESARROLLO!BQ59))</f>
        <v>3.5303966947126231E-2</v>
      </c>
      <c r="ER144" s="1">
        <f>(1+(N70_DESARROLLO!BR59/0.014285714)*LN(N70_DESARROLLO!BS59/N70_DESARROLLO!BR59))</f>
        <v>3.2975050428757702E-2</v>
      </c>
      <c r="ES144" s="1">
        <f>(1+(N70_DESARROLLO!BS59/0.014285714)*LN(N70_DESARROLLO!BT59/N70_DESARROLLO!BS59))</f>
        <v>3.0934447408009769E-2</v>
      </c>
      <c r="ET144" s="1">
        <f>(1+(N70_DESARROLLO!BT59/0.014285714)*LN(N70_DESARROLLO!BU59/N70_DESARROLLO!BT59))</f>
        <v>2.9131730204236872E-2</v>
      </c>
      <c r="EU144" s="1">
        <f>(1+(N70_DESARROLLO!BU59/0.014285714)*LN(N70_DESARROLLO!BV59/N70_DESARROLLO!BU59))</f>
        <v>2.752758534135924E-2</v>
      </c>
      <c r="EV144" s="1">
        <f>(1+(N70_DESARROLLO!BV59/0.014285714)*LN(N70_DESARROLLO!BW59/N70_DESARROLLO!BV59))</f>
        <v>2.6090911041513176E-2</v>
      </c>
      <c r="EW144" s="1">
        <f>(1+(N70_DESARROLLO!BW59/0.014285714)*LN(N70_DESARROLLO!BX59/N70_DESARROLLO!BW59))</f>
        <v>-23.92257563980484</v>
      </c>
    </row>
    <row r="145" spans="7:153" x14ac:dyDescent="0.25">
      <c r="G145" s="3">
        <v>51</v>
      </c>
      <c r="H145" s="3">
        <f>-(N70_DESARROLLO!G60/0.014285714)*LN(N70_DESARROLLO!G60/N70_DESARROLLO!F60)-1</f>
        <v>-9.9669782192027823E-3</v>
      </c>
      <c r="I145" s="3">
        <f>-(N70_DESARROLLO!H60/0.014285714)*LN(N70_DESARROLLO!H60/N70_DESARROLLO!G60)-1</f>
        <v>-1.0169706089843134E-2</v>
      </c>
      <c r="J145" s="3">
        <f>-(N70_DESARROLLO!I60/0.014285714)*LN(N70_DESARROLLO!I60/N70_DESARROLLO!H60)-1</f>
        <v>-1.0380852322626088E-2</v>
      </c>
      <c r="K145" s="3">
        <f>-(N70_DESARROLLO!J60/0.014285714)*LN(N70_DESARROLLO!J60/N70_DESARROLLO!I60)-1</f>
        <v>-1.0600952413268083E-2</v>
      </c>
      <c r="L145" s="3">
        <f>-(N70_DESARROLLO!K60/0.014285714)*LN(N70_DESARROLLO!K60/N70_DESARROLLO!J60)-1</f>
        <v>-1.0830588260149487E-2</v>
      </c>
      <c r="M145" s="3">
        <f>-(N70_DESARROLLO!L60/0.014285714)*LN(N70_DESARROLLO!L60/N70_DESARROLLO!K60)-1</f>
        <v>-1.1070393301797377E-2</v>
      </c>
      <c r="N145" s="3">
        <f>-(N70_DESARROLLO!M60/0.014285714)*LN(N70_DESARROLLO!M60/N70_DESARROLLO!L60)-1</f>
        <v>-1.1321058352732338E-2</v>
      </c>
      <c r="O145" s="3">
        <f>-(N70_DESARROLLO!N60/0.014285714)*LN(N70_DESARROLLO!N60/N70_DESARROLLO!M60)-1</f>
        <v>-1.1583338250304442E-2</v>
      </c>
      <c r="P145" s="3">
        <f>-(N70_DESARROLLO!O60/0.014285714)*LN(N70_DESARROLLO!O60/N70_DESARROLLO!N60)-1</f>
        <v>-1.185805944784557E-2</v>
      </c>
      <c r="Q145" s="3">
        <f>-(N70_DESARROLLO!P60/0.014285714)*LN(N70_DESARROLLO!P60/N70_DESARROLLO!O60)-1</f>
        <v>-1.2146128714473514E-2</v>
      </c>
      <c r="R145" s="3">
        <f>-(N70_DESARROLLO!Q60/0.014285714)*LN(N70_DESARROLLO!Q60/N70_DESARROLLO!P60)-1</f>
        <v>-1.2448543134993217E-2</v>
      </c>
      <c r="S145" s="3">
        <f>-(N70_DESARROLLO!R60/0.014285714)*LN(N70_DESARROLLO!R60/N70_DESARROLLO!Q60)-1</f>
        <v>-1.2766401641831959E-2</v>
      </c>
      <c r="T145" s="3">
        <f>-(N70_DESARROLLO!S60/0.014285714)*LN(N70_DESARROLLO!S60/N70_DESARROLLO!R60)-1</f>
        <v>-1.3100918360510971E-2</v>
      </c>
      <c r="U145" s="3">
        <f>-(N70_DESARROLLO!T60/0.014285714)*LN(N70_DESARROLLO!T60/N70_DESARROLLO!S60)-1</f>
        <v>-1.3453438110015759E-2</v>
      </c>
      <c r="V145" s="3">
        <f>-(N70_DESARROLLO!U60/0.014285714)*LN(N70_DESARROLLO!U60/N70_DESARROLLO!T60)-1</f>
        <v>-1.3825454475317467E-2</v>
      </c>
      <c r="W145" s="3">
        <f>-(N70_DESARROLLO!V60/0.014285714)*LN(N70_DESARROLLO!V60/N70_DESARROLLO!U60)-1</f>
        <v>-1.4218630964444534E-2</v>
      </c>
      <c r="X145" s="3">
        <f>-(N70_DESARROLLO!W60/0.014285714)*LN(N70_DESARROLLO!W60/N70_DESARROLLO!V60)-1</f>
        <v>-1.4634825881865821E-2</v>
      </c>
      <c r="Y145" s="3">
        <f>-(N70_DESARROLLO!X60/0.014285714)*LN(N70_DESARROLLO!X60/N70_DESARROLLO!W60)-1</f>
        <v>-1.5076121703336054E-2</v>
      </c>
      <c r="Z145" s="3">
        <f>-(N70_DESARROLLO!Y60/0.014285714)*LN(N70_DESARROLLO!Y60/N70_DESARROLLO!X60)-1</f>
        <v>-1.5544859931607813E-2</v>
      </c>
      <c r="AA145" s="3">
        <f>-(N70_DESARROLLO!Z60/0.014285714)*LN(N70_DESARROLLO!Z60/N70_DESARROLLO!Y60)-1</f>
        <v>-1.6043682665119796E-2</v>
      </c>
      <c r="AB145" s="3">
        <f>-(N70_DESARROLLO!AA60/0.014285714)*LN(N70_DESARROLLO!AA60/N70_DESARROLLO!Z60)-1</f>
        <v>-1.6575582437552416E-2</v>
      </c>
      <c r="AC145" s="3">
        <f>-(N70_DESARROLLO!AB60/0.014285714)*LN(N70_DESARROLLO!AB60/N70_DESARROLLO!AA60)-1</f>
        <v>-1.7143962314553618E-2</v>
      </c>
      <c r="AD145" s="3">
        <f>-(N70_DESARROLLO!AC60/0.014285714)*LN(N70_DESARROLLO!AC60/N70_DESARROLLO!AB60)-1</f>
        <v>-1.7752708797875383E-2</v>
      </c>
      <c r="AE145" s="3">
        <f>-(N70_DESARROLLO!AD60/0.014285714)*LN(N70_DESARROLLO!AD60/N70_DESARROLLO!AC60)-1</f>
        <v>-1.8406280838874522E-2</v>
      </c>
      <c r="AF145" s="3">
        <f>-(N70_DESARROLLO!AE60/0.014285714)*LN(N70_DESARROLLO!AE60/N70_DESARROLLO!AD60)-1</f>
        <v>-1.9109819273397055E-2</v>
      </c>
      <c r="AG145" s="3">
        <f>-(N70_DESARROLLO!AF60/0.014285714)*LN(N70_DESARROLLO!AF60/N70_DESARROLLO!AE60)-1</f>
        <v>-1.9869282361757001E-2</v>
      </c>
      <c r="AH145" s="3">
        <f>-(N70_DESARROLLO!AG60/0.014285714)*LN(N70_DESARROLLO!AG60/N70_DESARROLLO!AF60)-1</f>
        <v>-2.0691615000488106E-2</v>
      </c>
      <c r="AI145" s="3">
        <f>-(N70_DESARROLLO!AH60/0.014285714)*LN(N70_DESARROLLO!AH60/N70_DESARROLLO!AG60)-1</f>
        <v>-2.1584961787574075E-2</v>
      </c>
      <c r="AJ145" s="3">
        <f>-(N70_DESARROLLO!AI60/0.014285714)*LN(N70_DESARROLLO!AI60/N70_DESARROLLO!AH60)-1</f>
        <v>-2.2558937800894574E-2</v>
      </c>
      <c r="AK145" s="3">
        <f>-(N70_DESARROLLO!AJ60/0.014285714)*LN(N70_DESARROLLO!AJ60/N70_DESARROLLO!AI60)-1</f>
        <v>-2.3624976192780478E-2</v>
      </c>
      <c r="AL145" s="3">
        <f>-(N70_DESARROLLO!AK60/0.014285714)*LN(N70_DESARROLLO!AK60/N70_DESARROLLO!AJ60)-1</f>
        <v>-2.4796779290037874E-2</v>
      </c>
      <c r="AM145" s="3">
        <f>-(N70_DESARROLLO!AL60/0.014285714)*LN(N70_DESARROLLO!AL60/N70_DESARROLLO!AK60)-1</f>
        <v>-2.6090911041510623E-2</v>
      </c>
      <c r="AN145" s="3">
        <f>-(N70_DESARROLLO!AM60/0.014285714)*LN(N70_DESARROLLO!AM60/N70_DESARROLLO!AL60)-1</f>
        <v>-2.7527585341363237E-2</v>
      </c>
      <c r="AO145" s="3">
        <f>-(N70_DESARROLLO!AN60/0.014285714)*LN(N70_DESARROLLO!AN60/N70_DESARROLLO!AM60)-1</f>
        <v>-2.9131730204232431E-2</v>
      </c>
      <c r="AP145" s="3">
        <f>-(N70_DESARROLLO!AO60/0.014285714)*LN(N70_DESARROLLO!AO60/N70_DESARROLLO!AN60)-1</f>
        <v>-3.0934447408011101E-2</v>
      </c>
      <c r="AQ145" s="3">
        <f>-(N70_DESARROLLO!AP60/0.014285714)*LN(N70_DESARROLLO!AP60/N70_DESARROLLO!AO60)-1</f>
        <v>-3.2975050428757924E-2</v>
      </c>
      <c r="AR145" s="3">
        <f>-(N70_DESARROLLO!AQ60/0.014285714)*LN(N70_DESARROLLO!AQ60/N70_DESARROLLO!AP60)-1</f>
        <v>-3.5303966947118792E-2</v>
      </c>
      <c r="AS145" s="3">
        <f>-(N70_DESARROLLO!AR60/0.014285714)*LN(N70_DESARROLLO!AR60/N70_DESARROLLO!AQ60)-1</f>
        <v>-3.7986966558138158E-2</v>
      </c>
      <c r="AT145" s="3">
        <f>-(N70_DESARROLLO!AS60/0.014285714)*LN(N70_DESARROLLO!AS60/N70_DESARROLLO!AR60)-1</f>
        <v>-4.1111478023138859E-2</v>
      </c>
      <c r="AU145" s="3">
        <f>-(N70_DESARROLLO!AT60/0.014285714)*LN(N70_DESARROLLO!AT60/N70_DESARROLLO!AS60)-1</f>
        <v>-4.4796309735798956E-2</v>
      </c>
      <c r="AV145" s="3">
        <f>-(N70_DESARROLLO!AU60/0.014285714)*LN(N70_DESARROLLO!AU60/N70_DESARROLLO!AT60)-1</f>
        <v>-4.9207124692804083E-2</v>
      </c>
      <c r="AW145" s="3">
        <f>-(N70_DESARROLLO!AV60/0.014285714)*LN(N70_DESARROLLO!AV60/N70_DESARROLLO!AU60)-1</f>
        <v>-5.4582082654737407E-2</v>
      </c>
      <c r="AX145" s="3">
        <f>-(N70_DESARROLLO!AW60/0.014285714)*LN(N70_DESARROLLO!AW60/N70_DESARROLLO!AV60)-1</f>
        <v>-6.1276409070485927E-2</v>
      </c>
      <c r="AY145" s="3">
        <f>-(N70_DESARROLLO!AX60/0.014285714)*LN(N70_DESARROLLO!AX60/N70_DESARROLLO!AW60)-1</f>
        <v>-6.9844497732509336E-2</v>
      </c>
      <c r="AZ145" s="3">
        <f>-(N70_DESARROLLO!AY60/0.014285714)*LN(N70_DESARROLLO!AY60/N70_DESARROLLO!AX60)-1</f>
        <v>-8.1202515976639078E-2</v>
      </c>
      <c r="BA145" s="3">
        <f>-(N70_DESARROLLO!AZ60/0.014285714)*LN(N70_DESARROLLO!AZ60/N70_DESARROLLO!AY60)-1</f>
        <v>-9.6981852359953602E-2</v>
      </c>
      <c r="BB145" s="3">
        <f>-(N70_DESARROLLO!BA60/0.014285714)*LN(N70_DESARROLLO!BA60/N70_DESARROLLO!AZ60)-1</f>
        <v>-0.12039948342482121</v>
      </c>
      <c r="BC145" s="3">
        <f>-(N70_DESARROLLO!BB60/0.014285714)*LN(N70_DESARROLLO!BB60/N70_DESARROLLO!BA60)-1</f>
        <v>-0.15881939162335246</v>
      </c>
      <c r="BD145" s="3">
        <f>-(N70_DESARROLLO!BC60/0.014285714)*LN(N70_DESARROLLO!BC60/N70_DESARROLLO!BB60)-1</f>
        <v>-0.23376154902624657</v>
      </c>
      <c r="BE145" s="3">
        <f>-(N70_DESARROLLO!BD60/0.014285714)*LN(N70_DESARROLLO!BD60/N70_DESARROLLO!BC60)-1</f>
        <v>-0.45069384467982143</v>
      </c>
      <c r="BF145" s="3">
        <v>-1</v>
      </c>
      <c r="BG145" s="3">
        <f>-(N70_DESARROLLO!BF60/0.014285714)*LN(N70_DESARROLLO!BF60/N70_DESARROLLO!BE60)-1</f>
        <v>0.64791846596054437</v>
      </c>
      <c r="BH145" s="3">
        <f>-(N70_DESARROLLO!BG60/0.014285714)*LN(N70_DESARROLLO!BG60/N70_DESARROLLO!BF60)-1</f>
        <v>0.2770640849562529</v>
      </c>
      <c r="BI145" s="3">
        <f>-(N70_DESARROLLO!BH60/0.014285714)*LN(N70_DESARROLLO!BH60/N70_DESARROLLO!BG60)-1</f>
        <v>0.17765285172729772</v>
      </c>
      <c r="BJ145" s="3">
        <f>-(N70_DESARROLLO!BI60/0.014285714)*LN(N70_DESARROLLO!BI60/N70_DESARROLLO!BH60)-1</f>
        <v>0.13091494988238206</v>
      </c>
      <c r="BK145" s="3">
        <f>-(N70_DESARROLLO!BJ60/0.014285714)*LN(N70_DESARROLLO!BJ60/N70_DESARROLLO!BI60)-1</f>
        <v>0.10368884711560411</v>
      </c>
      <c r="BL145" s="3">
        <f>-(N70_DESARROLLO!BK60/0.014285714)*LN(N70_DESARROLLO!BK60/N70_DESARROLLO!BJ60)-1</f>
        <v>8.5851572027616951E-2</v>
      </c>
      <c r="BM145" s="3">
        <f>-(N70_DESARROLLO!BL60/0.014285714)*LN(N70_DESARROLLO!BL60/N70_DESARROLLO!BK60)-1</f>
        <v>7.3256348770172952E-2</v>
      </c>
      <c r="BN145" s="3">
        <f>-(N70_DESARROLLO!BM60/0.014285714)*LN(N70_DESARROLLO!BM60/N70_DESARROLLO!BL60)-1</f>
        <v>6.3886736386790766E-2</v>
      </c>
      <c r="BO145" s="3">
        <f>-(N70_DESARROLLO!BN60/0.014285714)*LN(N70_DESARROLLO!BN60/N70_DESARROLLO!BM60)-1</f>
        <v>5.664355467999882E-2</v>
      </c>
      <c r="BP145" s="3">
        <f>-(N70_DESARROLLO!BO60/0.014285714)*LN(N70_DESARROLLO!BO60/N70_DESARROLLO!BN60)-1</f>
        <v>5.0876335865848832E-2</v>
      </c>
      <c r="BQ145" s="3">
        <f>-(N70_DESARROLLO!BP60/0.014285714)*LN(N70_DESARROLLO!BP60/N70_DESARROLLO!BO60)-1</f>
        <v>4.6175470289362641E-2</v>
      </c>
      <c r="BR145" s="3">
        <f>-(N70_DESARROLLO!BQ60/0.014285714)*LN(N70_DESARROLLO!BQ60/N70_DESARROLLO!BP60)-1</f>
        <v>4.2270132583545728E-2</v>
      </c>
      <c r="BS145" s="3">
        <f>-(N70_DESARROLLO!BR60/0.014285714)*LN(N70_DESARROLLO!BR60/N70_DESARROLLO!BQ60)-1</f>
        <v>3.8974076117209266E-2</v>
      </c>
      <c r="BT145" s="3">
        <f>-(N70_DESARROLLO!BS60/0.014285714)*LN(N70_DESARROLLO!BS60/N70_DESARROLLO!BR60)-1</f>
        <v>3.6154998464196897E-2</v>
      </c>
      <c r="BU145" s="3">
        <f>-(N70_DESARROLLO!BT60/0.014285714)*LN(N70_DESARROLLO!BT60/N70_DESARROLLO!BS60)-1</f>
        <v>3.3716325403751135E-2</v>
      </c>
      <c r="BV145" s="3">
        <f>-(N70_DESARROLLO!BU60/0.014285714)*LN(N70_DESARROLLO!BU60/N70_DESARROLLO!BT60)-1</f>
        <v>3.1585910823724417E-2</v>
      </c>
      <c r="BW145" s="3">
        <f>-(N70_DESARROLLO!BV60/0.014285714)*LN(N70_DESARROLLO!BV60/N70_DESARROLLO!BU60)-1</f>
        <v>2.97087709955135E-2</v>
      </c>
      <c r="BX145" s="3">
        <f>-(N70_DESARROLLO!BW60/0.014285714)*LN(N70_DESARROLLO!BW60/N70_DESARROLLO!BV60)-1</f>
        <v>2.8042266924840797E-2</v>
      </c>
      <c r="BY145" s="3">
        <f>-(N70_DESARROLLO!BX60/0.014285714)*LN(N70_DESARROLLO!BX60/N70_DESARROLLO!BW60)-1</f>
        <v>92.150717560569973</v>
      </c>
      <c r="CD145">
        <v>51</v>
      </c>
      <c r="CE145" s="1">
        <v>0</v>
      </c>
      <c r="CF145" s="1">
        <f>(1+(N70_DESARROLLO!F60/0.014285714)*LN(N70_DESARROLLO!G60/N70_DESARROLLO!F60))</f>
        <v>-1.0033688887479908E-2</v>
      </c>
      <c r="CG145" s="1">
        <f>(1+(N70_DESARROLLO!G60/0.014285714)*LN(N70_DESARROLLO!H60/N70_DESARROLLO!G60))</f>
        <v>-1.0239165949541773E-2</v>
      </c>
      <c r="CH145" s="1">
        <f>(1+(N70_DESARROLLO!H60/0.014285714)*LN(N70_DESARROLLO!I60/N70_DESARROLLO!H60))</f>
        <v>-1.0453234996897542E-2</v>
      </c>
      <c r="CI145" s="1">
        <f>(1+(N70_DESARROLLO!I60/0.014285714)*LN(N70_DESARROLLO!J60/N70_DESARROLLO!I60))</f>
        <v>-1.0676446459564781E-2</v>
      </c>
      <c r="CJ145" s="1">
        <f>(1+(N70_DESARROLLO!J60/0.014285714)*LN(N70_DESARROLLO!K60/N70_DESARROLLO!J60))</f>
        <v>-1.0909398811056015E-2</v>
      </c>
      <c r="CK145" s="1">
        <f>(1+(N70_DESARROLLO!K60/0.014285714)*LN(N70_DESARROLLO!L60/N70_DESARROLLO!K60))</f>
        <v>-1.1152743927375752E-2</v>
      </c>
      <c r="CL145" s="1">
        <f>(1+(N70_DESARROLLO!L60/0.014285714)*LN(N70_DESARROLLO!M60/N70_DESARROLLO!L60))</f>
        <v>-1.1407193179388653E-2</v>
      </c>
      <c r="CM145" s="1">
        <f>(1+(N70_DESARROLLO!M60/0.014285714)*LN(N70_DESARROLLO!N60/N70_DESARROLLO!M60))</f>
        <v>-1.1673524379100408E-2</v>
      </c>
      <c r="CN145" s="1">
        <f>(1+(N70_DESARROLLO!N60/0.014285714)*LN(N70_DESARROLLO!O60/N70_DESARROLLO!N60))</f>
        <v>-1.1952589722085794E-2</v>
      </c>
      <c r="CO145" s="1">
        <f>(1+(N70_DESARROLLO!O60/0.014285714)*LN(N70_DESARROLLO!P60/N70_DESARROLLO!O60))</f>
        <v>-1.2245324897514953E-2</v>
      </c>
      <c r="CP145" s="1">
        <f>(1+(N70_DESARROLLO!P60/0.014285714)*LN(N70_DESARROLLO!Q60/N70_DESARROLLO!P60))</f>
        <v>-1.2552759570449767E-2</v>
      </c>
      <c r="CQ145" s="1">
        <f>(1+(N70_DESARROLLO!Q60/0.014285714)*LN(N70_DESARROLLO!R60/N70_DESARROLLO!Q60))</f>
        <v>-1.2876029484353957E-2</v>
      </c>
      <c r="CR145" s="1">
        <f>(1+(N70_DESARROLLO!R60/0.014285714)*LN(N70_DESARROLLO!S60/N70_DESARROLLO!R60))</f>
        <v>-1.3216390483208995E-2</v>
      </c>
      <c r="CS145" s="1">
        <f>(1+(N70_DESARROLLO!S60/0.014285714)*LN(N70_DESARROLLO!T60/N70_DESARROLLO!S60))</f>
        <v>-1.3575234818476778E-2</v>
      </c>
      <c r="CT145" s="1">
        <f>(1+(N70_DESARROLLO!T60/0.014285714)*LN(N70_DESARROLLO!U60/N70_DESARROLLO!T60))</f>
        <v>-1.3954110187349711E-2</v>
      </c>
      <c r="CU145" s="1">
        <f>(1+(N70_DESARROLLO!U60/0.014285714)*LN(N70_DESARROLLO!V60/N70_DESARROLLO!U60))</f>
        <v>-1.4354742051078784E-2</v>
      </c>
      <c r="CV145" s="1">
        <f>(1+(N70_DESARROLLO!V60/0.014285714)*LN(N70_DESARROLLO!W60/N70_DESARROLLO!V60))</f>
        <v>-1.4779059912705339E-2</v>
      </c>
      <c r="CW145" s="1">
        <f>(1+(N70_DESARROLLO!W60/0.014285714)*LN(N70_DESARROLLO!X60/N70_DESARROLLO!W60))</f>
        <v>-1.5229228398099703E-2</v>
      </c>
      <c r="CX145" s="1">
        <f>(1+(N70_DESARROLLO!X60/0.014285714)*LN(N70_DESARROLLO!Y60/N70_DESARROLLO!X60))</f>
        <v>-1.5707684197547644E-2</v>
      </c>
      <c r="CY145" s="1">
        <f>(1+(N70_DESARROLLO!Y60/0.014285714)*LN(N70_DESARROLLO!Z60/N70_DESARROLLO!Y60))</f>
        <v>-1.6217180198318859E-2</v>
      </c>
      <c r="CZ145" s="1">
        <f>(1+(N70_DESARROLLO!Z60/0.014285714)*LN(N70_DESARROLLO!AA60/N70_DESARROLLO!Z60))</f>
        <v>-1.6760838496767905E-2</v>
      </c>
      <c r="DA145" s="1">
        <f>(1+(N70_DESARROLLO!AA60/0.014285714)*LN(N70_DESARROLLO!AB60/N70_DESARROLLO!AA60))</f>
        <v>-1.7342214446339321E-2</v>
      </c>
      <c r="DB145" s="1">
        <f>(1+(N70_DESARROLLO!AB60/0.014285714)*LN(N70_DESARROLLO!AC60/N70_DESARROLLO!AB60))</f>
        <v>-1.7965374518565502E-2</v>
      </c>
      <c r="DC145" s="1">
        <f>(1+(N70_DESARROLLO!AC60/0.014285714)*LN(N70_DESARROLLO!AD60/N70_DESARROLLO!AC60))</f>
        <v>-1.8634991582299865E-2</v>
      </c>
      <c r="DD145" s="1">
        <f>(1+(N70_DESARROLLO!AD60/0.014285714)*LN(N70_DESARROLLO!AE60/N70_DESARROLLO!AD60))</f>
        <v>-1.9356462323724788E-2</v>
      </c>
      <c r="DE145" s="1">
        <f>(1+(N70_DESARROLLO!AE60/0.014285714)*LN(N70_DESARROLLO!AF60/N70_DESARROLLO!AE60))</f>
        <v>-2.0136053052048908E-2</v>
      </c>
      <c r="DF145" s="1">
        <f>(1+(N70_DESARROLLO!AF60/0.014285714)*LN(N70_DESARROLLO!AG60/N70_DESARROLLO!AF60))</f>
        <v>-2.0981082233533677E-2</v>
      </c>
      <c r="DG145" s="1">
        <f>(1+(N70_DESARROLLO!AG60/0.014285714)*LN(N70_DESARROLLO!AH60/N70_DESARROLLO!AG60))</f>
        <v>-2.1900151021867043E-2</v>
      </c>
      <c r="DH145" s="1">
        <f>(1+(N70_DESARROLLO!AH60/0.014285714)*LN(N70_DESARROLLO!AI60/N70_DESARROLLO!AH60))</f>
        <v>-2.2903437185110453E-2</v>
      </c>
      <c r="DI145" s="1">
        <f>(1+(N70_DESARROLLO!AI60/0.014285714)*LN(N70_DESARROLLO!AJ60/N70_DESARROLLO!AI60))</f>
        <v>-2.4003073749035098E-2</v>
      </c>
      <c r="DJ145" s="1">
        <f>(1+(N70_DESARROLLO!AJ60/0.014285714)*LN(N70_DESARROLLO!AK60/N70_DESARROLLO!AJ60))</f>
        <v>-2.5213642284832138E-2</v>
      </c>
      <c r="DK145" s="1">
        <f>(1+(N70_DESARROLLO!AK60/0.014285714)*LN(N70_DESARROLLO!AL60/N70_DESARROLLO!AK60))</f>
        <v>-2.6552823496786004E-2</v>
      </c>
      <c r="DL145" s="1">
        <f>(1+(N70_DESARROLLO!AL60/0.014285714)*LN(N70_DESARROLLO!AM60/N70_DESARROLLO!AL60))</f>
        <v>-2.8042266924844572E-2</v>
      </c>
      <c r="DM145" s="1">
        <f>(1+(N70_DESARROLLO!AM60/0.014285714)*LN(N70_DESARROLLO!AN60/N70_DESARROLLO!AM60))</f>
        <v>-2.9708770995511058E-2</v>
      </c>
      <c r="DN145" s="1">
        <f>(1+(N70_DESARROLLO!AN60/0.014285714)*LN(N70_DESARROLLO!AO60/N70_DESARROLLO!AN60))</f>
        <v>-3.158591082373019E-2</v>
      </c>
      <c r="DO145" s="1">
        <f>(1+(N70_DESARROLLO!AO60/0.014285714)*LN(N70_DESARROLLO!AP60/N70_DESARROLLO!AO60))</f>
        <v>-3.3716325403741365E-2</v>
      </c>
      <c r="DP145" s="1">
        <f>(1+(N70_DESARROLLO!AP60/0.014285714)*LN(N70_DESARROLLO!AQ60/N70_DESARROLLO!AP60))</f>
        <v>-3.6154998464206001E-2</v>
      </c>
      <c r="DQ145" s="1">
        <f>(1+(N70_DESARROLLO!AQ60/0.014285714)*LN(N70_DESARROLLO!AR60/N70_DESARROLLO!AQ60))</f>
        <v>-3.8974076117210377E-2</v>
      </c>
      <c r="DR145" s="1">
        <f>(1+(N70_DESARROLLO!AR60/0.014285714)*LN(N70_DESARROLLO!AS60/N70_DESARROLLO!AR60))</f>
        <v>-4.2270132583545061E-2</v>
      </c>
      <c r="DS145" s="1">
        <f>(1+(N70_DESARROLLO!AS60/0.014285714)*LN(N70_DESARROLLO!AT60/N70_DESARROLLO!AS60))</f>
        <v>-4.6175470289362641E-2</v>
      </c>
      <c r="DT145" s="1">
        <f>(1+(N70_DESARROLLO!AT60/0.014285714)*LN(N70_DESARROLLO!AU60/N70_DESARROLLO!AT60))</f>
        <v>-5.087633586584861E-2</v>
      </c>
      <c r="DU145" s="1">
        <f>(1+(N70_DESARROLLO!AU60/0.014285714)*LN(N70_DESARROLLO!AV60/N70_DESARROLLO!AU60))</f>
        <v>-5.664355467999882E-2</v>
      </c>
      <c r="DV145" s="1">
        <f>(1+(N70_DESARROLLO!AV60/0.014285714)*LN(N70_DESARROLLO!AW60/N70_DESARROLLO!AV60))</f>
        <v>-6.3886736386782106E-2</v>
      </c>
      <c r="DW145" s="1">
        <f>(1+(N70_DESARROLLO!AW60/0.014285714)*LN(N70_DESARROLLO!AX60/N70_DESARROLLO!AW60))</f>
        <v>-7.3256348770182278E-2</v>
      </c>
      <c r="DX145" s="1">
        <f>(1+(N70_DESARROLLO!AX60/0.014285714)*LN(N70_DESARROLLO!AY60/N70_DESARROLLO!AX60))</f>
        <v>-8.5851572027607403E-2</v>
      </c>
      <c r="DY145" s="1">
        <f>(1+(N70_DESARROLLO!AY60/0.014285714)*LN(N70_DESARROLLO!AZ60/N70_DESARROLLO!AY60))</f>
        <v>-0.10368884711561321</v>
      </c>
      <c r="DZ145" s="1">
        <f>(1+(N70_DESARROLLO!AZ60/0.014285714)*LN(N70_DESARROLLO!BA60/N70_DESARROLLO!AZ60))</f>
        <v>-0.13091494988237162</v>
      </c>
      <c r="EA145" s="1">
        <f>(1+(N70_DESARROLLO!BA60/0.014285714)*LN(N70_DESARROLLO!BB60/N70_DESARROLLO!BA60))</f>
        <v>-0.17765285172730816</v>
      </c>
      <c r="EB145" s="1">
        <f>(1+(N70_DESARROLLO!BB60/0.014285714)*LN(N70_DESARROLLO!BC60/N70_DESARROLLO!BB60))</f>
        <v>-0.27706408495625312</v>
      </c>
      <c r="EC145" s="1">
        <f>(1+(N70_DESARROLLO!BC60/0.014285714)*LN(N70_DESARROLLO!BD60/N70_DESARROLLO!BC60))</f>
        <v>-0.64791846596054437</v>
      </c>
      <c r="ED145" s="1">
        <v>1</v>
      </c>
      <c r="EE145" s="1">
        <f>(1+(N70_DESARROLLO!BE60/0.014285714)*LN(N70_DESARROLLO!BF60/N70_DESARROLLO!BE60))</f>
        <v>0.45069384467982143</v>
      </c>
      <c r="EF145" s="1">
        <f>(1+(N70_DESARROLLO!BF60/0.014285714)*LN(N70_DESARROLLO!BG60/N70_DESARROLLO!BF60))</f>
        <v>0.2337615490262468</v>
      </c>
      <c r="EG145" s="1">
        <f>(1+(N70_DESARROLLO!BG60/0.014285714)*LN(N70_DESARROLLO!BH60/N70_DESARROLLO!BG60))</f>
        <v>0.15881939162335801</v>
      </c>
      <c r="EH145" s="1">
        <f>(1+(N70_DESARROLLO!BH60/0.014285714)*LN(N70_DESARROLLO!BI60/N70_DESARROLLO!BH60))</f>
        <v>0.12039948342481499</v>
      </c>
      <c r="EI145" s="1">
        <f>(1+(N70_DESARROLLO!BI60/0.014285714)*LN(N70_DESARROLLO!BJ60/N70_DESARROLLO!BI60))</f>
        <v>9.6981852359959819E-2</v>
      </c>
      <c r="EJ145" s="1">
        <f>(1+(N70_DESARROLLO!BJ60/0.014285714)*LN(N70_DESARROLLO!BK60/N70_DESARROLLO!BJ60))</f>
        <v>8.1202515976632528E-2</v>
      </c>
      <c r="EK145" s="1">
        <f>(1+(N70_DESARROLLO!BK60/0.014285714)*LN(N70_DESARROLLO!BL60/N70_DESARROLLO!BK60))</f>
        <v>6.9844497732516331E-2</v>
      </c>
      <c r="EL145" s="1">
        <f>(1+(N70_DESARROLLO!BL60/0.014285714)*LN(N70_DESARROLLO!BM60/N70_DESARROLLO!BL60))</f>
        <v>6.1276409070479265E-2</v>
      </c>
      <c r="EM145" s="1">
        <f>(1+(N70_DESARROLLO!BM60/0.014285714)*LN(N70_DESARROLLO!BN60/N70_DESARROLLO!BM60))</f>
        <v>5.4582082654737407E-2</v>
      </c>
      <c r="EN145" s="1">
        <f>(1+(N70_DESARROLLO!BN60/0.014285714)*LN(N70_DESARROLLO!BO60/N70_DESARROLLO!BN60))</f>
        <v>4.9207124692803972E-2</v>
      </c>
      <c r="EO145" s="1">
        <f>(1+(N70_DESARROLLO!BO60/0.014285714)*LN(N70_DESARROLLO!BP60/N70_DESARROLLO!BO60))</f>
        <v>4.4796309735798956E-2</v>
      </c>
      <c r="EP145" s="1">
        <f>(1+(N70_DESARROLLO!BP60/0.014285714)*LN(N70_DESARROLLO!BQ60/N70_DESARROLLO!BP60))</f>
        <v>4.1111478023138415E-2</v>
      </c>
      <c r="EQ145" s="1">
        <f>(1+(N70_DESARROLLO!BQ60/0.014285714)*LN(N70_DESARROLLO!BR60/N70_DESARROLLO!BQ60))</f>
        <v>3.7986966558139379E-2</v>
      </c>
      <c r="ER145" s="1">
        <f>(1+(N70_DESARROLLO!BR60/0.014285714)*LN(N70_DESARROLLO!BS60/N70_DESARROLLO!BR60))</f>
        <v>3.5303966947126675E-2</v>
      </c>
      <c r="ES145" s="1">
        <f>(1+(N70_DESARROLLO!BS60/0.014285714)*LN(N70_DESARROLLO!BT60/N70_DESARROLLO!BS60))</f>
        <v>3.2975050428749264E-2</v>
      </c>
      <c r="ET145" s="1">
        <f>(1+(N70_DESARROLLO!BT60/0.014285714)*LN(N70_DESARROLLO!BU60/N70_DESARROLLO!BT60))</f>
        <v>3.0934447408016319E-2</v>
      </c>
      <c r="EU145" s="1">
        <f>(1+(N70_DESARROLLO!BU60/0.014285714)*LN(N70_DESARROLLO!BV60/N70_DESARROLLO!BU60))</f>
        <v>2.9131730204230433E-2</v>
      </c>
      <c r="EV145" s="1">
        <f>(1+(N70_DESARROLLO!BV60/0.014285714)*LN(N70_DESARROLLO!BW60/N70_DESARROLLO!BV60))</f>
        <v>2.7527585341366678E-2</v>
      </c>
      <c r="EW145" s="1">
        <f>(1+(N70_DESARROLLO!BW60/0.014285714)*LN(N70_DESARROLLO!BX60/N70_DESARROLLO!BW60))</f>
        <v>-23.61840392672206</v>
      </c>
    </row>
    <row r="146" spans="7:153" x14ac:dyDescent="0.25">
      <c r="G146" s="3">
        <v>52</v>
      </c>
      <c r="H146" s="3">
        <f>-(N70_DESARROLLO!G61/0.014285714)*LN(N70_DESARROLLO!G61/N70_DESARROLLO!F61)-1</f>
        <v>-9.7721750824453224E-3</v>
      </c>
      <c r="I146" s="3">
        <f>-(N70_DESARROLLO!H61/0.014285714)*LN(N70_DESARROLLO!H61/N70_DESARROLLO!G61)-1</f>
        <v>-9.966978219191569E-3</v>
      </c>
      <c r="J146" s="3">
        <f>-(N70_DESARROLLO!I61/0.014285714)*LN(N70_DESARROLLO!I61/N70_DESARROLLO!H61)-1</f>
        <v>-1.0169706089853903E-2</v>
      </c>
      <c r="K146" s="3">
        <f>-(N70_DESARROLLO!J61/0.014285714)*LN(N70_DESARROLLO!J61/N70_DESARROLLO!I61)-1</f>
        <v>-1.0380852322620759E-2</v>
      </c>
      <c r="L146" s="3">
        <f>-(N70_DESARROLLO!K61/0.014285714)*LN(N70_DESARROLLO!K61/N70_DESARROLLO!J61)-1</f>
        <v>-1.0600952413273301E-2</v>
      </c>
      <c r="M146" s="3">
        <f>-(N70_DESARROLLO!L61/0.014285714)*LN(N70_DESARROLLO!L61/N70_DESARROLLO!K61)-1</f>
        <v>-1.0830588260139273E-2</v>
      </c>
      <c r="N146" s="3">
        <f>-(N70_DESARROLLO!M61/0.014285714)*LN(N70_DESARROLLO!M61/N70_DESARROLLO!L61)-1</f>
        <v>-1.1070393301807147E-2</v>
      </c>
      <c r="O146" s="3">
        <f>-(N70_DESARROLLO!N61/0.014285714)*LN(N70_DESARROLLO!N61/N70_DESARROLLO!M61)-1</f>
        <v>-1.1321058352727453E-2</v>
      </c>
      <c r="P146" s="3">
        <f>-(N70_DESARROLLO!O61/0.014285714)*LN(N70_DESARROLLO!O61/N70_DESARROLLO!N61)-1</f>
        <v>-1.1583338250309216E-2</v>
      </c>
      <c r="Q146" s="3">
        <f>-(N70_DESARROLLO!P61/0.014285714)*LN(N70_DESARROLLO!P61/N70_DESARROLLO!O61)-1</f>
        <v>-1.1858059447845348E-2</v>
      </c>
      <c r="R146" s="3">
        <f>-(N70_DESARROLLO!Q61/0.014285714)*LN(N70_DESARROLLO!Q61/N70_DESARROLLO!P61)-1</f>
        <v>-1.2146128714473403E-2</v>
      </c>
      <c r="S146" s="3">
        <f>-(N70_DESARROLLO!R61/0.014285714)*LN(N70_DESARROLLO!R61/N70_DESARROLLO!Q61)-1</f>
        <v>-1.2448543134984225E-2</v>
      </c>
      <c r="T146" s="3">
        <f>-(N70_DESARROLLO!S61/0.014285714)*LN(N70_DESARROLLO!S61/N70_DESARROLLO!R61)-1</f>
        <v>-1.2766401641831959E-2</v>
      </c>
      <c r="U146" s="3">
        <f>-(N70_DESARROLLO!T61/0.014285714)*LN(N70_DESARROLLO!T61/N70_DESARROLLO!S61)-1</f>
        <v>-1.3100918360519409E-2</v>
      </c>
      <c r="V146" s="3">
        <f>-(N70_DESARROLLO!U61/0.014285714)*LN(N70_DESARROLLO!U61/N70_DESARROLLO!T61)-1</f>
        <v>-1.345343811001154E-2</v>
      </c>
      <c r="W146" s="3">
        <f>-(N70_DESARROLLO!V61/0.014285714)*LN(N70_DESARROLLO!V61/N70_DESARROLLO!U61)-1</f>
        <v>-1.3825454475325349E-2</v>
      </c>
      <c r="X146" s="3">
        <f>-(N70_DESARROLLO!W61/0.014285714)*LN(N70_DESARROLLO!W61/N70_DESARROLLO!V61)-1</f>
        <v>-1.4218630964436652E-2</v>
      </c>
      <c r="Y146" s="3">
        <f>-(N70_DESARROLLO!X61/0.014285714)*LN(N70_DESARROLLO!X61/N70_DESARROLLO!W61)-1</f>
        <v>-1.4634825881873259E-2</v>
      </c>
      <c r="Z146" s="3">
        <f>-(N70_DESARROLLO!Y61/0.014285714)*LN(N70_DESARROLLO!Y61/N70_DESARROLLO!X61)-1</f>
        <v>-1.5076121703332279E-2</v>
      </c>
      <c r="AA146" s="3">
        <f>-(N70_DESARROLLO!Z61/0.014285714)*LN(N70_DESARROLLO!Z61/N70_DESARROLLO!Y61)-1</f>
        <v>-1.5544859931607702E-2</v>
      </c>
      <c r="AB146" s="3">
        <f>-(N70_DESARROLLO!AA61/0.014285714)*LN(N70_DESARROLLO!AA61/N70_DESARROLLO!Z61)-1</f>
        <v>-1.6043682665119685E-2</v>
      </c>
      <c r="AC146" s="3">
        <f>-(N70_DESARROLLO!AB61/0.014285714)*LN(N70_DESARROLLO!AB61/N70_DESARROLLO!AA61)-1</f>
        <v>-1.6575582437552305E-2</v>
      </c>
      <c r="AD146" s="3">
        <f>-(N70_DESARROLLO!AC61/0.014285714)*LN(N70_DESARROLLO!AC61/N70_DESARROLLO!AB61)-1</f>
        <v>-1.7143962314553507E-2</v>
      </c>
      <c r="AE146" s="3">
        <f>-(N70_DESARROLLO!AD61/0.014285714)*LN(N70_DESARROLLO!AD61/N70_DESARROLLO!AC61)-1</f>
        <v>-1.7752708797875161E-2</v>
      </c>
      <c r="AF146" s="3">
        <f>-(N70_DESARROLLO!AE61/0.014285714)*LN(N70_DESARROLLO!AE61/N70_DESARROLLO!AD61)-1</f>
        <v>-1.8406280838874411E-2</v>
      </c>
      <c r="AG146" s="3">
        <f>-(N70_DESARROLLO!AF61/0.014285714)*LN(N70_DESARROLLO!AF61/N70_DESARROLLO!AE61)-1</f>
        <v>-1.9109819273396944E-2</v>
      </c>
      <c r="AH146" s="3">
        <f>-(N70_DESARROLLO!AG61/0.014285714)*LN(N70_DESARROLLO!AG61/N70_DESARROLLO!AF61)-1</f>
        <v>-1.9869282361759444E-2</v>
      </c>
      <c r="AI146" s="3">
        <f>-(N70_DESARROLLO!AH61/0.014285714)*LN(N70_DESARROLLO!AH61/N70_DESARROLLO!AG61)-1</f>
        <v>-2.0691615000482333E-2</v>
      </c>
      <c r="AJ146" s="3">
        <f>-(N70_DESARROLLO!AI61/0.014285714)*LN(N70_DESARROLLO!AI61/N70_DESARROLLO!AH61)-1</f>
        <v>-2.1584961787576407E-2</v>
      </c>
      <c r="AK146" s="3">
        <f>-(N70_DESARROLLO!AJ61/0.014285714)*LN(N70_DESARROLLO!AJ61/N70_DESARROLLO!AI61)-1</f>
        <v>-2.2558937800896794E-2</v>
      </c>
      <c r="AL146" s="3">
        <f>-(N70_DESARROLLO!AK61/0.014285714)*LN(N70_DESARROLLO!AK61/N70_DESARROLLO!AJ61)-1</f>
        <v>-2.3624976192780256E-2</v>
      </c>
      <c r="AM146" s="3">
        <f>-(N70_DESARROLLO!AL61/0.014285714)*LN(N70_DESARROLLO!AL61/N70_DESARROLLO!AK61)-1</f>
        <v>-2.4796779290037541E-2</v>
      </c>
      <c r="AN146" s="3">
        <f>-(N70_DESARROLLO!AM61/0.014285714)*LN(N70_DESARROLLO!AM61/N70_DESARROLLO!AL61)-1</f>
        <v>-2.6090911041510401E-2</v>
      </c>
      <c r="AO146" s="3">
        <f>-(N70_DESARROLLO!AN61/0.014285714)*LN(N70_DESARROLLO!AN61/N70_DESARROLLO!AM61)-1</f>
        <v>-2.7527585341363126E-2</v>
      </c>
      <c r="AP146" s="3">
        <f>-(N70_DESARROLLO!AO61/0.014285714)*LN(N70_DESARROLLO!AO61/N70_DESARROLLO!AN61)-1</f>
        <v>-2.913173020423232E-2</v>
      </c>
      <c r="AQ146" s="3">
        <f>-(N70_DESARROLLO!AP61/0.014285714)*LN(N70_DESARROLLO!AP61/N70_DESARROLLO!AO61)-1</f>
        <v>-3.0934447408016208E-2</v>
      </c>
      <c r="AR146" s="3">
        <f>-(N70_DESARROLLO!AQ61/0.014285714)*LN(N70_DESARROLLO!AQ61/N70_DESARROLLO!AP61)-1</f>
        <v>-3.2975050428749264E-2</v>
      </c>
      <c r="AS146" s="3">
        <f>-(N70_DESARROLLO!AR61/0.014285714)*LN(N70_DESARROLLO!AR61/N70_DESARROLLO!AQ61)-1</f>
        <v>-3.5303966947126342E-2</v>
      </c>
      <c r="AT146" s="3">
        <f>-(N70_DESARROLLO!AS61/0.014285714)*LN(N70_DESARROLLO!AS61/N70_DESARROLLO!AR61)-1</f>
        <v>-3.7986966558130497E-2</v>
      </c>
      <c r="AU146" s="3">
        <f>-(N70_DESARROLLO!AT61/0.014285714)*LN(N70_DESARROLLO!AT61/N70_DESARROLLO!AS61)-1</f>
        <v>-4.1111478023145187E-2</v>
      </c>
      <c r="AV146" s="3">
        <f>-(N70_DESARROLLO!AU61/0.014285714)*LN(N70_DESARROLLO!AU61/N70_DESARROLLO!AT61)-1</f>
        <v>-4.4796309735792517E-2</v>
      </c>
      <c r="AW146" s="3">
        <f>-(N70_DESARROLLO!AV61/0.014285714)*LN(N70_DESARROLLO!AV61/N70_DESARROLLO!AU61)-1</f>
        <v>-4.920712469281141E-2</v>
      </c>
      <c r="AX146" s="3">
        <f>-(N70_DESARROLLO!AW61/0.014285714)*LN(N70_DESARROLLO!AW61/N70_DESARROLLO!AV61)-1</f>
        <v>-5.458208265473774E-2</v>
      </c>
      <c r="AY146" s="3">
        <f>-(N70_DESARROLLO!AX61/0.014285714)*LN(N70_DESARROLLO!AX61/N70_DESARROLLO!AW61)-1</f>
        <v>-6.1276409070479265E-2</v>
      </c>
      <c r="AZ146" s="3">
        <f>-(N70_DESARROLLO!AY61/0.014285714)*LN(N70_DESARROLLO!AY61/N70_DESARROLLO!AX61)-1</f>
        <v>-6.9844497732516553E-2</v>
      </c>
      <c r="BA146" s="3">
        <f>-(N70_DESARROLLO!AZ61/0.014285714)*LN(N70_DESARROLLO!AZ61/N70_DESARROLLO!AY61)-1</f>
        <v>-8.1202515976632528E-2</v>
      </c>
      <c r="BB146" s="3">
        <f>-(N70_DESARROLLO!BA61/0.014285714)*LN(N70_DESARROLLO!BA61/N70_DESARROLLO!AZ61)-1</f>
        <v>-9.6981852359959375E-2</v>
      </c>
      <c r="BC146" s="3">
        <f>-(N70_DESARROLLO!BB61/0.014285714)*LN(N70_DESARROLLO!BB61/N70_DESARROLLO!BA61)-1</f>
        <v>-0.12039948342481521</v>
      </c>
      <c r="BD146" s="3">
        <f>-(N70_DESARROLLO!BC61/0.014285714)*LN(N70_DESARROLLO!BC61/N70_DESARROLLO!BB61)-1</f>
        <v>-0.15881939162335768</v>
      </c>
      <c r="BE146" s="3">
        <f>-(N70_DESARROLLO!BD61/0.014285714)*LN(N70_DESARROLLO!BD61/N70_DESARROLLO!BC61)-1</f>
        <v>-0.23376154902624224</v>
      </c>
      <c r="BF146" s="3">
        <f>-(N70_DESARROLLO!BE61/0.014285714)*LN(N70_DESARROLLO!BE61/N70_DESARROLLO!BD61)-1</f>
        <v>-0.45069384467982065</v>
      </c>
      <c r="BG146" s="3">
        <v>-1</v>
      </c>
      <c r="BH146" s="3">
        <f>-(N70_DESARROLLO!BG61/0.014285714)*LN(N70_DESARROLLO!BG61/N70_DESARROLLO!BF61)-1</f>
        <v>0.64791846596052816</v>
      </c>
      <c r="BI146" s="3">
        <f>-(N70_DESARROLLO!BH61/0.014285714)*LN(N70_DESARROLLO!BH61/N70_DESARROLLO!BG61)-1</f>
        <v>0.27706408495625401</v>
      </c>
      <c r="BJ146" s="3">
        <f>-(N70_DESARROLLO!BI61/0.014285714)*LN(N70_DESARROLLO!BI61/N70_DESARROLLO!BH61)-1</f>
        <v>0.17765285172730838</v>
      </c>
      <c r="BK146" s="3">
        <f>-(N70_DESARROLLO!BJ61/0.014285714)*LN(N70_DESARROLLO!BJ61/N70_DESARROLLO!BI61)-1</f>
        <v>0.13091494988237207</v>
      </c>
      <c r="BL146" s="3">
        <f>-(N70_DESARROLLO!BK61/0.014285714)*LN(N70_DESARROLLO!BK61/N70_DESARROLLO!BJ61)-1</f>
        <v>0.10368884711561388</v>
      </c>
      <c r="BM146" s="3">
        <f>-(N70_DESARROLLO!BL61/0.014285714)*LN(N70_DESARROLLO!BL61/N70_DESARROLLO!BK61)-1</f>
        <v>8.5851572027606959E-2</v>
      </c>
      <c r="BN146" s="3">
        <f>-(N70_DESARROLLO!BM61/0.014285714)*LN(N70_DESARROLLO!BM61/N70_DESARROLLO!BL61)-1</f>
        <v>7.3256348770181612E-2</v>
      </c>
      <c r="BO146" s="3">
        <f>-(N70_DESARROLLO!BN61/0.014285714)*LN(N70_DESARROLLO!BN61/N70_DESARROLLO!BM61)-1</f>
        <v>6.388673638678144E-2</v>
      </c>
      <c r="BP146" s="3">
        <f>-(N70_DESARROLLO!BO61/0.014285714)*LN(N70_DESARROLLO!BO61/N70_DESARROLLO!BN61)-1</f>
        <v>5.6643554680008368E-2</v>
      </c>
      <c r="BQ146" s="3">
        <f>-(N70_DESARROLLO!BP61/0.014285714)*LN(N70_DESARROLLO!BP61/N70_DESARROLLO!BO61)-1</f>
        <v>5.0876335865839506E-2</v>
      </c>
      <c r="BR146" s="3">
        <f>-(N70_DESARROLLO!BQ61/0.014285714)*LN(N70_DESARROLLO!BQ61/N70_DESARROLLO!BP61)-1</f>
        <v>4.6175470289372189E-2</v>
      </c>
      <c r="BS146" s="3">
        <f>-(N70_DESARROLLO!BR61/0.014285714)*LN(N70_DESARROLLO!BR61/N70_DESARROLLO!BQ61)-1</f>
        <v>4.227013258353729E-2</v>
      </c>
      <c r="BT146" s="3">
        <f>-(N70_DESARROLLO!BS61/0.014285714)*LN(N70_DESARROLLO!BS61/N70_DESARROLLO!BR61)-1</f>
        <v>3.8974076117211265E-2</v>
      </c>
      <c r="BU146" s="3">
        <f>-(N70_DESARROLLO!BT61/0.014285714)*LN(N70_DESARROLLO!BT61/N70_DESARROLLO!BS61)-1</f>
        <v>3.6154998464205779E-2</v>
      </c>
      <c r="BV146" s="3">
        <f>-(N70_DESARROLLO!BU61/0.014285714)*LN(N70_DESARROLLO!BU61/N70_DESARROLLO!BT61)-1</f>
        <v>3.3716325403740921E-2</v>
      </c>
      <c r="BW146" s="3">
        <f>-(N70_DESARROLLO!BV61/0.014285714)*LN(N70_DESARROLLO!BV61/N70_DESARROLLO!BU61)-1</f>
        <v>3.1585910823734631E-2</v>
      </c>
      <c r="BX146" s="3">
        <f>-(N70_DESARROLLO!BW61/0.014285714)*LN(N70_DESARROLLO!BW61/N70_DESARROLLO!BV61)-1</f>
        <v>2.9708770995505729E-2</v>
      </c>
      <c r="BY146" s="3">
        <f>-(N70_DESARROLLO!BX61/0.014285714)*LN(N70_DESARROLLO!BX61/N70_DESARROLLO!BW61)-1</f>
        <v>96.040607219204517</v>
      </c>
      <c r="CD146" s="1">
        <v>52</v>
      </c>
      <c r="CE146" s="1">
        <v>0</v>
      </c>
      <c r="CF146" s="1">
        <f>(1+(N70_DESARROLLO!F61/0.014285714)*LN(N70_DESARROLLO!G61/N70_DESARROLLO!F61))</f>
        <v>-9.8362966981002664E-3</v>
      </c>
      <c r="CG146" s="1">
        <f>(1+(N70_DESARROLLO!G61/0.014285714)*LN(N70_DESARROLLO!H61/N70_DESARROLLO!G61))</f>
        <v>-1.0033688887491454E-2</v>
      </c>
      <c r="CH146" s="1">
        <f>(1+(N70_DESARROLLO!H61/0.014285714)*LN(N70_DESARROLLO!I61/N70_DESARROLLO!H61))</f>
        <v>-1.0239165949530449E-2</v>
      </c>
      <c r="CI146" s="1">
        <f>(1+(N70_DESARROLLO!I61/0.014285714)*LN(N70_DESARROLLO!J61/N70_DESARROLLO!I61))</f>
        <v>-1.0453234996903094E-2</v>
      </c>
      <c r="CJ146" s="1">
        <f>(1+(N70_DESARROLLO!J61/0.014285714)*LN(N70_DESARROLLO!K61/N70_DESARROLLO!J61))</f>
        <v>-1.0676446459559452E-2</v>
      </c>
      <c r="CK146" s="1">
        <f>(1+(N70_DESARROLLO!K61/0.014285714)*LN(N70_DESARROLLO!L61/N70_DESARROLLO!K61))</f>
        <v>-1.0909398811066673E-2</v>
      </c>
      <c r="CL146" s="1">
        <f>(1+(N70_DESARROLLO!L61/0.014285714)*LN(N70_DESARROLLO!M61/N70_DESARROLLO!L61))</f>
        <v>-1.1152743927365538E-2</v>
      </c>
      <c r="CM146" s="1">
        <f>(1+(N70_DESARROLLO!M61/0.014285714)*LN(N70_DESARROLLO!N61/N70_DESARROLLO!M61))</f>
        <v>-1.140719317939376E-2</v>
      </c>
      <c r="CN146" s="1">
        <f>(1+(N70_DESARROLLO!N61/0.014285714)*LN(N70_DESARROLLO!O61/N70_DESARROLLO!N61))</f>
        <v>-1.1673524379095301E-2</v>
      </c>
      <c r="CO146" s="1">
        <f>(1+(N70_DESARROLLO!O61/0.014285714)*LN(N70_DESARROLLO!P61/N70_DESARROLLO!O61))</f>
        <v>-1.1952589722085794E-2</v>
      </c>
      <c r="CP146" s="1">
        <f>(1+(N70_DESARROLLO!P61/0.014285714)*LN(N70_DESARROLLO!Q61/N70_DESARROLLO!P61))</f>
        <v>-1.2245324897515175E-2</v>
      </c>
      <c r="CQ146" s="1">
        <f>(1+(N70_DESARROLLO!Q61/0.014285714)*LN(N70_DESARROLLO!R61/N70_DESARROLLO!Q61))</f>
        <v>-1.2552759570459315E-2</v>
      </c>
      <c r="CR146" s="1">
        <f>(1+(N70_DESARROLLO!R61/0.014285714)*LN(N70_DESARROLLO!S61/N70_DESARROLLO!R61))</f>
        <v>-1.2876029484353957E-2</v>
      </c>
      <c r="CS146" s="1">
        <f>(1+(N70_DESARROLLO!S61/0.014285714)*LN(N70_DESARROLLO!T61/N70_DESARROLLO!S61))</f>
        <v>-1.3216390483200113E-2</v>
      </c>
      <c r="CT146" s="1">
        <f>(1+(N70_DESARROLLO!T61/0.014285714)*LN(N70_DESARROLLO!U61/N70_DESARROLLO!T61))</f>
        <v>-1.3575234818481441E-2</v>
      </c>
      <c r="CU146" s="1">
        <f>(1+(N70_DESARROLLO!U61/0.014285714)*LN(N70_DESARROLLO!V61/N70_DESARROLLO!U61))</f>
        <v>-1.3954110187341273E-2</v>
      </c>
      <c r="CV146" s="1">
        <f>(1+(N70_DESARROLLO!V61/0.014285714)*LN(N70_DESARROLLO!W61/N70_DESARROLLO!V61))</f>
        <v>-1.4354742051087221E-2</v>
      </c>
      <c r="CW146" s="1">
        <f>(1+(N70_DESARROLLO!W61/0.014285714)*LN(N70_DESARROLLO!X61/N70_DESARROLLO!W61))</f>
        <v>-1.4779059912697567E-2</v>
      </c>
      <c r="CX146" s="1">
        <f>(1+(N70_DESARROLLO!X61/0.014285714)*LN(N70_DESARROLLO!Y61/N70_DESARROLLO!X61))</f>
        <v>-1.52292283981037E-2</v>
      </c>
      <c r="CY146" s="1">
        <f>(1+(N70_DESARROLLO!Y61/0.014285714)*LN(N70_DESARROLLO!Z61/N70_DESARROLLO!Y61))</f>
        <v>-1.5707684197547644E-2</v>
      </c>
      <c r="CZ146" s="1">
        <f>(1+(N70_DESARROLLO!Z61/0.014285714)*LN(N70_DESARROLLO!AA61/N70_DESARROLLO!Z61))</f>
        <v>-1.6217180198318859E-2</v>
      </c>
      <c r="DA146" s="1">
        <f>(1+(N70_DESARROLLO!AA61/0.014285714)*LN(N70_DESARROLLO!AB61/N70_DESARROLLO!AA61))</f>
        <v>-1.6760838496767905E-2</v>
      </c>
      <c r="DB146" s="1">
        <f>(1+(N70_DESARROLLO!AB61/0.014285714)*LN(N70_DESARROLLO!AC61/N70_DESARROLLO!AB61))</f>
        <v>-1.7342214446339321E-2</v>
      </c>
      <c r="DC146" s="1">
        <f>(1+(N70_DESARROLLO!AC61/0.014285714)*LN(N70_DESARROLLO!AD61/N70_DESARROLLO!AC61))</f>
        <v>-1.7965374518565724E-2</v>
      </c>
      <c r="DD146" s="1">
        <f>(1+(N70_DESARROLLO!AD61/0.014285714)*LN(N70_DESARROLLO!AE61/N70_DESARROLLO!AD61))</f>
        <v>-1.8634991582300087E-2</v>
      </c>
      <c r="DE146" s="1">
        <f>(1+(N70_DESARROLLO!AE61/0.014285714)*LN(N70_DESARROLLO!AF61/N70_DESARROLLO!AE61))</f>
        <v>-1.9356462323724788E-2</v>
      </c>
      <c r="DF146" s="1">
        <f>(1+(N70_DESARROLLO!AF61/0.014285714)*LN(N70_DESARROLLO!AG61/N70_DESARROLLO!AF61))</f>
        <v>-2.0136053052046243E-2</v>
      </c>
      <c r="DG146" s="1">
        <f>(1+(N70_DESARROLLO!AG61/0.014285714)*LN(N70_DESARROLLO!AH61/N70_DESARROLLO!AG61))</f>
        <v>-2.0981082233539672E-2</v>
      </c>
      <c r="DH146" s="1">
        <f>(1+(N70_DESARROLLO!AH61/0.014285714)*LN(N70_DESARROLLO!AI61/N70_DESARROLLO!AH61))</f>
        <v>-2.19001510218646E-2</v>
      </c>
      <c r="DI146" s="1">
        <f>(1+(N70_DESARROLLO!AI61/0.014285714)*LN(N70_DESARROLLO!AJ61/N70_DESARROLLO!AI61))</f>
        <v>-2.2903437185108011E-2</v>
      </c>
      <c r="DJ146" s="1">
        <f>(1+(N70_DESARROLLO!AJ61/0.014285714)*LN(N70_DESARROLLO!AK61/N70_DESARROLLO!AJ61))</f>
        <v>-2.400307374903532E-2</v>
      </c>
      <c r="DK146" s="1">
        <f>(1+(N70_DESARROLLO!AK61/0.014285714)*LN(N70_DESARROLLO!AL61/N70_DESARROLLO!AK61))</f>
        <v>-2.5213642284832138E-2</v>
      </c>
      <c r="DL146" s="1">
        <f>(1+(N70_DESARROLLO!AL61/0.014285714)*LN(N70_DESARROLLO!AM61/N70_DESARROLLO!AL61))</f>
        <v>-2.6552823496786448E-2</v>
      </c>
      <c r="DM146" s="1">
        <f>(1+(N70_DESARROLLO!AM61/0.014285714)*LN(N70_DESARROLLO!AN61/N70_DESARROLLO!AM61))</f>
        <v>-2.8042266924844794E-2</v>
      </c>
      <c r="DN146" s="1">
        <f>(1+(N70_DESARROLLO!AN61/0.014285714)*LN(N70_DESARROLLO!AO61/N70_DESARROLLO!AN61))</f>
        <v>-2.970877099551128E-2</v>
      </c>
      <c r="DO146" s="1">
        <f>(1+(N70_DESARROLLO!AO61/0.014285714)*LN(N70_DESARROLLO!AP61/N70_DESARROLLO!AO61))</f>
        <v>-3.1585910823724417E-2</v>
      </c>
      <c r="DP146" s="1">
        <f>(1+(N70_DESARROLLO!AP61/0.014285714)*LN(N70_DESARROLLO!AQ61/N70_DESARROLLO!AP61))</f>
        <v>-3.3716325403750913E-2</v>
      </c>
      <c r="DQ146" s="1">
        <f>(1+(N70_DESARROLLO!AQ61/0.014285714)*LN(N70_DESARROLLO!AR61/N70_DESARROLLO!AQ61))</f>
        <v>-3.6154998464197341E-2</v>
      </c>
      <c r="DR146" s="1">
        <f>(1+(N70_DESARROLLO!AR61/0.014285714)*LN(N70_DESARROLLO!AS61/N70_DESARROLLO!AR61))</f>
        <v>-3.8974076117219258E-2</v>
      </c>
      <c r="DS146" s="1">
        <f>(1+(N70_DESARROLLO!AS61/0.014285714)*LN(N70_DESARROLLO!AT61/N70_DESARROLLO!AS61))</f>
        <v>-4.2270132583537734E-2</v>
      </c>
      <c r="DT146" s="1">
        <f>(1+(N70_DESARROLLO!AT61/0.014285714)*LN(N70_DESARROLLO!AU61/N70_DESARROLLO!AT61))</f>
        <v>-4.6175470289370413E-2</v>
      </c>
      <c r="DU146" s="1">
        <f>(1+(N70_DESARROLLO!AU61/0.014285714)*LN(N70_DESARROLLO!AV61/N70_DESARROLLO!AU61))</f>
        <v>-5.0876335865839728E-2</v>
      </c>
      <c r="DV146" s="1">
        <f>(1+(N70_DESARROLLO!AV61/0.014285714)*LN(N70_DESARROLLO!AW61/N70_DESARROLLO!AV61))</f>
        <v>-5.6643554679998376E-2</v>
      </c>
      <c r="DW146" s="1">
        <f>(1+(N70_DESARROLLO!AW61/0.014285714)*LN(N70_DESARROLLO!AX61/N70_DESARROLLO!AW61))</f>
        <v>-6.3886736386790544E-2</v>
      </c>
      <c r="DX146" s="1">
        <f>(1+(N70_DESARROLLO!AX61/0.014285714)*LN(N70_DESARROLLO!AY61/N70_DESARROLLO!AX61))</f>
        <v>-7.325634877017273E-2</v>
      </c>
      <c r="DY146" s="1">
        <f>(1+(N70_DESARROLLO!AY61/0.014285714)*LN(N70_DESARROLLO!AZ61/N70_DESARROLLO!AY61))</f>
        <v>-8.5851572027616507E-2</v>
      </c>
      <c r="DZ146" s="1">
        <f>(1+(N70_DESARROLLO!AZ61/0.014285714)*LN(N70_DESARROLLO!BA61/N70_DESARROLLO!AZ61))</f>
        <v>-0.10368884711560433</v>
      </c>
      <c r="EA146" s="1">
        <f>(1+(N70_DESARROLLO!BA61/0.014285714)*LN(N70_DESARROLLO!BB61/N70_DESARROLLO!BA61))</f>
        <v>-0.13091494988238139</v>
      </c>
      <c r="EB146" s="1">
        <f>(1+(N70_DESARROLLO!BB61/0.014285714)*LN(N70_DESARROLLO!BC61/N70_DESARROLLO!BB61))</f>
        <v>-0.17765285172729728</v>
      </c>
      <c r="EC146" s="1">
        <f>(1+(N70_DESARROLLO!BC61/0.014285714)*LN(N70_DESARROLLO!BD61/N70_DESARROLLO!BC61))</f>
        <v>-0.27706408495626422</v>
      </c>
      <c r="ED146" s="1">
        <f>(1+(N70_DESARROLLO!BD61/0.014285714)*LN(N70_DESARROLLO!BE61/N70_DESARROLLO!BD61))</f>
        <v>-0.64791846596052105</v>
      </c>
      <c r="EE146" s="1">
        <v>1</v>
      </c>
      <c r="EF146" s="1">
        <f>(1+(N70_DESARROLLO!BF61/0.014285714)*LN(N70_DESARROLLO!BG61/N70_DESARROLLO!BF61))</f>
        <v>0.45069384467982399</v>
      </c>
      <c r="EG146" s="1">
        <f>(1+(N70_DESARROLLO!BG61/0.014285714)*LN(N70_DESARROLLO!BH61/N70_DESARROLLO!BG61))</f>
        <v>0.23376154902624757</v>
      </c>
      <c r="EH146" s="1">
        <f>(1+(N70_DESARROLLO!BH61/0.014285714)*LN(N70_DESARROLLO!BI61/N70_DESARROLLO!BH61))</f>
        <v>0.15881939162335301</v>
      </c>
      <c r="EI146" s="1">
        <f>(1+(N70_DESARROLLO!BI61/0.014285714)*LN(N70_DESARROLLO!BJ61/N70_DESARROLLO!BI61))</f>
        <v>0.12039948342482121</v>
      </c>
      <c r="EJ146" s="1">
        <f>(1+(N70_DESARROLLO!BJ61/0.014285714)*LN(N70_DESARROLLO!BK61/N70_DESARROLLO!BJ61))</f>
        <v>9.6981852359953269E-2</v>
      </c>
      <c r="EK146" s="1">
        <f>(1+(N70_DESARROLLO!BK61/0.014285714)*LN(N70_DESARROLLO!BL61/N70_DESARROLLO!BK61))</f>
        <v>8.1202515976639744E-2</v>
      </c>
      <c r="EL146" s="1">
        <f>(1+(N70_DESARROLLO!BL61/0.014285714)*LN(N70_DESARROLLO!BM61/N70_DESARROLLO!BL61))</f>
        <v>6.9844497732510002E-2</v>
      </c>
      <c r="EM146" s="1">
        <f>(1+(N70_DESARROLLO!BM61/0.014285714)*LN(N70_DESARROLLO!BN61/N70_DESARROLLO!BM61))</f>
        <v>6.1276409070486593E-2</v>
      </c>
      <c r="EN146" s="1">
        <f>(1+(N70_DESARROLLO!BN61/0.014285714)*LN(N70_DESARROLLO!BO61/N70_DESARROLLO!BN61))</f>
        <v>5.4582082654729969E-2</v>
      </c>
      <c r="EO146" s="1">
        <f>(1+(N70_DESARROLLO!BO61/0.014285714)*LN(N70_DESARROLLO!BP61/N70_DESARROLLO!BO61))</f>
        <v>4.9207124692811632E-2</v>
      </c>
      <c r="EP146" s="1">
        <f>(1+(N70_DESARROLLO!BP61/0.014285714)*LN(N70_DESARROLLO!BQ61/N70_DESARROLLO!BP61))</f>
        <v>4.4796309735791184E-2</v>
      </c>
      <c r="EQ146" s="1">
        <f>(1+(N70_DESARROLLO!BQ61/0.014285714)*LN(N70_DESARROLLO!BR61/N70_DESARROLLO!BQ61))</f>
        <v>4.1111478023145409E-2</v>
      </c>
      <c r="ER146" s="1">
        <f>(1+(N70_DESARROLLO!BR61/0.014285714)*LN(N70_DESARROLLO!BS61/N70_DESARROLLO!BR61))</f>
        <v>3.7986966558137492E-2</v>
      </c>
      <c r="ES146" s="1">
        <f>(1+(N70_DESARROLLO!BS61/0.014285714)*LN(N70_DESARROLLO!BT61/N70_DESARROLLO!BS61))</f>
        <v>3.5303966947119125E-2</v>
      </c>
      <c r="ET146" s="1">
        <f>(1+(N70_DESARROLLO!BT61/0.014285714)*LN(N70_DESARROLLO!BU61/N70_DESARROLLO!BT61))</f>
        <v>3.2975050428758257E-2</v>
      </c>
      <c r="EU146" s="1">
        <f>(1+(N70_DESARROLLO!BU61/0.014285714)*LN(N70_DESARROLLO!BV61/N70_DESARROLLO!BU61))</f>
        <v>3.0934447408007104E-2</v>
      </c>
      <c r="EV146" s="1">
        <f>(1+(N70_DESARROLLO!BV61/0.014285714)*LN(N70_DESARROLLO!BW61/N70_DESARROLLO!BV61))</f>
        <v>2.9131730204237316E-2</v>
      </c>
      <c r="EW146" s="1">
        <f>(1+(N70_DESARROLLO!BW61/0.014285714)*LN(N70_DESARROLLO!BX61/N70_DESARROLLO!BW61))</f>
        <v>-23.260151804801119</v>
      </c>
    </row>
    <row r="147" spans="7:153" x14ac:dyDescent="0.25">
      <c r="G147" s="3">
        <v>53</v>
      </c>
      <c r="H147" s="3">
        <f>-(N70_DESARROLLO!G62/0.014285714)*LN(N70_DESARROLLO!G62/N70_DESARROLLO!F62)-1</f>
        <v>-9.5848409054887229E-3</v>
      </c>
      <c r="I147" s="3">
        <f>-(N70_DESARROLLO!H62/0.014285714)*LN(N70_DESARROLLO!H62/N70_DESARROLLO!G62)-1</f>
        <v>-9.7721750824341092E-3</v>
      </c>
      <c r="J147" s="3">
        <f>-(N70_DESARROLLO!I62/0.014285714)*LN(N70_DESARROLLO!I62/N70_DESARROLLO!H62)-1</f>
        <v>-9.9669782192027823E-3</v>
      </c>
      <c r="K147" s="3">
        <f>-(N70_DESARROLLO!J62/0.014285714)*LN(N70_DESARROLLO!J62/N70_DESARROLLO!I62)-1</f>
        <v>-1.0169706089843134E-2</v>
      </c>
      <c r="L147" s="3">
        <f>-(N70_DESARROLLO!K62/0.014285714)*LN(N70_DESARROLLO!K62/N70_DESARROLLO!J62)-1</f>
        <v>-1.0380852322626088E-2</v>
      </c>
      <c r="M147" s="3">
        <f>-(N70_DESARROLLO!L62/0.014285714)*LN(N70_DESARROLLO!L62/N70_DESARROLLO!K62)-1</f>
        <v>-1.0600952413268083E-2</v>
      </c>
      <c r="N147" s="3">
        <f>-(N70_DESARROLLO!M62/0.014285714)*LN(N70_DESARROLLO!M62/N70_DESARROLLO!L62)-1</f>
        <v>-1.0830588260149487E-2</v>
      </c>
      <c r="O147" s="3">
        <f>-(N70_DESARROLLO!N62/0.014285714)*LN(N70_DESARROLLO!N62/N70_DESARROLLO!M62)-1</f>
        <v>-1.1070393301797377E-2</v>
      </c>
      <c r="P147" s="3">
        <f>-(N70_DESARROLLO!O62/0.014285714)*LN(N70_DESARROLLO!O62/N70_DESARROLLO!N62)-1</f>
        <v>-1.1321058352732338E-2</v>
      </c>
      <c r="Q147" s="3">
        <f>-(N70_DESARROLLO!P62/0.014285714)*LN(N70_DESARROLLO!P62/N70_DESARROLLO!O62)-1</f>
        <v>-1.1583338250309216E-2</v>
      </c>
      <c r="R147" s="3">
        <f>-(N70_DESARROLLO!Q62/0.014285714)*LN(N70_DESARROLLO!Q62/N70_DESARROLLO!P62)-1</f>
        <v>-1.1858059447836244E-2</v>
      </c>
      <c r="S147" s="3">
        <f>-(N70_DESARROLLO!R62/0.014285714)*LN(N70_DESARROLLO!R62/N70_DESARROLLO!Q62)-1</f>
        <v>-1.2146128714473514E-2</v>
      </c>
      <c r="T147" s="3">
        <f>-(N70_DESARROLLO!S62/0.014285714)*LN(N70_DESARROLLO!S62/N70_DESARROLLO!R62)-1</f>
        <v>-1.2448543134993217E-2</v>
      </c>
      <c r="U147" s="3">
        <f>-(N70_DESARROLLO!T62/0.014285714)*LN(N70_DESARROLLO!T62/N70_DESARROLLO!S62)-1</f>
        <v>-1.2766401641831959E-2</v>
      </c>
      <c r="V147" s="3">
        <f>-(N70_DESARROLLO!U62/0.014285714)*LN(N70_DESARROLLO!U62/N70_DESARROLLO!T62)-1</f>
        <v>-1.3100918360510971E-2</v>
      </c>
      <c r="W147" s="3">
        <f>-(N70_DESARROLLO!V62/0.014285714)*LN(N70_DESARROLLO!V62/N70_DESARROLLO!U62)-1</f>
        <v>-1.3453438110015759E-2</v>
      </c>
      <c r="X147" s="3">
        <f>-(N70_DESARROLLO!W62/0.014285714)*LN(N70_DESARROLLO!W62/N70_DESARROLLO!V62)-1</f>
        <v>-1.3825454475317467E-2</v>
      </c>
      <c r="Y147" s="3">
        <f>-(N70_DESARROLLO!X62/0.014285714)*LN(N70_DESARROLLO!X62/N70_DESARROLLO!W62)-1</f>
        <v>-1.4218630964444534E-2</v>
      </c>
      <c r="Z147" s="3">
        <f>-(N70_DESARROLLO!Y62/0.014285714)*LN(N70_DESARROLLO!Y62/N70_DESARROLLO!X62)-1</f>
        <v>-1.4634825881869595E-2</v>
      </c>
      <c r="AA147" s="3">
        <f>-(N70_DESARROLLO!Z62/0.014285714)*LN(N70_DESARROLLO!Z62/N70_DESARROLLO!Y62)-1</f>
        <v>-1.5076121703332279E-2</v>
      </c>
      <c r="AB147" s="3">
        <f>-(N70_DESARROLLO!AA62/0.014285714)*LN(N70_DESARROLLO!AA62/N70_DESARROLLO!Z62)-1</f>
        <v>-1.5544859931607813E-2</v>
      </c>
      <c r="AC147" s="3">
        <f>-(N70_DESARROLLO!AB62/0.014285714)*LN(N70_DESARROLLO!AB62/N70_DESARROLLO!AA62)-1</f>
        <v>-1.6043682665119796E-2</v>
      </c>
      <c r="AD147" s="3">
        <f>-(N70_DESARROLLO!AC62/0.014285714)*LN(N70_DESARROLLO!AC62/N70_DESARROLLO!AB62)-1</f>
        <v>-1.6575582437552416E-2</v>
      </c>
      <c r="AE147" s="3">
        <f>-(N70_DESARROLLO!AD62/0.014285714)*LN(N70_DESARROLLO!AD62/N70_DESARROLLO!AC62)-1</f>
        <v>-1.7143962314553618E-2</v>
      </c>
      <c r="AF147" s="3">
        <f>-(N70_DESARROLLO!AE62/0.014285714)*LN(N70_DESARROLLO!AE62/N70_DESARROLLO!AD62)-1</f>
        <v>-1.7752708797875383E-2</v>
      </c>
      <c r="AG147" s="3">
        <f>-(N70_DESARROLLO!AF62/0.014285714)*LN(N70_DESARROLLO!AF62/N70_DESARROLLO!AE62)-1</f>
        <v>-1.8406280838874522E-2</v>
      </c>
      <c r="AH147" s="3">
        <f>-(N70_DESARROLLO!AG62/0.014285714)*LN(N70_DESARROLLO!AG62/N70_DESARROLLO!AF62)-1</f>
        <v>-1.910981927339972E-2</v>
      </c>
      <c r="AI147" s="3">
        <f>-(N70_DESARROLLO!AH62/0.014285714)*LN(N70_DESARROLLO!AH62/N70_DESARROLLO!AG62)-1</f>
        <v>-1.986928236175689E-2</v>
      </c>
      <c r="AJ147" s="3">
        <f>-(N70_DESARROLLO!AI62/0.014285714)*LN(N70_DESARROLLO!AI62/N70_DESARROLLO!AH62)-1</f>
        <v>-2.0691615000482555E-2</v>
      </c>
      <c r="AK147" s="3">
        <f>-(N70_DESARROLLO!AJ62/0.014285714)*LN(N70_DESARROLLO!AJ62/N70_DESARROLLO!AI62)-1</f>
        <v>-2.1584961787574075E-2</v>
      </c>
      <c r="AL147" s="3">
        <f>-(N70_DESARROLLO!AK62/0.014285714)*LN(N70_DESARROLLO!AK62/N70_DESARROLLO!AJ62)-1</f>
        <v>-2.2558937800894574E-2</v>
      </c>
      <c r="AM147" s="3">
        <f>-(N70_DESARROLLO!AL62/0.014285714)*LN(N70_DESARROLLO!AL62/N70_DESARROLLO!AK62)-1</f>
        <v>-2.3624976192780478E-2</v>
      </c>
      <c r="AN147" s="3">
        <f>-(N70_DESARROLLO!AM62/0.014285714)*LN(N70_DESARROLLO!AM62/N70_DESARROLLO!AL62)-1</f>
        <v>-2.4796779290037874E-2</v>
      </c>
      <c r="AO147" s="3">
        <f>-(N70_DESARROLLO!AN62/0.014285714)*LN(N70_DESARROLLO!AN62/N70_DESARROLLO!AM62)-1</f>
        <v>-2.6090911041510623E-2</v>
      </c>
      <c r="AP147" s="3">
        <f>-(N70_DESARROLLO!AO62/0.014285714)*LN(N70_DESARROLLO!AO62/N70_DESARROLLO!AN62)-1</f>
        <v>-2.7527585341363237E-2</v>
      </c>
      <c r="AQ147" s="3">
        <f>-(N70_DESARROLLO!AP62/0.014285714)*LN(N70_DESARROLLO!AP62/N70_DESARROLLO!AO62)-1</f>
        <v>-2.9131730204236206E-2</v>
      </c>
      <c r="AR147" s="3">
        <f>-(N70_DESARROLLO!AQ62/0.014285714)*LN(N70_DESARROLLO!AQ62/N70_DESARROLLO!AP62)-1</f>
        <v>-3.0934447408007437E-2</v>
      </c>
      <c r="AS147" s="3">
        <f>-(N70_DESARROLLO!AR62/0.014285714)*LN(N70_DESARROLLO!AR62/N70_DESARROLLO!AQ62)-1</f>
        <v>-3.2975050428757924E-2</v>
      </c>
      <c r="AT147" s="3">
        <f>-(N70_DESARROLLO!AS62/0.014285714)*LN(N70_DESARROLLO!AS62/N70_DESARROLLO!AR62)-1</f>
        <v>-3.5303966947118792E-2</v>
      </c>
      <c r="AU147" s="3">
        <f>-(N70_DESARROLLO!AT62/0.014285714)*LN(N70_DESARROLLO!AT62/N70_DESARROLLO!AS62)-1</f>
        <v>-3.7986966558138158E-2</v>
      </c>
      <c r="AV147" s="3">
        <f>-(N70_DESARROLLO!AU62/0.014285714)*LN(N70_DESARROLLO!AU62/N70_DESARROLLO!AT62)-1</f>
        <v>-4.1111478023138859E-2</v>
      </c>
      <c r="AW147" s="3">
        <f>-(N70_DESARROLLO!AV62/0.014285714)*LN(N70_DESARROLLO!AV62/N70_DESARROLLO!AU62)-1</f>
        <v>-4.4796309735798956E-2</v>
      </c>
      <c r="AX147" s="3">
        <f>-(N70_DESARROLLO!AW62/0.014285714)*LN(N70_DESARROLLO!AW62/N70_DESARROLLO!AV62)-1</f>
        <v>-4.920712469281141E-2</v>
      </c>
      <c r="AY147" s="3">
        <f>-(N70_DESARROLLO!AX62/0.014285714)*LN(N70_DESARROLLO!AX62/N70_DESARROLLO!AW62)-1</f>
        <v>-5.458208265473008E-2</v>
      </c>
      <c r="AZ147" s="3">
        <f>-(N70_DESARROLLO!AY62/0.014285714)*LN(N70_DESARROLLO!AY62/N70_DESARROLLO!AX62)-1</f>
        <v>-6.1276409070485927E-2</v>
      </c>
      <c r="BA147" s="3">
        <f>-(N70_DESARROLLO!AZ62/0.014285714)*LN(N70_DESARROLLO!AZ62/N70_DESARROLLO!AY62)-1</f>
        <v>-6.9844497732509336E-2</v>
      </c>
      <c r="BB147" s="3">
        <f>-(N70_DESARROLLO!BA62/0.014285714)*LN(N70_DESARROLLO!BA62/N70_DESARROLLO!AZ62)-1</f>
        <v>-8.1202515976639078E-2</v>
      </c>
      <c r="BC147" s="3">
        <f>-(N70_DESARROLLO!BB62/0.014285714)*LN(N70_DESARROLLO!BB62/N70_DESARROLLO!BA62)-1</f>
        <v>-9.6981852359953602E-2</v>
      </c>
      <c r="BD147" s="3">
        <f>-(N70_DESARROLLO!BC62/0.014285714)*LN(N70_DESARROLLO!BC62/N70_DESARROLLO!BB62)-1</f>
        <v>-0.12039948342482121</v>
      </c>
      <c r="BE147" s="3">
        <f>-(N70_DESARROLLO!BD62/0.014285714)*LN(N70_DESARROLLO!BD62/N70_DESARROLLO!BC62)-1</f>
        <v>-0.15881939162335246</v>
      </c>
      <c r="BF147" s="3">
        <f>-(N70_DESARROLLO!BE62/0.014285714)*LN(N70_DESARROLLO!BE62/N70_DESARROLLO!BD62)-1</f>
        <v>-0.23376154902624657</v>
      </c>
      <c r="BG147" s="3">
        <f>-(N70_DESARROLLO!BF62/0.014285714)*LN(N70_DESARROLLO!BF62/N70_DESARROLLO!BE62)-1</f>
        <v>-0.45069384467982143</v>
      </c>
      <c r="BH147" s="3">
        <v>-1</v>
      </c>
      <c r="BI147" s="3">
        <f>-(N70_DESARROLLO!BH62/0.014285714)*LN(N70_DESARROLLO!BH62/N70_DESARROLLO!BG62)-1</f>
        <v>0.64791846596052816</v>
      </c>
      <c r="BJ147" s="3">
        <f>-(N70_DESARROLLO!BI62/0.014285714)*LN(N70_DESARROLLO!BI62/N70_DESARROLLO!BH62)-1</f>
        <v>0.27706408495626578</v>
      </c>
      <c r="BK147" s="3">
        <f>-(N70_DESARROLLO!BJ62/0.014285714)*LN(N70_DESARROLLO!BJ62/N70_DESARROLLO!BI62)-1</f>
        <v>0.17765285172729772</v>
      </c>
      <c r="BL147" s="3">
        <f>-(N70_DESARROLLO!BK62/0.014285714)*LN(N70_DESARROLLO!BK62/N70_DESARROLLO!BJ62)-1</f>
        <v>0.13091494988238206</v>
      </c>
      <c r="BM147" s="3">
        <f>-(N70_DESARROLLO!BL62/0.014285714)*LN(N70_DESARROLLO!BL62/N70_DESARROLLO!BK62)-1</f>
        <v>0.10368884711560411</v>
      </c>
      <c r="BN147" s="3">
        <f>-(N70_DESARROLLO!BM62/0.014285714)*LN(N70_DESARROLLO!BM62/N70_DESARROLLO!BL62)-1</f>
        <v>8.5851572027616951E-2</v>
      </c>
      <c r="BO147" s="3">
        <f>-(N70_DESARROLLO!BN62/0.014285714)*LN(N70_DESARROLLO!BN62/N70_DESARROLLO!BM62)-1</f>
        <v>7.3256348770172952E-2</v>
      </c>
      <c r="BP147" s="3">
        <f>-(N70_DESARROLLO!BO62/0.014285714)*LN(N70_DESARROLLO!BO62/N70_DESARROLLO!BN62)-1</f>
        <v>6.3886736386790766E-2</v>
      </c>
      <c r="BQ147" s="3">
        <f>-(N70_DESARROLLO!BP62/0.014285714)*LN(N70_DESARROLLO!BP62/N70_DESARROLLO!BO62)-1</f>
        <v>5.664355467999882E-2</v>
      </c>
      <c r="BR147" s="3">
        <f>-(N70_DESARROLLO!BQ62/0.014285714)*LN(N70_DESARROLLO!BQ62/N70_DESARROLLO!BP62)-1</f>
        <v>5.0876335865848832E-2</v>
      </c>
      <c r="BS147" s="3">
        <f>-(N70_DESARROLLO!BR62/0.014285714)*LN(N70_DESARROLLO!BR62/N70_DESARROLLO!BQ62)-1</f>
        <v>4.6175470289362641E-2</v>
      </c>
      <c r="BT147" s="3">
        <f>-(N70_DESARROLLO!BS62/0.014285714)*LN(N70_DESARROLLO!BS62/N70_DESARROLLO!BR62)-1</f>
        <v>4.227013258353729E-2</v>
      </c>
      <c r="BU147" s="3">
        <f>-(N70_DESARROLLO!BT62/0.014285714)*LN(N70_DESARROLLO!BT62/N70_DESARROLLO!BS62)-1</f>
        <v>3.8974076117217482E-2</v>
      </c>
      <c r="BV147" s="3">
        <f>-(N70_DESARROLLO!BU62/0.014285714)*LN(N70_DESARROLLO!BU62/N70_DESARROLLO!BT62)-1</f>
        <v>3.6154998464196897E-2</v>
      </c>
      <c r="BW147" s="3">
        <f>-(N70_DESARROLLO!BV62/0.014285714)*LN(N70_DESARROLLO!BV62/N70_DESARROLLO!BU62)-1</f>
        <v>3.3716325403751135E-2</v>
      </c>
      <c r="BX147" s="3">
        <f>-(N70_DESARROLLO!BW62/0.014285714)*LN(N70_DESARROLLO!BW62/N70_DESARROLLO!BV62)-1</f>
        <v>3.1585910823724417E-2</v>
      </c>
      <c r="BY147" s="3">
        <f>-(N70_DESARROLLO!BX62/0.014285714)*LN(N70_DESARROLLO!BX62/N70_DESARROLLO!BW62)-1</f>
        <v>100.15944230318655</v>
      </c>
      <c r="CD147">
        <v>53</v>
      </c>
      <c r="CE147" s="1">
        <v>0</v>
      </c>
      <c r="CF147" s="1">
        <f>(1+(N70_DESARROLLO!F62/0.014285714)*LN(N70_DESARROLLO!G62/N70_DESARROLLO!F62))</f>
        <v>-9.646521407026043E-3</v>
      </c>
      <c r="CG147" s="1">
        <f>(1+(N70_DESARROLLO!G62/0.014285714)*LN(N70_DESARROLLO!H62/N70_DESARROLLO!G62))</f>
        <v>-9.8362966981118127E-3</v>
      </c>
      <c r="CH147" s="1">
        <f>(1+(N70_DESARROLLO!H62/0.014285714)*LN(N70_DESARROLLO!I62/N70_DESARROLLO!H62))</f>
        <v>-1.0033688887479908E-2</v>
      </c>
      <c r="CI147" s="1">
        <f>(1+(N70_DESARROLLO!I62/0.014285714)*LN(N70_DESARROLLO!J62/N70_DESARROLLO!I62))</f>
        <v>-1.0239165949541773E-2</v>
      </c>
      <c r="CJ147" s="1">
        <f>(1+(N70_DESARROLLO!J62/0.014285714)*LN(N70_DESARROLLO!K62/N70_DESARROLLO!J62))</f>
        <v>-1.0453234996897542E-2</v>
      </c>
      <c r="CK147" s="1">
        <f>(1+(N70_DESARROLLO!K62/0.014285714)*LN(N70_DESARROLLO!L62/N70_DESARROLLO!K62))</f>
        <v>-1.0676446459564781E-2</v>
      </c>
      <c r="CL147" s="1">
        <f>(1+(N70_DESARROLLO!L62/0.014285714)*LN(N70_DESARROLLO!M62/N70_DESARROLLO!L62))</f>
        <v>-1.0909398811056015E-2</v>
      </c>
      <c r="CM147" s="1">
        <f>(1+(N70_DESARROLLO!M62/0.014285714)*LN(N70_DESARROLLO!N62/N70_DESARROLLO!M62))</f>
        <v>-1.1152743927375752E-2</v>
      </c>
      <c r="CN147" s="1">
        <f>(1+(N70_DESARROLLO!N62/0.014285714)*LN(N70_DESARROLLO!O62/N70_DESARROLLO!N62))</f>
        <v>-1.1407193179388653E-2</v>
      </c>
      <c r="CO147" s="1">
        <f>(1+(N70_DESARROLLO!O62/0.014285714)*LN(N70_DESARROLLO!P62/N70_DESARROLLO!O62))</f>
        <v>-1.1673524379095301E-2</v>
      </c>
      <c r="CP147" s="1">
        <f>(1+(N70_DESARROLLO!P62/0.014285714)*LN(N70_DESARROLLO!Q62/N70_DESARROLLO!P62))</f>
        <v>-1.1952589722095563E-2</v>
      </c>
      <c r="CQ147" s="1">
        <f>(1+(N70_DESARROLLO!Q62/0.014285714)*LN(N70_DESARROLLO!R62/N70_DESARROLLO!Q62))</f>
        <v>-1.2245324897514953E-2</v>
      </c>
      <c r="CR147" s="1">
        <f>(1+(N70_DESARROLLO!R62/0.014285714)*LN(N70_DESARROLLO!S62/N70_DESARROLLO!R62))</f>
        <v>-1.2552759570449767E-2</v>
      </c>
      <c r="CS147" s="1">
        <f>(1+(N70_DESARROLLO!S62/0.014285714)*LN(N70_DESARROLLO!T62/N70_DESARROLLO!S62))</f>
        <v>-1.2876029484353957E-2</v>
      </c>
      <c r="CT147" s="1">
        <f>(1+(N70_DESARROLLO!T62/0.014285714)*LN(N70_DESARROLLO!U62/N70_DESARROLLO!T62))</f>
        <v>-1.3216390483208995E-2</v>
      </c>
      <c r="CU147" s="1">
        <f>(1+(N70_DESARROLLO!U62/0.014285714)*LN(N70_DESARROLLO!V62/N70_DESARROLLO!U62))</f>
        <v>-1.3575234818476778E-2</v>
      </c>
      <c r="CV147" s="1">
        <f>(1+(N70_DESARROLLO!V62/0.014285714)*LN(N70_DESARROLLO!W62/N70_DESARROLLO!V62))</f>
        <v>-1.3954110187349711E-2</v>
      </c>
      <c r="CW147" s="1">
        <f>(1+(N70_DESARROLLO!W62/0.014285714)*LN(N70_DESARROLLO!X62/N70_DESARROLLO!W62))</f>
        <v>-1.4354742051078784E-2</v>
      </c>
      <c r="CX147" s="1">
        <f>(1+(N70_DESARROLLO!X62/0.014285714)*LN(N70_DESARROLLO!Y62/N70_DESARROLLO!X62))</f>
        <v>-1.4779059912701564E-2</v>
      </c>
      <c r="CY147" s="1">
        <f>(1+(N70_DESARROLLO!Y62/0.014285714)*LN(N70_DESARROLLO!Z62/N70_DESARROLLO!Y62))</f>
        <v>-1.5229228398103478E-2</v>
      </c>
      <c r="CZ147" s="1">
        <f>(1+(N70_DESARROLLO!Z62/0.014285714)*LN(N70_DESARROLLO!AA62/N70_DESARROLLO!Z62))</f>
        <v>-1.5707684197547644E-2</v>
      </c>
      <c r="DA147" s="1">
        <f>(1+(N70_DESARROLLO!AA62/0.014285714)*LN(N70_DESARROLLO!AB62/N70_DESARROLLO!AA62))</f>
        <v>-1.6217180198318859E-2</v>
      </c>
      <c r="DB147" s="1">
        <f>(1+(N70_DESARROLLO!AB62/0.014285714)*LN(N70_DESARROLLO!AC62/N70_DESARROLLO!AB62))</f>
        <v>-1.6760838496767905E-2</v>
      </c>
      <c r="DC147" s="1">
        <f>(1+(N70_DESARROLLO!AC62/0.014285714)*LN(N70_DESARROLLO!AD62/N70_DESARROLLO!AC62))</f>
        <v>-1.7342214446339321E-2</v>
      </c>
      <c r="DD147" s="1">
        <f>(1+(N70_DESARROLLO!AD62/0.014285714)*LN(N70_DESARROLLO!AE62/N70_DESARROLLO!AD62))</f>
        <v>-1.7965374518565502E-2</v>
      </c>
      <c r="DE147" s="1">
        <f>(1+(N70_DESARROLLO!AE62/0.014285714)*LN(N70_DESARROLLO!AF62/N70_DESARROLLO!AE62))</f>
        <v>-1.8634991582299865E-2</v>
      </c>
      <c r="DF147" s="1">
        <f>(1+(N70_DESARROLLO!AF62/0.014285714)*LN(N70_DESARROLLO!AG62/N70_DESARROLLO!AF62))</f>
        <v>-1.9356462323721679E-2</v>
      </c>
      <c r="DG147" s="1">
        <f>(1+(N70_DESARROLLO!AG62/0.014285714)*LN(N70_DESARROLLO!AH62/N70_DESARROLLO!AG62))</f>
        <v>-2.0136053052048908E-2</v>
      </c>
      <c r="DH147" s="1">
        <f>(1+(N70_DESARROLLO!AH62/0.014285714)*LN(N70_DESARROLLO!AI62/N70_DESARROLLO!AH62))</f>
        <v>-2.098108223353945E-2</v>
      </c>
      <c r="DI147" s="1">
        <f>(1+(N70_DESARROLLO!AI62/0.014285714)*LN(N70_DESARROLLO!AJ62/N70_DESARROLLO!AI62))</f>
        <v>-2.1900151021867043E-2</v>
      </c>
      <c r="DJ147" s="1">
        <f>(1+(N70_DESARROLLO!AJ62/0.014285714)*LN(N70_DESARROLLO!AK62/N70_DESARROLLO!AJ62))</f>
        <v>-2.2903437185110453E-2</v>
      </c>
      <c r="DK147" s="1">
        <f>(1+(N70_DESARROLLO!AK62/0.014285714)*LN(N70_DESARROLLO!AL62/N70_DESARROLLO!AK62))</f>
        <v>-2.4003073749035098E-2</v>
      </c>
      <c r="DL147" s="1">
        <f>(1+(N70_DESARROLLO!AL62/0.014285714)*LN(N70_DESARROLLO!AM62/N70_DESARROLLO!AL62))</f>
        <v>-2.5213642284832138E-2</v>
      </c>
      <c r="DM147" s="1">
        <f>(1+(N70_DESARROLLO!AM62/0.014285714)*LN(N70_DESARROLLO!AN62/N70_DESARROLLO!AM62))</f>
        <v>-2.6552823496786004E-2</v>
      </c>
      <c r="DN147" s="1">
        <f>(1+(N70_DESARROLLO!AN62/0.014285714)*LN(N70_DESARROLLO!AO62/N70_DESARROLLO!AN62))</f>
        <v>-2.8042266924844572E-2</v>
      </c>
      <c r="DO147" s="1">
        <f>(1+(N70_DESARROLLO!AO62/0.014285714)*LN(N70_DESARROLLO!AP62/N70_DESARROLLO!AO62))</f>
        <v>-2.9708770995507061E-2</v>
      </c>
      <c r="DP147" s="1">
        <f>(1+(N70_DESARROLLO!AP62/0.014285714)*LN(N70_DESARROLLO!AQ62/N70_DESARROLLO!AP62))</f>
        <v>-3.1585910823734187E-2</v>
      </c>
      <c r="DQ147" s="1">
        <f>(1+(N70_DESARROLLO!AQ62/0.014285714)*LN(N70_DESARROLLO!AR62/N70_DESARROLLO!AQ62))</f>
        <v>-3.3716325403741365E-2</v>
      </c>
      <c r="DR147" s="1">
        <f>(1+(N70_DESARROLLO!AR62/0.014285714)*LN(N70_DESARROLLO!AS62/N70_DESARROLLO!AR62))</f>
        <v>-3.6154998464206001E-2</v>
      </c>
      <c r="DS147" s="1">
        <f>(1+(N70_DESARROLLO!AS62/0.014285714)*LN(N70_DESARROLLO!AT62/N70_DESARROLLO!AS62))</f>
        <v>-3.8974076117210377E-2</v>
      </c>
      <c r="DT147" s="1">
        <f>(1+(N70_DESARROLLO!AT62/0.014285714)*LN(N70_DESARROLLO!AU62/N70_DESARROLLO!AT62))</f>
        <v>-4.2270132583545061E-2</v>
      </c>
      <c r="DU147" s="1">
        <f>(1+(N70_DESARROLLO!AU62/0.014285714)*LN(N70_DESARROLLO!AV62/N70_DESARROLLO!AU62))</f>
        <v>-4.6175470289362641E-2</v>
      </c>
      <c r="DV147" s="1">
        <f>(1+(N70_DESARROLLO!AV62/0.014285714)*LN(N70_DESARROLLO!AW62/N70_DESARROLLO!AV62))</f>
        <v>-5.0876335865839728E-2</v>
      </c>
      <c r="DW147" s="1">
        <f>(1+(N70_DESARROLLO!AW62/0.014285714)*LN(N70_DESARROLLO!AX62/N70_DESARROLLO!AW62))</f>
        <v>-5.6643554680007924E-2</v>
      </c>
      <c r="DX147" s="1">
        <f>(1+(N70_DESARROLLO!AX62/0.014285714)*LN(N70_DESARROLLO!AY62/N70_DESARROLLO!AX62))</f>
        <v>-6.3886736386782106E-2</v>
      </c>
      <c r="DY147" s="1">
        <f>(1+(N70_DESARROLLO!AY62/0.014285714)*LN(N70_DESARROLLO!AZ62/N70_DESARROLLO!AY62))</f>
        <v>-7.3256348770182278E-2</v>
      </c>
      <c r="DZ147" s="1">
        <f>(1+(N70_DESARROLLO!AZ62/0.014285714)*LN(N70_DESARROLLO!BA62/N70_DESARROLLO!AZ62))</f>
        <v>-8.5851572027607403E-2</v>
      </c>
      <c r="EA147" s="1">
        <f>(1+(N70_DESARROLLO!BA62/0.014285714)*LN(N70_DESARROLLO!BB62/N70_DESARROLLO!BA62))</f>
        <v>-0.10368884711561321</v>
      </c>
      <c r="EB147" s="1">
        <f>(1+(N70_DESARROLLO!BB62/0.014285714)*LN(N70_DESARROLLO!BC62/N70_DESARROLLO!BB62))</f>
        <v>-0.13091494988237162</v>
      </c>
      <c r="EC147" s="1">
        <f>(1+(N70_DESARROLLO!BC62/0.014285714)*LN(N70_DESARROLLO!BD62/N70_DESARROLLO!BC62))</f>
        <v>-0.17765285172730816</v>
      </c>
      <c r="ED147" s="1">
        <f>(1+(N70_DESARROLLO!BD62/0.014285714)*LN(N70_DESARROLLO!BE62/N70_DESARROLLO!BD62))</f>
        <v>-0.27706408495625312</v>
      </c>
      <c r="EE147" s="1">
        <f>(1+(N70_DESARROLLO!BE62/0.014285714)*LN(N70_DESARROLLO!BF62/N70_DESARROLLO!BE62))</f>
        <v>-0.64791846596054437</v>
      </c>
      <c r="EF147" s="1">
        <v>1</v>
      </c>
      <c r="EG147" s="1">
        <f>(1+(N70_DESARROLLO!BG62/0.014285714)*LN(N70_DESARROLLO!BH62/N70_DESARROLLO!BG62))</f>
        <v>0.45069384467982399</v>
      </c>
      <c r="EH147" s="1">
        <f>(1+(N70_DESARROLLO!BH62/0.014285714)*LN(N70_DESARROLLO!BI62/N70_DESARROLLO!BH62))</f>
        <v>0.23376154902624291</v>
      </c>
      <c r="EI147" s="1">
        <f>(1+(N70_DESARROLLO!BI62/0.014285714)*LN(N70_DESARROLLO!BJ62/N70_DESARROLLO!BI62))</f>
        <v>0.15881939162335801</v>
      </c>
      <c r="EJ147" s="1">
        <f>(1+(N70_DESARROLLO!BJ62/0.014285714)*LN(N70_DESARROLLO!BK62/N70_DESARROLLO!BJ62))</f>
        <v>0.12039948342481499</v>
      </c>
      <c r="EK147" s="1">
        <f>(1+(N70_DESARROLLO!BK62/0.014285714)*LN(N70_DESARROLLO!BL62/N70_DESARROLLO!BK62))</f>
        <v>9.6981852359959819E-2</v>
      </c>
      <c r="EL147" s="1">
        <f>(1+(N70_DESARROLLO!BL62/0.014285714)*LN(N70_DESARROLLO!BM62/N70_DESARROLLO!BL62))</f>
        <v>8.1202515976632528E-2</v>
      </c>
      <c r="EM147" s="1">
        <f>(1+(N70_DESARROLLO!BM62/0.014285714)*LN(N70_DESARROLLO!BN62/N70_DESARROLLO!BM62))</f>
        <v>6.9844497732516331E-2</v>
      </c>
      <c r="EN147" s="1">
        <f>(1+(N70_DESARROLLO!BN62/0.014285714)*LN(N70_DESARROLLO!BO62/N70_DESARROLLO!BN62))</f>
        <v>6.1276409070479265E-2</v>
      </c>
      <c r="EO147" s="1">
        <f>(1+(N70_DESARROLLO!BO62/0.014285714)*LN(N70_DESARROLLO!BP62/N70_DESARROLLO!BO62))</f>
        <v>5.4582082654737407E-2</v>
      </c>
      <c r="EP147" s="1">
        <f>(1+(N70_DESARROLLO!BP62/0.014285714)*LN(N70_DESARROLLO!BQ62/N70_DESARROLLO!BP62))</f>
        <v>4.9207124692803972E-2</v>
      </c>
      <c r="EQ147" s="1">
        <f>(1+(N70_DESARROLLO!BQ62/0.014285714)*LN(N70_DESARROLLO!BR62/N70_DESARROLLO!BQ62))</f>
        <v>4.4796309735798956E-2</v>
      </c>
      <c r="ER147" s="1">
        <f>(1+(N70_DESARROLLO!BR62/0.014285714)*LN(N70_DESARROLLO!BS62/N70_DESARROLLO!BR62))</f>
        <v>4.1111478023145409E-2</v>
      </c>
      <c r="ES147" s="1">
        <f>(1+(N70_DESARROLLO!BS62/0.014285714)*LN(N70_DESARROLLO!BT62/N70_DESARROLLO!BS62))</f>
        <v>3.7986966558132274E-2</v>
      </c>
      <c r="ET147" s="1">
        <f>(1+(N70_DESARROLLO!BT62/0.014285714)*LN(N70_DESARROLLO!BU62/N70_DESARROLLO!BT62))</f>
        <v>3.5303966947126675E-2</v>
      </c>
      <c r="EU147" s="1">
        <f>(1+(N70_DESARROLLO!BU62/0.014285714)*LN(N70_DESARROLLO!BV62/N70_DESARROLLO!BU62))</f>
        <v>3.2975050428749264E-2</v>
      </c>
      <c r="EV147" s="1">
        <f>(1+(N70_DESARROLLO!BV62/0.014285714)*LN(N70_DESARROLLO!BW62/N70_DESARROLLO!BV62))</f>
        <v>3.0934447408016319E-2</v>
      </c>
      <c r="EW147" s="1">
        <f>(1+(N70_DESARROLLO!BW62/0.014285714)*LN(N70_DESARROLLO!BX62/N70_DESARROLLO!BW62))</f>
        <v>-22.844725685751108</v>
      </c>
    </row>
    <row r="148" spans="7:153" x14ac:dyDescent="0.25">
      <c r="G148" s="3">
        <v>54</v>
      </c>
      <c r="H148" s="3">
        <f>-(N70_DESARROLLO!G63/0.014285714)*LN(N70_DESARROLLO!G63/N70_DESARROLLO!F63)-1</f>
        <v>-9.4045542079997935E-3</v>
      </c>
      <c r="I148" s="3">
        <f>-(N70_DESARROLLO!H63/0.014285714)*LN(N70_DESARROLLO!H63/N70_DESARROLLO!G63)-1</f>
        <v>-9.5848409054832828E-3</v>
      </c>
      <c r="J148" s="3">
        <f>-(N70_DESARROLLO!I63/0.014285714)*LN(N70_DESARROLLO!I63/N70_DESARROLLO!H63)-1</f>
        <v>-9.7721750824455444E-3</v>
      </c>
      <c r="K148" s="3">
        <f>-(N70_DESARROLLO!J63/0.014285714)*LN(N70_DESARROLLO!J63/N70_DESARROLLO!I63)-1</f>
        <v>-9.9669782191917911E-3</v>
      </c>
      <c r="L148" s="3">
        <f>-(N70_DESARROLLO!K63/0.014285714)*LN(N70_DESARROLLO!K63/N70_DESARROLLO!J63)-1</f>
        <v>-1.0169706089854125E-2</v>
      </c>
      <c r="M148" s="3">
        <f>-(N70_DESARROLLO!L63/0.014285714)*LN(N70_DESARROLLO!L63/N70_DESARROLLO!K63)-1</f>
        <v>-1.0380852322620981E-2</v>
      </c>
      <c r="N148" s="3">
        <f>-(N70_DESARROLLO!M63/0.014285714)*LN(N70_DESARROLLO!M63/N70_DESARROLLO!L63)-1</f>
        <v>-1.0600952413273412E-2</v>
      </c>
      <c r="O148" s="3">
        <f>-(N70_DESARROLLO!N63/0.014285714)*LN(N70_DESARROLLO!N63/N70_DESARROLLO!M63)-1</f>
        <v>-1.0830588260139384E-2</v>
      </c>
      <c r="P148" s="3">
        <f>-(N70_DESARROLLO!O63/0.014285714)*LN(N70_DESARROLLO!O63/N70_DESARROLLO!N63)-1</f>
        <v>-1.1070393301807369E-2</v>
      </c>
      <c r="Q148" s="3">
        <f>-(N70_DESARROLLO!P63/0.014285714)*LN(N70_DESARROLLO!P63/N70_DESARROLLO!O63)-1</f>
        <v>-1.1321058352732338E-2</v>
      </c>
      <c r="R148" s="3">
        <f>-(N70_DESARROLLO!Q63/0.014285714)*LN(N70_DESARROLLO!Q63/N70_DESARROLLO!P63)-1</f>
        <v>-1.1583338250304442E-2</v>
      </c>
      <c r="S148" s="3">
        <f>-(N70_DESARROLLO!R63/0.014285714)*LN(N70_DESARROLLO!R63/N70_DESARROLLO!Q63)-1</f>
        <v>-1.1858059447836355E-2</v>
      </c>
      <c r="T148" s="3">
        <f>-(N70_DESARROLLO!S63/0.014285714)*LN(N70_DESARROLLO!S63/N70_DESARROLLO!R63)-1</f>
        <v>-1.2146128714478177E-2</v>
      </c>
      <c r="U148" s="3">
        <f>-(N70_DESARROLLO!T63/0.014285714)*LN(N70_DESARROLLO!T63/N70_DESARROLLO!S63)-1</f>
        <v>-1.2448543134993217E-2</v>
      </c>
      <c r="V148" s="3">
        <f>-(N70_DESARROLLO!U63/0.014285714)*LN(N70_DESARROLLO!U63/N70_DESARROLLO!T63)-1</f>
        <v>-1.2766401641823411E-2</v>
      </c>
      <c r="W148" s="3">
        <f>-(N70_DESARROLLO!V63/0.014285714)*LN(N70_DESARROLLO!V63/N70_DESARROLLO!U63)-1</f>
        <v>-1.3100918360519631E-2</v>
      </c>
      <c r="X148" s="3">
        <f>-(N70_DESARROLLO!W63/0.014285714)*LN(N70_DESARROLLO!W63/N70_DESARROLLO!V63)-1</f>
        <v>-1.3453438110011762E-2</v>
      </c>
      <c r="Y148" s="3">
        <f>-(N70_DESARROLLO!X63/0.014285714)*LN(N70_DESARROLLO!X63/N70_DESARROLLO!W63)-1</f>
        <v>-1.3825454475325571E-2</v>
      </c>
      <c r="Z148" s="3">
        <f>-(N70_DESARROLLO!Y63/0.014285714)*LN(N70_DESARROLLO!Y63/N70_DESARROLLO!X63)-1</f>
        <v>-1.4218630964440648E-2</v>
      </c>
      <c r="AA148" s="3">
        <f>-(N70_DESARROLLO!Z63/0.014285714)*LN(N70_DESARROLLO!Z63/N70_DESARROLLO!Y63)-1</f>
        <v>-1.4634825881869595E-2</v>
      </c>
      <c r="AB148" s="3">
        <f>-(N70_DESARROLLO!AA63/0.014285714)*LN(N70_DESARROLLO!AA63/N70_DESARROLLO!Z63)-1</f>
        <v>-1.5076121703332501E-2</v>
      </c>
      <c r="AC148" s="3">
        <f>-(N70_DESARROLLO!AB63/0.014285714)*LN(N70_DESARROLLO!AB63/N70_DESARROLLO!AA63)-1</f>
        <v>-1.5544859931607924E-2</v>
      </c>
      <c r="AD148" s="3">
        <f>-(N70_DESARROLLO!AC63/0.014285714)*LN(N70_DESARROLLO!AC63/N70_DESARROLLO!AB63)-1</f>
        <v>-1.6043682665120018E-2</v>
      </c>
      <c r="AE148" s="3">
        <f>-(N70_DESARROLLO!AD63/0.014285714)*LN(N70_DESARROLLO!AD63/N70_DESARROLLO!AC63)-1</f>
        <v>-1.6575582437552527E-2</v>
      </c>
      <c r="AF148" s="3">
        <f>-(N70_DESARROLLO!AE63/0.014285714)*LN(N70_DESARROLLO!AE63/N70_DESARROLLO!AD63)-1</f>
        <v>-1.7143962314553729E-2</v>
      </c>
      <c r="AG148" s="3">
        <f>-(N70_DESARROLLO!AF63/0.014285714)*LN(N70_DESARROLLO!AF63/N70_DESARROLLO!AE63)-1</f>
        <v>-1.7752708797875494E-2</v>
      </c>
      <c r="AH148" s="3">
        <f>-(N70_DESARROLLO!AG63/0.014285714)*LN(N70_DESARROLLO!AG63/N70_DESARROLLO!AF63)-1</f>
        <v>-1.8406280838877631E-2</v>
      </c>
      <c r="AI148" s="3">
        <f>-(N70_DESARROLLO!AH63/0.014285714)*LN(N70_DESARROLLO!AH63/N70_DESARROLLO!AG63)-1</f>
        <v>-1.9109819273397055E-2</v>
      </c>
      <c r="AJ148" s="3">
        <f>-(N70_DESARROLLO!AI63/0.014285714)*LN(N70_DESARROLLO!AI63/N70_DESARROLLO!AH63)-1</f>
        <v>-1.9869282361757001E-2</v>
      </c>
      <c r="AK148" s="3">
        <f>-(N70_DESARROLLO!AJ63/0.014285714)*LN(N70_DESARROLLO!AJ63/N70_DESARROLLO!AI63)-1</f>
        <v>-2.0691615000482666E-2</v>
      </c>
      <c r="AL148" s="3">
        <f>-(N70_DESARROLLO!AK63/0.014285714)*LN(N70_DESARROLLO!AK63/N70_DESARROLLO!AJ63)-1</f>
        <v>-2.1584961787574186E-2</v>
      </c>
      <c r="AM148" s="3">
        <f>-(N70_DESARROLLO!AL63/0.014285714)*LN(N70_DESARROLLO!AL63/N70_DESARROLLO!AK63)-1</f>
        <v>-2.2558937800894796E-2</v>
      </c>
      <c r="AN148" s="3">
        <f>-(N70_DESARROLLO!AM63/0.014285714)*LN(N70_DESARROLLO!AM63/N70_DESARROLLO!AL63)-1</f>
        <v>-2.3624976192780589E-2</v>
      </c>
      <c r="AO148" s="3">
        <f>-(N70_DESARROLLO!AN63/0.014285714)*LN(N70_DESARROLLO!AN63/N70_DESARROLLO!AM63)-1</f>
        <v>-2.4796779290038096E-2</v>
      </c>
      <c r="AP148" s="3">
        <f>-(N70_DESARROLLO!AO63/0.014285714)*LN(N70_DESARROLLO!AO63/N70_DESARROLLO!AN63)-1</f>
        <v>-2.6090911041510845E-2</v>
      </c>
      <c r="AQ148" s="3">
        <f>-(N70_DESARROLLO!AP63/0.014285714)*LN(N70_DESARROLLO!AP63/N70_DESARROLLO!AO63)-1</f>
        <v>-2.7527585341367344E-2</v>
      </c>
      <c r="AR148" s="3">
        <f>-(N70_DESARROLLO!AQ63/0.014285714)*LN(N70_DESARROLLO!AQ63/N70_DESARROLLO!AP63)-1</f>
        <v>-2.9131730204228767E-2</v>
      </c>
      <c r="AS148" s="3">
        <f>-(N70_DESARROLLO!AR63/0.014285714)*LN(N70_DESARROLLO!AR63/N70_DESARROLLO!AQ63)-1</f>
        <v>-3.0934447408014765E-2</v>
      </c>
      <c r="AT148" s="3">
        <f>-(N70_DESARROLLO!AS63/0.014285714)*LN(N70_DESARROLLO!AS63/N70_DESARROLLO!AR63)-1</f>
        <v>-3.2975050428749819E-2</v>
      </c>
      <c r="AU148" s="3">
        <f>-(N70_DESARROLLO!AT63/0.014285714)*LN(N70_DESARROLLO!AT63/N70_DESARROLLO!AS63)-1</f>
        <v>-3.5303966947125343E-2</v>
      </c>
      <c r="AV148" s="3">
        <f>-(N70_DESARROLLO!AU63/0.014285714)*LN(N70_DESARROLLO!AU63/N70_DESARROLLO!AT63)-1</f>
        <v>-3.7986966558131163E-2</v>
      </c>
      <c r="AW148" s="3">
        <f>-(N70_DESARROLLO!AV63/0.014285714)*LN(N70_DESARROLLO!AV63/N70_DESARROLLO!AU63)-1</f>
        <v>-4.1111478023145742E-2</v>
      </c>
      <c r="AX148" s="3">
        <f>-(N70_DESARROLLO!AW63/0.014285714)*LN(N70_DESARROLLO!AW63/N70_DESARROLLO!AV63)-1</f>
        <v>-4.4796309735798956E-2</v>
      </c>
      <c r="AY148" s="3">
        <f>-(N70_DESARROLLO!AX63/0.014285714)*LN(N70_DESARROLLO!AX63/N70_DESARROLLO!AW63)-1</f>
        <v>-4.9207124692804083E-2</v>
      </c>
      <c r="AZ148" s="3">
        <f>-(N70_DESARROLLO!AY63/0.014285714)*LN(N70_DESARROLLO!AY63/N70_DESARROLLO!AX63)-1</f>
        <v>-5.4582082654737407E-2</v>
      </c>
      <c r="BA148" s="3">
        <f>-(N70_DESARROLLO!AZ63/0.014285714)*LN(N70_DESARROLLO!AZ63/N70_DESARROLLO!AY63)-1</f>
        <v>-6.1276409070479487E-2</v>
      </c>
      <c r="BB148" s="3">
        <f>-(N70_DESARROLLO!BA63/0.014285714)*LN(N70_DESARROLLO!BA63/N70_DESARROLLO!AZ63)-1</f>
        <v>-6.9844497732515998E-2</v>
      </c>
      <c r="BC148" s="3">
        <f>-(N70_DESARROLLO!BB63/0.014285714)*LN(N70_DESARROLLO!BB63/N70_DESARROLLO!BA63)-1</f>
        <v>-8.1202515976632528E-2</v>
      </c>
      <c r="BD148" s="3">
        <f>-(N70_DESARROLLO!BC63/0.014285714)*LN(N70_DESARROLLO!BC63/N70_DESARROLLO!BB63)-1</f>
        <v>-9.6981852359959708E-2</v>
      </c>
      <c r="BE148" s="3">
        <f>-(N70_DESARROLLO!BD63/0.014285714)*LN(N70_DESARROLLO!BD63/N70_DESARROLLO!BC63)-1</f>
        <v>-0.1203994834248151</v>
      </c>
      <c r="BF148" s="3">
        <f>-(N70_DESARROLLO!BE63/0.014285714)*LN(N70_DESARROLLO!BE63/N70_DESARROLLO!BD63)-1</f>
        <v>-0.15881939162335823</v>
      </c>
      <c r="BG148" s="3">
        <f>-(N70_DESARROLLO!BF63/0.014285714)*LN(N70_DESARROLLO!BF63/N70_DESARROLLO!BE63)-1</f>
        <v>-0.23376154902624291</v>
      </c>
      <c r="BH148" s="3">
        <f>-(N70_DESARROLLO!BG63/0.014285714)*LN(N70_DESARROLLO!BG63/N70_DESARROLLO!BF63)-1</f>
        <v>-0.45069384467982399</v>
      </c>
      <c r="BI148" s="3">
        <v>-1</v>
      </c>
      <c r="BJ148" s="3">
        <f>-(N70_DESARROLLO!BI63/0.014285714)*LN(N70_DESARROLLO!BI63/N70_DESARROLLO!BH63)-1</f>
        <v>0.64791846596054437</v>
      </c>
      <c r="BK148" s="3">
        <f>-(N70_DESARROLLO!BJ63/0.014285714)*LN(N70_DESARROLLO!BJ63/N70_DESARROLLO!BI63)-1</f>
        <v>0.2770640849562529</v>
      </c>
      <c r="BL148" s="3">
        <f>-(N70_DESARROLLO!BK63/0.014285714)*LN(N70_DESARROLLO!BK63/N70_DESARROLLO!BJ63)-1</f>
        <v>0.17765285172730816</v>
      </c>
      <c r="BM148" s="3">
        <f>-(N70_DESARROLLO!BL63/0.014285714)*LN(N70_DESARROLLO!BL63/N70_DESARROLLO!BK63)-1</f>
        <v>0.13091494988237184</v>
      </c>
      <c r="BN148" s="3">
        <f>-(N70_DESARROLLO!BM63/0.014285714)*LN(N70_DESARROLLO!BM63/N70_DESARROLLO!BL63)-1</f>
        <v>0.10368884711561366</v>
      </c>
      <c r="BO148" s="3">
        <f>-(N70_DESARROLLO!BN63/0.014285714)*LN(N70_DESARROLLO!BN63/N70_DESARROLLO!BM63)-1</f>
        <v>8.5851572027607181E-2</v>
      </c>
      <c r="BP148" s="3">
        <f>-(N70_DESARROLLO!BO63/0.014285714)*LN(N70_DESARROLLO!BO63/N70_DESARROLLO!BN63)-1</f>
        <v>7.325634877018139E-2</v>
      </c>
      <c r="BQ148" s="3">
        <f>-(N70_DESARROLLO!BP63/0.014285714)*LN(N70_DESARROLLO!BP63/N70_DESARROLLO!BO63)-1</f>
        <v>6.388673638678255E-2</v>
      </c>
      <c r="BR148" s="3">
        <f>-(N70_DESARROLLO!BQ63/0.014285714)*LN(N70_DESARROLLO!BQ63/N70_DESARROLLO!BP63)-1</f>
        <v>5.6643554680007258E-2</v>
      </c>
      <c r="BS148" s="3">
        <f>-(N70_DESARROLLO!BR63/0.014285714)*LN(N70_DESARROLLO!BR63/N70_DESARROLLO!BQ63)-1</f>
        <v>5.0876335865840394E-2</v>
      </c>
      <c r="BT148" s="3">
        <f>-(N70_DESARROLLO!BS63/0.014285714)*LN(N70_DESARROLLO!BS63/N70_DESARROLLO!BR63)-1</f>
        <v>4.6175470289362641E-2</v>
      </c>
      <c r="BU148" s="3">
        <f>-(N70_DESARROLLO!BT63/0.014285714)*LN(N70_DESARROLLO!BT63/N70_DESARROLLO!BS63)-1</f>
        <v>4.2270132583545728E-2</v>
      </c>
      <c r="BV148" s="3">
        <f>-(N70_DESARROLLO!BU63/0.014285714)*LN(N70_DESARROLLO!BU63/N70_DESARROLLO!BT63)-1</f>
        <v>3.8974076117209266E-2</v>
      </c>
      <c r="BW148" s="3">
        <f>-(N70_DESARROLLO!BV63/0.014285714)*LN(N70_DESARROLLO!BV63/N70_DESARROLLO!BU63)-1</f>
        <v>3.6154998464206445E-2</v>
      </c>
      <c r="BX148" s="3">
        <f>-(N70_DESARROLLO!BW63/0.014285714)*LN(N70_DESARROLLO!BW63/N70_DESARROLLO!BV63)-1</f>
        <v>3.3716325403741587E-2</v>
      </c>
      <c r="BY148" s="3">
        <f>-(N70_DESARROLLO!BX63/0.014285714)*LN(N70_DESARROLLO!BX63/N70_DESARROLLO!BW63)-1</f>
        <v>104.53586737940843</v>
      </c>
      <c r="CD148" s="1">
        <v>54</v>
      </c>
      <c r="CE148" s="1">
        <v>0</v>
      </c>
      <c r="CF148" s="1">
        <f>(1+(N70_DESARROLLO!F63/0.014285714)*LN(N70_DESARROLLO!G63/N70_DESARROLLO!F63))</f>
        <v>-9.463930473752491E-3</v>
      </c>
      <c r="CG148" s="1">
        <f>(1+(N70_DESARROLLO!G63/0.014285714)*LN(N70_DESARROLLO!H63/N70_DESARROLLO!G63))</f>
        <v>-9.6465214070318162E-3</v>
      </c>
      <c r="CH148" s="1">
        <f>(1+(N70_DESARROLLO!H63/0.014285714)*LN(N70_DESARROLLO!I63/N70_DESARROLLO!H63))</f>
        <v>-9.8362966981000444E-3</v>
      </c>
      <c r="CI148" s="1">
        <f>(1+(N70_DESARROLLO!I63/0.014285714)*LN(N70_DESARROLLO!J63/N70_DESARROLLO!I63))</f>
        <v>-1.0033688887491232E-2</v>
      </c>
      <c r="CJ148" s="1">
        <f>(1+(N70_DESARROLLO!J63/0.014285714)*LN(N70_DESARROLLO!K63/N70_DESARROLLO!J63))</f>
        <v>-1.0239165949530449E-2</v>
      </c>
      <c r="CK148" s="1">
        <f>(1+(N70_DESARROLLO!K63/0.014285714)*LN(N70_DESARROLLO!L63/N70_DESARROLLO!K63))</f>
        <v>-1.0453234996902872E-2</v>
      </c>
      <c r="CL148" s="1">
        <f>(1+(N70_DESARROLLO!L63/0.014285714)*LN(N70_DESARROLLO!M63/N70_DESARROLLO!L63))</f>
        <v>-1.067644645955923E-2</v>
      </c>
      <c r="CM148" s="1">
        <f>(1+(N70_DESARROLLO!M63/0.014285714)*LN(N70_DESARROLLO!N63/N70_DESARROLLO!M63))</f>
        <v>-1.0909398811066451E-2</v>
      </c>
      <c r="CN148" s="1">
        <f>(1+(N70_DESARROLLO!N63/0.014285714)*LN(N70_DESARROLLO!O63/N70_DESARROLLO!N63))</f>
        <v>-1.1152743927365316E-2</v>
      </c>
      <c r="CO148" s="1">
        <f>(1+(N70_DESARROLLO!O63/0.014285714)*LN(N70_DESARROLLO!P63/N70_DESARROLLO!O63))</f>
        <v>-1.1407193179388653E-2</v>
      </c>
      <c r="CP148" s="1">
        <f>(1+(N70_DESARROLLO!P63/0.014285714)*LN(N70_DESARROLLO!Q63/N70_DESARROLLO!P63))</f>
        <v>-1.1673524379100408E-2</v>
      </c>
      <c r="CQ148" s="1">
        <f>(1+(N70_DESARROLLO!Q63/0.014285714)*LN(N70_DESARROLLO!R63/N70_DESARROLLO!Q63))</f>
        <v>-1.1952589722095341E-2</v>
      </c>
      <c r="CR148" s="1">
        <f>(1+(N70_DESARROLLO!R63/0.014285714)*LN(N70_DESARROLLO!S63/N70_DESARROLLO!R63))</f>
        <v>-1.2245324897510068E-2</v>
      </c>
      <c r="CS148" s="1">
        <f>(1+(N70_DESARROLLO!S63/0.014285714)*LN(N70_DESARROLLO!T63/N70_DESARROLLO!S63))</f>
        <v>-1.2552759570449767E-2</v>
      </c>
      <c r="CT148" s="1">
        <f>(1+(N70_DESARROLLO!T63/0.014285714)*LN(N70_DESARROLLO!U63/N70_DESARROLLO!T63))</f>
        <v>-1.2876029484363061E-2</v>
      </c>
      <c r="CU148" s="1">
        <f>(1+(N70_DESARROLLO!U63/0.014285714)*LN(N70_DESARROLLO!V63/N70_DESARROLLO!U63))</f>
        <v>-1.3216390483199891E-2</v>
      </c>
      <c r="CV148" s="1">
        <f>(1+(N70_DESARROLLO!V63/0.014285714)*LN(N70_DESARROLLO!W63/N70_DESARROLLO!V63))</f>
        <v>-1.3575234818481219E-2</v>
      </c>
      <c r="CW148" s="1">
        <f>(1+(N70_DESARROLLO!W63/0.014285714)*LN(N70_DESARROLLO!X63/N70_DESARROLLO!W63))</f>
        <v>-1.3954110187341273E-2</v>
      </c>
      <c r="CX148" s="1">
        <f>(1+(N70_DESARROLLO!X63/0.014285714)*LN(N70_DESARROLLO!Y63/N70_DESARROLLO!X63))</f>
        <v>-1.4354742051083003E-2</v>
      </c>
      <c r="CY148" s="1">
        <f>(1+(N70_DESARROLLO!Y63/0.014285714)*LN(N70_DESARROLLO!Z63/N70_DESARROLLO!Y63))</f>
        <v>-1.4779059912701564E-2</v>
      </c>
      <c r="CZ148" s="1">
        <f>(1+(N70_DESARROLLO!Z63/0.014285714)*LN(N70_DESARROLLO!AA63/N70_DESARROLLO!Z63))</f>
        <v>-1.5229228398103478E-2</v>
      </c>
      <c r="DA148" s="1">
        <f>(1+(N70_DESARROLLO!AA63/0.014285714)*LN(N70_DESARROLLO!AB63/N70_DESARROLLO!AA63))</f>
        <v>-1.5707684197547422E-2</v>
      </c>
      <c r="DB148" s="1">
        <f>(1+(N70_DESARROLLO!AB63/0.014285714)*LN(N70_DESARROLLO!AC63/N70_DESARROLLO!AB63))</f>
        <v>-1.6217180198318637E-2</v>
      </c>
      <c r="DC148" s="1">
        <f>(1+(N70_DESARROLLO!AC63/0.014285714)*LN(N70_DESARROLLO!AD63/N70_DESARROLLO!AC63))</f>
        <v>-1.6760838496767683E-2</v>
      </c>
      <c r="DD148" s="1">
        <f>(1+(N70_DESARROLLO!AD63/0.014285714)*LN(N70_DESARROLLO!AE63/N70_DESARROLLO!AD63))</f>
        <v>-1.7342214446339099E-2</v>
      </c>
      <c r="DE148" s="1">
        <f>(1+(N70_DESARROLLO!AE63/0.014285714)*LN(N70_DESARROLLO!AF63/N70_DESARROLLO!AE63))</f>
        <v>-1.7965374518565502E-2</v>
      </c>
      <c r="DF148" s="1">
        <f>(1+(N70_DESARROLLO!AF63/0.014285714)*LN(N70_DESARROLLO!AG63/N70_DESARROLLO!AF63))</f>
        <v>-1.8634991582296534E-2</v>
      </c>
      <c r="DG148" s="1">
        <f>(1+(N70_DESARROLLO!AG63/0.014285714)*LN(N70_DESARROLLO!AH63/N70_DESARROLLO!AG63))</f>
        <v>-1.9356462323724788E-2</v>
      </c>
      <c r="DH148" s="1">
        <f>(1+(N70_DESARROLLO!AH63/0.014285714)*LN(N70_DESARROLLO!AI63/N70_DESARROLLO!AH63))</f>
        <v>-2.0136053052048908E-2</v>
      </c>
      <c r="DI148" s="1">
        <f>(1+(N70_DESARROLLO!AI63/0.014285714)*LN(N70_DESARROLLO!AJ63/N70_DESARROLLO!AI63))</f>
        <v>-2.098108223353945E-2</v>
      </c>
      <c r="DJ148" s="1">
        <f>(1+(N70_DESARROLLO!AJ63/0.014285714)*LN(N70_DESARROLLO!AK63/N70_DESARROLLO!AJ63))</f>
        <v>-2.190015102186682E-2</v>
      </c>
      <c r="DK148" s="1">
        <f>(1+(N70_DESARROLLO!AK63/0.014285714)*LN(N70_DESARROLLO!AL63/N70_DESARROLLO!AK63))</f>
        <v>-2.2903437185110231E-2</v>
      </c>
      <c r="DL148" s="1">
        <f>(1+(N70_DESARROLLO!AL63/0.014285714)*LN(N70_DESARROLLO!AM63/N70_DESARROLLO!AL63))</f>
        <v>-2.4003073749035098E-2</v>
      </c>
      <c r="DM148" s="1">
        <f>(1+(N70_DESARROLLO!AM63/0.014285714)*LN(N70_DESARROLLO!AN63/N70_DESARROLLO!AM63))</f>
        <v>-2.5213642284831916E-2</v>
      </c>
      <c r="DN148" s="1">
        <f>(1+(N70_DESARROLLO!AN63/0.014285714)*LN(N70_DESARROLLO!AO63/N70_DESARROLLO!AN63))</f>
        <v>-2.6552823496785782E-2</v>
      </c>
      <c r="DO148" s="1">
        <f>(1+(N70_DESARROLLO!AO63/0.014285714)*LN(N70_DESARROLLO!AP63/N70_DESARROLLO!AO63))</f>
        <v>-2.8042266924840131E-2</v>
      </c>
      <c r="DP148" s="1">
        <f>(1+(N70_DESARROLLO!AP63/0.014285714)*LN(N70_DESARROLLO!AQ63/N70_DESARROLLO!AP63))</f>
        <v>-2.9708770995515277E-2</v>
      </c>
      <c r="DQ148" s="1">
        <f>(1+(N70_DESARROLLO!AQ63/0.014285714)*LN(N70_DESARROLLO!AR63/N70_DESARROLLO!AQ63))</f>
        <v>-3.1585910823725971E-2</v>
      </c>
      <c r="DR148" s="1">
        <f>(1+(N70_DESARROLLO!AR63/0.014285714)*LN(N70_DESARROLLO!AS63/N70_DESARROLLO!AR63))</f>
        <v>-3.3716325403750469E-2</v>
      </c>
      <c r="DS148" s="1">
        <f>(1+(N70_DESARROLLO!AS63/0.014285714)*LN(N70_DESARROLLO!AT63/N70_DESARROLLO!AS63))</f>
        <v>-3.6154998464198451E-2</v>
      </c>
      <c r="DT148" s="1">
        <f>(1+(N70_DESARROLLO!AT63/0.014285714)*LN(N70_DESARROLLO!AU63/N70_DESARROLLO!AT63))</f>
        <v>-3.8974076117218814E-2</v>
      </c>
      <c r="DU148" s="1">
        <f>(1+(N70_DESARROLLO!AU63/0.014285714)*LN(N70_DESARROLLO!AV63/N70_DESARROLLO!AU63))</f>
        <v>-4.2270132583536846E-2</v>
      </c>
      <c r="DV148" s="1">
        <f>(1+(N70_DESARROLLO!AV63/0.014285714)*LN(N70_DESARROLLO!AW63/N70_DESARROLLO!AV63))</f>
        <v>-4.6175470289362641E-2</v>
      </c>
      <c r="DW148" s="1">
        <f>(1+(N70_DESARROLLO!AW63/0.014285714)*LN(N70_DESARROLLO!AX63/N70_DESARROLLO!AW63))</f>
        <v>-5.087633586584861E-2</v>
      </c>
      <c r="DX148" s="1">
        <f>(1+(N70_DESARROLLO!AX63/0.014285714)*LN(N70_DESARROLLO!AY63/N70_DESARROLLO!AX63))</f>
        <v>-5.664355467999882E-2</v>
      </c>
      <c r="DY148" s="1">
        <f>(1+(N70_DESARROLLO!AY63/0.014285714)*LN(N70_DESARROLLO!AZ63/N70_DESARROLLO!AY63))</f>
        <v>-6.3886736386790544E-2</v>
      </c>
      <c r="DZ148" s="1">
        <f>(1+(N70_DESARROLLO!AZ63/0.014285714)*LN(N70_DESARROLLO!BA63/N70_DESARROLLO!AZ63))</f>
        <v>-7.3256348770173396E-2</v>
      </c>
      <c r="EA148" s="1">
        <f>(1+(N70_DESARROLLO!BA63/0.014285714)*LN(N70_DESARROLLO!BB63/N70_DESARROLLO!BA63))</f>
        <v>-8.5851572027616951E-2</v>
      </c>
      <c r="EB148" s="1">
        <f>(1+(N70_DESARROLLO!BB63/0.014285714)*LN(N70_DESARROLLO!BC63/N70_DESARROLLO!BB63))</f>
        <v>-0.10368884711560411</v>
      </c>
      <c r="EC148" s="1">
        <f>(1+(N70_DESARROLLO!BC63/0.014285714)*LN(N70_DESARROLLO!BD63/N70_DESARROLLO!BC63))</f>
        <v>-0.13091494988238184</v>
      </c>
      <c r="ED148" s="1">
        <f>(1+(N70_DESARROLLO!BD63/0.014285714)*LN(N70_DESARROLLO!BE63/N70_DESARROLLO!BD63))</f>
        <v>-0.17765285172729728</v>
      </c>
      <c r="EE148" s="1">
        <f>(1+(N70_DESARROLLO!BE63/0.014285714)*LN(N70_DESARROLLO!BF63/N70_DESARROLLO!BE63))</f>
        <v>-0.27706408495626578</v>
      </c>
      <c r="EF148" s="1">
        <f>(1+(N70_DESARROLLO!BF63/0.014285714)*LN(N70_DESARROLLO!BG63/N70_DESARROLLO!BF63))</f>
        <v>-0.64791846596052816</v>
      </c>
      <c r="EG148" s="1">
        <v>1</v>
      </c>
      <c r="EH148" s="1">
        <f>(1+(N70_DESARROLLO!BH63/0.014285714)*LN(N70_DESARROLLO!BI63/N70_DESARROLLO!BH63))</f>
        <v>0.45069384467982143</v>
      </c>
      <c r="EI148" s="1">
        <f>(1+(N70_DESARROLLO!BI63/0.014285714)*LN(N70_DESARROLLO!BJ63/N70_DESARROLLO!BI63))</f>
        <v>0.2337615490262468</v>
      </c>
      <c r="EJ148" s="1">
        <f>(1+(N70_DESARROLLO!BJ63/0.014285714)*LN(N70_DESARROLLO!BK63/N70_DESARROLLO!BJ63))</f>
        <v>0.15881939162335246</v>
      </c>
      <c r="EK148" s="1">
        <f>(1+(N70_DESARROLLO!BK63/0.014285714)*LN(N70_DESARROLLO!BL63/N70_DESARROLLO!BK63))</f>
        <v>0.12039948342482099</v>
      </c>
      <c r="EL148" s="1">
        <f>(1+(N70_DESARROLLO!BL63/0.014285714)*LN(N70_DESARROLLO!BM63/N70_DESARROLLO!BL63))</f>
        <v>9.6981852359953269E-2</v>
      </c>
      <c r="EM148" s="1">
        <f>(1+(N70_DESARROLLO!BM63/0.014285714)*LN(N70_DESARROLLO!BN63/N70_DESARROLLO!BM63))</f>
        <v>8.1202515976639411E-2</v>
      </c>
      <c r="EN148" s="1">
        <f>(1+(N70_DESARROLLO!BN63/0.014285714)*LN(N70_DESARROLLO!BO63/N70_DESARROLLO!BN63))</f>
        <v>6.9844497732510114E-2</v>
      </c>
      <c r="EO148" s="1">
        <f>(1+(N70_DESARROLLO!BO63/0.014285714)*LN(N70_DESARROLLO!BP63/N70_DESARROLLO!BO63))</f>
        <v>6.1276409070485593E-2</v>
      </c>
      <c r="EP148" s="1">
        <f>(1+(N70_DESARROLLO!BP63/0.014285714)*LN(N70_DESARROLLO!BQ63/N70_DESARROLLO!BP63))</f>
        <v>5.4582082654730635E-2</v>
      </c>
      <c r="EQ148" s="1">
        <f>(1+(N70_DESARROLLO!BQ63/0.014285714)*LN(N70_DESARROLLO!BR63/N70_DESARROLLO!BQ63))</f>
        <v>4.9207124692810855E-2</v>
      </c>
      <c r="ER148" s="1">
        <f>(1+(N70_DESARROLLO!BR63/0.014285714)*LN(N70_DESARROLLO!BS63/N70_DESARROLLO!BR63))</f>
        <v>4.4796309735798956E-2</v>
      </c>
      <c r="ES148" s="1">
        <f>(1+(N70_DESARROLLO!BS63/0.014285714)*LN(N70_DESARROLLO!BT63/N70_DESARROLLO!BS63))</f>
        <v>4.1111478023138415E-2</v>
      </c>
      <c r="ET148" s="1">
        <f>(1+(N70_DESARROLLO!BT63/0.014285714)*LN(N70_DESARROLLO!BU63/N70_DESARROLLO!BT63))</f>
        <v>3.7986966558139379E-2</v>
      </c>
      <c r="EU148" s="1">
        <f>(1+(N70_DESARROLLO!BU63/0.014285714)*LN(N70_DESARROLLO!BV63/N70_DESARROLLO!BU63))</f>
        <v>3.5303966947118459E-2</v>
      </c>
      <c r="EV148" s="1">
        <f>(1+(N70_DESARROLLO!BV63/0.014285714)*LN(N70_DESARROLLO!BW63/N70_DESARROLLO!BV63))</f>
        <v>3.2975050428757702E-2</v>
      </c>
      <c r="EW148" s="1">
        <f>(1+(N70_DESARROLLO!BW63/0.014285714)*LN(N70_DESARROLLO!BX63/N70_DESARROLLO!BW63))</f>
        <v>-22.368656348297581</v>
      </c>
    </row>
    <row r="149" spans="7:153" x14ac:dyDescent="0.25">
      <c r="G149" s="3">
        <v>55</v>
      </c>
      <c r="H149" s="3">
        <f>-(N70_DESARROLLO!G64/0.014285714)*LN(N70_DESARROLLO!G64/N70_DESARROLLO!F64)-1</f>
        <v>-9.2309246374168152E-3</v>
      </c>
      <c r="I149" s="3">
        <f>-(N70_DESARROLLO!H64/0.014285714)*LN(N70_DESARROLLO!H64/N70_DESARROLLO!G64)-1</f>
        <v>-9.4045542079881361E-3</v>
      </c>
      <c r="J149" s="3">
        <f>-(N70_DESARROLLO!I64/0.014285714)*LN(N70_DESARROLLO!I64/N70_DESARROLLO!H64)-1</f>
        <v>-9.584840905488945E-3</v>
      </c>
      <c r="K149" s="3">
        <f>-(N70_DESARROLLO!J64/0.014285714)*LN(N70_DESARROLLO!J64/N70_DESARROLLO!I64)-1</f>
        <v>-9.7721750824342202E-3</v>
      </c>
      <c r="L149" s="3">
        <f>-(N70_DESARROLLO!K64/0.014285714)*LN(N70_DESARROLLO!K64/N70_DESARROLLO!J64)-1</f>
        <v>-9.9669782192028933E-3</v>
      </c>
      <c r="M149" s="3">
        <f>-(N70_DESARROLLO!L64/0.014285714)*LN(N70_DESARROLLO!L64/N70_DESARROLLO!K64)-1</f>
        <v>-1.0169706089843245E-2</v>
      </c>
      <c r="N149" s="3">
        <f>-(N70_DESARROLLO!M64/0.014285714)*LN(N70_DESARROLLO!M64/N70_DESARROLLO!L64)-1</f>
        <v>-1.03808523226262E-2</v>
      </c>
      <c r="O149" s="3">
        <f>-(N70_DESARROLLO!N64/0.014285714)*LN(N70_DESARROLLO!N64/N70_DESARROLLO!M64)-1</f>
        <v>-1.0600952413268305E-2</v>
      </c>
      <c r="P149" s="3">
        <f>-(N70_DESARROLLO!O64/0.014285714)*LN(N70_DESARROLLO!O64/N70_DESARROLLO!N64)-1</f>
        <v>-1.0830588260144602E-2</v>
      </c>
      <c r="Q149" s="3">
        <f>-(N70_DESARROLLO!P64/0.014285714)*LN(N70_DESARROLLO!P64/N70_DESARROLLO!O64)-1</f>
        <v>-1.1070393301807369E-2</v>
      </c>
      <c r="R149" s="3">
        <f>-(N70_DESARROLLO!Q64/0.014285714)*LN(N70_DESARROLLO!Q64/N70_DESARROLLO!P64)-1</f>
        <v>-1.1321058352727786E-2</v>
      </c>
      <c r="S149" s="3">
        <f>-(N70_DESARROLLO!R64/0.014285714)*LN(N70_DESARROLLO!R64/N70_DESARROLLO!Q64)-1</f>
        <v>-1.1583338250304664E-2</v>
      </c>
      <c r="T149" s="3">
        <f>-(N70_DESARROLLO!S64/0.014285714)*LN(N70_DESARROLLO!S64/N70_DESARROLLO!R64)-1</f>
        <v>-1.1858059447845681E-2</v>
      </c>
      <c r="U149" s="3">
        <f>-(N70_DESARROLLO!T64/0.014285714)*LN(N70_DESARROLLO!T64/N70_DESARROLLO!S64)-1</f>
        <v>-1.2146128714478177E-2</v>
      </c>
      <c r="V149" s="3">
        <f>-(N70_DESARROLLO!U64/0.014285714)*LN(N70_DESARROLLO!U64/N70_DESARROLLO!T64)-1</f>
        <v>-1.2448543134984336E-2</v>
      </c>
      <c r="W149" s="3">
        <f>-(N70_DESARROLLO!V64/0.014285714)*LN(N70_DESARROLLO!V64/N70_DESARROLLO!U64)-1</f>
        <v>-1.2766401641832181E-2</v>
      </c>
      <c r="X149" s="3">
        <f>-(N70_DESARROLLO!W64/0.014285714)*LN(N70_DESARROLLO!W64/N70_DESARROLLO!V64)-1</f>
        <v>-1.3100918360511193E-2</v>
      </c>
      <c r="Y149" s="3">
        <f>-(N70_DESARROLLO!X64/0.014285714)*LN(N70_DESARROLLO!X64/N70_DESARROLLO!W64)-1</f>
        <v>-1.345343811001587E-2</v>
      </c>
      <c r="Z149" s="3">
        <f>-(N70_DESARROLLO!Y64/0.014285714)*LN(N70_DESARROLLO!Y64/N70_DESARROLLO!X64)-1</f>
        <v>-1.3825454475325571E-2</v>
      </c>
      <c r="AA149" s="3">
        <f>-(N70_DESARROLLO!Z64/0.014285714)*LN(N70_DESARROLLO!Z64/N70_DESARROLLO!Y64)-1</f>
        <v>-1.4218630964436874E-2</v>
      </c>
      <c r="AB149" s="3">
        <f>-(N70_DESARROLLO!AA64/0.014285714)*LN(N70_DESARROLLO!AA64/N70_DESARROLLO!Z64)-1</f>
        <v>-1.4634825881869817E-2</v>
      </c>
      <c r="AC149" s="3">
        <f>-(N70_DESARROLLO!AB64/0.014285714)*LN(N70_DESARROLLO!AB64/N70_DESARROLLO!AA64)-1</f>
        <v>-1.5076121703332723E-2</v>
      </c>
      <c r="AD149" s="3">
        <f>-(N70_DESARROLLO!AC64/0.014285714)*LN(N70_DESARROLLO!AC64/N70_DESARROLLO!AB64)-1</f>
        <v>-1.5544859931608035E-2</v>
      </c>
      <c r="AE149" s="3">
        <f>-(N70_DESARROLLO!AD64/0.014285714)*LN(N70_DESARROLLO!AD64/N70_DESARROLLO!AC64)-1</f>
        <v>-1.6043682665120129E-2</v>
      </c>
      <c r="AF149" s="3">
        <f>-(N70_DESARROLLO!AE64/0.014285714)*LN(N70_DESARROLLO!AE64/N70_DESARROLLO!AD64)-1</f>
        <v>-1.6575582437552638E-2</v>
      </c>
      <c r="AG149" s="3">
        <f>-(N70_DESARROLLO!AF64/0.014285714)*LN(N70_DESARROLLO!AF64/N70_DESARROLLO!AE64)-1</f>
        <v>-1.714396231455384E-2</v>
      </c>
      <c r="AH149" s="3">
        <f>-(N70_DESARROLLO!AG64/0.014285714)*LN(N70_DESARROLLO!AG64/N70_DESARROLLO!AF64)-1</f>
        <v>-1.7752708797878713E-2</v>
      </c>
      <c r="AI149" s="3">
        <f>-(N70_DESARROLLO!AH64/0.014285714)*LN(N70_DESARROLLO!AH64/N70_DESARROLLO!AG64)-1</f>
        <v>-1.8406280838874745E-2</v>
      </c>
      <c r="AJ149" s="3">
        <f>-(N70_DESARROLLO!AI64/0.014285714)*LN(N70_DESARROLLO!AI64/N70_DESARROLLO!AH64)-1</f>
        <v>-1.9109819273397166E-2</v>
      </c>
      <c r="AK149" s="3">
        <f>-(N70_DESARROLLO!AJ64/0.014285714)*LN(N70_DESARROLLO!AJ64/N70_DESARROLLO!AI64)-1</f>
        <v>-1.9869282361757112E-2</v>
      </c>
      <c r="AL149" s="3">
        <f>-(N70_DESARROLLO!AK64/0.014285714)*LN(N70_DESARROLLO!AK64/N70_DESARROLLO!AJ64)-1</f>
        <v>-2.0691615000482777E-2</v>
      </c>
      <c r="AM149" s="3">
        <f>-(N70_DESARROLLO!AL64/0.014285714)*LN(N70_DESARROLLO!AL64/N70_DESARROLLO!AK64)-1</f>
        <v>-2.1584961787574519E-2</v>
      </c>
      <c r="AN149" s="3">
        <f>-(N70_DESARROLLO!AM64/0.014285714)*LN(N70_DESARROLLO!AM64/N70_DESARROLLO!AL64)-1</f>
        <v>-2.2558937800894907E-2</v>
      </c>
      <c r="AO149" s="3">
        <f>-(N70_DESARROLLO!AN64/0.014285714)*LN(N70_DESARROLLO!AN64/N70_DESARROLLO!AM64)-1</f>
        <v>-2.3624976192778369E-2</v>
      </c>
      <c r="AP149" s="3">
        <f>-(N70_DESARROLLO!AO64/0.014285714)*LN(N70_DESARROLLO!AO64/N70_DESARROLLO!AN64)-1</f>
        <v>-2.4796779290038207E-2</v>
      </c>
      <c r="AQ149" s="3">
        <f>-(N70_DESARROLLO!AP64/0.014285714)*LN(N70_DESARROLLO!AP64/N70_DESARROLLO!AO64)-1</f>
        <v>-2.6090911041515175E-2</v>
      </c>
      <c r="AR149" s="3">
        <f>-(N70_DESARROLLO!AQ64/0.014285714)*LN(N70_DESARROLLO!AQ64/N70_DESARROLLO!AP64)-1</f>
        <v>-2.7527585341359573E-2</v>
      </c>
      <c r="AS149" s="3">
        <f>-(N70_DESARROLLO!AR64/0.014285714)*LN(N70_DESARROLLO!AR64/N70_DESARROLLO!AQ64)-1</f>
        <v>-2.9131730204236539E-2</v>
      </c>
      <c r="AT149" s="3">
        <f>-(N70_DESARROLLO!AS64/0.014285714)*LN(N70_DESARROLLO!AS64/N70_DESARROLLO!AR64)-1</f>
        <v>-3.0934447408007992E-2</v>
      </c>
      <c r="AU149" s="3">
        <f>-(N70_DESARROLLO!AT64/0.014285714)*LN(N70_DESARROLLO!AT64/N70_DESARROLLO!AS64)-1</f>
        <v>-3.2975050428756925E-2</v>
      </c>
      <c r="AV149" s="3">
        <f>-(N70_DESARROLLO!AU64/0.014285714)*LN(N70_DESARROLLO!AU64/N70_DESARROLLO!AT64)-1</f>
        <v>-3.5303966947118015E-2</v>
      </c>
      <c r="AW149" s="3">
        <f>-(N70_DESARROLLO!AV64/0.014285714)*LN(N70_DESARROLLO!AV64/N70_DESARROLLO!AU64)-1</f>
        <v>-3.7986966558138824E-2</v>
      </c>
      <c r="AX149" s="3">
        <f>-(N70_DESARROLLO!AW64/0.014285714)*LN(N70_DESARROLLO!AW64/N70_DESARROLLO!AV64)-1</f>
        <v>-4.1111478023145742E-2</v>
      </c>
      <c r="AY149" s="3">
        <f>-(N70_DESARROLLO!AX64/0.014285714)*LN(N70_DESARROLLO!AX64/N70_DESARROLLO!AW64)-1</f>
        <v>-4.4796309735792073E-2</v>
      </c>
      <c r="AZ149" s="3">
        <f>-(N70_DESARROLLO!AY64/0.014285714)*LN(N70_DESARROLLO!AY64/N70_DESARROLLO!AX64)-1</f>
        <v>-4.9207124692811077E-2</v>
      </c>
      <c r="BA149" s="3">
        <f>-(N70_DESARROLLO!AZ64/0.014285714)*LN(N70_DESARROLLO!AZ64/N70_DESARROLLO!AY64)-1</f>
        <v>-5.4582082654730968E-2</v>
      </c>
      <c r="BB149" s="3">
        <f>-(N70_DESARROLLO!BA64/0.014285714)*LN(N70_DESARROLLO!BA64/N70_DESARROLLO!AZ64)-1</f>
        <v>-6.1276409070486149E-2</v>
      </c>
      <c r="BC149" s="3">
        <f>-(N70_DESARROLLO!BB64/0.014285714)*LN(N70_DESARROLLO!BB64/N70_DESARROLLO!BA64)-1</f>
        <v>-6.9844497732509558E-2</v>
      </c>
      <c r="BD149" s="3">
        <f>-(N70_DESARROLLO!BC64/0.014285714)*LN(N70_DESARROLLO!BC64/N70_DESARROLLO!BB64)-1</f>
        <v>-8.1202515976638967E-2</v>
      </c>
      <c r="BE149" s="3">
        <f>-(N70_DESARROLLO!BD64/0.014285714)*LN(N70_DESARROLLO!BD64/N70_DESARROLLO!BC64)-1</f>
        <v>-9.6981852359953269E-2</v>
      </c>
      <c r="BF149" s="3">
        <f>-(N70_DESARROLLO!BE64/0.014285714)*LN(N70_DESARROLLO!BE64/N70_DESARROLLO!BD64)-1</f>
        <v>-0.12039948342482121</v>
      </c>
      <c r="BG149" s="3">
        <f>-(N70_DESARROLLO!BF64/0.014285714)*LN(N70_DESARROLLO!BF64/N70_DESARROLLO!BE64)-1</f>
        <v>-0.15881939162335312</v>
      </c>
      <c r="BH149" s="3">
        <f>-(N70_DESARROLLO!BG64/0.014285714)*LN(N70_DESARROLLO!BG64/N70_DESARROLLO!BF64)-1</f>
        <v>-0.23376154902624757</v>
      </c>
      <c r="BI149" s="3">
        <f>-(N70_DESARROLLO!BH64/0.014285714)*LN(N70_DESARROLLO!BH64/N70_DESARROLLO!BG64)-1</f>
        <v>-0.45069384467982399</v>
      </c>
      <c r="BJ149" s="3">
        <v>-1</v>
      </c>
      <c r="BK149" s="3">
        <f>-(N70_DESARROLLO!BJ64/0.014285714)*LN(N70_DESARROLLO!BJ64/N70_DESARROLLO!BI64)-1</f>
        <v>0.64791846596052105</v>
      </c>
      <c r="BL149" s="3">
        <f>-(N70_DESARROLLO!BK64/0.014285714)*LN(N70_DESARROLLO!BK64/N70_DESARROLLO!BJ64)-1</f>
        <v>0.27706408495626422</v>
      </c>
      <c r="BM149" s="3">
        <f>-(N70_DESARROLLO!BL64/0.014285714)*LN(N70_DESARROLLO!BL64/N70_DESARROLLO!BK64)-1</f>
        <v>0.17765285172729706</v>
      </c>
      <c r="BN149" s="3">
        <f>-(N70_DESARROLLO!BM64/0.014285714)*LN(N70_DESARROLLO!BM64/N70_DESARROLLO!BL64)-1</f>
        <v>0.13091494988238161</v>
      </c>
      <c r="BO149" s="3">
        <f>-(N70_DESARROLLO!BN64/0.014285714)*LN(N70_DESARROLLO!BN64/N70_DESARROLLO!BM64)-1</f>
        <v>0.10368884711560367</v>
      </c>
      <c r="BP149" s="3">
        <f>-(N70_DESARROLLO!BO64/0.014285714)*LN(N70_DESARROLLO!BO64/N70_DESARROLLO!BN64)-1</f>
        <v>8.5851572027617173E-2</v>
      </c>
      <c r="BQ149" s="3">
        <f>-(N70_DESARROLLO!BP64/0.014285714)*LN(N70_DESARROLLO!BP64/N70_DESARROLLO!BO64)-1</f>
        <v>7.325634877017273E-2</v>
      </c>
      <c r="BR149" s="3">
        <f>-(N70_DESARROLLO!BQ64/0.014285714)*LN(N70_DESARROLLO!BQ64/N70_DESARROLLO!BP64)-1</f>
        <v>6.3886736386790099E-2</v>
      </c>
      <c r="BS149" s="3">
        <f>-(N70_DESARROLLO!BR64/0.014285714)*LN(N70_DESARROLLO!BR64/N70_DESARROLLO!BQ64)-1</f>
        <v>5.664355467999771E-2</v>
      </c>
      <c r="BT149" s="3">
        <f>-(N70_DESARROLLO!BS64/0.014285714)*LN(N70_DESARROLLO!BS64/N70_DESARROLLO!BR64)-1</f>
        <v>5.0876335865840394E-2</v>
      </c>
      <c r="BU149" s="3">
        <f>-(N70_DESARROLLO!BT64/0.014285714)*LN(N70_DESARROLLO!BT64/N70_DESARROLLO!BS64)-1</f>
        <v>4.6175470289370413E-2</v>
      </c>
      <c r="BV149" s="3">
        <f>-(N70_DESARROLLO!BU64/0.014285714)*LN(N70_DESARROLLO!BU64/N70_DESARROLLO!BT64)-1</f>
        <v>4.2270132583537956E-2</v>
      </c>
      <c r="BW149" s="3">
        <f>-(N70_DESARROLLO!BV64/0.014285714)*LN(N70_DESARROLLO!BV64/N70_DESARROLLO!BU64)-1</f>
        <v>3.8974076117218148E-2</v>
      </c>
      <c r="BX149" s="3">
        <f>-(N70_DESARROLLO!BW64/0.014285714)*LN(N70_DESARROLLO!BW64/N70_DESARROLLO!BV64)-1</f>
        <v>3.6154998464197563E-2</v>
      </c>
      <c r="BY149" s="3">
        <f>-(N70_DESARROLLO!BX64/0.014285714)*LN(N70_DESARROLLO!BX64/N70_DESARROLLO!BW64)-1</f>
        <v>109.20426368768339</v>
      </c>
      <c r="CD149">
        <v>55</v>
      </c>
      <c r="CE149" s="1">
        <v>0</v>
      </c>
      <c r="CF149" s="1">
        <f>(1+(N70_DESARROLLO!F64/0.014285714)*LN(N70_DESARROLLO!G64/N70_DESARROLLO!F64))</f>
        <v>-9.2881235002015838E-3</v>
      </c>
      <c r="CG149" s="1">
        <f>(1+(N70_DESARROLLO!G64/0.014285714)*LN(N70_DESARROLLO!H64/N70_DESARROLLO!G64))</f>
        <v>-9.4639304737644814E-3</v>
      </c>
      <c r="CH149" s="1">
        <f>(1+(N70_DESARROLLO!H64/0.014285714)*LN(N70_DESARROLLO!I64/N70_DESARROLLO!H64))</f>
        <v>-9.6465214070258209E-3</v>
      </c>
      <c r="CI149" s="1">
        <f>(1+(N70_DESARROLLO!I64/0.014285714)*LN(N70_DESARROLLO!J64/N70_DESARROLLO!I64))</f>
        <v>-9.8362966981115907E-3</v>
      </c>
      <c r="CJ149" s="1">
        <f>(1+(N70_DESARROLLO!J64/0.014285714)*LN(N70_DESARROLLO!K64/N70_DESARROLLO!J64))</f>
        <v>-1.0033688887479686E-2</v>
      </c>
      <c r="CK149" s="1">
        <f>(1+(N70_DESARROLLO!K64/0.014285714)*LN(N70_DESARROLLO!L64/N70_DESARROLLO!K64))</f>
        <v>-1.0239165949541551E-2</v>
      </c>
      <c r="CL149" s="1">
        <f>(1+(N70_DESARROLLO!L64/0.014285714)*LN(N70_DESARROLLO!M64/N70_DESARROLLO!L64))</f>
        <v>-1.045323499689732E-2</v>
      </c>
      <c r="CM149" s="1">
        <f>(1+(N70_DESARROLLO!M64/0.014285714)*LN(N70_DESARROLLO!N64/N70_DESARROLLO!M64))</f>
        <v>-1.0676446459564781E-2</v>
      </c>
      <c r="CN149" s="1">
        <f>(1+(N70_DESARROLLO!N64/0.014285714)*LN(N70_DESARROLLO!O64/N70_DESARROLLO!N64))</f>
        <v>-1.0909398811061122E-2</v>
      </c>
      <c r="CO149" s="1">
        <f>(1+(N70_DESARROLLO!O64/0.014285714)*LN(N70_DESARROLLO!P64/N70_DESARROLLO!O64))</f>
        <v>-1.1152743927365316E-2</v>
      </c>
      <c r="CP149" s="1">
        <f>(1+(N70_DESARROLLO!P64/0.014285714)*LN(N70_DESARROLLO!Q64/N70_DESARROLLO!P64))</f>
        <v>-1.1407193179393538E-2</v>
      </c>
      <c r="CQ149" s="1">
        <f>(1+(N70_DESARROLLO!Q64/0.014285714)*LN(N70_DESARROLLO!R64/N70_DESARROLLO!Q64))</f>
        <v>-1.1673524379099964E-2</v>
      </c>
      <c r="CR149" s="1">
        <f>(1+(N70_DESARROLLO!R64/0.014285714)*LN(N70_DESARROLLO!S64/N70_DESARROLLO!R64))</f>
        <v>-1.1952589722085571E-2</v>
      </c>
      <c r="CS149" s="1">
        <f>(1+(N70_DESARROLLO!S64/0.014285714)*LN(N70_DESARROLLO!T64/N70_DESARROLLO!S64))</f>
        <v>-1.2245324897510068E-2</v>
      </c>
      <c r="CT149" s="1">
        <f>(1+(N70_DESARROLLO!T64/0.014285714)*LN(N70_DESARROLLO!U64/N70_DESARROLLO!T64))</f>
        <v>-1.2552759570459093E-2</v>
      </c>
      <c r="CU149" s="1">
        <f>(1+(N70_DESARROLLO!U64/0.014285714)*LN(N70_DESARROLLO!V64/N70_DESARROLLO!U64))</f>
        <v>-1.2876029484353735E-2</v>
      </c>
      <c r="CV149" s="1">
        <f>(1+(N70_DESARROLLO!V64/0.014285714)*LN(N70_DESARROLLO!W64/N70_DESARROLLO!V64))</f>
        <v>-1.3216390483208773E-2</v>
      </c>
      <c r="CW149" s="1">
        <f>(1+(N70_DESARROLLO!W64/0.014285714)*LN(N70_DESARROLLO!X64/N70_DESARROLLO!W64))</f>
        <v>-1.3575234818476556E-2</v>
      </c>
      <c r="CX149" s="1">
        <f>(1+(N70_DESARROLLO!X64/0.014285714)*LN(N70_DESARROLLO!Y64/N70_DESARROLLO!X64))</f>
        <v>-1.3954110187341273E-2</v>
      </c>
      <c r="CY149" s="1">
        <f>(1+(N70_DESARROLLO!Y64/0.014285714)*LN(N70_DESARROLLO!Z64/N70_DESARROLLO!Y64))</f>
        <v>-1.4354742051086999E-2</v>
      </c>
      <c r="CZ149" s="1">
        <f>(1+(N70_DESARROLLO!Z64/0.014285714)*LN(N70_DESARROLLO!AA64/N70_DESARROLLO!Z64))</f>
        <v>-1.4779059912701342E-2</v>
      </c>
      <c r="DA149" s="1">
        <f>(1+(N70_DESARROLLO!AA64/0.014285714)*LN(N70_DESARROLLO!AB64/N70_DESARROLLO!AA64))</f>
        <v>-1.5229228398103256E-2</v>
      </c>
      <c r="DB149" s="1">
        <f>(1+(N70_DESARROLLO!AB64/0.014285714)*LN(N70_DESARROLLO!AC64/N70_DESARROLLO!AB64))</f>
        <v>-1.57076841975472E-2</v>
      </c>
      <c r="DC149" s="1">
        <f>(1+(N70_DESARROLLO!AC64/0.014285714)*LN(N70_DESARROLLO!AD64/N70_DESARROLLO!AC64))</f>
        <v>-1.6217180198318637E-2</v>
      </c>
      <c r="DD149" s="1">
        <f>(1+(N70_DESARROLLO!AD64/0.014285714)*LN(N70_DESARROLLO!AE64/N70_DESARROLLO!AD64))</f>
        <v>-1.6760838496767461E-2</v>
      </c>
      <c r="DE149" s="1">
        <f>(1+(N70_DESARROLLO!AE64/0.014285714)*LN(N70_DESARROLLO!AF64/N70_DESARROLLO!AE64))</f>
        <v>-1.7342214446339099E-2</v>
      </c>
      <c r="DF149" s="1">
        <f>(1+(N70_DESARROLLO!AF64/0.014285714)*LN(N70_DESARROLLO!AG64/N70_DESARROLLO!AF64))</f>
        <v>-1.796537451856195E-2</v>
      </c>
      <c r="DG149" s="1">
        <f>(1+(N70_DESARROLLO!AG64/0.014285714)*LN(N70_DESARROLLO!AH64/N70_DESARROLLO!AG64))</f>
        <v>-1.8634991582299865E-2</v>
      </c>
      <c r="DH149" s="1">
        <f>(1+(N70_DESARROLLO!AH64/0.014285714)*LN(N70_DESARROLLO!AI64/N70_DESARROLLO!AH64))</f>
        <v>-1.9356462323724344E-2</v>
      </c>
      <c r="DI149" s="1">
        <f>(1+(N70_DESARROLLO!AI64/0.014285714)*LN(N70_DESARROLLO!AJ64/N70_DESARROLLO!AI64))</f>
        <v>-2.0136053052048686E-2</v>
      </c>
      <c r="DJ149" s="1">
        <f>(1+(N70_DESARROLLO!AJ64/0.014285714)*LN(N70_DESARROLLO!AK64/N70_DESARROLLO!AJ64))</f>
        <v>-2.0981082233539228E-2</v>
      </c>
      <c r="DK149" s="1">
        <f>(1+(N70_DESARROLLO!AK64/0.014285714)*LN(N70_DESARROLLO!AL64/N70_DESARROLLO!AK64))</f>
        <v>-2.1900151021866598E-2</v>
      </c>
      <c r="DL149" s="1">
        <f>(1+(N70_DESARROLLO!AL64/0.014285714)*LN(N70_DESARROLLO!AM64/N70_DESARROLLO!AL64))</f>
        <v>-2.2903437185109787E-2</v>
      </c>
      <c r="DM149" s="1">
        <f>(1+(N70_DESARROLLO!AM64/0.014285714)*LN(N70_DESARROLLO!AN64/N70_DESARROLLO!AM64))</f>
        <v>-2.4003073749037318E-2</v>
      </c>
      <c r="DN149" s="1">
        <f>(1+(N70_DESARROLLO!AN64/0.014285714)*LN(N70_DESARROLLO!AO64/N70_DESARROLLO!AN64))</f>
        <v>-2.5213642284831694E-2</v>
      </c>
      <c r="DO149" s="1">
        <f>(1+(N70_DESARROLLO!AO64/0.014285714)*LN(N70_DESARROLLO!AP64/N70_DESARROLLO!AO64))</f>
        <v>-2.6552823496780897E-2</v>
      </c>
      <c r="DP149" s="1">
        <f>(1+(N70_DESARROLLO!AP64/0.014285714)*LN(N70_DESARROLLO!AQ64/N70_DESARROLLO!AP64))</f>
        <v>-2.8042266924848791E-2</v>
      </c>
      <c r="DQ149" s="1">
        <f>(1+(N70_DESARROLLO!AQ64/0.014285714)*LN(N70_DESARROLLO!AR64/N70_DESARROLLO!AQ64))</f>
        <v>-2.9708770995506617E-2</v>
      </c>
      <c r="DR149" s="1">
        <f>(1+(N70_DESARROLLO!AR64/0.014285714)*LN(N70_DESARROLLO!AS64/N70_DESARROLLO!AR64))</f>
        <v>-3.1585910823733743E-2</v>
      </c>
      <c r="DS149" s="1">
        <f>(1+(N70_DESARROLLO!AS64/0.014285714)*LN(N70_DESARROLLO!AT64/N70_DESARROLLO!AS64))</f>
        <v>-3.3716325403742475E-2</v>
      </c>
      <c r="DT149" s="1">
        <f>(1+(N70_DESARROLLO!AT64/0.014285714)*LN(N70_DESARROLLO!AU64/N70_DESARROLLO!AT64))</f>
        <v>-3.6154998464207111E-2</v>
      </c>
      <c r="DU149" s="1">
        <f>(1+(N70_DESARROLLO!AU64/0.014285714)*LN(N70_DESARROLLO!AV64/N70_DESARROLLO!AU64))</f>
        <v>-3.8974076117209711E-2</v>
      </c>
      <c r="DV149" s="1">
        <f>(1+(N70_DESARROLLO!AV64/0.014285714)*LN(N70_DESARROLLO!AW64/N70_DESARROLLO!AV64))</f>
        <v>-4.2270132583536846E-2</v>
      </c>
      <c r="DW149" s="1">
        <f>(1+(N70_DESARROLLO!AW64/0.014285714)*LN(N70_DESARROLLO!AX64/N70_DESARROLLO!AW64))</f>
        <v>-4.6175470289371079E-2</v>
      </c>
      <c r="DX149" s="1">
        <f>(1+(N70_DESARROLLO!AX64/0.014285714)*LN(N70_DESARROLLO!AY64/N70_DESARROLLO!AX64))</f>
        <v>-5.087633586583995E-2</v>
      </c>
      <c r="DY149" s="1">
        <f>(1+(N70_DESARROLLO!AY64/0.014285714)*LN(N70_DESARROLLO!AZ64/N70_DESARROLLO!AY64))</f>
        <v>-5.6643554680007036E-2</v>
      </c>
      <c r="DZ149" s="1">
        <f>(1+(N70_DESARROLLO!AZ64/0.014285714)*LN(N70_DESARROLLO!BA64/N70_DESARROLLO!AZ64))</f>
        <v>-6.3886736386781884E-2</v>
      </c>
      <c r="EA149" s="1">
        <f>(1+(N70_DESARROLLO!BA64/0.014285714)*LN(N70_DESARROLLO!BB64/N70_DESARROLLO!BA64))</f>
        <v>-7.3256348770182056E-2</v>
      </c>
      <c r="EB149" s="1">
        <f>(1+(N70_DESARROLLO!BB64/0.014285714)*LN(N70_DESARROLLO!BC64/N70_DESARROLLO!BB64))</f>
        <v>-8.5851572027607848E-2</v>
      </c>
      <c r="EC149" s="1">
        <f>(1+(N70_DESARROLLO!BC64/0.014285714)*LN(N70_DESARROLLO!BD64/N70_DESARROLLO!BC64))</f>
        <v>-0.10368884711561388</v>
      </c>
      <c r="ED149" s="1">
        <f>(1+(N70_DESARROLLO!BD64/0.014285714)*LN(N70_DESARROLLO!BE64/N70_DESARROLLO!BD64))</f>
        <v>-0.13091494988237207</v>
      </c>
      <c r="EE149" s="1">
        <f>(1+(N70_DESARROLLO!BE64/0.014285714)*LN(N70_DESARROLLO!BF64/N70_DESARROLLO!BE64))</f>
        <v>-0.17765285172730816</v>
      </c>
      <c r="EF149" s="1">
        <f>(1+(N70_DESARROLLO!BF64/0.014285714)*LN(N70_DESARROLLO!BG64/N70_DESARROLLO!BF64))</f>
        <v>-0.27706408495625401</v>
      </c>
      <c r="EG149" s="1">
        <f>(1+(N70_DESARROLLO!BG64/0.014285714)*LN(N70_DESARROLLO!BH64/N70_DESARROLLO!BG64))</f>
        <v>-0.64791846596052816</v>
      </c>
      <c r="EH149" s="1">
        <v>1</v>
      </c>
      <c r="EI149" s="1">
        <f>(1+(N70_DESARROLLO!BI64/0.014285714)*LN(N70_DESARROLLO!BJ64/N70_DESARROLLO!BI64))</f>
        <v>0.45069384467982065</v>
      </c>
      <c r="EJ149" s="1">
        <f>(1+(N70_DESARROLLO!BJ64/0.014285714)*LN(N70_DESARROLLO!BK64/N70_DESARROLLO!BJ64))</f>
        <v>0.23376154902624224</v>
      </c>
      <c r="EK149" s="1">
        <f>(1+(N70_DESARROLLO!BK64/0.014285714)*LN(N70_DESARROLLO!BL64/N70_DESARROLLO!BK64))</f>
        <v>0.15881939162335779</v>
      </c>
      <c r="EL149" s="1">
        <f>(1+(N70_DESARROLLO!BL64/0.014285714)*LN(N70_DESARROLLO!BM64/N70_DESARROLLO!BL64))</f>
        <v>0.12039948342481499</v>
      </c>
      <c r="EM149" s="1">
        <f>(1+(N70_DESARROLLO!BM64/0.014285714)*LN(N70_DESARROLLO!BN64/N70_DESARROLLO!BM64))</f>
        <v>9.6981852359959819E-2</v>
      </c>
      <c r="EN149" s="1">
        <f>(1+(N70_DESARROLLO!BN64/0.014285714)*LN(N70_DESARROLLO!BO64/N70_DESARROLLO!BN64))</f>
        <v>8.1202515976632084E-2</v>
      </c>
      <c r="EO149" s="1">
        <f>(1+(N70_DESARROLLO!BO64/0.014285714)*LN(N70_DESARROLLO!BP64/N70_DESARROLLO!BO64))</f>
        <v>6.9844497732516553E-2</v>
      </c>
      <c r="EP149" s="1">
        <f>(1+(N70_DESARROLLO!BP64/0.014285714)*LN(N70_DESARROLLO!BQ64/N70_DESARROLLO!BP64))</f>
        <v>6.1276409070479709E-2</v>
      </c>
      <c r="EQ149" s="1">
        <f>(1+(N70_DESARROLLO!BQ64/0.014285714)*LN(N70_DESARROLLO!BR64/N70_DESARROLLO!BQ64))</f>
        <v>5.4582082654738295E-2</v>
      </c>
      <c r="ER149" s="1">
        <f>(1+(N70_DESARROLLO!BR64/0.014285714)*LN(N70_DESARROLLO!BS64/N70_DESARROLLO!BR64))</f>
        <v>4.9207124692810855E-2</v>
      </c>
      <c r="ES149" s="1">
        <f>(1+(N70_DESARROLLO!BS64/0.014285714)*LN(N70_DESARROLLO!BT64/N70_DESARROLLO!BS64))</f>
        <v>4.4796309735792517E-2</v>
      </c>
      <c r="ET149" s="1">
        <f>(1+(N70_DESARROLLO!BT64/0.014285714)*LN(N70_DESARROLLO!BU64/N70_DESARROLLO!BT64))</f>
        <v>4.1111478023144854E-2</v>
      </c>
      <c r="EU149" s="1">
        <f>(1+(N70_DESARROLLO!BU64/0.014285714)*LN(N70_DESARROLLO!BV64/N70_DESARROLLO!BU64))</f>
        <v>3.7986966558131607E-2</v>
      </c>
      <c r="EV149" s="1">
        <f>(1+(N70_DESARROLLO!BV64/0.014285714)*LN(N70_DESARROLLO!BW64/N70_DESARROLLO!BV64))</f>
        <v>3.5303966947126231E-2</v>
      </c>
      <c r="EW149" s="1">
        <f>(1+(N70_DESARROLLO!BW64/0.014285714)*LN(N70_DESARROLLO!BX64/N70_DESARROLLO!BW64))</f>
        <v>-21.828026049591564</v>
      </c>
    </row>
    <row r="150" spans="7:153" x14ac:dyDescent="0.25">
      <c r="G150" s="3">
        <v>56</v>
      </c>
      <c r="H150" s="3">
        <f>-(N70_DESARROLLO!G65/0.014285714)*LN(N70_DESARROLLO!G65/N70_DESARROLLO!F65)-1</f>
        <v>-9.0635901473971048E-3</v>
      </c>
      <c r="I150" s="3">
        <f>-(N70_DESARROLLO!H65/0.014285714)*LN(N70_DESARROLLO!H65/N70_DESARROLLO!G65)-1</f>
        <v>-9.2309246374047138E-3</v>
      </c>
      <c r="J150" s="3">
        <f>-(N70_DESARROLLO!I65/0.014285714)*LN(N70_DESARROLLO!I65/N70_DESARROLLO!H65)-1</f>
        <v>-9.4045542079997935E-3</v>
      </c>
      <c r="K150" s="3">
        <f>-(N70_DESARROLLO!J65/0.014285714)*LN(N70_DESARROLLO!J65/N70_DESARROLLO!I65)-1</f>
        <v>-9.5848409054832828E-3</v>
      </c>
      <c r="L150" s="3">
        <f>-(N70_DESARROLLO!K65/0.014285714)*LN(N70_DESARROLLO!K65/N70_DESARROLLO!J65)-1</f>
        <v>-9.7721750824455444E-3</v>
      </c>
      <c r="M150" s="3">
        <f>-(N70_DESARROLLO!L65/0.014285714)*LN(N70_DESARROLLO!L65/N70_DESARROLLO!K65)-1</f>
        <v>-9.9669782191917911E-3</v>
      </c>
      <c r="N150" s="3">
        <f>-(N70_DESARROLLO!M65/0.014285714)*LN(N70_DESARROLLO!M65/N70_DESARROLLO!L65)-1</f>
        <v>-1.0169706089854125E-2</v>
      </c>
      <c r="O150" s="3">
        <f>-(N70_DESARROLLO!N65/0.014285714)*LN(N70_DESARROLLO!N65/N70_DESARROLLO!M65)-1</f>
        <v>-1.0380852322620981E-2</v>
      </c>
      <c r="P150" s="3">
        <f>-(N70_DESARROLLO!O65/0.014285714)*LN(N70_DESARROLLO!O65/N70_DESARROLLO!N65)-1</f>
        <v>-1.0600952413273412E-2</v>
      </c>
      <c r="Q150" s="3">
        <f>-(N70_DESARROLLO!P65/0.014285714)*LN(N70_DESARROLLO!P65/N70_DESARROLLO!O65)-1</f>
        <v>-1.0830588260139384E-2</v>
      </c>
      <c r="R150" s="3">
        <f>-(N70_DESARROLLO!Q65/0.014285714)*LN(N70_DESARROLLO!Q65/N70_DESARROLLO!P65)-1</f>
        <v>-1.1070393301807369E-2</v>
      </c>
      <c r="S150" s="3">
        <f>-(N70_DESARROLLO!R65/0.014285714)*LN(N70_DESARROLLO!R65/N70_DESARROLLO!Q65)-1</f>
        <v>-1.1321058352732338E-2</v>
      </c>
      <c r="T150" s="3">
        <f>-(N70_DESARROLLO!S65/0.014285714)*LN(N70_DESARROLLO!S65/N70_DESARROLLO!R65)-1</f>
        <v>-1.1583338250304442E-2</v>
      </c>
      <c r="U150" s="3">
        <f>-(N70_DESARROLLO!T65/0.014285714)*LN(N70_DESARROLLO!T65/N70_DESARROLLO!S65)-1</f>
        <v>-1.185805944784557E-2</v>
      </c>
      <c r="V150" s="3">
        <f>-(N70_DESARROLLO!U65/0.014285714)*LN(N70_DESARROLLO!U65/N70_DESARROLLO!T65)-1</f>
        <v>-1.2146128714473514E-2</v>
      </c>
      <c r="W150" s="3">
        <f>-(N70_DESARROLLO!V65/0.014285714)*LN(N70_DESARROLLO!V65/N70_DESARROLLO!U65)-1</f>
        <v>-1.2448543134993217E-2</v>
      </c>
      <c r="X150" s="3">
        <f>-(N70_DESARROLLO!W65/0.014285714)*LN(N70_DESARROLLO!W65/N70_DESARROLLO!V65)-1</f>
        <v>-1.2766401641823411E-2</v>
      </c>
      <c r="Y150" s="3">
        <f>-(N70_DESARROLLO!X65/0.014285714)*LN(N70_DESARROLLO!X65/N70_DESARROLLO!W65)-1</f>
        <v>-1.3100918360519631E-2</v>
      </c>
      <c r="Z150" s="3">
        <f>-(N70_DESARROLLO!Y65/0.014285714)*LN(N70_DESARROLLO!Y65/N70_DESARROLLO!X65)-1</f>
        <v>-1.3453438110011762E-2</v>
      </c>
      <c r="AA150" s="3">
        <f>-(N70_DESARROLLO!Z65/0.014285714)*LN(N70_DESARROLLO!Z65/N70_DESARROLLO!Y65)-1</f>
        <v>-1.3825454475325571E-2</v>
      </c>
      <c r="AB150" s="3">
        <f>-(N70_DESARROLLO!AA65/0.014285714)*LN(N70_DESARROLLO!AA65/N70_DESARROLLO!Z65)-1</f>
        <v>-1.4218630964440648E-2</v>
      </c>
      <c r="AC150" s="3">
        <f>-(N70_DESARROLLO!AB65/0.014285714)*LN(N70_DESARROLLO!AB65/N70_DESARROLLO!AA65)-1</f>
        <v>-1.4634825881869595E-2</v>
      </c>
      <c r="AD150" s="3">
        <f>-(N70_DESARROLLO!AC65/0.014285714)*LN(N70_DESARROLLO!AC65/N70_DESARROLLO!AB65)-1</f>
        <v>-1.5076121703332501E-2</v>
      </c>
      <c r="AE150" s="3">
        <f>-(N70_DESARROLLO!AD65/0.014285714)*LN(N70_DESARROLLO!AD65/N70_DESARROLLO!AC65)-1</f>
        <v>-1.5544859931607924E-2</v>
      </c>
      <c r="AF150" s="3">
        <f>-(N70_DESARROLLO!AE65/0.014285714)*LN(N70_DESARROLLO!AE65/N70_DESARROLLO!AD65)-1</f>
        <v>-1.6043682665120018E-2</v>
      </c>
      <c r="AG150" s="3">
        <f>-(N70_DESARROLLO!AF65/0.014285714)*LN(N70_DESARROLLO!AF65/N70_DESARROLLO!AE65)-1</f>
        <v>-1.6575582437552527E-2</v>
      </c>
      <c r="AH150" s="3">
        <f>-(N70_DESARROLLO!AG65/0.014285714)*LN(N70_DESARROLLO!AG65/N70_DESARROLLO!AF65)-1</f>
        <v>-1.7143962314556949E-2</v>
      </c>
      <c r="AI150" s="3">
        <f>-(N70_DESARROLLO!AH65/0.014285714)*LN(N70_DESARROLLO!AH65/N70_DESARROLLO!AG65)-1</f>
        <v>-1.7752708797875383E-2</v>
      </c>
      <c r="AJ150" s="3">
        <f>-(N70_DESARROLLO!AI65/0.014285714)*LN(N70_DESARROLLO!AI65/N70_DESARROLLO!AH65)-1</f>
        <v>-1.8406280838874522E-2</v>
      </c>
      <c r="AK150" s="3">
        <f>-(N70_DESARROLLO!AJ65/0.014285714)*LN(N70_DESARROLLO!AJ65/N70_DESARROLLO!AI65)-1</f>
        <v>-1.9109819273397055E-2</v>
      </c>
      <c r="AL150" s="3">
        <f>-(N70_DESARROLLO!AK65/0.014285714)*LN(N70_DESARROLLO!AK65/N70_DESARROLLO!AJ65)-1</f>
        <v>-1.9869282361757001E-2</v>
      </c>
      <c r="AM150" s="3">
        <f>-(N70_DESARROLLO!AL65/0.014285714)*LN(N70_DESARROLLO!AL65/N70_DESARROLLO!AK65)-1</f>
        <v>-2.0691615000482666E-2</v>
      </c>
      <c r="AN150" s="3">
        <f>-(N70_DESARROLLO!AM65/0.014285714)*LN(N70_DESARROLLO!AM65/N70_DESARROLLO!AL65)-1</f>
        <v>-2.1584961787574186E-2</v>
      </c>
      <c r="AO150" s="3">
        <f>-(N70_DESARROLLO!AN65/0.014285714)*LN(N70_DESARROLLO!AN65/N70_DESARROLLO!AM65)-1</f>
        <v>-2.2558937800894796E-2</v>
      </c>
      <c r="AP150" s="3">
        <f>-(N70_DESARROLLO!AO65/0.014285714)*LN(N70_DESARROLLO!AO65/N70_DESARROLLO!AN65)-1</f>
        <v>-2.3624976192780589E-2</v>
      </c>
      <c r="AQ150" s="3">
        <f>-(N70_DESARROLLO!AP65/0.014285714)*LN(N70_DESARROLLO!AP65/N70_DESARROLLO!AO65)-1</f>
        <v>-2.4796779290042426E-2</v>
      </c>
      <c r="AR150" s="3">
        <f>-(N70_DESARROLLO!AQ65/0.014285714)*LN(N70_DESARROLLO!AQ65/N70_DESARROLLO!AP65)-1</f>
        <v>-2.6090911041506626E-2</v>
      </c>
      <c r="AS150" s="3">
        <f>-(N70_DESARROLLO!AR65/0.014285714)*LN(N70_DESARROLLO!AR65/N70_DESARROLLO!AQ65)-1</f>
        <v>-2.7527585341367344E-2</v>
      </c>
      <c r="AT150" s="3">
        <f>-(N70_DESARROLLO!AS65/0.014285714)*LN(N70_DESARROLLO!AS65/N70_DESARROLLO!AR65)-1</f>
        <v>-2.9131730204228767E-2</v>
      </c>
      <c r="AU150" s="3">
        <f>-(N70_DESARROLLO!AT65/0.014285714)*LN(N70_DESARROLLO!AT65/N70_DESARROLLO!AS65)-1</f>
        <v>-3.0934447408014765E-2</v>
      </c>
      <c r="AV150" s="3">
        <f>-(N70_DESARROLLO!AU65/0.014285714)*LN(N70_DESARROLLO!AU65/N70_DESARROLLO!AT65)-1</f>
        <v>-3.2975050428749819E-2</v>
      </c>
      <c r="AW150" s="3">
        <f>-(N70_DESARROLLO!AV65/0.014285714)*LN(N70_DESARROLLO!AV65/N70_DESARROLLO!AU65)-1</f>
        <v>-3.5303966947125343E-2</v>
      </c>
      <c r="AX150" s="3">
        <f>-(N70_DESARROLLO!AW65/0.014285714)*LN(N70_DESARROLLO!AW65/N70_DESARROLLO!AV65)-1</f>
        <v>-3.7986966558138158E-2</v>
      </c>
      <c r="AY150" s="3">
        <f>-(N70_DESARROLLO!AX65/0.014285714)*LN(N70_DESARROLLO!AX65/N70_DESARROLLO!AW65)-1</f>
        <v>-4.1111478023138859E-2</v>
      </c>
      <c r="AZ150" s="3">
        <f>-(N70_DESARROLLO!AY65/0.014285714)*LN(N70_DESARROLLO!AY65/N70_DESARROLLO!AX65)-1</f>
        <v>-4.4796309735798956E-2</v>
      </c>
      <c r="BA150" s="3">
        <f>-(N70_DESARROLLO!AZ65/0.014285714)*LN(N70_DESARROLLO!AZ65/N70_DESARROLLO!AY65)-1</f>
        <v>-4.9207124692804083E-2</v>
      </c>
      <c r="BB150" s="3">
        <f>-(N70_DESARROLLO!BA65/0.014285714)*LN(N70_DESARROLLO!BA65/N70_DESARROLLO!AZ65)-1</f>
        <v>-5.4582082654737407E-2</v>
      </c>
      <c r="BC150" s="3">
        <f>-(N70_DESARROLLO!BB65/0.014285714)*LN(N70_DESARROLLO!BB65/N70_DESARROLLO!BA65)-1</f>
        <v>-6.1276409070479487E-2</v>
      </c>
      <c r="BD150" s="3">
        <f>-(N70_DESARROLLO!BC65/0.014285714)*LN(N70_DESARROLLO!BC65/N70_DESARROLLO!BB65)-1</f>
        <v>-6.9844497732515998E-2</v>
      </c>
      <c r="BE150" s="3">
        <f>-(N70_DESARROLLO!BD65/0.014285714)*LN(N70_DESARROLLO!BD65/N70_DESARROLLO!BC65)-1</f>
        <v>-8.1202515976632528E-2</v>
      </c>
      <c r="BF150" s="3">
        <f>-(N70_DESARROLLO!BE65/0.014285714)*LN(N70_DESARROLLO!BE65/N70_DESARROLLO!BD65)-1</f>
        <v>-9.6981852359959708E-2</v>
      </c>
      <c r="BG150" s="3">
        <f>-(N70_DESARROLLO!BF65/0.014285714)*LN(N70_DESARROLLO!BF65/N70_DESARROLLO!BE65)-1</f>
        <v>-0.1203994834248151</v>
      </c>
      <c r="BH150" s="3">
        <f>-(N70_DESARROLLO!BG65/0.014285714)*LN(N70_DESARROLLO!BG65/N70_DESARROLLO!BF65)-1</f>
        <v>-0.15881939162335823</v>
      </c>
      <c r="BI150" s="3">
        <f>-(N70_DESARROLLO!BH65/0.014285714)*LN(N70_DESARROLLO!BH65/N70_DESARROLLO!BG65)-1</f>
        <v>-0.23376154902624657</v>
      </c>
      <c r="BJ150" s="3">
        <f>-(N70_DESARROLLO!BI65/0.014285714)*LN(N70_DESARROLLO!BI65/N70_DESARROLLO!BH65)-1</f>
        <v>-0.45069384467982143</v>
      </c>
      <c r="BK150" s="3">
        <v>-1</v>
      </c>
      <c r="BL150" s="3">
        <f>-(N70_DESARROLLO!BK65/0.014285714)*LN(N70_DESARROLLO!BK65/N70_DESARROLLO!BJ65)-1</f>
        <v>0.64791846596054437</v>
      </c>
      <c r="BM150" s="3">
        <f>-(N70_DESARROLLO!BL65/0.014285714)*LN(N70_DESARROLLO!BL65/N70_DESARROLLO!BK65)-1</f>
        <v>0.2770640849562529</v>
      </c>
      <c r="BN150" s="3">
        <f>-(N70_DESARROLLO!BM65/0.014285714)*LN(N70_DESARROLLO!BM65/N70_DESARROLLO!BL65)-1</f>
        <v>0.17765285172730816</v>
      </c>
      <c r="BO150" s="3">
        <f>-(N70_DESARROLLO!BN65/0.014285714)*LN(N70_DESARROLLO!BN65/N70_DESARROLLO!BM65)-1</f>
        <v>0.13091494988237184</v>
      </c>
      <c r="BP150" s="3">
        <f>-(N70_DESARROLLO!BO65/0.014285714)*LN(N70_DESARROLLO!BO65/N70_DESARROLLO!BN65)-1</f>
        <v>0.10368884711561366</v>
      </c>
      <c r="BQ150" s="3">
        <f>-(N70_DESARROLLO!BP65/0.014285714)*LN(N70_DESARROLLO!BP65/N70_DESARROLLO!BO65)-1</f>
        <v>8.5851572027607181E-2</v>
      </c>
      <c r="BR150" s="3">
        <f>-(N70_DESARROLLO!BQ65/0.014285714)*LN(N70_DESARROLLO!BQ65/N70_DESARROLLO!BP65)-1</f>
        <v>7.325634877018139E-2</v>
      </c>
      <c r="BS150" s="3">
        <f>-(N70_DESARROLLO!BR65/0.014285714)*LN(N70_DESARROLLO!BR65/N70_DESARROLLO!BQ65)-1</f>
        <v>6.388673638678255E-2</v>
      </c>
      <c r="BT150" s="3">
        <f>-(N70_DESARROLLO!BS65/0.014285714)*LN(N70_DESARROLLO!BS65/N70_DESARROLLO!BR65)-1</f>
        <v>5.664355467999882E-2</v>
      </c>
      <c r="BU150" s="3">
        <f>-(N70_DESARROLLO!BT65/0.014285714)*LN(N70_DESARROLLO!BT65/N70_DESARROLLO!BS65)-1</f>
        <v>5.0876335865848832E-2</v>
      </c>
      <c r="BV150" s="3">
        <f>-(N70_DESARROLLO!BU65/0.014285714)*LN(N70_DESARROLLO!BU65/N70_DESARROLLO!BT65)-1</f>
        <v>4.6175470289362641E-2</v>
      </c>
      <c r="BW150" s="3">
        <f>-(N70_DESARROLLO!BV65/0.014285714)*LN(N70_DESARROLLO!BV65/N70_DESARROLLO!BU65)-1</f>
        <v>4.2270132583545728E-2</v>
      </c>
      <c r="BX150" s="3">
        <f>-(N70_DESARROLLO!BW65/0.014285714)*LN(N70_DESARROLLO!BW65/N70_DESARROLLO!BV65)-1</f>
        <v>3.8974076117209266E-2</v>
      </c>
      <c r="BY150" s="3">
        <f>-(N70_DESARROLLO!BX65/0.014285714)*LN(N70_DESARROLLO!BX65/N70_DESARROLLO!BW65)-1</f>
        <v>114.2063912664761</v>
      </c>
      <c r="CD150" s="1">
        <v>56</v>
      </c>
      <c r="CE150" s="1">
        <v>0</v>
      </c>
      <c r="CF150" s="1">
        <f>(1+(N70_DESARROLLO!F65/0.014285714)*LN(N70_DESARROLLO!G65/N70_DESARROLLO!F65))</f>
        <v>-9.1187292994394653E-3</v>
      </c>
      <c r="CG150" s="1">
        <f>(1+(N70_DESARROLLO!G65/0.014285714)*LN(N70_DESARROLLO!H65/N70_DESARROLLO!G65))</f>
        <v>-9.2881235002140183E-3</v>
      </c>
      <c r="CH150" s="1">
        <f>(1+(N70_DESARROLLO!H65/0.014285714)*LN(N70_DESARROLLO!I65/N70_DESARROLLO!H65))</f>
        <v>-9.463930473752491E-3</v>
      </c>
      <c r="CI150" s="1">
        <f>(1+(N70_DESARROLLO!I65/0.014285714)*LN(N70_DESARROLLO!J65/N70_DESARROLLO!I65))</f>
        <v>-9.6465214070318162E-3</v>
      </c>
      <c r="CJ150" s="1">
        <f>(1+(N70_DESARROLLO!J65/0.014285714)*LN(N70_DESARROLLO!K65/N70_DESARROLLO!J65))</f>
        <v>-9.8362966981000444E-3</v>
      </c>
      <c r="CK150" s="1">
        <f>(1+(N70_DESARROLLO!K65/0.014285714)*LN(N70_DESARROLLO!L65/N70_DESARROLLO!K65))</f>
        <v>-1.0033688887491232E-2</v>
      </c>
      <c r="CL150" s="1">
        <f>(1+(N70_DESARROLLO!L65/0.014285714)*LN(N70_DESARROLLO!M65/N70_DESARROLLO!L65))</f>
        <v>-1.0239165949530449E-2</v>
      </c>
      <c r="CM150" s="1">
        <f>(1+(N70_DESARROLLO!M65/0.014285714)*LN(N70_DESARROLLO!N65/N70_DESARROLLO!M65))</f>
        <v>-1.0453234996902872E-2</v>
      </c>
      <c r="CN150" s="1">
        <f>(1+(N70_DESARROLLO!N65/0.014285714)*LN(N70_DESARROLLO!O65/N70_DESARROLLO!N65))</f>
        <v>-1.067644645955923E-2</v>
      </c>
      <c r="CO150" s="1">
        <f>(1+(N70_DESARROLLO!O65/0.014285714)*LN(N70_DESARROLLO!P65/N70_DESARROLLO!O65))</f>
        <v>-1.0909398811066451E-2</v>
      </c>
      <c r="CP150" s="1">
        <f>(1+(N70_DESARROLLO!P65/0.014285714)*LN(N70_DESARROLLO!Q65/N70_DESARROLLO!P65))</f>
        <v>-1.1152743927365316E-2</v>
      </c>
      <c r="CQ150" s="1">
        <f>(1+(N70_DESARROLLO!Q65/0.014285714)*LN(N70_DESARROLLO!R65/N70_DESARROLLO!Q65))</f>
        <v>-1.1407193179388653E-2</v>
      </c>
      <c r="CR150" s="1">
        <f>(1+(N70_DESARROLLO!R65/0.014285714)*LN(N70_DESARROLLO!S65/N70_DESARROLLO!R65))</f>
        <v>-1.1673524379100408E-2</v>
      </c>
      <c r="CS150" s="1">
        <f>(1+(N70_DESARROLLO!S65/0.014285714)*LN(N70_DESARROLLO!T65/N70_DESARROLLO!S65))</f>
        <v>-1.1952589722085794E-2</v>
      </c>
      <c r="CT150" s="1">
        <f>(1+(N70_DESARROLLO!T65/0.014285714)*LN(N70_DESARROLLO!U65/N70_DESARROLLO!T65))</f>
        <v>-1.2245324897514953E-2</v>
      </c>
      <c r="CU150" s="1">
        <f>(1+(N70_DESARROLLO!U65/0.014285714)*LN(N70_DESARROLLO!V65/N70_DESARROLLO!U65))</f>
        <v>-1.2552759570449767E-2</v>
      </c>
      <c r="CV150" s="1">
        <f>(1+(N70_DESARROLLO!V65/0.014285714)*LN(N70_DESARROLLO!W65/N70_DESARROLLO!V65))</f>
        <v>-1.2876029484363061E-2</v>
      </c>
      <c r="CW150" s="1">
        <f>(1+(N70_DESARROLLO!W65/0.014285714)*LN(N70_DESARROLLO!X65/N70_DESARROLLO!W65))</f>
        <v>-1.3216390483199891E-2</v>
      </c>
      <c r="CX150" s="1">
        <f>(1+(N70_DESARROLLO!X65/0.014285714)*LN(N70_DESARROLLO!Y65/N70_DESARROLLO!X65))</f>
        <v>-1.3575234818481219E-2</v>
      </c>
      <c r="CY150" s="1">
        <f>(1+(N70_DESARROLLO!Y65/0.014285714)*LN(N70_DESARROLLO!Z65/N70_DESARROLLO!Y65))</f>
        <v>-1.3954110187341273E-2</v>
      </c>
      <c r="CZ150" s="1">
        <f>(1+(N70_DESARROLLO!Z65/0.014285714)*LN(N70_DESARROLLO!AA65/N70_DESARROLLO!Z65))</f>
        <v>-1.4354742051083003E-2</v>
      </c>
      <c r="DA150" s="1">
        <f>(1+(N70_DESARROLLO!AA65/0.014285714)*LN(N70_DESARROLLO!AB65/N70_DESARROLLO!AA65))</f>
        <v>-1.4779059912701564E-2</v>
      </c>
      <c r="DB150" s="1">
        <f>(1+(N70_DESARROLLO!AB65/0.014285714)*LN(N70_DESARROLLO!AC65/N70_DESARROLLO!AB65))</f>
        <v>-1.5229228398103478E-2</v>
      </c>
      <c r="DC150" s="1">
        <f>(1+(N70_DESARROLLO!AC65/0.014285714)*LN(N70_DESARROLLO!AD65/N70_DESARROLLO!AC65))</f>
        <v>-1.5707684197547422E-2</v>
      </c>
      <c r="DD150" s="1">
        <f>(1+(N70_DESARROLLO!AD65/0.014285714)*LN(N70_DESARROLLO!AE65/N70_DESARROLLO!AD65))</f>
        <v>-1.6217180198318637E-2</v>
      </c>
      <c r="DE150" s="1">
        <f>(1+(N70_DESARROLLO!AE65/0.014285714)*LN(N70_DESARROLLO!AF65/N70_DESARROLLO!AE65))</f>
        <v>-1.6760838496767683E-2</v>
      </c>
      <c r="DF150" s="1">
        <f>(1+(N70_DESARROLLO!AF65/0.014285714)*LN(N70_DESARROLLO!AG65/N70_DESARROLLO!AF65))</f>
        <v>-1.7342214446335769E-2</v>
      </c>
      <c r="DG150" s="1">
        <f>(1+(N70_DESARROLLO!AG65/0.014285714)*LN(N70_DESARROLLO!AH65/N70_DESARROLLO!AG65))</f>
        <v>-1.7965374518565502E-2</v>
      </c>
      <c r="DH150" s="1">
        <f>(1+(N70_DESARROLLO!AH65/0.014285714)*LN(N70_DESARROLLO!AI65/N70_DESARROLLO!AH65))</f>
        <v>-1.8634991582299865E-2</v>
      </c>
      <c r="DI150" s="1">
        <f>(1+(N70_DESARROLLO!AI65/0.014285714)*LN(N70_DESARROLLO!AJ65/N70_DESARROLLO!AI65))</f>
        <v>-1.9356462323724788E-2</v>
      </c>
      <c r="DJ150" s="1">
        <f>(1+(N70_DESARROLLO!AJ65/0.014285714)*LN(N70_DESARROLLO!AK65/N70_DESARROLLO!AJ65))</f>
        <v>-2.0136053052048908E-2</v>
      </c>
      <c r="DK150" s="1">
        <f>(1+(N70_DESARROLLO!AK65/0.014285714)*LN(N70_DESARROLLO!AL65/N70_DESARROLLO!AK65))</f>
        <v>-2.098108223353945E-2</v>
      </c>
      <c r="DL150" s="1">
        <f>(1+(N70_DESARROLLO!AL65/0.014285714)*LN(N70_DESARROLLO!AM65/N70_DESARROLLO!AL65))</f>
        <v>-2.190015102186682E-2</v>
      </c>
      <c r="DM150" s="1">
        <f>(1+(N70_DESARROLLO!AM65/0.014285714)*LN(N70_DESARROLLO!AN65/N70_DESARROLLO!AM65))</f>
        <v>-2.2903437185110231E-2</v>
      </c>
      <c r="DN150" s="1">
        <f>(1+(N70_DESARROLLO!AN65/0.014285714)*LN(N70_DESARROLLO!AO65/N70_DESARROLLO!AN65))</f>
        <v>-2.4003073749035098E-2</v>
      </c>
      <c r="DO150" s="1">
        <f>(1+(N70_DESARROLLO!AO65/0.014285714)*LN(N70_DESARROLLO!AP65/N70_DESARROLLO!AO65))</f>
        <v>-2.5213642284827031E-2</v>
      </c>
      <c r="DP150" s="1">
        <f>(1+(N70_DESARROLLO!AP65/0.014285714)*LN(N70_DESARROLLO!AQ65/N70_DESARROLLO!AP65))</f>
        <v>-2.6552823496790445E-2</v>
      </c>
      <c r="DQ150" s="1">
        <f>(1+(N70_DESARROLLO!AQ65/0.014285714)*LN(N70_DESARROLLO!AR65/N70_DESARROLLO!AQ65))</f>
        <v>-2.8042266924840131E-2</v>
      </c>
      <c r="DR150" s="1">
        <f>(1+(N70_DESARROLLO!AR65/0.014285714)*LN(N70_DESARROLLO!AS65/N70_DESARROLLO!AR65))</f>
        <v>-2.9708770995515277E-2</v>
      </c>
      <c r="DS150" s="1">
        <f>(1+(N70_DESARROLLO!AS65/0.014285714)*LN(N70_DESARROLLO!AT65/N70_DESARROLLO!AS65))</f>
        <v>-3.1585910823725971E-2</v>
      </c>
      <c r="DT150" s="1">
        <f>(1+(N70_DESARROLLO!AT65/0.014285714)*LN(N70_DESARROLLO!AU65/N70_DESARROLLO!AT65))</f>
        <v>-3.3716325403750469E-2</v>
      </c>
      <c r="DU150" s="1">
        <f>(1+(N70_DESARROLLO!AU65/0.014285714)*LN(N70_DESARROLLO!AV65/N70_DESARROLLO!AU65))</f>
        <v>-3.6154998464198451E-2</v>
      </c>
      <c r="DV150" s="1">
        <f>(1+(N70_DESARROLLO!AV65/0.014285714)*LN(N70_DESARROLLO!AW65/N70_DESARROLLO!AV65))</f>
        <v>-3.8974076117210377E-2</v>
      </c>
      <c r="DW150" s="1">
        <f>(1+(N70_DESARROLLO!AW65/0.014285714)*LN(N70_DESARROLLO!AX65/N70_DESARROLLO!AW65))</f>
        <v>-4.2270132583545061E-2</v>
      </c>
      <c r="DX150" s="1">
        <f>(1+(N70_DESARROLLO!AX65/0.014285714)*LN(N70_DESARROLLO!AY65/N70_DESARROLLO!AX65))</f>
        <v>-4.6175470289362641E-2</v>
      </c>
      <c r="DY150" s="1">
        <f>(1+(N70_DESARROLLO!AY65/0.014285714)*LN(N70_DESARROLLO!AZ65/N70_DESARROLLO!AY65))</f>
        <v>-5.087633586584861E-2</v>
      </c>
      <c r="DZ150" s="1">
        <f>(1+(N70_DESARROLLO!AZ65/0.014285714)*LN(N70_DESARROLLO!BA65/N70_DESARROLLO!AZ65))</f>
        <v>-5.664355467999882E-2</v>
      </c>
      <c r="EA150" s="1">
        <f>(1+(N70_DESARROLLO!BA65/0.014285714)*LN(N70_DESARROLLO!BB65/N70_DESARROLLO!BA65))</f>
        <v>-6.3886736386790544E-2</v>
      </c>
      <c r="EB150" s="1">
        <f>(1+(N70_DESARROLLO!BB65/0.014285714)*LN(N70_DESARROLLO!BC65/N70_DESARROLLO!BB65))</f>
        <v>-7.3256348770173396E-2</v>
      </c>
      <c r="EC150" s="1">
        <f>(1+(N70_DESARROLLO!BC65/0.014285714)*LN(N70_DESARROLLO!BD65/N70_DESARROLLO!BC65))</f>
        <v>-8.5851572027616951E-2</v>
      </c>
      <c r="ED150" s="1">
        <f>(1+(N70_DESARROLLO!BD65/0.014285714)*LN(N70_DESARROLLO!BE65/N70_DESARROLLO!BD65))</f>
        <v>-0.10368884711560411</v>
      </c>
      <c r="EE150" s="1">
        <f>(1+(N70_DESARROLLO!BE65/0.014285714)*LN(N70_DESARROLLO!BF65/N70_DESARROLLO!BE65))</f>
        <v>-0.13091494988238184</v>
      </c>
      <c r="EF150" s="1">
        <f>(1+(N70_DESARROLLO!BF65/0.014285714)*LN(N70_DESARROLLO!BG65/N70_DESARROLLO!BF65))</f>
        <v>-0.17765285172729728</v>
      </c>
      <c r="EG150" s="1">
        <f>(1+(N70_DESARROLLO!BG65/0.014285714)*LN(N70_DESARROLLO!BH65/N70_DESARROLLO!BG65))</f>
        <v>-0.27706408495625312</v>
      </c>
      <c r="EH150" s="1">
        <f>(1+(N70_DESARROLLO!BH65/0.014285714)*LN(N70_DESARROLLO!BI65/N70_DESARROLLO!BH65))</f>
        <v>-0.64791846596054437</v>
      </c>
      <c r="EI150" s="1">
        <v>1</v>
      </c>
      <c r="EJ150" s="1">
        <f>(1+(N70_DESARROLLO!BJ65/0.014285714)*LN(N70_DESARROLLO!BK65/N70_DESARROLLO!BJ65))</f>
        <v>0.45069384467982143</v>
      </c>
      <c r="EK150" s="1">
        <f>(1+(N70_DESARROLLO!BK65/0.014285714)*LN(N70_DESARROLLO!BL65/N70_DESARROLLO!BK65))</f>
        <v>0.2337615490262468</v>
      </c>
      <c r="EL150" s="1">
        <f>(1+(N70_DESARROLLO!BL65/0.014285714)*LN(N70_DESARROLLO!BM65/N70_DESARROLLO!BL65))</f>
        <v>0.15881939162335246</v>
      </c>
      <c r="EM150" s="1">
        <f>(1+(N70_DESARROLLO!BM65/0.014285714)*LN(N70_DESARROLLO!BN65/N70_DESARROLLO!BM65))</f>
        <v>0.12039948342482099</v>
      </c>
      <c r="EN150" s="1">
        <f>(1+(N70_DESARROLLO!BN65/0.014285714)*LN(N70_DESARROLLO!BO65/N70_DESARROLLO!BN65))</f>
        <v>9.6981852359953269E-2</v>
      </c>
      <c r="EO150" s="1">
        <f>(1+(N70_DESARROLLO!BO65/0.014285714)*LN(N70_DESARROLLO!BP65/N70_DESARROLLO!BO65))</f>
        <v>8.1202515976639411E-2</v>
      </c>
      <c r="EP150" s="1">
        <f>(1+(N70_DESARROLLO!BP65/0.014285714)*LN(N70_DESARROLLO!BQ65/N70_DESARROLLO!BP65))</f>
        <v>6.9844497732510114E-2</v>
      </c>
      <c r="EQ150" s="1">
        <f>(1+(N70_DESARROLLO!BQ65/0.014285714)*LN(N70_DESARROLLO!BR65/N70_DESARROLLO!BQ65))</f>
        <v>6.1276409070485593E-2</v>
      </c>
      <c r="ER150" s="1">
        <f>(1+(N70_DESARROLLO!BR65/0.014285714)*LN(N70_DESARROLLO!BS65/N70_DESARROLLO!BR65))</f>
        <v>5.4582082654737407E-2</v>
      </c>
      <c r="ES150" s="1">
        <f>(1+(N70_DESARROLLO!BS65/0.014285714)*LN(N70_DESARROLLO!BT65/N70_DESARROLLO!BS65))</f>
        <v>4.9207124692803972E-2</v>
      </c>
      <c r="ET150" s="1">
        <f>(1+(N70_DESARROLLO!BT65/0.014285714)*LN(N70_DESARROLLO!BU65/N70_DESARROLLO!BT65))</f>
        <v>4.4796309735798956E-2</v>
      </c>
      <c r="EU150" s="1">
        <f>(1+(N70_DESARROLLO!BU65/0.014285714)*LN(N70_DESARROLLO!BV65/N70_DESARROLLO!BU65))</f>
        <v>4.1111478023138415E-2</v>
      </c>
      <c r="EV150" s="1">
        <f>(1+(N70_DESARROLLO!BV65/0.014285714)*LN(N70_DESARROLLO!BW65/N70_DESARROLLO!BV65))</f>
        <v>3.7986966558139379E-2</v>
      </c>
      <c r="EW150" s="1">
        <f>(1+(N70_DESARROLLO!BW65/0.014285714)*LN(N70_DESARROLLO!BX65/N70_DESARROLLO!BW65))</f>
        <v>-21.218375458534677</v>
      </c>
    </row>
    <row r="151" spans="7:153" x14ac:dyDescent="0.25">
      <c r="G151" s="3">
        <v>57</v>
      </c>
      <c r="H151" s="3">
        <f>-(N70_DESARROLLO!G66/0.014285714)*LN(N70_DESARROLLO!G66/N70_DESARROLLO!F66)-1</f>
        <v>-8.9022144776919054E-3</v>
      </c>
      <c r="I151" s="3">
        <f>-(N70_DESARROLLO!H66/0.014285714)*LN(N70_DESARROLLO!H66/N70_DESARROLLO!G66)-1</f>
        <v>-9.0635901473908875E-3</v>
      </c>
      <c r="J151" s="3">
        <f>-(N70_DESARROLLO!I66/0.014285714)*LN(N70_DESARROLLO!I66/N70_DESARROLLO!H66)-1</f>
        <v>-9.2309246374167042E-3</v>
      </c>
      <c r="K151" s="3">
        <f>-(N70_DESARROLLO!J66/0.014285714)*LN(N70_DESARROLLO!J66/N70_DESARROLLO!I66)-1</f>
        <v>-9.4045542079879141E-3</v>
      </c>
      <c r="L151" s="3">
        <f>-(N70_DESARROLLO!K66/0.014285714)*LN(N70_DESARROLLO!K66/N70_DESARROLLO!J66)-1</f>
        <v>-9.5848409054887229E-3</v>
      </c>
      <c r="M151" s="3">
        <f>-(N70_DESARROLLO!L66/0.014285714)*LN(N70_DESARROLLO!L66/N70_DESARROLLO!K66)-1</f>
        <v>-9.7721750824341092E-3</v>
      </c>
      <c r="N151" s="3">
        <f>-(N70_DESARROLLO!M66/0.014285714)*LN(N70_DESARROLLO!M66/N70_DESARROLLO!L66)-1</f>
        <v>-9.9669782192027823E-3</v>
      </c>
      <c r="O151" s="3">
        <f>-(N70_DESARROLLO!N66/0.014285714)*LN(N70_DESARROLLO!N66/N70_DESARROLLO!M66)-1</f>
        <v>-1.0169706089843134E-2</v>
      </c>
      <c r="P151" s="3">
        <f>-(N70_DESARROLLO!O66/0.014285714)*LN(N70_DESARROLLO!O66/N70_DESARROLLO!N66)-1</f>
        <v>-1.0380852322626088E-2</v>
      </c>
      <c r="Q151" s="3">
        <f>-(N70_DESARROLLO!P66/0.014285714)*LN(N70_DESARROLLO!P66/N70_DESARROLLO!O66)-1</f>
        <v>-1.0600952413273301E-2</v>
      </c>
      <c r="R151" s="3">
        <f>-(N70_DESARROLLO!Q66/0.014285714)*LN(N70_DESARROLLO!Q66/N70_DESARROLLO!P66)-1</f>
        <v>-1.0830588260139273E-2</v>
      </c>
      <c r="S151" s="3">
        <f>-(N70_DESARROLLO!R66/0.014285714)*LN(N70_DESARROLLO!R66/N70_DESARROLLO!Q66)-1</f>
        <v>-1.1070393301797377E-2</v>
      </c>
      <c r="T151" s="3">
        <f>-(N70_DESARROLLO!S66/0.014285714)*LN(N70_DESARROLLO!S66/N70_DESARROLLO!R66)-1</f>
        <v>-1.1321058352732338E-2</v>
      </c>
      <c r="U151" s="3">
        <f>-(N70_DESARROLLO!T66/0.014285714)*LN(N70_DESARROLLO!T66/N70_DESARROLLO!S66)-1</f>
        <v>-1.1583338250309216E-2</v>
      </c>
      <c r="V151" s="3">
        <f>-(N70_DESARROLLO!U66/0.014285714)*LN(N70_DESARROLLO!U66/N70_DESARROLLO!T66)-1</f>
        <v>-1.1858059447836244E-2</v>
      </c>
      <c r="W151" s="3">
        <f>-(N70_DESARROLLO!V66/0.014285714)*LN(N70_DESARROLLO!V66/N70_DESARROLLO!U66)-1</f>
        <v>-1.2146128714477955E-2</v>
      </c>
      <c r="X151" s="3">
        <f>-(N70_DESARROLLO!W66/0.014285714)*LN(N70_DESARROLLO!W66/N70_DESARROLLO!V66)-1</f>
        <v>-1.2448543134984225E-2</v>
      </c>
      <c r="Y151" s="3">
        <f>-(N70_DESARROLLO!X66/0.014285714)*LN(N70_DESARROLLO!X66/N70_DESARROLLO!W66)-1</f>
        <v>-1.2766401641831959E-2</v>
      </c>
      <c r="Z151" s="3">
        <f>-(N70_DESARROLLO!Y66/0.014285714)*LN(N70_DESARROLLO!Y66/N70_DESARROLLO!X66)-1</f>
        <v>-1.3100918360519409E-2</v>
      </c>
      <c r="AA151" s="3">
        <f>-(N70_DESARROLLO!Z66/0.014285714)*LN(N70_DESARROLLO!Z66/N70_DESARROLLO!Y66)-1</f>
        <v>-1.345343811001154E-2</v>
      </c>
      <c r="AB151" s="3">
        <f>-(N70_DESARROLLO!AA66/0.014285714)*LN(N70_DESARROLLO!AA66/N70_DESARROLLO!Z66)-1</f>
        <v>-1.3825454475317467E-2</v>
      </c>
      <c r="AC151" s="3">
        <f>-(N70_DESARROLLO!AB66/0.014285714)*LN(N70_DESARROLLO!AB66/N70_DESARROLLO!AA66)-1</f>
        <v>-1.4218630964444534E-2</v>
      </c>
      <c r="AD151" s="3">
        <f>-(N70_DESARROLLO!AC66/0.014285714)*LN(N70_DESARROLLO!AC66/N70_DESARROLLO!AB66)-1</f>
        <v>-1.4634825881869595E-2</v>
      </c>
      <c r="AE151" s="3">
        <f>-(N70_DESARROLLO!AD66/0.014285714)*LN(N70_DESARROLLO!AD66/N70_DESARROLLO!AC66)-1</f>
        <v>-1.5076121703332279E-2</v>
      </c>
      <c r="AF151" s="3">
        <f>-(N70_DESARROLLO!AE66/0.014285714)*LN(N70_DESARROLLO!AE66/N70_DESARROLLO!AD66)-1</f>
        <v>-1.5544859931607813E-2</v>
      </c>
      <c r="AG151" s="3">
        <f>-(N70_DESARROLLO!AF66/0.014285714)*LN(N70_DESARROLLO!AF66/N70_DESARROLLO!AE66)-1</f>
        <v>-1.6043682665119796E-2</v>
      </c>
      <c r="AH151" s="3">
        <f>-(N70_DESARROLLO!AG66/0.014285714)*LN(N70_DESARROLLO!AG66/N70_DESARROLLO!AF66)-1</f>
        <v>-1.6575582437555747E-2</v>
      </c>
      <c r="AI151" s="3">
        <f>-(N70_DESARROLLO!AH66/0.014285714)*LN(N70_DESARROLLO!AH66/N70_DESARROLLO!AG66)-1</f>
        <v>-1.7143962314553507E-2</v>
      </c>
      <c r="AJ151" s="3">
        <f>-(N70_DESARROLLO!AI66/0.014285714)*LN(N70_DESARROLLO!AI66/N70_DESARROLLO!AH66)-1</f>
        <v>-1.7752708797875161E-2</v>
      </c>
      <c r="AK151" s="3">
        <f>-(N70_DESARROLLO!AJ66/0.014285714)*LN(N70_DESARROLLO!AJ66/N70_DESARROLLO!AI66)-1</f>
        <v>-1.8406280838874411E-2</v>
      </c>
      <c r="AL151" s="3">
        <f>-(N70_DESARROLLO!AK66/0.014285714)*LN(N70_DESARROLLO!AK66/N70_DESARROLLO!AJ66)-1</f>
        <v>-1.9109819273396944E-2</v>
      </c>
      <c r="AM151" s="3">
        <f>-(N70_DESARROLLO!AL66/0.014285714)*LN(N70_DESARROLLO!AL66/N70_DESARROLLO!AK66)-1</f>
        <v>-1.986928236175689E-2</v>
      </c>
      <c r="AN151" s="3">
        <f>-(N70_DESARROLLO!AM66/0.014285714)*LN(N70_DESARROLLO!AM66/N70_DESARROLLO!AL66)-1</f>
        <v>-2.0691615000482555E-2</v>
      </c>
      <c r="AO151" s="3">
        <f>-(N70_DESARROLLO!AN66/0.014285714)*LN(N70_DESARROLLO!AN66/N70_DESARROLLO!AM66)-1</f>
        <v>-2.1584961787574075E-2</v>
      </c>
      <c r="AP151" s="3">
        <f>-(N70_DESARROLLO!AO66/0.014285714)*LN(N70_DESARROLLO!AO66/N70_DESARROLLO!AN66)-1</f>
        <v>-2.2558937800894574E-2</v>
      </c>
      <c r="AQ151" s="3">
        <f>-(N70_DESARROLLO!AP66/0.014285714)*LN(N70_DESARROLLO!AP66/N70_DESARROLLO!AO66)-1</f>
        <v>-2.3624976192782587E-2</v>
      </c>
      <c r="AR151" s="3">
        <f>-(N70_DESARROLLO!AQ66/0.014285714)*LN(N70_DESARROLLO!AQ66/N70_DESARROLLO!AP66)-1</f>
        <v>-2.4796779290035542E-2</v>
      </c>
      <c r="AS151" s="3">
        <f>-(N70_DESARROLLO!AR66/0.014285714)*LN(N70_DESARROLLO!AR66/N70_DESARROLLO!AQ66)-1</f>
        <v>-2.6090911041514842E-2</v>
      </c>
      <c r="AT151" s="3">
        <f>-(N70_DESARROLLO!AS66/0.014285714)*LN(N70_DESARROLLO!AS66/N70_DESARROLLO!AR66)-1</f>
        <v>-2.7527585341359129E-2</v>
      </c>
      <c r="AU151" s="3">
        <f>-(N70_DESARROLLO!AT66/0.014285714)*LN(N70_DESARROLLO!AT66/N70_DESARROLLO!AS66)-1</f>
        <v>-2.9131730204236206E-2</v>
      </c>
      <c r="AV151" s="3">
        <f>-(N70_DESARROLLO!AU66/0.014285714)*LN(N70_DESARROLLO!AU66/N70_DESARROLLO!AT66)-1</f>
        <v>-3.0934447408007437E-2</v>
      </c>
      <c r="AW151" s="3">
        <f>-(N70_DESARROLLO!AV66/0.014285714)*LN(N70_DESARROLLO!AV66/N70_DESARROLLO!AU66)-1</f>
        <v>-3.2975050428757924E-2</v>
      </c>
      <c r="AX151" s="3">
        <f>-(N70_DESARROLLO!AW66/0.014285714)*LN(N70_DESARROLLO!AW66/N70_DESARROLLO!AV66)-1</f>
        <v>-3.5303966947126342E-2</v>
      </c>
      <c r="AY151" s="3">
        <f>-(N70_DESARROLLO!AX66/0.014285714)*LN(N70_DESARROLLO!AX66/N70_DESARROLLO!AW66)-1</f>
        <v>-3.7986966558130497E-2</v>
      </c>
      <c r="AZ151" s="3">
        <f>-(N70_DESARROLLO!AY66/0.014285714)*LN(N70_DESARROLLO!AY66/N70_DESARROLLO!AX66)-1</f>
        <v>-4.1111478023145187E-2</v>
      </c>
      <c r="BA151" s="3">
        <f>-(N70_DESARROLLO!AZ66/0.014285714)*LN(N70_DESARROLLO!AZ66/N70_DESARROLLO!AY66)-1</f>
        <v>-4.4796309735792517E-2</v>
      </c>
      <c r="BB151" s="3">
        <f>-(N70_DESARROLLO!BA66/0.014285714)*LN(N70_DESARROLLO!BA66/N70_DESARROLLO!AZ66)-1</f>
        <v>-4.920712469281141E-2</v>
      </c>
      <c r="BC151" s="3">
        <f>-(N70_DESARROLLO!BB66/0.014285714)*LN(N70_DESARROLLO!BB66/N70_DESARROLLO!BA66)-1</f>
        <v>-5.458208265473008E-2</v>
      </c>
      <c r="BD151" s="3">
        <f>-(N70_DESARROLLO!BC66/0.014285714)*LN(N70_DESARROLLO!BC66/N70_DESARROLLO!BB66)-1</f>
        <v>-6.1276409070485927E-2</v>
      </c>
      <c r="BE151" s="3">
        <f>-(N70_DESARROLLO!BD66/0.014285714)*LN(N70_DESARROLLO!BD66/N70_DESARROLLO!BC66)-1</f>
        <v>-6.9844497732509336E-2</v>
      </c>
      <c r="BF151" s="3">
        <f>-(N70_DESARROLLO!BE66/0.014285714)*LN(N70_DESARROLLO!BE66/N70_DESARROLLO!BD66)-1</f>
        <v>-8.1202515976639078E-2</v>
      </c>
      <c r="BG151" s="3">
        <f>-(N70_DESARROLLO!BF66/0.014285714)*LN(N70_DESARROLLO!BF66/N70_DESARROLLO!BE66)-1</f>
        <v>-9.6981852359953602E-2</v>
      </c>
      <c r="BH151" s="3">
        <f>-(N70_DESARROLLO!BG66/0.014285714)*LN(N70_DESARROLLO!BG66/N70_DESARROLLO!BF66)-1</f>
        <v>-0.12039948342482121</v>
      </c>
      <c r="BI151" s="3">
        <f>-(N70_DESARROLLO!BH66/0.014285714)*LN(N70_DESARROLLO!BH66/N70_DESARROLLO!BG66)-1</f>
        <v>-0.15881939162335768</v>
      </c>
      <c r="BJ151" s="3">
        <f>-(N70_DESARROLLO!BI66/0.014285714)*LN(N70_DESARROLLO!BI66/N70_DESARROLLO!BH66)-1</f>
        <v>-0.23376154902624224</v>
      </c>
      <c r="BK151" s="3">
        <f>-(N70_DESARROLLO!BJ66/0.014285714)*LN(N70_DESARROLLO!BJ66/N70_DESARROLLO!BI66)-1</f>
        <v>-0.45069384467982065</v>
      </c>
      <c r="BL151" s="3">
        <v>-1</v>
      </c>
      <c r="BM151" s="3">
        <f>-(N70_DESARROLLO!BL66/0.014285714)*LN(N70_DESARROLLO!BL66/N70_DESARROLLO!BK66)-1</f>
        <v>0.64791846596052816</v>
      </c>
      <c r="BN151" s="3">
        <f>-(N70_DESARROLLO!BM66/0.014285714)*LN(N70_DESARROLLO!BM66/N70_DESARROLLO!BL66)-1</f>
        <v>0.27706408495626578</v>
      </c>
      <c r="BO151" s="3">
        <f>-(N70_DESARROLLO!BN66/0.014285714)*LN(N70_DESARROLLO!BN66/N70_DESARROLLO!BM66)-1</f>
        <v>0.17765285172729772</v>
      </c>
      <c r="BP151" s="3">
        <f>-(N70_DESARROLLO!BO66/0.014285714)*LN(N70_DESARROLLO!BO66/N70_DESARROLLO!BN66)-1</f>
        <v>0.13091494988238206</v>
      </c>
      <c r="BQ151" s="3">
        <f>-(N70_DESARROLLO!BP66/0.014285714)*LN(N70_DESARROLLO!BP66/N70_DESARROLLO!BO66)-1</f>
        <v>0.10368884711560411</v>
      </c>
      <c r="BR151" s="3">
        <f>-(N70_DESARROLLO!BQ66/0.014285714)*LN(N70_DESARROLLO!BQ66/N70_DESARROLLO!BP66)-1</f>
        <v>8.5851572027616951E-2</v>
      </c>
      <c r="BS151" s="3">
        <f>-(N70_DESARROLLO!BR66/0.014285714)*LN(N70_DESARROLLO!BR66/N70_DESARROLLO!BQ66)-1</f>
        <v>7.3256348770172952E-2</v>
      </c>
      <c r="BT151" s="3">
        <f>-(N70_DESARROLLO!BS66/0.014285714)*LN(N70_DESARROLLO!BS66/N70_DESARROLLO!BR66)-1</f>
        <v>6.388673638678144E-2</v>
      </c>
      <c r="BU151" s="3">
        <f>-(N70_DESARROLLO!BT66/0.014285714)*LN(N70_DESARROLLO!BT66/N70_DESARROLLO!BS66)-1</f>
        <v>5.6643554680008368E-2</v>
      </c>
      <c r="BV151" s="3">
        <f>-(N70_DESARROLLO!BU66/0.014285714)*LN(N70_DESARROLLO!BU66/N70_DESARROLLO!BT66)-1</f>
        <v>5.0876335865839506E-2</v>
      </c>
      <c r="BW151" s="3">
        <f>-(N70_DESARROLLO!BV66/0.014285714)*LN(N70_DESARROLLO!BV66/N70_DESARROLLO!BU66)-1</f>
        <v>4.6175470289372189E-2</v>
      </c>
      <c r="BX151" s="3">
        <f>-(N70_DESARROLLO!BW66/0.014285714)*LN(N70_DESARROLLO!BW66/N70_DESARROLLO!BV66)-1</f>
        <v>4.227013258353729E-2</v>
      </c>
      <c r="BY151" s="3">
        <f>-(N70_DESARROLLO!BX66/0.014285714)*LN(N70_DESARROLLO!BX66/N70_DESARROLLO!BW66)-1</f>
        <v>119.59366425375056</v>
      </c>
      <c r="CD151">
        <v>57</v>
      </c>
      <c r="CE151" s="1">
        <v>0</v>
      </c>
      <c r="CF151" s="1">
        <f>(1+(N70_DESARROLLO!F66/0.014285714)*LN(N70_DESARROLLO!G66/N70_DESARROLLO!F66))</f>
        <v>-8.955403279466756E-3</v>
      </c>
      <c r="CG151" s="1">
        <f>(1+(N70_DESARROLLO!G66/0.014285714)*LN(N70_DESARROLLO!H66/N70_DESARROLLO!G66))</f>
        <v>-9.1187292994459046E-3</v>
      </c>
      <c r="CH151" s="1">
        <f>(1+(N70_DESARROLLO!H66/0.014285714)*LN(N70_DESARROLLO!I66/N70_DESARROLLO!H66))</f>
        <v>-9.2881235002018059E-3</v>
      </c>
      <c r="CI151" s="1">
        <f>(1+(N70_DESARROLLO!I66/0.014285714)*LN(N70_DESARROLLO!J66/N70_DESARROLLO!I66))</f>
        <v>-9.4639304737647034E-3</v>
      </c>
      <c r="CJ151" s="1">
        <f>(1+(N70_DESARROLLO!J66/0.014285714)*LN(N70_DESARROLLO!K66/N70_DESARROLLO!J66))</f>
        <v>-9.646521407026043E-3</v>
      </c>
      <c r="CK151" s="1">
        <f>(1+(N70_DESARROLLO!K66/0.014285714)*LN(N70_DESARROLLO!L66/N70_DESARROLLO!K66))</f>
        <v>-9.8362966981118127E-3</v>
      </c>
      <c r="CL151" s="1">
        <f>(1+(N70_DESARROLLO!L66/0.014285714)*LN(N70_DESARROLLO!M66/N70_DESARROLLO!L66))</f>
        <v>-1.0033688887479908E-2</v>
      </c>
      <c r="CM151" s="1">
        <f>(1+(N70_DESARROLLO!M66/0.014285714)*LN(N70_DESARROLLO!N66/N70_DESARROLLO!M66))</f>
        <v>-1.0239165949541773E-2</v>
      </c>
      <c r="CN151" s="1">
        <f>(1+(N70_DESARROLLO!N66/0.014285714)*LN(N70_DESARROLLO!O66/N70_DESARROLLO!N66))</f>
        <v>-1.0453234996897542E-2</v>
      </c>
      <c r="CO151" s="1">
        <f>(1+(N70_DESARROLLO!O66/0.014285714)*LN(N70_DESARROLLO!P66/N70_DESARROLLO!O66))</f>
        <v>-1.0676446459559452E-2</v>
      </c>
      <c r="CP151" s="1">
        <f>(1+(N70_DESARROLLO!P66/0.014285714)*LN(N70_DESARROLLO!Q66/N70_DESARROLLO!P66))</f>
        <v>-1.0909398811066673E-2</v>
      </c>
      <c r="CQ151" s="1">
        <f>(1+(N70_DESARROLLO!Q66/0.014285714)*LN(N70_DESARROLLO!R66/N70_DESARROLLO!Q66))</f>
        <v>-1.1152743927375752E-2</v>
      </c>
      <c r="CR151" s="1">
        <f>(1+(N70_DESARROLLO!R66/0.014285714)*LN(N70_DESARROLLO!S66/N70_DESARROLLO!R66))</f>
        <v>-1.1407193179388653E-2</v>
      </c>
      <c r="CS151" s="1">
        <f>(1+(N70_DESARROLLO!S66/0.014285714)*LN(N70_DESARROLLO!T66/N70_DESARROLLO!S66))</f>
        <v>-1.1673524379095301E-2</v>
      </c>
      <c r="CT151" s="1">
        <f>(1+(N70_DESARROLLO!T66/0.014285714)*LN(N70_DESARROLLO!U66/N70_DESARROLLO!T66))</f>
        <v>-1.1952589722095563E-2</v>
      </c>
      <c r="CU151" s="1">
        <f>(1+(N70_DESARROLLO!U66/0.014285714)*LN(N70_DESARROLLO!V66/N70_DESARROLLO!U66))</f>
        <v>-1.224532489751029E-2</v>
      </c>
      <c r="CV151" s="1">
        <f>(1+(N70_DESARROLLO!V66/0.014285714)*LN(N70_DESARROLLO!W66/N70_DESARROLLO!V66))</f>
        <v>-1.2552759570459315E-2</v>
      </c>
      <c r="CW151" s="1">
        <f>(1+(N70_DESARROLLO!W66/0.014285714)*LN(N70_DESARROLLO!X66/N70_DESARROLLO!W66))</f>
        <v>-1.2876029484353957E-2</v>
      </c>
      <c r="CX151" s="1">
        <f>(1+(N70_DESARROLLO!X66/0.014285714)*LN(N70_DESARROLLO!Y66/N70_DESARROLLO!X66))</f>
        <v>-1.3216390483200113E-2</v>
      </c>
      <c r="CY151" s="1">
        <f>(1+(N70_DESARROLLO!Y66/0.014285714)*LN(N70_DESARROLLO!Z66/N70_DESARROLLO!Y66))</f>
        <v>-1.3575234818481441E-2</v>
      </c>
      <c r="CZ151" s="1">
        <f>(1+(N70_DESARROLLO!Z66/0.014285714)*LN(N70_DESARROLLO!AA66/N70_DESARROLLO!Z66))</f>
        <v>-1.3954110187349711E-2</v>
      </c>
      <c r="DA151" s="1">
        <f>(1+(N70_DESARROLLO!AA66/0.014285714)*LN(N70_DESARROLLO!AB66/N70_DESARROLLO!AA66))</f>
        <v>-1.4354742051078784E-2</v>
      </c>
      <c r="DB151" s="1">
        <f>(1+(N70_DESARROLLO!AB66/0.014285714)*LN(N70_DESARROLLO!AC66/N70_DESARROLLO!AB66))</f>
        <v>-1.4779059912701564E-2</v>
      </c>
      <c r="DC151" s="1">
        <f>(1+(N70_DESARROLLO!AC66/0.014285714)*LN(N70_DESARROLLO!AD66/N70_DESARROLLO!AC66))</f>
        <v>-1.5229228398103478E-2</v>
      </c>
      <c r="DD151" s="1">
        <f>(1+(N70_DESARROLLO!AD66/0.014285714)*LN(N70_DESARROLLO!AE66/N70_DESARROLLO!AD66))</f>
        <v>-1.5707684197547644E-2</v>
      </c>
      <c r="DE151" s="1">
        <f>(1+(N70_DESARROLLO!AE66/0.014285714)*LN(N70_DESARROLLO!AF66/N70_DESARROLLO!AE66))</f>
        <v>-1.6217180198318859E-2</v>
      </c>
      <c r="DF151" s="1">
        <f>(1+(N70_DESARROLLO!AF66/0.014285714)*LN(N70_DESARROLLO!AG66/N70_DESARROLLO!AF66))</f>
        <v>-1.6760838496764352E-2</v>
      </c>
      <c r="DG151" s="1">
        <f>(1+(N70_DESARROLLO!AG66/0.014285714)*LN(N70_DESARROLLO!AH66/N70_DESARROLLO!AG66))</f>
        <v>-1.7342214446339321E-2</v>
      </c>
      <c r="DH151" s="1">
        <f>(1+(N70_DESARROLLO!AH66/0.014285714)*LN(N70_DESARROLLO!AI66/N70_DESARROLLO!AH66))</f>
        <v>-1.7965374518565724E-2</v>
      </c>
      <c r="DI151" s="1">
        <f>(1+(N70_DESARROLLO!AI66/0.014285714)*LN(N70_DESARROLLO!AJ66/N70_DESARROLLO!AI66))</f>
        <v>-1.8634991582300087E-2</v>
      </c>
      <c r="DJ151" s="1">
        <f>(1+(N70_DESARROLLO!AJ66/0.014285714)*LN(N70_DESARROLLO!AK66/N70_DESARROLLO!AJ66))</f>
        <v>-1.9356462323724788E-2</v>
      </c>
      <c r="DK151" s="1">
        <f>(1+(N70_DESARROLLO!AK66/0.014285714)*LN(N70_DESARROLLO!AL66/N70_DESARROLLO!AK66))</f>
        <v>-2.0136053052048908E-2</v>
      </c>
      <c r="DL151" s="1">
        <f>(1+(N70_DESARROLLO!AL66/0.014285714)*LN(N70_DESARROLLO!AM66/N70_DESARROLLO!AL66))</f>
        <v>-2.098108223353945E-2</v>
      </c>
      <c r="DM151" s="1">
        <f>(1+(N70_DESARROLLO!AM66/0.014285714)*LN(N70_DESARROLLO!AN66/N70_DESARROLLO!AM66))</f>
        <v>-2.1900151021867043E-2</v>
      </c>
      <c r="DN151" s="1">
        <f>(1+(N70_DESARROLLO!AN66/0.014285714)*LN(N70_DESARROLLO!AO66/N70_DESARROLLO!AN66))</f>
        <v>-2.2903437185110453E-2</v>
      </c>
      <c r="DO151" s="1">
        <f>(1+(N70_DESARROLLO!AO66/0.014285714)*LN(N70_DESARROLLO!AP66/N70_DESARROLLO!AO66))</f>
        <v>-2.4003073749032877E-2</v>
      </c>
      <c r="DP151" s="1">
        <f>(1+(N70_DESARROLLO!AP66/0.014285714)*LN(N70_DESARROLLO!AQ66/N70_DESARROLLO!AP66))</f>
        <v>-2.5213642284834581E-2</v>
      </c>
      <c r="DQ151" s="1">
        <f>(1+(N70_DESARROLLO!AQ66/0.014285714)*LN(N70_DESARROLLO!AR66/N70_DESARROLLO!AQ66))</f>
        <v>-2.6552823496781341E-2</v>
      </c>
      <c r="DR151" s="1">
        <f>(1+(N70_DESARROLLO!AR66/0.014285714)*LN(N70_DESARROLLO!AS66/N70_DESARROLLO!AR66))</f>
        <v>-2.8042266924849235E-2</v>
      </c>
      <c r="DS151" s="1">
        <f>(1+(N70_DESARROLLO!AS66/0.014285714)*LN(N70_DESARROLLO!AT66/N70_DESARROLLO!AS66))</f>
        <v>-2.9708770995507061E-2</v>
      </c>
      <c r="DT151" s="1">
        <f>(1+(N70_DESARROLLO!AT66/0.014285714)*LN(N70_DESARROLLO!AU66/N70_DESARROLLO!AT66))</f>
        <v>-3.1585910823734187E-2</v>
      </c>
      <c r="DU151" s="1">
        <f>(1+(N70_DESARROLLO!AU66/0.014285714)*LN(N70_DESARROLLO!AV66/N70_DESARROLLO!AU66))</f>
        <v>-3.3716325403741365E-2</v>
      </c>
      <c r="DV151" s="1">
        <f>(1+(N70_DESARROLLO!AV66/0.014285714)*LN(N70_DESARROLLO!AW66/N70_DESARROLLO!AV66))</f>
        <v>-3.6154998464197341E-2</v>
      </c>
      <c r="DW151" s="1">
        <f>(1+(N70_DESARROLLO!AW66/0.014285714)*LN(N70_DESARROLLO!AX66/N70_DESARROLLO!AW66))</f>
        <v>-3.8974076117219258E-2</v>
      </c>
      <c r="DX151" s="1">
        <f>(1+(N70_DESARROLLO!AX66/0.014285714)*LN(N70_DESARROLLO!AY66/N70_DESARROLLO!AX66))</f>
        <v>-4.2270132583537734E-2</v>
      </c>
      <c r="DY151" s="1">
        <f>(1+(N70_DESARROLLO!AY66/0.014285714)*LN(N70_DESARROLLO!AZ66/N70_DESARROLLO!AY66))</f>
        <v>-4.6175470289370413E-2</v>
      </c>
      <c r="DZ151" s="1">
        <f>(1+(N70_DESARROLLO!AZ66/0.014285714)*LN(N70_DESARROLLO!BA66/N70_DESARROLLO!AZ66))</f>
        <v>-5.0876335865839728E-2</v>
      </c>
      <c r="EA151" s="1">
        <f>(1+(N70_DESARROLLO!BA66/0.014285714)*LN(N70_DESARROLLO!BB66/N70_DESARROLLO!BA66))</f>
        <v>-5.6643554680007924E-2</v>
      </c>
      <c r="EB151" s="1">
        <f>(1+(N70_DESARROLLO!BB66/0.014285714)*LN(N70_DESARROLLO!BC66/N70_DESARROLLO!BB66))</f>
        <v>-6.3886736386782106E-2</v>
      </c>
      <c r="EC151" s="1">
        <f>(1+(N70_DESARROLLO!BC66/0.014285714)*LN(N70_DESARROLLO!BD66/N70_DESARROLLO!BC66))</f>
        <v>-7.3256348770182278E-2</v>
      </c>
      <c r="ED151" s="1">
        <f>(1+(N70_DESARROLLO!BD66/0.014285714)*LN(N70_DESARROLLO!BE66/N70_DESARROLLO!BD66))</f>
        <v>-8.5851572027607403E-2</v>
      </c>
      <c r="EE151" s="1">
        <f>(1+(N70_DESARROLLO!BE66/0.014285714)*LN(N70_DESARROLLO!BF66/N70_DESARROLLO!BE66))</f>
        <v>-0.10368884711561321</v>
      </c>
      <c r="EF151" s="1">
        <f>(1+(N70_DESARROLLO!BF66/0.014285714)*LN(N70_DESARROLLO!BG66/N70_DESARROLLO!BF66))</f>
        <v>-0.13091494988237162</v>
      </c>
      <c r="EG151" s="1">
        <f>(1+(N70_DESARROLLO!BG66/0.014285714)*LN(N70_DESARROLLO!BH66/N70_DESARROLLO!BG66))</f>
        <v>-0.17765285172729728</v>
      </c>
      <c r="EH151" s="1">
        <f>(1+(N70_DESARROLLO!BH66/0.014285714)*LN(N70_DESARROLLO!BI66/N70_DESARROLLO!BH66))</f>
        <v>-0.27706408495626422</v>
      </c>
      <c r="EI151" s="1">
        <f>(1+(N70_DESARROLLO!BI66/0.014285714)*LN(N70_DESARROLLO!BJ66/N70_DESARROLLO!BI66))</f>
        <v>-0.64791846596052105</v>
      </c>
      <c r="EJ151" s="1">
        <v>1</v>
      </c>
      <c r="EK151" s="1">
        <f>(1+(N70_DESARROLLO!BK66/0.014285714)*LN(N70_DESARROLLO!BL66/N70_DESARROLLO!BK66))</f>
        <v>0.45069384467982399</v>
      </c>
      <c r="EL151" s="1">
        <f>(1+(N70_DESARROLLO!BL66/0.014285714)*LN(N70_DESARROLLO!BM66/N70_DESARROLLO!BL66))</f>
        <v>0.23376154902624291</v>
      </c>
      <c r="EM151" s="1">
        <f>(1+(N70_DESARROLLO!BM66/0.014285714)*LN(N70_DESARROLLO!BN66/N70_DESARROLLO!BM66))</f>
        <v>0.15881939162335801</v>
      </c>
      <c r="EN151" s="1">
        <f>(1+(N70_DESARROLLO!BN66/0.014285714)*LN(N70_DESARROLLO!BO66/N70_DESARROLLO!BN66))</f>
        <v>0.12039948342481499</v>
      </c>
      <c r="EO151" s="1">
        <f>(1+(N70_DESARROLLO!BO66/0.014285714)*LN(N70_DESARROLLO!BP66/N70_DESARROLLO!BO66))</f>
        <v>9.6981852359959819E-2</v>
      </c>
      <c r="EP151" s="1">
        <f>(1+(N70_DESARROLLO!BP66/0.014285714)*LN(N70_DESARROLLO!BQ66/N70_DESARROLLO!BP66))</f>
        <v>8.1202515976632528E-2</v>
      </c>
      <c r="EQ151" s="1">
        <f>(1+(N70_DESARROLLO!BQ66/0.014285714)*LN(N70_DESARROLLO!BR66/N70_DESARROLLO!BQ66))</f>
        <v>6.9844497732516331E-2</v>
      </c>
      <c r="ER151" s="1">
        <f>(1+(N70_DESARROLLO!BR66/0.014285714)*LN(N70_DESARROLLO!BS66/N70_DESARROLLO!BR66))</f>
        <v>6.1276409070486593E-2</v>
      </c>
      <c r="ES151" s="1">
        <f>(1+(N70_DESARROLLO!BS66/0.014285714)*LN(N70_DESARROLLO!BT66/N70_DESARROLLO!BS66))</f>
        <v>5.4582082654729969E-2</v>
      </c>
      <c r="ET151" s="1">
        <f>(1+(N70_DESARROLLO!BT66/0.014285714)*LN(N70_DESARROLLO!BU66/N70_DESARROLLO!BT66))</f>
        <v>4.9207124692811632E-2</v>
      </c>
      <c r="EU151" s="1">
        <f>(1+(N70_DESARROLLO!BU66/0.014285714)*LN(N70_DESARROLLO!BV66/N70_DESARROLLO!BU66))</f>
        <v>4.4796309735791184E-2</v>
      </c>
      <c r="EV151" s="1">
        <f>(1+(N70_DESARROLLO!BV66/0.014285714)*LN(N70_DESARROLLO!BW66/N70_DESARROLLO!BV66))</f>
        <v>4.1111478023145409E-2</v>
      </c>
      <c r="EW151" s="1">
        <f>(1+(N70_DESARROLLO!BW66/0.014285714)*LN(N70_DESARROLLO!BX66/N70_DESARROLLO!BW66))</f>
        <v>-20.534582902455448</v>
      </c>
    </row>
    <row r="152" spans="7:153" x14ac:dyDescent="0.25">
      <c r="G152" s="3">
        <v>58</v>
      </c>
      <c r="H152" s="3">
        <f>-(N70_DESARROLLO!G67/0.014285714)*LN(N70_DESARROLLO!G67/N70_DESARROLLO!F67)-1</f>
        <v>-8.7464848985490118E-3</v>
      </c>
      <c r="I152" s="3">
        <f>-(N70_DESARROLLO!H67/0.014285714)*LN(N70_DESARROLLO!H67/N70_DESARROLLO!G67)-1</f>
        <v>-8.9022144776856882E-3</v>
      </c>
      <c r="J152" s="3">
        <f>-(N70_DESARROLLO!I67/0.014285714)*LN(N70_DESARROLLO!I67/N70_DESARROLLO!H67)-1</f>
        <v>-9.0635901473971048E-3</v>
      </c>
      <c r="K152" s="3">
        <f>-(N70_DESARROLLO!J67/0.014285714)*LN(N70_DESARROLLO!J67/N70_DESARROLLO!I67)-1</f>
        <v>-9.2309246374047138E-3</v>
      </c>
      <c r="L152" s="3">
        <f>-(N70_DESARROLLO!K67/0.014285714)*LN(N70_DESARROLLO!K67/N70_DESARROLLO!J67)-1</f>
        <v>-9.4045542079997935E-3</v>
      </c>
      <c r="M152" s="3">
        <f>-(N70_DESARROLLO!L67/0.014285714)*LN(N70_DESARROLLO!L67/N70_DESARROLLO!K67)-1</f>
        <v>-9.5848409054832828E-3</v>
      </c>
      <c r="N152" s="3">
        <f>-(N70_DESARROLLO!M67/0.014285714)*LN(N70_DESARROLLO!M67/N70_DESARROLLO!L67)-1</f>
        <v>-9.7721750824455444E-3</v>
      </c>
      <c r="O152" s="3">
        <f>-(N70_DESARROLLO!N67/0.014285714)*LN(N70_DESARROLLO!N67/N70_DESARROLLO!M67)-1</f>
        <v>-9.9669782191917911E-3</v>
      </c>
      <c r="P152" s="3">
        <f>-(N70_DESARROLLO!O67/0.014285714)*LN(N70_DESARROLLO!O67/N70_DESARROLLO!N67)-1</f>
        <v>-1.0169706089854125E-2</v>
      </c>
      <c r="Q152" s="3">
        <f>-(N70_DESARROLLO!P67/0.014285714)*LN(N70_DESARROLLO!P67/N70_DESARROLLO!O67)-1</f>
        <v>-1.0380852322626088E-2</v>
      </c>
      <c r="R152" s="3">
        <f>-(N70_DESARROLLO!Q67/0.014285714)*LN(N70_DESARROLLO!Q67/N70_DESARROLLO!P67)-1</f>
        <v>-1.0600952413268083E-2</v>
      </c>
      <c r="S152" s="3">
        <f>-(N70_DESARROLLO!R67/0.014285714)*LN(N70_DESARROLLO!R67/N70_DESARROLLO!Q67)-1</f>
        <v>-1.0830588260139384E-2</v>
      </c>
      <c r="T152" s="3">
        <f>-(N70_DESARROLLO!S67/0.014285714)*LN(N70_DESARROLLO!S67/N70_DESARROLLO!R67)-1</f>
        <v>-1.1070393301807369E-2</v>
      </c>
      <c r="U152" s="3">
        <f>-(N70_DESARROLLO!T67/0.014285714)*LN(N70_DESARROLLO!T67/N70_DESARROLLO!S67)-1</f>
        <v>-1.1321058352732338E-2</v>
      </c>
      <c r="V152" s="3">
        <f>-(N70_DESARROLLO!U67/0.014285714)*LN(N70_DESARROLLO!U67/N70_DESARROLLO!T67)-1</f>
        <v>-1.1583338250304442E-2</v>
      </c>
      <c r="W152" s="3">
        <f>-(N70_DESARROLLO!V67/0.014285714)*LN(N70_DESARROLLO!V67/N70_DESARROLLO!U67)-1</f>
        <v>-1.185805944784557E-2</v>
      </c>
      <c r="X152" s="3">
        <f>-(N70_DESARROLLO!W67/0.014285714)*LN(N70_DESARROLLO!W67/N70_DESARROLLO!V67)-1</f>
        <v>-1.2146128714473514E-2</v>
      </c>
      <c r="Y152" s="3">
        <f>-(N70_DESARROLLO!X67/0.014285714)*LN(N70_DESARROLLO!X67/N70_DESARROLLO!W67)-1</f>
        <v>-1.2448543134993217E-2</v>
      </c>
      <c r="Z152" s="3">
        <f>-(N70_DESARROLLO!Y67/0.014285714)*LN(N70_DESARROLLO!Y67/N70_DESARROLLO!X67)-1</f>
        <v>-1.2766401641831959E-2</v>
      </c>
      <c r="AA152" s="3">
        <f>-(N70_DESARROLLO!Z67/0.014285714)*LN(N70_DESARROLLO!Z67/N70_DESARROLLO!Y67)-1</f>
        <v>-1.3100918360510971E-2</v>
      </c>
      <c r="AB152" s="3">
        <f>-(N70_DESARROLLO!AA67/0.014285714)*LN(N70_DESARROLLO!AA67/N70_DESARROLLO!Z67)-1</f>
        <v>-1.3453438110011762E-2</v>
      </c>
      <c r="AC152" s="3">
        <f>-(N70_DESARROLLO!AB67/0.014285714)*LN(N70_DESARROLLO!AB67/N70_DESARROLLO!AA67)-1</f>
        <v>-1.3825454475325571E-2</v>
      </c>
      <c r="AD152" s="3">
        <f>-(N70_DESARROLLO!AC67/0.014285714)*LN(N70_DESARROLLO!AC67/N70_DESARROLLO!AB67)-1</f>
        <v>-1.4218630964440648E-2</v>
      </c>
      <c r="AE152" s="3">
        <f>-(N70_DESARROLLO!AD67/0.014285714)*LN(N70_DESARROLLO!AD67/N70_DESARROLLO!AC67)-1</f>
        <v>-1.4634825881869595E-2</v>
      </c>
      <c r="AF152" s="3">
        <f>-(N70_DESARROLLO!AE67/0.014285714)*LN(N70_DESARROLLO!AE67/N70_DESARROLLO!AD67)-1</f>
        <v>-1.5076121703332501E-2</v>
      </c>
      <c r="AG152" s="3">
        <f>-(N70_DESARROLLO!AF67/0.014285714)*LN(N70_DESARROLLO!AF67/N70_DESARROLLO!AE67)-1</f>
        <v>-1.5544859931607924E-2</v>
      </c>
      <c r="AH152" s="3">
        <f>-(N70_DESARROLLO!AG67/0.014285714)*LN(N70_DESARROLLO!AG67/N70_DESARROLLO!AF67)-1</f>
        <v>-1.6043682665123127E-2</v>
      </c>
      <c r="AI152" s="3">
        <f>-(N70_DESARROLLO!AH67/0.014285714)*LN(N70_DESARROLLO!AH67/N70_DESARROLLO!AG67)-1</f>
        <v>-1.6575582437552416E-2</v>
      </c>
      <c r="AJ152" s="3">
        <f>-(N70_DESARROLLO!AI67/0.014285714)*LN(N70_DESARROLLO!AI67/N70_DESARROLLO!AH67)-1</f>
        <v>-1.7143962314553618E-2</v>
      </c>
      <c r="AK152" s="3">
        <f>-(N70_DESARROLLO!AJ67/0.014285714)*LN(N70_DESARROLLO!AJ67/N70_DESARROLLO!AI67)-1</f>
        <v>-1.7752708797875383E-2</v>
      </c>
      <c r="AL152" s="3">
        <f>-(N70_DESARROLLO!AK67/0.014285714)*LN(N70_DESARROLLO!AK67/N70_DESARROLLO!AJ67)-1</f>
        <v>-1.8406280838874522E-2</v>
      </c>
      <c r="AM152" s="3">
        <f>-(N70_DESARROLLO!AL67/0.014285714)*LN(N70_DESARROLLO!AL67/N70_DESARROLLO!AK67)-1</f>
        <v>-1.9109819273397055E-2</v>
      </c>
      <c r="AN152" s="3">
        <f>-(N70_DESARROLLO!AM67/0.014285714)*LN(N70_DESARROLLO!AM67/N70_DESARROLLO!AL67)-1</f>
        <v>-1.9869282361757001E-2</v>
      </c>
      <c r="AO152" s="3">
        <f>-(N70_DESARROLLO!AN67/0.014285714)*LN(N70_DESARROLLO!AN67/N70_DESARROLLO!AM67)-1</f>
        <v>-2.0691615000482666E-2</v>
      </c>
      <c r="AP152" s="3">
        <f>-(N70_DESARROLLO!AO67/0.014285714)*LN(N70_DESARROLLO!AO67/N70_DESARROLLO!AN67)-1</f>
        <v>-2.1584961787574186E-2</v>
      </c>
      <c r="AQ152" s="3">
        <f>-(N70_DESARROLLO!AP67/0.014285714)*LN(N70_DESARROLLO!AP67/N70_DESARROLLO!AO67)-1</f>
        <v>-2.2558937800899459E-2</v>
      </c>
      <c r="AR152" s="3">
        <f>-(N70_DESARROLLO!AQ67/0.014285714)*LN(N70_DESARROLLO!AQ67/N70_DESARROLLO!AP67)-1</f>
        <v>-2.3624976192775815E-2</v>
      </c>
      <c r="AS152" s="3">
        <f>-(N70_DESARROLLO!AR67/0.014285714)*LN(N70_DESARROLLO!AR67/N70_DESARROLLO!AQ67)-1</f>
        <v>-2.4796779290042426E-2</v>
      </c>
      <c r="AT152" s="3">
        <f>-(N70_DESARROLLO!AS67/0.014285714)*LN(N70_DESARROLLO!AS67/N70_DESARROLLO!AR67)-1</f>
        <v>-2.6090911041506626E-2</v>
      </c>
      <c r="AU152" s="3">
        <f>-(N70_DESARROLLO!AT67/0.014285714)*LN(N70_DESARROLLO!AT67/N70_DESARROLLO!AS67)-1</f>
        <v>-2.7527585341367344E-2</v>
      </c>
      <c r="AV152" s="3">
        <f>-(N70_DESARROLLO!AU67/0.014285714)*LN(N70_DESARROLLO!AU67/N70_DESARROLLO!AT67)-1</f>
        <v>-2.9131730204228767E-2</v>
      </c>
      <c r="AW152" s="3">
        <f>-(N70_DESARROLLO!AV67/0.014285714)*LN(N70_DESARROLLO!AV67/N70_DESARROLLO!AU67)-1</f>
        <v>-3.0934447408014765E-2</v>
      </c>
      <c r="AX152" s="3">
        <f>-(N70_DESARROLLO!AW67/0.014285714)*LN(N70_DESARROLLO!AW67/N70_DESARROLLO!AV67)-1</f>
        <v>-3.2975050428757924E-2</v>
      </c>
      <c r="AY152" s="3">
        <f>-(N70_DESARROLLO!AX67/0.014285714)*LN(N70_DESARROLLO!AX67/N70_DESARROLLO!AW67)-1</f>
        <v>-3.5303966947118792E-2</v>
      </c>
      <c r="AZ152" s="3">
        <f>-(N70_DESARROLLO!AY67/0.014285714)*LN(N70_DESARROLLO!AY67/N70_DESARROLLO!AX67)-1</f>
        <v>-3.7986966558138158E-2</v>
      </c>
      <c r="BA152" s="3">
        <f>-(N70_DESARROLLO!AZ67/0.014285714)*LN(N70_DESARROLLO!AZ67/N70_DESARROLLO!AY67)-1</f>
        <v>-4.1111478023138859E-2</v>
      </c>
      <c r="BB152" s="3">
        <f>-(N70_DESARROLLO!BA67/0.014285714)*LN(N70_DESARROLLO!BA67/N70_DESARROLLO!AZ67)-1</f>
        <v>-4.4796309735798956E-2</v>
      </c>
      <c r="BC152" s="3">
        <f>-(N70_DESARROLLO!BB67/0.014285714)*LN(N70_DESARROLLO!BB67/N70_DESARROLLO!BA67)-1</f>
        <v>-4.9207124692804083E-2</v>
      </c>
      <c r="BD152" s="3">
        <f>-(N70_DESARROLLO!BC67/0.014285714)*LN(N70_DESARROLLO!BC67/N70_DESARROLLO!BB67)-1</f>
        <v>-5.4582082654737407E-2</v>
      </c>
      <c r="BE152" s="3">
        <f>-(N70_DESARROLLO!BD67/0.014285714)*LN(N70_DESARROLLO!BD67/N70_DESARROLLO!BC67)-1</f>
        <v>-6.1276409070479487E-2</v>
      </c>
      <c r="BF152" s="3">
        <f>-(N70_DESARROLLO!BE67/0.014285714)*LN(N70_DESARROLLO!BE67/N70_DESARROLLO!BD67)-1</f>
        <v>-6.9844497732515998E-2</v>
      </c>
      <c r="BG152" s="3">
        <f>-(N70_DESARROLLO!BF67/0.014285714)*LN(N70_DESARROLLO!BF67/N70_DESARROLLO!BE67)-1</f>
        <v>-8.1202515976632528E-2</v>
      </c>
      <c r="BH152" s="3">
        <f>-(N70_DESARROLLO!BG67/0.014285714)*LN(N70_DESARROLLO!BG67/N70_DESARROLLO!BF67)-1</f>
        <v>-9.6981852359959708E-2</v>
      </c>
      <c r="BI152" s="3">
        <f>-(N70_DESARROLLO!BH67/0.014285714)*LN(N70_DESARROLLO!BH67/N70_DESARROLLO!BG67)-1</f>
        <v>-0.12039948342482121</v>
      </c>
      <c r="BJ152" s="3">
        <f>-(N70_DESARROLLO!BI67/0.014285714)*LN(N70_DESARROLLO!BI67/N70_DESARROLLO!BH67)-1</f>
        <v>-0.15881939162335246</v>
      </c>
      <c r="BK152" s="3">
        <f>-(N70_DESARROLLO!BJ67/0.014285714)*LN(N70_DESARROLLO!BJ67/N70_DESARROLLO!BI67)-1</f>
        <v>-0.23376154902624657</v>
      </c>
      <c r="BL152" s="3">
        <f>-(N70_DESARROLLO!BK67/0.014285714)*LN(N70_DESARROLLO!BK67/N70_DESARROLLO!BJ67)-1</f>
        <v>-0.45069384467982143</v>
      </c>
      <c r="BM152" s="3">
        <v>-1</v>
      </c>
      <c r="BN152" s="3">
        <f>-(N70_DESARROLLO!BM67/0.014285714)*LN(N70_DESARROLLO!BM67/N70_DESARROLLO!BL67)-1</f>
        <v>0.64791846596054437</v>
      </c>
      <c r="BO152" s="3">
        <f>-(N70_DESARROLLO!BN67/0.014285714)*LN(N70_DESARROLLO!BN67/N70_DESARROLLO!BM67)-1</f>
        <v>0.2770640849562529</v>
      </c>
      <c r="BP152" s="3">
        <f>-(N70_DESARROLLO!BO67/0.014285714)*LN(N70_DESARROLLO!BO67/N70_DESARROLLO!BN67)-1</f>
        <v>0.17765285172730816</v>
      </c>
      <c r="BQ152" s="3">
        <f>-(N70_DESARROLLO!BP67/0.014285714)*LN(N70_DESARROLLO!BP67/N70_DESARROLLO!BO67)-1</f>
        <v>0.13091494988237184</v>
      </c>
      <c r="BR152" s="3">
        <f>-(N70_DESARROLLO!BQ67/0.014285714)*LN(N70_DESARROLLO!BQ67/N70_DESARROLLO!BP67)-1</f>
        <v>0.10368884711561366</v>
      </c>
      <c r="BS152" s="3">
        <f>-(N70_DESARROLLO!BR67/0.014285714)*LN(N70_DESARROLLO!BR67/N70_DESARROLLO!BQ67)-1</f>
        <v>8.5851572027607181E-2</v>
      </c>
      <c r="BT152" s="3">
        <f>-(N70_DESARROLLO!BS67/0.014285714)*LN(N70_DESARROLLO!BS67/N70_DESARROLLO!BR67)-1</f>
        <v>7.3256348770172952E-2</v>
      </c>
      <c r="BU152" s="3">
        <f>-(N70_DESARROLLO!BT67/0.014285714)*LN(N70_DESARROLLO!BT67/N70_DESARROLLO!BS67)-1</f>
        <v>6.3886736386790766E-2</v>
      </c>
      <c r="BV152" s="3">
        <f>-(N70_DESARROLLO!BU67/0.014285714)*LN(N70_DESARROLLO!BU67/N70_DESARROLLO!BT67)-1</f>
        <v>5.664355467999882E-2</v>
      </c>
      <c r="BW152" s="3">
        <f>-(N70_DESARROLLO!BV67/0.014285714)*LN(N70_DESARROLLO!BV67/N70_DESARROLLO!BU67)-1</f>
        <v>5.0876335865848832E-2</v>
      </c>
      <c r="BX152" s="3">
        <f>-(N70_DESARROLLO!BW67/0.014285714)*LN(N70_DESARROLLO!BW67/N70_DESARROLLO!BV67)-1</f>
        <v>4.6175470289362641E-2</v>
      </c>
      <c r="BY152" s="3">
        <f>-(N70_DESARROLLO!BX67/0.014285714)*LN(N70_DESARROLLO!BX67/N70_DESARROLLO!BW67)-1</f>
        <v>125.43037699621838</v>
      </c>
      <c r="CD152" s="1">
        <v>58</v>
      </c>
      <c r="CE152" s="1">
        <v>0</v>
      </c>
      <c r="CF152" s="1">
        <f>(1+(N70_DESARROLLO!F67/0.014285714)*LN(N70_DESARROLLO!G67/N70_DESARROLLO!F67))</f>
        <v>-8.7978251032465593E-3</v>
      </c>
      <c r="CG152" s="1">
        <f>(1+(N70_DESARROLLO!G67/0.014285714)*LN(N70_DESARROLLO!H67/N70_DESARROLLO!G67))</f>
        <v>-8.9554032794731953E-3</v>
      </c>
      <c r="CH152" s="1">
        <f>(1+(N70_DESARROLLO!H67/0.014285714)*LN(N70_DESARROLLO!I67/N70_DESARROLLO!H67))</f>
        <v>-9.1187292994394653E-3</v>
      </c>
      <c r="CI152" s="1">
        <f>(1+(N70_DESARROLLO!I67/0.014285714)*LN(N70_DESARROLLO!J67/N70_DESARROLLO!I67))</f>
        <v>-9.2881235002140183E-3</v>
      </c>
      <c r="CJ152" s="1">
        <f>(1+(N70_DESARROLLO!J67/0.014285714)*LN(N70_DESARROLLO!K67/N70_DESARROLLO!J67))</f>
        <v>-9.463930473752491E-3</v>
      </c>
      <c r="CK152" s="1">
        <f>(1+(N70_DESARROLLO!K67/0.014285714)*LN(N70_DESARROLLO!L67/N70_DESARROLLO!K67))</f>
        <v>-9.6465214070318162E-3</v>
      </c>
      <c r="CL152" s="1">
        <f>(1+(N70_DESARROLLO!L67/0.014285714)*LN(N70_DESARROLLO!M67/N70_DESARROLLO!L67))</f>
        <v>-9.8362966981000444E-3</v>
      </c>
      <c r="CM152" s="1">
        <f>(1+(N70_DESARROLLO!M67/0.014285714)*LN(N70_DESARROLLO!N67/N70_DESARROLLO!M67))</f>
        <v>-1.0033688887491232E-2</v>
      </c>
      <c r="CN152" s="1">
        <f>(1+(N70_DESARROLLO!N67/0.014285714)*LN(N70_DESARROLLO!O67/N70_DESARROLLO!N67))</f>
        <v>-1.0239165949530449E-2</v>
      </c>
      <c r="CO152" s="1">
        <f>(1+(N70_DESARROLLO!O67/0.014285714)*LN(N70_DESARROLLO!P67/N70_DESARROLLO!O67))</f>
        <v>-1.0453234996897542E-2</v>
      </c>
      <c r="CP152" s="1">
        <f>(1+(N70_DESARROLLO!P67/0.014285714)*LN(N70_DESARROLLO!Q67/N70_DESARROLLO!P67))</f>
        <v>-1.0676446459564781E-2</v>
      </c>
      <c r="CQ152" s="1">
        <f>(1+(N70_DESARROLLO!Q67/0.014285714)*LN(N70_DESARROLLO!R67/N70_DESARROLLO!Q67))</f>
        <v>-1.0909398811066451E-2</v>
      </c>
      <c r="CR152" s="1">
        <f>(1+(N70_DESARROLLO!R67/0.014285714)*LN(N70_DESARROLLO!S67/N70_DESARROLLO!R67))</f>
        <v>-1.1152743927365316E-2</v>
      </c>
      <c r="CS152" s="1">
        <f>(1+(N70_DESARROLLO!S67/0.014285714)*LN(N70_DESARROLLO!T67/N70_DESARROLLO!S67))</f>
        <v>-1.1407193179388653E-2</v>
      </c>
      <c r="CT152" s="1">
        <f>(1+(N70_DESARROLLO!T67/0.014285714)*LN(N70_DESARROLLO!U67/N70_DESARROLLO!T67))</f>
        <v>-1.1673524379100408E-2</v>
      </c>
      <c r="CU152" s="1">
        <f>(1+(N70_DESARROLLO!U67/0.014285714)*LN(N70_DESARROLLO!V67/N70_DESARROLLO!U67))</f>
        <v>-1.1952589722085794E-2</v>
      </c>
      <c r="CV152" s="1">
        <f>(1+(N70_DESARROLLO!V67/0.014285714)*LN(N70_DESARROLLO!W67/N70_DESARROLLO!V67))</f>
        <v>-1.2245324897514953E-2</v>
      </c>
      <c r="CW152" s="1">
        <f>(1+(N70_DESARROLLO!W67/0.014285714)*LN(N70_DESARROLLO!X67/N70_DESARROLLO!W67))</f>
        <v>-1.2552759570449767E-2</v>
      </c>
      <c r="CX152" s="1">
        <f>(1+(N70_DESARROLLO!X67/0.014285714)*LN(N70_DESARROLLO!Y67/N70_DESARROLLO!X67))</f>
        <v>-1.2876029484353957E-2</v>
      </c>
      <c r="CY152" s="1">
        <f>(1+(N70_DESARROLLO!Y67/0.014285714)*LN(N70_DESARROLLO!Z67/N70_DESARROLLO!Y67))</f>
        <v>-1.3216390483208995E-2</v>
      </c>
      <c r="CZ152" s="1">
        <f>(1+(N70_DESARROLLO!Z67/0.014285714)*LN(N70_DESARROLLO!AA67/N70_DESARROLLO!Z67))</f>
        <v>-1.3575234818481219E-2</v>
      </c>
      <c r="DA152" s="1">
        <f>(1+(N70_DESARROLLO!AA67/0.014285714)*LN(N70_DESARROLLO!AB67/N70_DESARROLLO!AA67))</f>
        <v>-1.3954110187341273E-2</v>
      </c>
      <c r="DB152" s="1">
        <f>(1+(N70_DESARROLLO!AB67/0.014285714)*LN(N70_DESARROLLO!AC67/N70_DESARROLLO!AB67))</f>
        <v>-1.4354742051083003E-2</v>
      </c>
      <c r="DC152" s="1">
        <f>(1+(N70_DESARROLLO!AC67/0.014285714)*LN(N70_DESARROLLO!AD67/N70_DESARROLLO!AC67))</f>
        <v>-1.4779059912701564E-2</v>
      </c>
      <c r="DD152" s="1">
        <f>(1+(N70_DESARROLLO!AD67/0.014285714)*LN(N70_DESARROLLO!AE67/N70_DESARROLLO!AD67))</f>
        <v>-1.5229228398103478E-2</v>
      </c>
      <c r="DE152" s="1">
        <f>(1+(N70_DESARROLLO!AE67/0.014285714)*LN(N70_DESARROLLO!AF67/N70_DESARROLLO!AE67))</f>
        <v>-1.5707684197547422E-2</v>
      </c>
      <c r="DF152" s="1">
        <f>(1+(N70_DESARROLLO!AF67/0.014285714)*LN(N70_DESARROLLO!AG67/N70_DESARROLLO!AF67))</f>
        <v>-1.6217180198315306E-2</v>
      </c>
      <c r="DG152" s="1">
        <f>(1+(N70_DESARROLLO!AG67/0.014285714)*LN(N70_DESARROLLO!AH67/N70_DESARROLLO!AG67))</f>
        <v>-1.6760838496767905E-2</v>
      </c>
      <c r="DH152" s="1">
        <f>(1+(N70_DESARROLLO!AH67/0.014285714)*LN(N70_DESARROLLO!AI67/N70_DESARROLLO!AH67))</f>
        <v>-1.7342214446339321E-2</v>
      </c>
      <c r="DI152" s="1">
        <f>(1+(N70_DESARROLLO!AI67/0.014285714)*LN(N70_DESARROLLO!AJ67/N70_DESARROLLO!AI67))</f>
        <v>-1.7965374518565502E-2</v>
      </c>
      <c r="DJ152" s="1">
        <f>(1+(N70_DESARROLLO!AJ67/0.014285714)*LN(N70_DESARROLLO!AK67/N70_DESARROLLO!AJ67))</f>
        <v>-1.8634991582299865E-2</v>
      </c>
      <c r="DK152" s="1">
        <f>(1+(N70_DESARROLLO!AK67/0.014285714)*LN(N70_DESARROLLO!AL67/N70_DESARROLLO!AK67))</f>
        <v>-1.9356462323724788E-2</v>
      </c>
      <c r="DL152" s="1">
        <f>(1+(N70_DESARROLLO!AL67/0.014285714)*LN(N70_DESARROLLO!AM67/N70_DESARROLLO!AL67))</f>
        <v>-2.0136053052048908E-2</v>
      </c>
      <c r="DM152" s="1">
        <f>(1+(N70_DESARROLLO!AM67/0.014285714)*LN(N70_DESARROLLO!AN67/N70_DESARROLLO!AM67))</f>
        <v>-2.098108223353945E-2</v>
      </c>
      <c r="DN152" s="1">
        <f>(1+(N70_DESARROLLO!AN67/0.014285714)*LN(N70_DESARROLLO!AO67/N70_DESARROLLO!AN67))</f>
        <v>-2.190015102186682E-2</v>
      </c>
      <c r="DO152" s="1">
        <f>(1+(N70_DESARROLLO!AO67/0.014285714)*LN(N70_DESARROLLO!AP67/N70_DESARROLLO!AO67))</f>
        <v>-2.2903437185105124E-2</v>
      </c>
      <c r="DP152" s="1">
        <f>(1+(N70_DESARROLLO!AP67/0.014285714)*LN(N70_DESARROLLO!AQ67/N70_DESARROLLO!AP67))</f>
        <v>-2.4003073749040205E-2</v>
      </c>
      <c r="DQ152" s="1">
        <f>(1+(N70_DESARROLLO!AQ67/0.014285714)*LN(N70_DESARROLLO!AR67/N70_DESARROLLO!AQ67))</f>
        <v>-2.5213642284827031E-2</v>
      </c>
      <c r="DR152" s="1">
        <f>(1+(N70_DESARROLLO!AR67/0.014285714)*LN(N70_DESARROLLO!AS67/N70_DESARROLLO!AR67))</f>
        <v>-2.6552823496790445E-2</v>
      </c>
      <c r="DS152" s="1">
        <f>(1+(N70_DESARROLLO!AS67/0.014285714)*LN(N70_DESARROLLO!AT67/N70_DESARROLLO!AS67))</f>
        <v>-2.8042266924840131E-2</v>
      </c>
      <c r="DT152" s="1">
        <f>(1+(N70_DESARROLLO!AT67/0.014285714)*LN(N70_DESARROLLO!AU67/N70_DESARROLLO!AT67))</f>
        <v>-2.9708770995515277E-2</v>
      </c>
      <c r="DU152" s="1">
        <f>(1+(N70_DESARROLLO!AU67/0.014285714)*LN(N70_DESARROLLO!AV67/N70_DESARROLLO!AU67))</f>
        <v>-3.1585910823725971E-2</v>
      </c>
      <c r="DV152" s="1">
        <f>(1+(N70_DESARROLLO!AV67/0.014285714)*LN(N70_DESARROLLO!AW67/N70_DESARROLLO!AV67))</f>
        <v>-3.3716325403741365E-2</v>
      </c>
      <c r="DW152" s="1">
        <f>(1+(N70_DESARROLLO!AW67/0.014285714)*LN(N70_DESARROLLO!AX67/N70_DESARROLLO!AW67))</f>
        <v>-3.6154998464206001E-2</v>
      </c>
      <c r="DX152" s="1">
        <f>(1+(N70_DESARROLLO!AX67/0.014285714)*LN(N70_DESARROLLO!AY67/N70_DESARROLLO!AX67))</f>
        <v>-3.8974076117210377E-2</v>
      </c>
      <c r="DY152" s="1">
        <f>(1+(N70_DESARROLLO!AY67/0.014285714)*LN(N70_DESARROLLO!AZ67/N70_DESARROLLO!AY67))</f>
        <v>-4.2270132583545061E-2</v>
      </c>
      <c r="DZ152" s="1">
        <f>(1+(N70_DESARROLLO!AZ67/0.014285714)*LN(N70_DESARROLLO!BA67/N70_DESARROLLO!AZ67))</f>
        <v>-4.6175470289362641E-2</v>
      </c>
      <c r="EA152" s="1">
        <f>(1+(N70_DESARROLLO!BA67/0.014285714)*LN(N70_DESARROLLO!BB67/N70_DESARROLLO!BA67))</f>
        <v>-5.087633586584861E-2</v>
      </c>
      <c r="EB152" s="1">
        <f>(1+(N70_DESARROLLO!BB67/0.014285714)*LN(N70_DESARROLLO!BC67/N70_DESARROLLO!BB67))</f>
        <v>-5.664355467999882E-2</v>
      </c>
      <c r="EC152" s="1">
        <f>(1+(N70_DESARROLLO!BC67/0.014285714)*LN(N70_DESARROLLO!BD67/N70_DESARROLLO!BC67))</f>
        <v>-6.3886736386790544E-2</v>
      </c>
      <c r="ED152" s="1">
        <f>(1+(N70_DESARROLLO!BD67/0.014285714)*LN(N70_DESARROLLO!BE67/N70_DESARROLLO!BD67))</f>
        <v>-7.3256348770173396E-2</v>
      </c>
      <c r="EE152" s="1">
        <f>(1+(N70_DESARROLLO!BE67/0.014285714)*LN(N70_DESARROLLO!BF67/N70_DESARROLLO!BE67))</f>
        <v>-8.5851572027616951E-2</v>
      </c>
      <c r="EF152" s="1">
        <f>(1+(N70_DESARROLLO!BF67/0.014285714)*LN(N70_DESARROLLO!BG67/N70_DESARROLLO!BF67))</f>
        <v>-0.10368884711560411</v>
      </c>
      <c r="EG152" s="1">
        <f>(1+(N70_DESARROLLO!BG67/0.014285714)*LN(N70_DESARROLLO!BH67/N70_DESARROLLO!BG67))</f>
        <v>-0.13091494988237162</v>
      </c>
      <c r="EH152" s="1">
        <f>(1+(N70_DESARROLLO!BH67/0.014285714)*LN(N70_DESARROLLO!BI67/N70_DESARROLLO!BH67))</f>
        <v>-0.17765285172730816</v>
      </c>
      <c r="EI152" s="1">
        <f>(1+(N70_DESARROLLO!BI67/0.014285714)*LN(N70_DESARROLLO!BJ67/N70_DESARROLLO!BI67))</f>
        <v>-0.27706408495625312</v>
      </c>
      <c r="EJ152" s="1">
        <f>(1+(N70_DESARROLLO!BJ67/0.014285714)*LN(N70_DESARROLLO!BK67/N70_DESARROLLO!BJ67))</f>
        <v>-0.64791846596054437</v>
      </c>
      <c r="EK152" s="1">
        <v>1</v>
      </c>
      <c r="EL152" s="1">
        <f>(1+(N70_DESARROLLO!BL67/0.014285714)*LN(N70_DESARROLLO!BM67/N70_DESARROLLO!BL67))</f>
        <v>0.45069384467982143</v>
      </c>
      <c r="EM152" s="1">
        <f>(1+(N70_DESARROLLO!BM67/0.014285714)*LN(N70_DESARROLLO!BN67/N70_DESARROLLO!BM67))</f>
        <v>0.2337615490262468</v>
      </c>
      <c r="EN152" s="1">
        <f>(1+(N70_DESARROLLO!BN67/0.014285714)*LN(N70_DESARROLLO!BO67/N70_DESARROLLO!BN67))</f>
        <v>0.15881939162335246</v>
      </c>
      <c r="EO152" s="1">
        <f>(1+(N70_DESARROLLO!BO67/0.014285714)*LN(N70_DESARROLLO!BP67/N70_DESARROLLO!BO67))</f>
        <v>0.12039948342482099</v>
      </c>
      <c r="EP152" s="1">
        <f>(1+(N70_DESARROLLO!BP67/0.014285714)*LN(N70_DESARROLLO!BQ67/N70_DESARROLLO!BP67))</f>
        <v>9.6981852359953269E-2</v>
      </c>
      <c r="EQ152" s="1">
        <f>(1+(N70_DESARROLLO!BQ67/0.014285714)*LN(N70_DESARROLLO!BR67/N70_DESARROLLO!BQ67))</f>
        <v>8.1202515976639411E-2</v>
      </c>
      <c r="ER152" s="1">
        <f>(1+(N70_DESARROLLO!BR67/0.014285714)*LN(N70_DESARROLLO!BS67/N70_DESARROLLO!BR67))</f>
        <v>6.9844497732516331E-2</v>
      </c>
      <c r="ES152" s="1">
        <f>(1+(N70_DESARROLLO!BS67/0.014285714)*LN(N70_DESARROLLO!BT67/N70_DESARROLLO!BS67))</f>
        <v>6.1276409070479265E-2</v>
      </c>
      <c r="ET152" s="1">
        <f>(1+(N70_DESARROLLO!BT67/0.014285714)*LN(N70_DESARROLLO!BU67/N70_DESARROLLO!BT67))</f>
        <v>5.4582082654737407E-2</v>
      </c>
      <c r="EU152" s="1">
        <f>(1+(N70_DESARROLLO!BU67/0.014285714)*LN(N70_DESARROLLO!BV67/N70_DESARROLLO!BU67))</f>
        <v>4.9207124692803972E-2</v>
      </c>
      <c r="EV152" s="1">
        <f>(1+(N70_DESARROLLO!BV67/0.014285714)*LN(N70_DESARROLLO!BW67/N70_DESARROLLO!BV67))</f>
        <v>4.4796309735798956E-2</v>
      </c>
      <c r="EW152" s="1">
        <f>(1+(N70_DESARROLLO!BW67/0.014285714)*LN(N70_DESARROLLO!BX67/N70_DESARROLLO!BW67))</f>
        <v>-19.770704792235875</v>
      </c>
    </row>
    <row r="153" spans="7:153" x14ac:dyDescent="0.25">
      <c r="G153" s="3">
        <v>59</v>
      </c>
      <c r="H153" s="3">
        <f>-(N70_DESARROLLO!G68/0.014285714)*LN(N70_DESARROLLO!G68/N70_DESARROLLO!F68)-1</f>
        <v>-8.596110187827688E-3</v>
      </c>
      <c r="I153" s="3">
        <f>-(N70_DESARROLLO!H68/0.014285714)*LN(N70_DESARROLLO!H68/N70_DESARROLLO!G68)-1</f>
        <v>-8.7464848985361332E-3</v>
      </c>
      <c r="J153" s="3">
        <f>-(N70_DESARROLLO!I68/0.014285714)*LN(N70_DESARROLLO!I68/N70_DESARROLLO!H68)-1</f>
        <v>-8.9022144776920165E-3</v>
      </c>
      <c r="K153" s="3">
        <f>-(N70_DESARROLLO!J68/0.014285714)*LN(N70_DESARROLLO!J68/N70_DESARROLLO!I68)-1</f>
        <v>-9.0635901473909986E-3</v>
      </c>
      <c r="L153" s="3">
        <f>-(N70_DESARROLLO!K68/0.014285714)*LN(N70_DESARROLLO!K68/N70_DESARROLLO!J68)-1</f>
        <v>-9.2309246374168152E-3</v>
      </c>
      <c r="M153" s="3">
        <f>-(N70_DESARROLLO!L68/0.014285714)*LN(N70_DESARROLLO!L68/N70_DESARROLLO!K68)-1</f>
        <v>-9.4045542079881361E-3</v>
      </c>
      <c r="N153" s="3">
        <f>-(N70_DESARROLLO!M68/0.014285714)*LN(N70_DESARROLLO!M68/N70_DESARROLLO!L68)-1</f>
        <v>-9.584840905488945E-3</v>
      </c>
      <c r="O153" s="3">
        <f>-(N70_DESARROLLO!N68/0.014285714)*LN(N70_DESARROLLO!N68/N70_DESARROLLO!M68)-1</f>
        <v>-9.7721750824342202E-3</v>
      </c>
      <c r="P153" s="3">
        <f>-(N70_DESARROLLO!O68/0.014285714)*LN(N70_DESARROLLO!O68/N70_DESARROLLO!N68)-1</f>
        <v>-9.9669782192028933E-3</v>
      </c>
      <c r="Q153" s="3">
        <f>-(N70_DESARROLLO!P68/0.014285714)*LN(N70_DESARROLLO!P68/N70_DESARROLLO!O68)-1</f>
        <v>-1.0169706089854125E-2</v>
      </c>
      <c r="R153" s="3">
        <f>-(N70_DESARROLLO!Q68/0.014285714)*LN(N70_DESARROLLO!Q68/N70_DESARROLLO!P68)-1</f>
        <v>-1.0380852322620981E-2</v>
      </c>
      <c r="S153" s="3">
        <f>-(N70_DESARROLLO!R68/0.014285714)*LN(N70_DESARROLLO!R68/N70_DESARROLLO!Q68)-1</f>
        <v>-1.0600952413268305E-2</v>
      </c>
      <c r="T153" s="3">
        <f>-(N70_DESARROLLO!S68/0.014285714)*LN(N70_DESARROLLO!S68/N70_DESARROLLO!R68)-1</f>
        <v>-1.0830588260144602E-2</v>
      </c>
      <c r="U153" s="3">
        <f>-(N70_DESARROLLO!T68/0.014285714)*LN(N70_DESARROLLO!T68/N70_DESARROLLO!S68)-1</f>
        <v>-1.1070393301807369E-2</v>
      </c>
      <c r="V153" s="3">
        <f>-(N70_DESARROLLO!U68/0.014285714)*LN(N70_DESARROLLO!U68/N70_DESARROLLO!T68)-1</f>
        <v>-1.1321058352727786E-2</v>
      </c>
      <c r="W153" s="3">
        <f>-(N70_DESARROLLO!V68/0.014285714)*LN(N70_DESARROLLO!V68/N70_DESARROLLO!U68)-1</f>
        <v>-1.1583338250309327E-2</v>
      </c>
      <c r="X153" s="3">
        <f>-(N70_DESARROLLO!W68/0.014285714)*LN(N70_DESARROLLO!W68/N70_DESARROLLO!V68)-1</f>
        <v>-1.1858059447836355E-2</v>
      </c>
      <c r="Y153" s="3">
        <f>-(N70_DESARROLLO!X68/0.014285714)*LN(N70_DESARROLLO!X68/N70_DESARROLLO!W68)-1</f>
        <v>-1.2146128714478177E-2</v>
      </c>
      <c r="Z153" s="3">
        <f>-(N70_DESARROLLO!Y68/0.014285714)*LN(N70_DESARROLLO!Y68/N70_DESARROLLO!X68)-1</f>
        <v>-1.2448543134993217E-2</v>
      </c>
      <c r="AA153" s="3">
        <f>-(N70_DESARROLLO!Z68/0.014285714)*LN(N70_DESARROLLO!Z68/N70_DESARROLLO!Y68)-1</f>
        <v>-1.2766401641823411E-2</v>
      </c>
      <c r="AB153" s="3">
        <f>-(N70_DESARROLLO!AA68/0.014285714)*LN(N70_DESARROLLO!AA68/N70_DESARROLLO!Z68)-1</f>
        <v>-1.3100918360511193E-2</v>
      </c>
      <c r="AC153" s="3">
        <f>-(N70_DESARROLLO!AB68/0.014285714)*LN(N70_DESARROLLO!AB68/N70_DESARROLLO!AA68)-1</f>
        <v>-1.345343811001587E-2</v>
      </c>
      <c r="AD153" s="3">
        <f>-(N70_DESARROLLO!AC68/0.014285714)*LN(N70_DESARROLLO!AC68/N70_DESARROLLO!AB68)-1</f>
        <v>-1.3825454475325571E-2</v>
      </c>
      <c r="AE153" s="3">
        <f>-(N70_DESARROLLO!AD68/0.014285714)*LN(N70_DESARROLLO!AD68/N70_DESARROLLO!AC68)-1</f>
        <v>-1.4218630964436874E-2</v>
      </c>
      <c r="AF153" s="3">
        <f>-(N70_DESARROLLO!AE68/0.014285714)*LN(N70_DESARROLLO!AE68/N70_DESARROLLO!AD68)-1</f>
        <v>-1.4634825881869817E-2</v>
      </c>
      <c r="AG153" s="3">
        <f>-(N70_DESARROLLO!AF68/0.014285714)*LN(N70_DESARROLLO!AF68/N70_DESARROLLO!AE68)-1</f>
        <v>-1.5076121703332723E-2</v>
      </c>
      <c r="AH153" s="3">
        <f>-(N70_DESARROLLO!AG68/0.014285714)*LN(N70_DESARROLLO!AG68/N70_DESARROLLO!AF68)-1</f>
        <v>-1.5544859931611588E-2</v>
      </c>
      <c r="AI153" s="3">
        <f>-(N70_DESARROLLO!AH68/0.014285714)*LN(N70_DESARROLLO!AH68/N70_DESARROLLO!AG68)-1</f>
        <v>-1.6043682665120018E-2</v>
      </c>
      <c r="AJ153" s="3">
        <f>-(N70_DESARROLLO!AI68/0.014285714)*LN(N70_DESARROLLO!AI68/N70_DESARROLLO!AH68)-1</f>
        <v>-1.6575582437552527E-2</v>
      </c>
      <c r="AK153" s="3">
        <f>-(N70_DESARROLLO!AJ68/0.014285714)*LN(N70_DESARROLLO!AJ68/N70_DESARROLLO!AI68)-1</f>
        <v>-1.7143962314553729E-2</v>
      </c>
      <c r="AL153" s="3">
        <f>-(N70_DESARROLLO!AK68/0.014285714)*LN(N70_DESARROLLO!AK68/N70_DESARROLLO!AJ68)-1</f>
        <v>-1.7752708797875494E-2</v>
      </c>
      <c r="AM153" s="3">
        <f>-(N70_DESARROLLO!AL68/0.014285714)*LN(N70_DESARROLLO!AL68/N70_DESARROLLO!AK68)-1</f>
        <v>-1.8406280838874745E-2</v>
      </c>
      <c r="AN153" s="3">
        <f>-(N70_DESARROLLO!AM68/0.014285714)*LN(N70_DESARROLLO!AM68/N70_DESARROLLO!AL68)-1</f>
        <v>-1.9109819273397166E-2</v>
      </c>
      <c r="AO153" s="3">
        <f>-(N70_DESARROLLO!AN68/0.014285714)*LN(N70_DESARROLLO!AN68/N70_DESARROLLO!AM68)-1</f>
        <v>-1.9869282361757112E-2</v>
      </c>
      <c r="AP153" s="3">
        <f>-(N70_DESARROLLO!AO68/0.014285714)*LN(N70_DESARROLLO!AO68/N70_DESARROLLO!AN68)-1</f>
        <v>-2.0691615000482777E-2</v>
      </c>
      <c r="AQ153" s="3">
        <f>-(N70_DESARROLLO!AP68/0.014285714)*LN(N70_DESARROLLO!AP68/N70_DESARROLLO!AO68)-1</f>
        <v>-2.1584961787579404E-2</v>
      </c>
      <c r="AR153" s="3">
        <f>-(N70_DESARROLLO!AQ68/0.014285714)*LN(N70_DESARROLLO!AQ68/N70_DESARROLLO!AP68)-1</f>
        <v>-2.2558937800892354E-2</v>
      </c>
      <c r="AS153" s="3">
        <f>-(N70_DESARROLLO!AR68/0.014285714)*LN(N70_DESARROLLO!AR68/N70_DESARROLLO!AQ68)-1</f>
        <v>-2.362497619278292E-2</v>
      </c>
      <c r="AT153" s="3">
        <f>-(N70_DESARROLLO!AS68/0.014285714)*LN(N70_DESARROLLO!AS68/N70_DESARROLLO!AR68)-1</f>
        <v>-2.4796779290033655E-2</v>
      </c>
      <c r="AU153" s="3">
        <f>-(N70_DESARROLLO!AT68/0.014285714)*LN(N70_DESARROLLO!AT68/N70_DESARROLLO!AS68)-1</f>
        <v>-2.6090911041515175E-2</v>
      </c>
      <c r="AV153" s="3">
        <f>-(N70_DESARROLLO!AU68/0.014285714)*LN(N70_DESARROLLO!AU68/N70_DESARROLLO!AT68)-1</f>
        <v>-2.7527585341359573E-2</v>
      </c>
      <c r="AW153" s="3">
        <f>-(N70_DESARROLLO!AV68/0.014285714)*LN(N70_DESARROLLO!AV68/N70_DESARROLLO!AU68)-1</f>
        <v>-2.9131730204236539E-2</v>
      </c>
      <c r="AX153" s="3">
        <f>-(N70_DESARROLLO!AW68/0.014285714)*LN(N70_DESARROLLO!AW68/N70_DESARROLLO!AV68)-1</f>
        <v>-3.0934447408014765E-2</v>
      </c>
      <c r="AY153" s="3">
        <f>-(N70_DESARROLLO!AX68/0.014285714)*LN(N70_DESARROLLO!AX68/N70_DESARROLLO!AW68)-1</f>
        <v>-3.2975050428749819E-2</v>
      </c>
      <c r="AZ153" s="3">
        <f>-(N70_DESARROLLO!AY68/0.014285714)*LN(N70_DESARROLLO!AY68/N70_DESARROLLO!AX68)-1</f>
        <v>-3.5303966947125343E-2</v>
      </c>
      <c r="BA153" s="3">
        <f>-(N70_DESARROLLO!AZ68/0.014285714)*LN(N70_DESARROLLO!AZ68/N70_DESARROLLO!AY68)-1</f>
        <v>-3.7986966558131163E-2</v>
      </c>
      <c r="BB153" s="3">
        <f>-(N70_DESARROLLO!BA68/0.014285714)*LN(N70_DESARROLLO!BA68/N70_DESARROLLO!AZ68)-1</f>
        <v>-4.1111478023145742E-2</v>
      </c>
      <c r="BC153" s="3">
        <f>-(N70_DESARROLLO!BB68/0.014285714)*LN(N70_DESARROLLO!BB68/N70_DESARROLLO!BA68)-1</f>
        <v>-4.4796309735792073E-2</v>
      </c>
      <c r="BD153" s="3">
        <f>-(N70_DESARROLLO!BC68/0.014285714)*LN(N70_DESARROLLO!BC68/N70_DESARROLLO!BB68)-1</f>
        <v>-4.9207124692811077E-2</v>
      </c>
      <c r="BE153" s="3">
        <f>-(N70_DESARROLLO!BD68/0.014285714)*LN(N70_DESARROLLO!BD68/N70_DESARROLLO!BC68)-1</f>
        <v>-5.4582082654730968E-2</v>
      </c>
      <c r="BF153" s="3">
        <f>-(N70_DESARROLLO!BE68/0.014285714)*LN(N70_DESARROLLO!BE68/N70_DESARROLLO!BD68)-1</f>
        <v>-6.1276409070486149E-2</v>
      </c>
      <c r="BG153" s="3">
        <f>-(N70_DESARROLLO!BF68/0.014285714)*LN(N70_DESARROLLO!BF68/N70_DESARROLLO!BE68)-1</f>
        <v>-6.9844497732509558E-2</v>
      </c>
      <c r="BH153" s="3">
        <f>-(N70_DESARROLLO!BG68/0.014285714)*LN(N70_DESARROLLO!BG68/N70_DESARROLLO!BF68)-1</f>
        <v>-8.1202515976638967E-2</v>
      </c>
      <c r="BI153" s="3">
        <f>-(N70_DESARROLLO!BH68/0.014285714)*LN(N70_DESARROLLO!BH68/N70_DESARROLLO!BG68)-1</f>
        <v>-9.6981852359959708E-2</v>
      </c>
      <c r="BJ153" s="3">
        <f>-(N70_DESARROLLO!BI68/0.014285714)*LN(N70_DESARROLLO!BI68/N70_DESARROLLO!BH68)-1</f>
        <v>-0.1203994834248151</v>
      </c>
      <c r="BK153" s="3">
        <f>-(N70_DESARROLLO!BJ68/0.014285714)*LN(N70_DESARROLLO!BJ68/N70_DESARROLLO!BI68)-1</f>
        <v>-0.15881939162335823</v>
      </c>
      <c r="BL153" s="3">
        <f>-(N70_DESARROLLO!BK68/0.014285714)*LN(N70_DESARROLLO!BK68/N70_DESARROLLO!BJ68)-1</f>
        <v>-0.23376154902624291</v>
      </c>
      <c r="BM153" s="3">
        <f>-(N70_DESARROLLO!BL68/0.014285714)*LN(N70_DESARROLLO!BL68/N70_DESARROLLO!BK68)-1</f>
        <v>-0.45069384467982399</v>
      </c>
      <c r="BN153" s="3">
        <v>-1</v>
      </c>
      <c r="BO153" s="3">
        <f>-(N70_DESARROLLO!BN68/0.014285714)*LN(N70_DESARROLLO!BN68/N70_DESARROLLO!BM68)-1</f>
        <v>0.64791846596052105</v>
      </c>
      <c r="BP153" s="3">
        <f>-(N70_DESARROLLO!BO68/0.014285714)*LN(N70_DESARROLLO!BO68/N70_DESARROLLO!BN68)-1</f>
        <v>0.27706408495626422</v>
      </c>
      <c r="BQ153" s="3">
        <f>-(N70_DESARROLLO!BP68/0.014285714)*LN(N70_DESARROLLO!BP68/N70_DESARROLLO!BO68)-1</f>
        <v>0.17765285172729706</v>
      </c>
      <c r="BR153" s="3">
        <f>-(N70_DESARROLLO!BQ68/0.014285714)*LN(N70_DESARROLLO!BQ68/N70_DESARROLLO!BP68)-1</f>
        <v>0.13091494988238161</v>
      </c>
      <c r="BS153" s="3">
        <f>-(N70_DESARROLLO!BR68/0.014285714)*LN(N70_DESARROLLO!BR68/N70_DESARROLLO!BQ68)-1</f>
        <v>0.10368884711560367</v>
      </c>
      <c r="BT153" s="3">
        <f>-(N70_DESARROLLO!BS68/0.014285714)*LN(N70_DESARROLLO!BS68/N70_DESARROLLO!BR68)-1</f>
        <v>8.5851572027607181E-2</v>
      </c>
      <c r="BU153" s="3">
        <f>-(N70_DESARROLLO!BT68/0.014285714)*LN(N70_DESARROLLO!BT68/N70_DESARROLLO!BS68)-1</f>
        <v>7.325634877018139E-2</v>
      </c>
      <c r="BV153" s="3">
        <f>-(N70_DESARROLLO!BU68/0.014285714)*LN(N70_DESARROLLO!BU68/N70_DESARROLLO!BT68)-1</f>
        <v>6.388673638678255E-2</v>
      </c>
      <c r="BW153" s="3">
        <f>-(N70_DESARROLLO!BV68/0.014285714)*LN(N70_DESARROLLO!BV68/N70_DESARROLLO!BU68)-1</f>
        <v>5.6643554680007258E-2</v>
      </c>
      <c r="BX153" s="3">
        <f>-(N70_DESARROLLO!BW68/0.014285714)*LN(N70_DESARROLLO!BW68/N70_DESARROLLO!BV68)-1</f>
        <v>5.0876335865840394E-2</v>
      </c>
      <c r="BY153" s="3">
        <f>-(N70_DESARROLLO!BX68/0.014285714)*LN(N70_DESARROLLO!BX68/N70_DESARROLLO!BW68)-1</f>
        <v>131.79840159797973</v>
      </c>
      <c r="CD153">
        <v>59</v>
      </c>
      <c r="CE153" s="1">
        <v>0</v>
      </c>
      <c r="CF153" s="1">
        <f>(1+(N70_DESARROLLO!F68/0.014285714)*LN(N70_DESARROLLO!G68/N70_DESARROLLO!F68))</f>
        <v>-8.6456965915144846E-3</v>
      </c>
      <c r="CG153" s="1">
        <f>(1+(N70_DESARROLLO!G68/0.014285714)*LN(N70_DESARROLLO!H68/N70_DESARROLLO!G68))</f>
        <v>-8.797825103259882E-3</v>
      </c>
      <c r="CH153" s="1">
        <f>(1+(N70_DESARROLLO!H68/0.014285714)*LN(N70_DESARROLLO!I68/N70_DESARROLLO!H68))</f>
        <v>-8.9554032794665339E-3</v>
      </c>
      <c r="CI153" s="1">
        <f>(1+(N70_DESARROLLO!I68/0.014285714)*LN(N70_DESARROLLO!J68/N70_DESARROLLO!I68))</f>
        <v>-9.1187292994459046E-3</v>
      </c>
      <c r="CJ153" s="1">
        <f>(1+(N70_DESARROLLO!J68/0.014285714)*LN(N70_DESARROLLO!K68/N70_DESARROLLO!J68))</f>
        <v>-9.2881235002015838E-3</v>
      </c>
      <c r="CK153" s="1">
        <f>(1+(N70_DESARROLLO!K68/0.014285714)*LN(N70_DESARROLLO!L68/N70_DESARROLLO!K68))</f>
        <v>-9.4639304737644814E-3</v>
      </c>
      <c r="CL153" s="1">
        <f>(1+(N70_DESARROLLO!L68/0.014285714)*LN(N70_DESARROLLO!M68/N70_DESARROLLO!L68))</f>
        <v>-9.6465214070258209E-3</v>
      </c>
      <c r="CM153" s="1">
        <f>(1+(N70_DESARROLLO!M68/0.014285714)*LN(N70_DESARROLLO!N68/N70_DESARROLLO!M68))</f>
        <v>-9.8362966981115907E-3</v>
      </c>
      <c r="CN153" s="1">
        <f>(1+(N70_DESARROLLO!N68/0.014285714)*LN(N70_DESARROLLO!O68/N70_DESARROLLO!N68))</f>
        <v>-1.0033688887479686E-2</v>
      </c>
      <c r="CO153" s="1">
        <f>(1+(N70_DESARROLLO!O68/0.014285714)*LN(N70_DESARROLLO!P68/N70_DESARROLLO!O68))</f>
        <v>-1.0239165949530449E-2</v>
      </c>
      <c r="CP153" s="1">
        <f>(1+(N70_DESARROLLO!P68/0.014285714)*LN(N70_DESARROLLO!Q68/N70_DESARROLLO!P68))</f>
        <v>-1.0453234996902872E-2</v>
      </c>
      <c r="CQ153" s="1">
        <f>(1+(N70_DESARROLLO!Q68/0.014285714)*LN(N70_DESARROLLO!R68/N70_DESARROLLO!Q68))</f>
        <v>-1.0676446459564781E-2</v>
      </c>
      <c r="CR153" s="1">
        <f>(1+(N70_DESARROLLO!R68/0.014285714)*LN(N70_DESARROLLO!S68/N70_DESARROLLO!R68))</f>
        <v>-1.0909398811061122E-2</v>
      </c>
      <c r="CS153" s="1">
        <f>(1+(N70_DESARROLLO!S68/0.014285714)*LN(N70_DESARROLLO!T68/N70_DESARROLLO!S68))</f>
        <v>-1.1152743927365316E-2</v>
      </c>
      <c r="CT153" s="1">
        <f>(1+(N70_DESARROLLO!T68/0.014285714)*LN(N70_DESARROLLO!U68/N70_DESARROLLO!T68))</f>
        <v>-1.1407193179393538E-2</v>
      </c>
      <c r="CU153" s="1">
        <f>(1+(N70_DESARROLLO!U68/0.014285714)*LN(N70_DESARROLLO!V68/N70_DESARROLLO!U68))</f>
        <v>-1.1673524379095079E-2</v>
      </c>
      <c r="CV153" s="1">
        <f>(1+(N70_DESARROLLO!V68/0.014285714)*LN(N70_DESARROLLO!W68/N70_DESARROLLO!V68))</f>
        <v>-1.1952589722095341E-2</v>
      </c>
      <c r="CW153" s="1">
        <f>(1+(N70_DESARROLLO!W68/0.014285714)*LN(N70_DESARROLLO!X68/N70_DESARROLLO!W68))</f>
        <v>-1.2245324897510068E-2</v>
      </c>
      <c r="CX153" s="1">
        <f>(1+(N70_DESARROLLO!X68/0.014285714)*LN(N70_DESARROLLO!Y68/N70_DESARROLLO!X68))</f>
        <v>-1.2552759570449767E-2</v>
      </c>
      <c r="CY153" s="1">
        <f>(1+(N70_DESARROLLO!Y68/0.014285714)*LN(N70_DESARROLLO!Z68/N70_DESARROLLO!Y68))</f>
        <v>-1.2876029484363061E-2</v>
      </c>
      <c r="CZ153" s="1">
        <f>(1+(N70_DESARROLLO!Z68/0.014285714)*LN(N70_DESARROLLO!AA68/N70_DESARROLLO!Z68))</f>
        <v>-1.3216390483208773E-2</v>
      </c>
      <c r="DA153" s="1">
        <f>(1+(N70_DESARROLLO!AA68/0.014285714)*LN(N70_DESARROLLO!AB68/N70_DESARROLLO!AA68))</f>
        <v>-1.3575234818476556E-2</v>
      </c>
      <c r="DB153" s="1">
        <f>(1+(N70_DESARROLLO!AB68/0.014285714)*LN(N70_DESARROLLO!AC68/N70_DESARROLLO!AB68))</f>
        <v>-1.3954110187341273E-2</v>
      </c>
      <c r="DC153" s="1">
        <f>(1+(N70_DESARROLLO!AC68/0.014285714)*LN(N70_DESARROLLO!AD68/N70_DESARROLLO!AC68))</f>
        <v>-1.4354742051086999E-2</v>
      </c>
      <c r="DD153" s="1">
        <f>(1+(N70_DESARROLLO!AD68/0.014285714)*LN(N70_DESARROLLO!AE68/N70_DESARROLLO!AD68))</f>
        <v>-1.4779059912701342E-2</v>
      </c>
      <c r="DE153" s="1">
        <f>(1+(N70_DESARROLLO!AE68/0.014285714)*LN(N70_DESARROLLO!AF68/N70_DESARROLLO!AE68))</f>
        <v>-1.5229228398103256E-2</v>
      </c>
      <c r="DF153" s="1">
        <f>(1+(N70_DESARROLLO!AF68/0.014285714)*LN(N70_DESARROLLO!AG68/N70_DESARROLLO!AF68))</f>
        <v>-1.5707684197543426E-2</v>
      </c>
      <c r="DG153" s="1">
        <f>(1+(N70_DESARROLLO!AG68/0.014285714)*LN(N70_DESARROLLO!AH68/N70_DESARROLLO!AG68))</f>
        <v>-1.6217180198318637E-2</v>
      </c>
      <c r="DH153" s="1">
        <f>(1+(N70_DESARROLLO!AH68/0.014285714)*LN(N70_DESARROLLO!AI68/N70_DESARROLLO!AH68))</f>
        <v>-1.6760838496767683E-2</v>
      </c>
      <c r="DI153" s="1">
        <f>(1+(N70_DESARROLLO!AI68/0.014285714)*LN(N70_DESARROLLO!AJ68/N70_DESARROLLO!AI68))</f>
        <v>-1.7342214446339099E-2</v>
      </c>
      <c r="DJ153" s="1">
        <f>(1+(N70_DESARROLLO!AJ68/0.014285714)*LN(N70_DESARROLLO!AK68/N70_DESARROLLO!AJ68))</f>
        <v>-1.7965374518565502E-2</v>
      </c>
      <c r="DK153" s="1">
        <f>(1+(N70_DESARROLLO!AK68/0.014285714)*LN(N70_DESARROLLO!AL68/N70_DESARROLLO!AK68))</f>
        <v>-1.8634991582299865E-2</v>
      </c>
      <c r="DL153" s="1">
        <f>(1+(N70_DESARROLLO!AL68/0.014285714)*LN(N70_DESARROLLO!AM68/N70_DESARROLLO!AL68))</f>
        <v>-1.9356462323724344E-2</v>
      </c>
      <c r="DM153" s="1">
        <f>(1+(N70_DESARROLLO!AM68/0.014285714)*LN(N70_DESARROLLO!AN68/N70_DESARROLLO!AM68))</f>
        <v>-2.0136053052048686E-2</v>
      </c>
      <c r="DN153" s="1">
        <f>(1+(N70_DESARROLLO!AN68/0.014285714)*LN(N70_DESARROLLO!AO68/N70_DESARROLLO!AN68))</f>
        <v>-2.0981082233539228E-2</v>
      </c>
      <c r="DO153" s="1">
        <f>(1+(N70_DESARROLLO!AO68/0.014285714)*LN(N70_DESARROLLO!AP68/N70_DESARROLLO!AO68))</f>
        <v>-2.1900151021861269E-2</v>
      </c>
      <c r="DP153" s="1">
        <f>(1+(N70_DESARROLLO!AP68/0.014285714)*LN(N70_DESARROLLO!AQ68/N70_DESARROLLO!AP68))</f>
        <v>-2.2903437185112896E-2</v>
      </c>
      <c r="DQ153" s="1">
        <f>(1+(N70_DESARROLLO!AQ68/0.014285714)*LN(N70_DESARROLLO!AR68/N70_DESARROLLO!AQ68))</f>
        <v>-2.4003073749032433E-2</v>
      </c>
      <c r="DR153" s="1">
        <f>(1+(N70_DESARROLLO!AR68/0.014285714)*LN(N70_DESARROLLO!AS68/N70_DESARROLLO!AR68))</f>
        <v>-2.5213642284836801E-2</v>
      </c>
      <c r="DS153" s="1">
        <f>(1+(N70_DESARROLLO!AS68/0.014285714)*LN(N70_DESARROLLO!AT68/N70_DESARROLLO!AS68))</f>
        <v>-2.6552823496780897E-2</v>
      </c>
      <c r="DT153" s="1">
        <f>(1+(N70_DESARROLLO!AT68/0.014285714)*LN(N70_DESARROLLO!AU68/N70_DESARROLLO!AT68))</f>
        <v>-2.8042266924848791E-2</v>
      </c>
      <c r="DU153" s="1">
        <f>(1+(N70_DESARROLLO!AU68/0.014285714)*LN(N70_DESARROLLO!AV68/N70_DESARROLLO!AU68))</f>
        <v>-2.9708770995506617E-2</v>
      </c>
      <c r="DV153" s="1">
        <f>(1+(N70_DESARROLLO!AV68/0.014285714)*LN(N70_DESARROLLO!AW68/N70_DESARROLLO!AV68))</f>
        <v>-3.1585910823725971E-2</v>
      </c>
      <c r="DW153" s="1">
        <f>(1+(N70_DESARROLLO!AW68/0.014285714)*LN(N70_DESARROLLO!AX68/N70_DESARROLLO!AW68))</f>
        <v>-3.3716325403750469E-2</v>
      </c>
      <c r="DX153" s="1">
        <f>(1+(N70_DESARROLLO!AX68/0.014285714)*LN(N70_DESARROLLO!AY68/N70_DESARROLLO!AX68))</f>
        <v>-3.6154998464198451E-2</v>
      </c>
      <c r="DY153" s="1">
        <f>(1+(N70_DESARROLLO!AY68/0.014285714)*LN(N70_DESARROLLO!AZ68/N70_DESARROLLO!AY68))</f>
        <v>-3.8974076117218814E-2</v>
      </c>
      <c r="DZ153" s="1">
        <f>(1+(N70_DESARROLLO!AZ68/0.014285714)*LN(N70_DESARROLLO!BA68/N70_DESARROLLO!AZ68))</f>
        <v>-4.2270132583536846E-2</v>
      </c>
      <c r="EA153" s="1">
        <f>(1+(N70_DESARROLLO!BA68/0.014285714)*LN(N70_DESARROLLO!BB68/N70_DESARROLLO!BA68))</f>
        <v>-4.6175470289371079E-2</v>
      </c>
      <c r="EB153" s="1">
        <f>(1+(N70_DESARROLLO!BB68/0.014285714)*LN(N70_DESARROLLO!BC68/N70_DESARROLLO!BB68))</f>
        <v>-5.087633586583995E-2</v>
      </c>
      <c r="EC153" s="1">
        <f>(1+(N70_DESARROLLO!BC68/0.014285714)*LN(N70_DESARROLLO!BD68/N70_DESARROLLO!BC68))</f>
        <v>-5.6643554680007036E-2</v>
      </c>
      <c r="ED153" s="1">
        <f>(1+(N70_DESARROLLO!BD68/0.014285714)*LN(N70_DESARROLLO!BE68/N70_DESARROLLO!BD68))</f>
        <v>-6.3886736386781884E-2</v>
      </c>
      <c r="EE153" s="1">
        <f>(1+(N70_DESARROLLO!BE68/0.014285714)*LN(N70_DESARROLLO!BF68/N70_DESARROLLO!BE68))</f>
        <v>-7.3256348770182056E-2</v>
      </c>
      <c r="EF153" s="1">
        <f>(1+(N70_DESARROLLO!BF68/0.014285714)*LN(N70_DESARROLLO!BG68/N70_DESARROLLO!BF68))</f>
        <v>-8.5851572027607848E-2</v>
      </c>
      <c r="EG153" s="1">
        <f>(1+(N70_DESARROLLO!BG68/0.014285714)*LN(N70_DESARROLLO!BH68/N70_DESARROLLO!BG68))</f>
        <v>-0.10368884711560411</v>
      </c>
      <c r="EH153" s="1">
        <f>(1+(N70_DESARROLLO!BH68/0.014285714)*LN(N70_DESARROLLO!BI68/N70_DESARROLLO!BH68))</f>
        <v>-0.13091494988238184</v>
      </c>
      <c r="EI153" s="1">
        <f>(1+(N70_DESARROLLO!BI68/0.014285714)*LN(N70_DESARROLLO!BJ68/N70_DESARROLLO!BI68))</f>
        <v>-0.17765285172729728</v>
      </c>
      <c r="EJ153" s="1">
        <f>(1+(N70_DESARROLLO!BJ68/0.014285714)*LN(N70_DESARROLLO!BK68/N70_DESARROLLO!BJ68))</f>
        <v>-0.27706408495626578</v>
      </c>
      <c r="EK153" s="1">
        <f>(1+(N70_DESARROLLO!BK68/0.014285714)*LN(N70_DESARROLLO!BL68/N70_DESARROLLO!BK68))</f>
        <v>-0.64791846596052816</v>
      </c>
      <c r="EL153" s="1">
        <v>1</v>
      </c>
      <c r="EM153" s="1">
        <f>(1+(N70_DESARROLLO!BM68/0.014285714)*LN(N70_DESARROLLO!BN68/N70_DESARROLLO!BM68))</f>
        <v>0.45069384467982065</v>
      </c>
      <c r="EN153" s="1">
        <f>(1+(N70_DESARROLLO!BN68/0.014285714)*LN(N70_DESARROLLO!BO68/N70_DESARROLLO!BN68))</f>
        <v>0.23376154902624224</v>
      </c>
      <c r="EO153" s="1">
        <f>(1+(N70_DESARROLLO!BO68/0.014285714)*LN(N70_DESARROLLO!BP68/N70_DESARROLLO!BO68))</f>
        <v>0.15881939162335779</v>
      </c>
      <c r="EP153" s="1">
        <f>(1+(N70_DESARROLLO!BP68/0.014285714)*LN(N70_DESARROLLO!BQ68/N70_DESARROLLO!BP68))</f>
        <v>0.12039948342481499</v>
      </c>
      <c r="EQ153" s="1">
        <f>(1+(N70_DESARROLLO!BQ68/0.014285714)*LN(N70_DESARROLLO!BR68/N70_DESARROLLO!BQ68))</f>
        <v>9.6981852359959819E-2</v>
      </c>
      <c r="ER153" s="1">
        <f>(1+(N70_DESARROLLO!BR68/0.014285714)*LN(N70_DESARROLLO!BS68/N70_DESARROLLO!BR68))</f>
        <v>8.1202515976639411E-2</v>
      </c>
      <c r="ES153" s="1">
        <f>(1+(N70_DESARROLLO!BS68/0.014285714)*LN(N70_DESARROLLO!BT68/N70_DESARROLLO!BS68))</f>
        <v>6.9844497732510114E-2</v>
      </c>
      <c r="ET153" s="1">
        <f>(1+(N70_DESARROLLO!BT68/0.014285714)*LN(N70_DESARROLLO!BU68/N70_DESARROLLO!BT68))</f>
        <v>6.1276409070485593E-2</v>
      </c>
      <c r="EU153" s="1">
        <f>(1+(N70_DESARROLLO!BU68/0.014285714)*LN(N70_DESARROLLO!BV68/N70_DESARROLLO!BU68))</f>
        <v>5.4582082654730635E-2</v>
      </c>
      <c r="EV153" s="1">
        <f>(1+(N70_DESARROLLO!BV68/0.014285714)*LN(N70_DESARROLLO!BW68/N70_DESARROLLO!BV68))</f>
        <v>4.9207124692810855E-2</v>
      </c>
      <c r="EW153" s="1">
        <f>(1+(N70_DESARROLLO!BW68/0.014285714)*LN(N70_DESARROLLO!BX68/N70_DESARROLLO!BW68))</f>
        <v>-18.919760239696963</v>
      </c>
    </row>
    <row r="154" spans="7:153" x14ac:dyDescent="0.25">
      <c r="G154" s="3">
        <v>60</v>
      </c>
      <c r="H154" s="3">
        <f>-(N70_DESARROLLO!G69/0.014285714)*LN(N70_DESARROLLO!G69/N70_DESARROLLO!F69)-1</f>
        <v>-8.4508188132838002E-3</v>
      </c>
      <c r="I154" s="3">
        <f>-(N70_DESARROLLO!H69/0.014285714)*LN(N70_DESARROLLO!H69/N70_DESARROLLO!G69)-1</f>
        <v>-8.5961101878212487E-3</v>
      </c>
      <c r="J154" s="3">
        <f>-(N70_DESARROLLO!I69/0.014285714)*LN(N70_DESARROLLO!I69/N70_DESARROLLO!H69)-1</f>
        <v>-8.7464848985490118E-3</v>
      </c>
      <c r="K154" s="3">
        <f>-(N70_DESARROLLO!J69/0.014285714)*LN(N70_DESARROLLO!J69/N70_DESARROLLO!I69)-1</f>
        <v>-8.9022144776856882E-3</v>
      </c>
      <c r="L154" s="3">
        <f>-(N70_DESARROLLO!K69/0.014285714)*LN(N70_DESARROLLO!K69/N70_DESARROLLO!J69)-1</f>
        <v>-9.0635901473971048E-3</v>
      </c>
      <c r="M154" s="3">
        <f>-(N70_DESARROLLO!L69/0.014285714)*LN(N70_DESARROLLO!L69/N70_DESARROLLO!K69)-1</f>
        <v>-9.2309246374047138E-3</v>
      </c>
      <c r="N154" s="3">
        <f>-(N70_DESARROLLO!M69/0.014285714)*LN(N70_DESARROLLO!M69/N70_DESARROLLO!L69)-1</f>
        <v>-9.4045542079997935E-3</v>
      </c>
      <c r="O154" s="3">
        <f>-(N70_DESARROLLO!N69/0.014285714)*LN(N70_DESARROLLO!N69/N70_DESARROLLO!M69)-1</f>
        <v>-9.5848409054832828E-3</v>
      </c>
      <c r="P154" s="3">
        <f>-(N70_DESARROLLO!O69/0.014285714)*LN(N70_DESARROLLO!O69/N70_DESARROLLO!N69)-1</f>
        <v>-9.7721750824455444E-3</v>
      </c>
      <c r="Q154" s="3">
        <f>-(N70_DESARROLLO!P69/0.014285714)*LN(N70_DESARROLLO!P69/N70_DESARROLLO!O69)-1</f>
        <v>-9.9669782191917911E-3</v>
      </c>
      <c r="R154" s="3">
        <f>-(N70_DESARROLLO!Q69/0.014285714)*LN(N70_DESARROLLO!Q69/N70_DESARROLLO!P69)-1</f>
        <v>-1.0169706089854125E-2</v>
      </c>
      <c r="S154" s="3">
        <f>-(N70_DESARROLLO!R69/0.014285714)*LN(N70_DESARROLLO!R69/N70_DESARROLLO!Q69)-1</f>
        <v>-1.0380852322626088E-2</v>
      </c>
      <c r="T154" s="3">
        <f>-(N70_DESARROLLO!S69/0.014285714)*LN(N70_DESARROLLO!S69/N70_DESARROLLO!R69)-1</f>
        <v>-1.0600952413268083E-2</v>
      </c>
      <c r="U154" s="3">
        <f>-(N70_DESARROLLO!T69/0.014285714)*LN(N70_DESARROLLO!T69/N70_DESARROLLO!S69)-1</f>
        <v>-1.0830588260149487E-2</v>
      </c>
      <c r="V154" s="3">
        <f>-(N70_DESARROLLO!U69/0.014285714)*LN(N70_DESARROLLO!U69/N70_DESARROLLO!T69)-1</f>
        <v>-1.1070393301797377E-2</v>
      </c>
      <c r="W154" s="3">
        <f>-(N70_DESARROLLO!V69/0.014285714)*LN(N70_DESARROLLO!V69/N70_DESARROLLO!U69)-1</f>
        <v>-1.1321058352732338E-2</v>
      </c>
      <c r="X154" s="3">
        <f>-(N70_DESARROLLO!W69/0.014285714)*LN(N70_DESARROLLO!W69/N70_DESARROLLO!V69)-1</f>
        <v>-1.1583338250304442E-2</v>
      </c>
      <c r="Y154" s="3">
        <f>-(N70_DESARROLLO!X69/0.014285714)*LN(N70_DESARROLLO!X69/N70_DESARROLLO!W69)-1</f>
        <v>-1.185805944784557E-2</v>
      </c>
      <c r="Z154" s="3">
        <f>-(N70_DESARROLLO!Y69/0.014285714)*LN(N70_DESARROLLO!Y69/N70_DESARROLLO!X69)-1</f>
        <v>-1.2146128714473514E-2</v>
      </c>
      <c r="AA154" s="3">
        <f>-(N70_DESARROLLO!Z69/0.014285714)*LN(N70_DESARROLLO!Z69/N70_DESARROLLO!Y69)-1</f>
        <v>-1.2448543134993217E-2</v>
      </c>
      <c r="AB154" s="3">
        <f>-(N70_DESARROLLO!AA69/0.014285714)*LN(N70_DESARROLLO!AA69/N70_DESARROLLO!Z69)-1</f>
        <v>-1.2766401641831959E-2</v>
      </c>
      <c r="AC154" s="3">
        <f>-(N70_DESARROLLO!AB69/0.014285714)*LN(N70_DESARROLLO!AB69/N70_DESARROLLO!AA69)-1</f>
        <v>-1.3100918360510971E-2</v>
      </c>
      <c r="AD154" s="3">
        <f>-(N70_DESARROLLO!AC69/0.014285714)*LN(N70_DESARROLLO!AC69/N70_DESARROLLO!AB69)-1</f>
        <v>-1.3453438110011762E-2</v>
      </c>
      <c r="AE154" s="3">
        <f>-(N70_DESARROLLO!AD69/0.014285714)*LN(N70_DESARROLLO!AD69/N70_DESARROLLO!AC69)-1</f>
        <v>-1.3825454475325571E-2</v>
      </c>
      <c r="AF154" s="3">
        <f>-(N70_DESARROLLO!AE69/0.014285714)*LN(N70_DESARROLLO!AE69/N70_DESARROLLO!AD69)-1</f>
        <v>-1.4218630964440648E-2</v>
      </c>
      <c r="AG154" s="3">
        <f>-(N70_DESARROLLO!AF69/0.014285714)*LN(N70_DESARROLLO!AF69/N70_DESARROLLO!AE69)-1</f>
        <v>-1.4634825881869595E-2</v>
      </c>
      <c r="AH154" s="3">
        <f>-(N70_DESARROLLO!AG69/0.014285714)*LN(N70_DESARROLLO!AG69/N70_DESARROLLO!AF69)-1</f>
        <v>-1.5076121703336054E-2</v>
      </c>
      <c r="AI154" s="3">
        <f>-(N70_DESARROLLO!AH69/0.014285714)*LN(N70_DESARROLLO!AH69/N70_DESARROLLO!AG69)-1</f>
        <v>-1.5544859931607813E-2</v>
      </c>
      <c r="AJ154" s="3">
        <f>-(N70_DESARROLLO!AI69/0.014285714)*LN(N70_DESARROLLO!AI69/N70_DESARROLLO!AH69)-1</f>
        <v>-1.6043682665119796E-2</v>
      </c>
      <c r="AK154" s="3">
        <f>-(N70_DESARROLLO!AJ69/0.014285714)*LN(N70_DESARROLLO!AJ69/N70_DESARROLLO!AI69)-1</f>
        <v>-1.6575582437552416E-2</v>
      </c>
      <c r="AL154" s="3">
        <f>-(N70_DESARROLLO!AK69/0.014285714)*LN(N70_DESARROLLO!AK69/N70_DESARROLLO!AJ69)-1</f>
        <v>-1.7143962314553618E-2</v>
      </c>
      <c r="AM154" s="3">
        <f>-(N70_DESARROLLO!AL69/0.014285714)*LN(N70_DESARROLLO!AL69/N70_DESARROLLO!AK69)-1</f>
        <v>-1.7752708797875383E-2</v>
      </c>
      <c r="AN154" s="3">
        <f>-(N70_DESARROLLO!AM69/0.014285714)*LN(N70_DESARROLLO!AM69/N70_DESARROLLO!AL69)-1</f>
        <v>-1.8406280838874522E-2</v>
      </c>
      <c r="AO154" s="3">
        <f>-(N70_DESARROLLO!AN69/0.014285714)*LN(N70_DESARROLLO!AN69/N70_DESARROLLO!AM69)-1</f>
        <v>-1.9109819273397055E-2</v>
      </c>
      <c r="AP154" s="3">
        <f>-(N70_DESARROLLO!AO69/0.014285714)*LN(N70_DESARROLLO!AO69/N70_DESARROLLO!AN69)-1</f>
        <v>-1.9869282361757001E-2</v>
      </c>
      <c r="AQ154" s="3">
        <f>-(N70_DESARROLLO!AP69/0.014285714)*LN(N70_DESARROLLO!AP69/N70_DESARROLLO!AO69)-1</f>
        <v>-2.0691615000488106E-2</v>
      </c>
      <c r="AR154" s="3">
        <f>-(N70_DESARROLLO!AQ69/0.014285714)*LN(N70_DESARROLLO!AQ69/N70_DESARROLLO!AP69)-1</f>
        <v>-2.1584961787571522E-2</v>
      </c>
      <c r="AS154" s="3">
        <f>-(N70_DESARROLLO!AR69/0.014285714)*LN(N70_DESARROLLO!AR69/N70_DESARROLLO!AQ69)-1</f>
        <v>-2.2558937800899459E-2</v>
      </c>
      <c r="AT154" s="3">
        <f>-(N70_DESARROLLO!AS69/0.014285714)*LN(N70_DESARROLLO!AS69/N70_DESARROLLO!AR69)-1</f>
        <v>-2.3624976192775815E-2</v>
      </c>
      <c r="AU154" s="3">
        <f>-(N70_DESARROLLO!AT69/0.014285714)*LN(N70_DESARROLLO!AT69/N70_DESARROLLO!AS69)-1</f>
        <v>-2.4796779290042426E-2</v>
      </c>
      <c r="AV154" s="3">
        <f>-(N70_DESARROLLO!AU69/0.014285714)*LN(N70_DESARROLLO!AU69/N70_DESARROLLO!AT69)-1</f>
        <v>-2.6090911041506626E-2</v>
      </c>
      <c r="AW154" s="3">
        <f>-(N70_DESARROLLO!AV69/0.014285714)*LN(N70_DESARROLLO!AV69/N70_DESARROLLO!AU69)-1</f>
        <v>-2.7527585341367344E-2</v>
      </c>
      <c r="AX154" s="3">
        <f>-(N70_DESARROLLO!AW69/0.014285714)*LN(N70_DESARROLLO!AW69/N70_DESARROLLO!AV69)-1</f>
        <v>-2.9131730204236206E-2</v>
      </c>
      <c r="AY154" s="3">
        <f>-(N70_DESARROLLO!AX69/0.014285714)*LN(N70_DESARROLLO!AX69/N70_DESARROLLO!AW69)-1</f>
        <v>-3.0934447408007437E-2</v>
      </c>
      <c r="AZ154" s="3">
        <f>-(N70_DESARROLLO!AY69/0.014285714)*LN(N70_DESARROLLO!AY69/N70_DESARROLLO!AX69)-1</f>
        <v>-3.2975050428757924E-2</v>
      </c>
      <c r="BA154" s="3">
        <f>-(N70_DESARROLLO!AZ69/0.014285714)*LN(N70_DESARROLLO!AZ69/N70_DESARROLLO!AY69)-1</f>
        <v>-3.5303966947118792E-2</v>
      </c>
      <c r="BB154" s="3">
        <f>-(N70_DESARROLLO!BA69/0.014285714)*LN(N70_DESARROLLO!BA69/N70_DESARROLLO!AZ69)-1</f>
        <v>-3.7986966558138158E-2</v>
      </c>
      <c r="BC154" s="3">
        <f>-(N70_DESARROLLO!BB69/0.014285714)*LN(N70_DESARROLLO!BB69/N70_DESARROLLO!BA69)-1</f>
        <v>-4.1111478023138859E-2</v>
      </c>
      <c r="BD154" s="3">
        <f>-(N70_DESARROLLO!BC69/0.014285714)*LN(N70_DESARROLLO!BC69/N70_DESARROLLO!BB69)-1</f>
        <v>-4.4796309735798956E-2</v>
      </c>
      <c r="BE154" s="3">
        <f>-(N70_DESARROLLO!BD69/0.014285714)*LN(N70_DESARROLLO!BD69/N70_DESARROLLO!BC69)-1</f>
        <v>-4.9207124692804083E-2</v>
      </c>
      <c r="BF154" s="3">
        <f>-(N70_DESARROLLO!BE69/0.014285714)*LN(N70_DESARROLLO!BE69/N70_DESARROLLO!BD69)-1</f>
        <v>-5.4582082654737407E-2</v>
      </c>
      <c r="BG154" s="3">
        <f>-(N70_DESARROLLO!BF69/0.014285714)*LN(N70_DESARROLLO!BF69/N70_DESARROLLO!BE69)-1</f>
        <v>-6.1276409070479487E-2</v>
      </c>
      <c r="BH154" s="3">
        <f>-(N70_DESARROLLO!BG69/0.014285714)*LN(N70_DESARROLLO!BG69/N70_DESARROLLO!BF69)-1</f>
        <v>-6.9844497732515998E-2</v>
      </c>
      <c r="BI154" s="3">
        <f>-(N70_DESARROLLO!BH69/0.014285714)*LN(N70_DESARROLLO!BH69/N70_DESARROLLO!BG69)-1</f>
        <v>-8.1202515976639078E-2</v>
      </c>
      <c r="BJ154" s="3">
        <f>-(N70_DESARROLLO!BI69/0.014285714)*LN(N70_DESARROLLO!BI69/N70_DESARROLLO!BH69)-1</f>
        <v>-9.6981852359953602E-2</v>
      </c>
      <c r="BK154" s="3">
        <f>-(N70_DESARROLLO!BJ69/0.014285714)*LN(N70_DESARROLLO!BJ69/N70_DESARROLLO!BI69)-1</f>
        <v>-0.12039948342482121</v>
      </c>
      <c r="BL154" s="3">
        <f>-(N70_DESARROLLO!BK69/0.014285714)*LN(N70_DESARROLLO!BK69/N70_DESARROLLO!BJ69)-1</f>
        <v>-0.15881939162335246</v>
      </c>
      <c r="BM154" s="3">
        <f>-(N70_DESARROLLO!BL69/0.014285714)*LN(N70_DESARROLLO!BL69/N70_DESARROLLO!BK69)-1</f>
        <v>-0.23376154902624657</v>
      </c>
      <c r="BN154" s="3">
        <f>-(N70_DESARROLLO!BM69/0.014285714)*LN(N70_DESARROLLO!BM69/N70_DESARROLLO!BL69)-1</f>
        <v>-0.45069384467982143</v>
      </c>
      <c r="BO154" s="3">
        <v>-1</v>
      </c>
      <c r="BP154" s="3">
        <f>-(N70_DESARROLLO!BO69/0.014285714)*LN(N70_DESARROLLO!BO69/N70_DESARROLLO!BN69)-1</f>
        <v>0.64791846596054437</v>
      </c>
      <c r="BQ154" s="3">
        <f>-(N70_DESARROLLO!BP69/0.014285714)*LN(N70_DESARROLLO!BP69/N70_DESARROLLO!BO69)-1</f>
        <v>0.2770640849562529</v>
      </c>
      <c r="BR154" s="3">
        <f>-(N70_DESARROLLO!BQ69/0.014285714)*LN(N70_DESARROLLO!BQ69/N70_DESARROLLO!BP69)-1</f>
        <v>0.17765285172730816</v>
      </c>
      <c r="BS154" s="3">
        <f>-(N70_DESARROLLO!BR69/0.014285714)*LN(N70_DESARROLLO!BR69/N70_DESARROLLO!BQ69)-1</f>
        <v>0.13091494988237184</v>
      </c>
      <c r="BT154" s="3">
        <f>-(N70_DESARROLLO!BS69/0.014285714)*LN(N70_DESARROLLO!BS69/N70_DESARROLLO!BR69)-1</f>
        <v>0.10368884711560411</v>
      </c>
      <c r="BU154" s="3">
        <f>-(N70_DESARROLLO!BT69/0.014285714)*LN(N70_DESARROLLO!BT69/N70_DESARROLLO!BS69)-1</f>
        <v>8.5851572027616951E-2</v>
      </c>
      <c r="BV154" s="3">
        <f>-(N70_DESARROLLO!BU69/0.014285714)*LN(N70_DESARROLLO!BU69/N70_DESARROLLO!BT69)-1</f>
        <v>7.3256348770172952E-2</v>
      </c>
      <c r="BW154" s="3">
        <f>-(N70_DESARROLLO!BV69/0.014285714)*LN(N70_DESARROLLO!BV69/N70_DESARROLLO!BU69)-1</f>
        <v>6.3886736386790766E-2</v>
      </c>
      <c r="BX154" s="3">
        <f>-(N70_DESARROLLO!BW69/0.014285714)*LN(N70_DESARROLLO!BW69/N70_DESARROLLO!BV69)-1</f>
        <v>5.664355467999882E-2</v>
      </c>
      <c r="BY154" s="3">
        <f>-(N70_DESARROLLO!BX69/0.014285714)*LN(N70_DESARROLLO!BX69/N70_DESARROLLO!BW69)-1</f>
        <v>138.80424383708538</v>
      </c>
      <c r="CD154" s="1">
        <v>60</v>
      </c>
      <c r="CE154" s="1">
        <v>0</v>
      </c>
      <c r="CF154" s="1">
        <f>(1+(N70_DESARROLLO!F69/0.014285714)*LN(N70_DESARROLLO!G69/N70_DESARROLLO!F69))</f>
        <v>-8.4987398394804625E-3</v>
      </c>
      <c r="CG154" s="1">
        <f>(1+(N70_DESARROLLO!G69/0.014285714)*LN(N70_DESARROLLO!H69/N70_DESARROLLO!G69))</f>
        <v>-8.6456965915209238E-3</v>
      </c>
      <c r="CH154" s="1">
        <f>(1+(N70_DESARROLLO!H69/0.014285714)*LN(N70_DESARROLLO!I69/N70_DESARROLLO!H69))</f>
        <v>-8.7978251032465593E-3</v>
      </c>
      <c r="CI154" s="1">
        <f>(1+(N70_DESARROLLO!I69/0.014285714)*LN(N70_DESARROLLO!J69/N70_DESARROLLO!I69))</f>
        <v>-8.9554032794731953E-3</v>
      </c>
      <c r="CJ154" s="1">
        <f>(1+(N70_DESARROLLO!J69/0.014285714)*LN(N70_DESARROLLO!K69/N70_DESARROLLO!J69))</f>
        <v>-9.1187292994394653E-3</v>
      </c>
      <c r="CK154" s="1">
        <f>(1+(N70_DESARROLLO!K69/0.014285714)*LN(N70_DESARROLLO!L69/N70_DESARROLLO!K69))</f>
        <v>-9.2881235002140183E-3</v>
      </c>
      <c r="CL154" s="1">
        <f>(1+(N70_DESARROLLO!L69/0.014285714)*LN(N70_DESARROLLO!M69/N70_DESARROLLO!L69))</f>
        <v>-9.463930473752491E-3</v>
      </c>
      <c r="CM154" s="1">
        <f>(1+(N70_DESARROLLO!M69/0.014285714)*LN(N70_DESARROLLO!N69/N70_DESARROLLO!M69))</f>
        <v>-9.6465214070318162E-3</v>
      </c>
      <c r="CN154" s="1">
        <f>(1+(N70_DESARROLLO!N69/0.014285714)*LN(N70_DESARROLLO!O69/N70_DESARROLLO!N69))</f>
        <v>-9.8362966981000444E-3</v>
      </c>
      <c r="CO154" s="1">
        <f>(1+(N70_DESARROLLO!O69/0.014285714)*LN(N70_DESARROLLO!P69/N70_DESARROLLO!O69))</f>
        <v>-1.0033688887491232E-2</v>
      </c>
      <c r="CP154" s="1">
        <f>(1+(N70_DESARROLLO!P69/0.014285714)*LN(N70_DESARROLLO!Q69/N70_DESARROLLO!P69))</f>
        <v>-1.0239165949530449E-2</v>
      </c>
      <c r="CQ154" s="1">
        <f>(1+(N70_DESARROLLO!Q69/0.014285714)*LN(N70_DESARROLLO!R69/N70_DESARROLLO!Q69))</f>
        <v>-1.0453234996897542E-2</v>
      </c>
      <c r="CR154" s="1">
        <f>(1+(N70_DESARROLLO!R69/0.014285714)*LN(N70_DESARROLLO!S69/N70_DESARROLLO!R69))</f>
        <v>-1.0676446459564781E-2</v>
      </c>
      <c r="CS154" s="1">
        <f>(1+(N70_DESARROLLO!S69/0.014285714)*LN(N70_DESARROLLO!T69/N70_DESARROLLO!S69))</f>
        <v>-1.0909398811056015E-2</v>
      </c>
      <c r="CT154" s="1">
        <f>(1+(N70_DESARROLLO!T69/0.014285714)*LN(N70_DESARROLLO!U69/N70_DESARROLLO!T69))</f>
        <v>-1.1152743927375752E-2</v>
      </c>
      <c r="CU154" s="1">
        <f>(1+(N70_DESARROLLO!U69/0.014285714)*LN(N70_DESARROLLO!V69/N70_DESARROLLO!U69))</f>
        <v>-1.1407193179388653E-2</v>
      </c>
      <c r="CV154" s="1">
        <f>(1+(N70_DESARROLLO!V69/0.014285714)*LN(N70_DESARROLLO!W69/N70_DESARROLLO!V69))</f>
        <v>-1.1673524379100408E-2</v>
      </c>
      <c r="CW154" s="1">
        <f>(1+(N70_DESARROLLO!W69/0.014285714)*LN(N70_DESARROLLO!X69/N70_DESARROLLO!W69))</f>
        <v>-1.1952589722085794E-2</v>
      </c>
      <c r="CX154" s="1">
        <f>(1+(N70_DESARROLLO!X69/0.014285714)*LN(N70_DESARROLLO!Y69/N70_DESARROLLO!X69))</f>
        <v>-1.2245324897514953E-2</v>
      </c>
      <c r="CY154" s="1">
        <f>(1+(N70_DESARROLLO!Y69/0.014285714)*LN(N70_DESARROLLO!Z69/N70_DESARROLLO!Y69))</f>
        <v>-1.2552759570449767E-2</v>
      </c>
      <c r="CZ154" s="1">
        <f>(1+(N70_DESARROLLO!Z69/0.014285714)*LN(N70_DESARROLLO!AA69/N70_DESARROLLO!Z69))</f>
        <v>-1.2876029484353957E-2</v>
      </c>
      <c r="DA154" s="1">
        <f>(1+(N70_DESARROLLO!AA69/0.014285714)*LN(N70_DESARROLLO!AB69/N70_DESARROLLO!AA69))</f>
        <v>-1.3216390483208995E-2</v>
      </c>
      <c r="DB154" s="1">
        <f>(1+(N70_DESARROLLO!AB69/0.014285714)*LN(N70_DESARROLLO!AC69/N70_DESARROLLO!AB69))</f>
        <v>-1.3575234818481219E-2</v>
      </c>
      <c r="DC154" s="1">
        <f>(1+(N70_DESARROLLO!AC69/0.014285714)*LN(N70_DESARROLLO!AD69/N70_DESARROLLO!AC69))</f>
        <v>-1.3954110187341273E-2</v>
      </c>
      <c r="DD154" s="1">
        <f>(1+(N70_DESARROLLO!AD69/0.014285714)*LN(N70_DESARROLLO!AE69/N70_DESARROLLO!AD69))</f>
        <v>-1.4354742051083003E-2</v>
      </c>
      <c r="DE154" s="1">
        <f>(1+(N70_DESARROLLO!AE69/0.014285714)*LN(N70_DESARROLLO!AF69/N70_DESARROLLO!AE69))</f>
        <v>-1.4779059912701564E-2</v>
      </c>
      <c r="DF154" s="1">
        <f>(1+(N70_DESARROLLO!AF69/0.014285714)*LN(N70_DESARROLLO!AG69/N70_DESARROLLO!AF69))</f>
        <v>-1.5229228398099703E-2</v>
      </c>
      <c r="DG154" s="1">
        <f>(1+(N70_DESARROLLO!AG69/0.014285714)*LN(N70_DESARROLLO!AH69/N70_DESARROLLO!AG69))</f>
        <v>-1.5707684197547644E-2</v>
      </c>
      <c r="DH154" s="1">
        <f>(1+(N70_DESARROLLO!AH69/0.014285714)*LN(N70_DESARROLLO!AI69/N70_DESARROLLO!AH69))</f>
        <v>-1.6217180198318859E-2</v>
      </c>
      <c r="DI154" s="1">
        <f>(1+(N70_DESARROLLO!AI69/0.014285714)*LN(N70_DESARROLLO!AJ69/N70_DESARROLLO!AI69))</f>
        <v>-1.6760838496767905E-2</v>
      </c>
      <c r="DJ154" s="1">
        <f>(1+(N70_DESARROLLO!AJ69/0.014285714)*LN(N70_DESARROLLO!AK69/N70_DESARROLLO!AJ69))</f>
        <v>-1.7342214446339321E-2</v>
      </c>
      <c r="DK154" s="1">
        <f>(1+(N70_DESARROLLO!AK69/0.014285714)*LN(N70_DESARROLLO!AL69/N70_DESARROLLO!AK69))</f>
        <v>-1.7965374518565502E-2</v>
      </c>
      <c r="DL154" s="1">
        <f>(1+(N70_DESARROLLO!AL69/0.014285714)*LN(N70_DESARROLLO!AM69/N70_DESARROLLO!AL69))</f>
        <v>-1.8634991582299865E-2</v>
      </c>
      <c r="DM154" s="1">
        <f>(1+(N70_DESARROLLO!AM69/0.014285714)*LN(N70_DESARROLLO!AN69/N70_DESARROLLO!AM69))</f>
        <v>-1.9356462323724788E-2</v>
      </c>
      <c r="DN154" s="1">
        <f>(1+(N70_DESARROLLO!AN69/0.014285714)*LN(N70_DESARROLLO!AO69/N70_DESARROLLO!AN69))</f>
        <v>-2.0136053052048908E-2</v>
      </c>
      <c r="DO154" s="1">
        <f>(1+(N70_DESARROLLO!AO69/0.014285714)*LN(N70_DESARROLLO!AP69/N70_DESARROLLO!AO69))</f>
        <v>-2.0981082233533677E-2</v>
      </c>
      <c r="DP154" s="1">
        <f>(1+(N70_DESARROLLO!AP69/0.014285714)*LN(N70_DESARROLLO!AQ69/N70_DESARROLLO!AP69))</f>
        <v>-2.1900151021869707E-2</v>
      </c>
      <c r="DQ154" s="1">
        <f>(1+(N70_DESARROLLO!AQ69/0.014285714)*LN(N70_DESARROLLO!AR69/N70_DESARROLLO!AQ69))</f>
        <v>-2.2903437185105124E-2</v>
      </c>
      <c r="DR154" s="1">
        <f>(1+(N70_DESARROLLO!AR69/0.014285714)*LN(N70_DESARROLLO!AS69/N70_DESARROLLO!AR69))</f>
        <v>-2.4003073749040205E-2</v>
      </c>
      <c r="DS154" s="1">
        <f>(1+(N70_DESARROLLO!AS69/0.014285714)*LN(N70_DESARROLLO!AT69/N70_DESARROLLO!AS69))</f>
        <v>-2.5213642284827031E-2</v>
      </c>
      <c r="DT154" s="1">
        <f>(1+(N70_DESARROLLO!AT69/0.014285714)*LN(N70_DESARROLLO!AU69/N70_DESARROLLO!AT69))</f>
        <v>-2.6552823496790445E-2</v>
      </c>
      <c r="DU154" s="1">
        <f>(1+(N70_DESARROLLO!AU69/0.014285714)*LN(N70_DESARROLLO!AV69/N70_DESARROLLO!AU69))</f>
        <v>-2.8042266924840131E-2</v>
      </c>
      <c r="DV154" s="1">
        <f>(1+(N70_DESARROLLO!AV69/0.014285714)*LN(N70_DESARROLLO!AW69/N70_DESARROLLO!AV69))</f>
        <v>-2.9708770995507061E-2</v>
      </c>
      <c r="DW154" s="1">
        <f>(1+(N70_DESARROLLO!AW69/0.014285714)*LN(N70_DESARROLLO!AX69/N70_DESARROLLO!AW69))</f>
        <v>-3.1585910823734187E-2</v>
      </c>
      <c r="DX154" s="1">
        <f>(1+(N70_DESARROLLO!AX69/0.014285714)*LN(N70_DESARROLLO!AY69/N70_DESARROLLO!AX69))</f>
        <v>-3.3716325403741365E-2</v>
      </c>
      <c r="DY154" s="1">
        <f>(1+(N70_DESARROLLO!AY69/0.014285714)*LN(N70_DESARROLLO!AZ69/N70_DESARROLLO!AY69))</f>
        <v>-3.6154998464206001E-2</v>
      </c>
      <c r="DZ154" s="1">
        <f>(1+(N70_DESARROLLO!AZ69/0.014285714)*LN(N70_DESARROLLO!BA69/N70_DESARROLLO!AZ69))</f>
        <v>-3.8974076117210377E-2</v>
      </c>
      <c r="EA154" s="1">
        <f>(1+(N70_DESARROLLO!BA69/0.014285714)*LN(N70_DESARROLLO!BB69/N70_DESARROLLO!BA69))</f>
        <v>-4.2270132583545061E-2</v>
      </c>
      <c r="EB154" s="1">
        <f>(1+(N70_DESARROLLO!BB69/0.014285714)*LN(N70_DESARROLLO!BC69/N70_DESARROLLO!BB69))</f>
        <v>-4.6175470289362641E-2</v>
      </c>
      <c r="EC154" s="1">
        <f>(1+(N70_DESARROLLO!BC69/0.014285714)*LN(N70_DESARROLLO!BD69/N70_DESARROLLO!BC69))</f>
        <v>-5.087633586584861E-2</v>
      </c>
      <c r="ED154" s="1">
        <f>(1+(N70_DESARROLLO!BD69/0.014285714)*LN(N70_DESARROLLO!BE69/N70_DESARROLLO!BD69))</f>
        <v>-5.664355467999882E-2</v>
      </c>
      <c r="EE154" s="1">
        <f>(1+(N70_DESARROLLO!BE69/0.014285714)*LN(N70_DESARROLLO!BF69/N70_DESARROLLO!BE69))</f>
        <v>-6.3886736386790544E-2</v>
      </c>
      <c r="EF154" s="1">
        <f>(1+(N70_DESARROLLO!BF69/0.014285714)*LN(N70_DESARROLLO!BG69/N70_DESARROLLO!BF69))</f>
        <v>-7.3256348770173396E-2</v>
      </c>
      <c r="EG154" s="1">
        <f>(1+(N70_DESARROLLO!BG69/0.014285714)*LN(N70_DESARROLLO!BH69/N70_DESARROLLO!BG69))</f>
        <v>-8.5851572027607403E-2</v>
      </c>
      <c r="EH154" s="1">
        <f>(1+(N70_DESARROLLO!BH69/0.014285714)*LN(N70_DESARROLLO!BI69/N70_DESARROLLO!BH69))</f>
        <v>-0.10368884711561321</v>
      </c>
      <c r="EI154" s="1">
        <f>(1+(N70_DESARROLLO!BI69/0.014285714)*LN(N70_DESARROLLO!BJ69/N70_DESARROLLO!BI69))</f>
        <v>-0.13091494988237162</v>
      </c>
      <c r="EJ154" s="1">
        <f>(1+(N70_DESARROLLO!BJ69/0.014285714)*LN(N70_DESARROLLO!BK69/N70_DESARROLLO!BJ69))</f>
        <v>-0.17765285172730816</v>
      </c>
      <c r="EK154" s="1">
        <f>(1+(N70_DESARROLLO!BK69/0.014285714)*LN(N70_DESARROLLO!BL69/N70_DESARROLLO!BK69))</f>
        <v>-0.27706408495625312</v>
      </c>
      <c r="EL154" s="1">
        <f>(1+(N70_DESARROLLO!BL69/0.014285714)*LN(N70_DESARROLLO!BM69/N70_DESARROLLO!BL69))</f>
        <v>-0.64791846596054437</v>
      </c>
      <c r="EM154" s="1">
        <v>1</v>
      </c>
      <c r="EN154" s="1">
        <f>(1+(N70_DESARROLLO!BN69/0.014285714)*LN(N70_DESARROLLO!BO69/N70_DESARROLLO!BN69))</f>
        <v>0.45069384467982143</v>
      </c>
      <c r="EO154" s="1">
        <f>(1+(N70_DESARROLLO!BO69/0.014285714)*LN(N70_DESARROLLO!BP69/N70_DESARROLLO!BO69))</f>
        <v>0.2337615490262468</v>
      </c>
      <c r="EP154" s="1">
        <f>(1+(N70_DESARROLLO!BP69/0.014285714)*LN(N70_DESARROLLO!BQ69/N70_DESARROLLO!BP69))</f>
        <v>0.15881939162335246</v>
      </c>
      <c r="EQ154" s="1">
        <f>(1+(N70_DESARROLLO!BQ69/0.014285714)*LN(N70_DESARROLLO!BR69/N70_DESARROLLO!BQ69))</f>
        <v>0.12039948342482099</v>
      </c>
      <c r="ER154" s="1">
        <f>(1+(N70_DESARROLLO!BR69/0.014285714)*LN(N70_DESARROLLO!BS69/N70_DESARROLLO!BR69))</f>
        <v>9.6981852359959819E-2</v>
      </c>
      <c r="ES154" s="1">
        <f>(1+(N70_DESARROLLO!BS69/0.014285714)*LN(N70_DESARROLLO!BT69/N70_DESARROLLO!BS69))</f>
        <v>8.1202515976632528E-2</v>
      </c>
      <c r="ET154" s="1">
        <f>(1+(N70_DESARROLLO!BT69/0.014285714)*LN(N70_DESARROLLO!BU69/N70_DESARROLLO!BT69))</f>
        <v>6.9844497732516331E-2</v>
      </c>
      <c r="EU154" s="1">
        <f>(1+(N70_DESARROLLO!BU69/0.014285714)*LN(N70_DESARROLLO!BV69/N70_DESARROLLO!BU69))</f>
        <v>6.1276409070479265E-2</v>
      </c>
      <c r="EV154" s="1">
        <f>(1+(N70_DESARROLLO!BV69/0.014285714)*LN(N70_DESARROLLO!BW69/N70_DESARROLLO!BV69))</f>
        <v>5.4582082654737407E-2</v>
      </c>
      <c r="EW154" s="1">
        <f>(1+(N70_DESARROLLO!BW69/0.014285714)*LN(N70_DESARROLLO!BX69/N70_DESARROLLO!BW69))</f>
        <v>-17.973433092175867</v>
      </c>
    </row>
    <row r="155" spans="7:153" x14ac:dyDescent="0.25">
      <c r="G155" s="3">
        <v>61</v>
      </c>
      <c r="H155" s="3">
        <f>-(N70_DESARROLLO!G70/0.014285714)*LN(N70_DESARROLLO!G70/N70_DESARROLLO!F70)-1</f>
        <v>-8.3103572961139571E-3</v>
      </c>
      <c r="I155" s="3">
        <f>-(N70_DESARROLLO!H70/0.014285714)*LN(N70_DESARROLLO!H70/N70_DESARROLLO!G70)-1</f>
        <v>-8.4508188132771389E-3</v>
      </c>
      <c r="J155" s="3">
        <f>-(N70_DESARROLLO!I70/0.014285714)*LN(N70_DESARROLLO!I70/N70_DESARROLLO!H70)-1</f>
        <v>-8.5961101878274659E-3</v>
      </c>
      <c r="K155" s="3">
        <f>-(N70_DESARROLLO!J70/0.014285714)*LN(N70_DESARROLLO!J70/N70_DESARROLLO!I70)-1</f>
        <v>-8.7464848985360222E-3</v>
      </c>
      <c r="L155" s="3">
        <f>-(N70_DESARROLLO!K70/0.014285714)*LN(N70_DESARROLLO!K70/N70_DESARROLLO!J70)-1</f>
        <v>-8.9022144776919054E-3</v>
      </c>
      <c r="M155" s="3">
        <f>-(N70_DESARROLLO!L70/0.014285714)*LN(N70_DESARROLLO!L70/N70_DESARROLLO!K70)-1</f>
        <v>-9.0635901473908875E-3</v>
      </c>
      <c r="N155" s="3">
        <f>-(N70_DESARROLLO!M70/0.014285714)*LN(N70_DESARROLLO!M70/N70_DESARROLLO!L70)-1</f>
        <v>-9.2309246374167042E-3</v>
      </c>
      <c r="O155" s="3">
        <f>-(N70_DESARROLLO!N70/0.014285714)*LN(N70_DESARROLLO!N70/N70_DESARROLLO!M70)-1</f>
        <v>-9.4045542079879141E-3</v>
      </c>
      <c r="P155" s="3">
        <f>-(N70_DESARROLLO!O70/0.014285714)*LN(N70_DESARROLLO!O70/N70_DESARROLLO!N70)-1</f>
        <v>-9.5848409054887229E-3</v>
      </c>
      <c r="Q155" s="3">
        <f>-(N70_DESARROLLO!P70/0.014285714)*LN(N70_DESARROLLO!P70/N70_DESARROLLO!O70)-1</f>
        <v>-9.7721750824453224E-3</v>
      </c>
      <c r="R155" s="3">
        <f>-(N70_DESARROLLO!Q70/0.014285714)*LN(N70_DESARROLLO!Q70/N70_DESARROLLO!P70)-1</f>
        <v>-9.966978219191569E-3</v>
      </c>
      <c r="S155" s="3">
        <f>-(N70_DESARROLLO!R70/0.014285714)*LN(N70_DESARROLLO!R70/N70_DESARROLLO!Q70)-1</f>
        <v>-1.0169706089843134E-2</v>
      </c>
      <c r="T155" s="3">
        <f>-(N70_DESARROLLO!S70/0.014285714)*LN(N70_DESARROLLO!S70/N70_DESARROLLO!R70)-1</f>
        <v>-1.0380852322626088E-2</v>
      </c>
      <c r="U155" s="3">
        <f>-(N70_DESARROLLO!T70/0.014285714)*LN(N70_DESARROLLO!T70/N70_DESARROLLO!S70)-1</f>
        <v>-1.0600952413273301E-2</v>
      </c>
      <c r="V155" s="3">
        <f>-(N70_DESARROLLO!U70/0.014285714)*LN(N70_DESARROLLO!U70/N70_DESARROLLO!T70)-1</f>
        <v>-1.0830588260139273E-2</v>
      </c>
      <c r="W155" s="3">
        <f>-(N70_DESARROLLO!V70/0.014285714)*LN(N70_DESARROLLO!V70/N70_DESARROLLO!U70)-1</f>
        <v>-1.1070393301807147E-2</v>
      </c>
      <c r="X155" s="3">
        <f>-(N70_DESARROLLO!W70/0.014285714)*LN(N70_DESARROLLO!W70/N70_DESARROLLO!V70)-1</f>
        <v>-1.1321058352727453E-2</v>
      </c>
      <c r="Y155" s="3">
        <f>-(N70_DESARROLLO!X70/0.014285714)*LN(N70_DESARROLLO!X70/N70_DESARROLLO!W70)-1</f>
        <v>-1.1583338250309216E-2</v>
      </c>
      <c r="Z155" s="3">
        <f>-(N70_DESARROLLO!Y70/0.014285714)*LN(N70_DESARROLLO!Y70/N70_DESARROLLO!X70)-1</f>
        <v>-1.1858059447845348E-2</v>
      </c>
      <c r="AA155" s="3">
        <f>-(N70_DESARROLLO!Z70/0.014285714)*LN(N70_DESARROLLO!Z70/N70_DESARROLLO!Y70)-1</f>
        <v>-1.2146128714473403E-2</v>
      </c>
      <c r="AB155" s="3">
        <f>-(N70_DESARROLLO!AA70/0.014285714)*LN(N70_DESARROLLO!AA70/N70_DESARROLLO!Z70)-1</f>
        <v>-1.2448543134984225E-2</v>
      </c>
      <c r="AC155" s="3">
        <f>-(N70_DESARROLLO!AB70/0.014285714)*LN(N70_DESARROLLO!AB70/N70_DESARROLLO!AA70)-1</f>
        <v>-1.2766401641831959E-2</v>
      </c>
      <c r="AD155" s="3">
        <f>-(N70_DESARROLLO!AC70/0.014285714)*LN(N70_DESARROLLO!AC70/N70_DESARROLLO!AB70)-1</f>
        <v>-1.3100918360519409E-2</v>
      </c>
      <c r="AE155" s="3">
        <f>-(N70_DESARROLLO!AD70/0.014285714)*LN(N70_DESARROLLO!AD70/N70_DESARROLLO!AC70)-1</f>
        <v>-1.345343811001154E-2</v>
      </c>
      <c r="AF155" s="3">
        <f>-(N70_DESARROLLO!AE70/0.014285714)*LN(N70_DESARROLLO!AE70/N70_DESARROLLO!AD70)-1</f>
        <v>-1.3825454475317467E-2</v>
      </c>
      <c r="AG155" s="3">
        <f>-(N70_DESARROLLO!AF70/0.014285714)*LN(N70_DESARROLLO!AF70/N70_DESARROLLO!AE70)-1</f>
        <v>-1.4218630964444534E-2</v>
      </c>
      <c r="AH155" s="3">
        <f>-(N70_DESARROLLO!AG70/0.014285714)*LN(N70_DESARROLLO!AG70/N70_DESARROLLO!AF70)-1</f>
        <v>-1.4634825881873259E-2</v>
      </c>
      <c r="AI155" s="3">
        <f>-(N70_DESARROLLO!AH70/0.014285714)*LN(N70_DESARROLLO!AH70/N70_DESARROLLO!AG70)-1</f>
        <v>-1.5076121703332279E-2</v>
      </c>
      <c r="AJ155" s="3">
        <f>-(N70_DESARROLLO!AI70/0.014285714)*LN(N70_DESARROLLO!AI70/N70_DESARROLLO!AH70)-1</f>
        <v>-1.5544859931607702E-2</v>
      </c>
      <c r="AK155" s="3">
        <f>-(N70_DESARROLLO!AJ70/0.014285714)*LN(N70_DESARROLLO!AJ70/N70_DESARROLLO!AI70)-1</f>
        <v>-1.6043682665119685E-2</v>
      </c>
      <c r="AL155" s="3">
        <f>-(N70_DESARROLLO!AK70/0.014285714)*LN(N70_DESARROLLO!AK70/N70_DESARROLLO!AJ70)-1</f>
        <v>-1.6575582437552305E-2</v>
      </c>
      <c r="AM155" s="3">
        <f>-(N70_DESARROLLO!AL70/0.014285714)*LN(N70_DESARROLLO!AL70/N70_DESARROLLO!AK70)-1</f>
        <v>-1.7143962314553507E-2</v>
      </c>
      <c r="AN155" s="3">
        <f>-(N70_DESARROLLO!AM70/0.014285714)*LN(N70_DESARROLLO!AM70/N70_DESARROLLO!AL70)-1</f>
        <v>-1.7752708797875161E-2</v>
      </c>
      <c r="AO155" s="3">
        <f>-(N70_DESARROLLO!AN70/0.014285714)*LN(N70_DESARROLLO!AN70/N70_DESARROLLO!AM70)-1</f>
        <v>-1.8406280838874411E-2</v>
      </c>
      <c r="AP155" s="3">
        <f>-(N70_DESARROLLO!AO70/0.014285714)*LN(N70_DESARROLLO!AO70/N70_DESARROLLO!AN70)-1</f>
        <v>-1.9109819273396944E-2</v>
      </c>
      <c r="AQ155" s="3">
        <f>-(N70_DESARROLLO!AP70/0.014285714)*LN(N70_DESARROLLO!AP70/N70_DESARROLLO!AO70)-1</f>
        <v>-1.9869282361759444E-2</v>
      </c>
      <c r="AR155" s="3">
        <f>-(N70_DESARROLLO!AQ70/0.014285714)*LN(N70_DESARROLLO!AQ70/N70_DESARROLLO!AP70)-1</f>
        <v>-2.069161500047989E-2</v>
      </c>
      <c r="AS155" s="3">
        <f>-(N70_DESARROLLO!AR70/0.014285714)*LN(N70_DESARROLLO!AR70/N70_DESARROLLO!AQ70)-1</f>
        <v>-2.1584961787579071E-2</v>
      </c>
      <c r="AT155" s="3">
        <f>-(N70_DESARROLLO!AS70/0.014285714)*LN(N70_DESARROLLO!AS70/N70_DESARROLLO!AR70)-1</f>
        <v>-2.255893780089202E-2</v>
      </c>
      <c r="AU155" s="3">
        <f>-(N70_DESARROLLO!AT70/0.014285714)*LN(N70_DESARROLLO!AT70/N70_DESARROLLO!AS70)-1</f>
        <v>-2.3624976192782587E-2</v>
      </c>
      <c r="AV155" s="3">
        <f>-(N70_DESARROLLO!AU70/0.014285714)*LN(N70_DESARROLLO!AU70/N70_DESARROLLO!AT70)-1</f>
        <v>-2.4796779290035542E-2</v>
      </c>
      <c r="AW155" s="3">
        <f>-(N70_DESARROLLO!AV70/0.014285714)*LN(N70_DESARROLLO!AV70/N70_DESARROLLO!AU70)-1</f>
        <v>-2.6090911041514842E-2</v>
      </c>
      <c r="AX155" s="3">
        <f>-(N70_DESARROLLO!AW70/0.014285714)*LN(N70_DESARROLLO!AW70/N70_DESARROLLO!AV70)-1</f>
        <v>-2.75275853413669E-2</v>
      </c>
      <c r="AY155" s="3">
        <f>-(N70_DESARROLLO!AX70/0.014285714)*LN(N70_DESARROLLO!AX70/N70_DESARROLLO!AW70)-1</f>
        <v>-2.9131730204228323E-2</v>
      </c>
      <c r="AZ155" s="3">
        <f>-(N70_DESARROLLO!AY70/0.014285714)*LN(N70_DESARROLLO!AY70/N70_DESARROLLO!AX70)-1</f>
        <v>-3.0934447408016208E-2</v>
      </c>
      <c r="BA155" s="3">
        <f>-(N70_DESARROLLO!AZ70/0.014285714)*LN(N70_DESARROLLO!AZ70/N70_DESARROLLO!AY70)-1</f>
        <v>-3.2975050428749264E-2</v>
      </c>
      <c r="BB155" s="3">
        <f>-(N70_DESARROLLO!BA70/0.014285714)*LN(N70_DESARROLLO!BA70/N70_DESARROLLO!AZ70)-1</f>
        <v>-3.5303966947126342E-2</v>
      </c>
      <c r="BC155" s="3">
        <f>-(N70_DESARROLLO!BB70/0.014285714)*LN(N70_DESARROLLO!BB70/N70_DESARROLLO!BA70)-1</f>
        <v>-3.7986966558130497E-2</v>
      </c>
      <c r="BD155" s="3">
        <f>-(N70_DESARROLLO!BC70/0.014285714)*LN(N70_DESARROLLO!BC70/N70_DESARROLLO!BB70)-1</f>
        <v>-4.1111478023145187E-2</v>
      </c>
      <c r="BE155" s="3">
        <f>-(N70_DESARROLLO!BD70/0.014285714)*LN(N70_DESARROLLO!BD70/N70_DESARROLLO!BC70)-1</f>
        <v>-4.4796309735792517E-2</v>
      </c>
      <c r="BF155" s="3">
        <f>-(N70_DESARROLLO!BE70/0.014285714)*LN(N70_DESARROLLO!BE70/N70_DESARROLLO!BD70)-1</f>
        <v>-4.920712469281141E-2</v>
      </c>
      <c r="BG155" s="3">
        <f>-(N70_DESARROLLO!BF70/0.014285714)*LN(N70_DESARROLLO!BF70/N70_DESARROLLO!BE70)-1</f>
        <v>-5.458208265473008E-2</v>
      </c>
      <c r="BH155" s="3">
        <f>-(N70_DESARROLLO!BG70/0.014285714)*LN(N70_DESARROLLO!BG70/N70_DESARROLLO!BF70)-1</f>
        <v>-6.1276409070485927E-2</v>
      </c>
      <c r="BI155" s="3">
        <f>-(N70_DESARROLLO!BH70/0.014285714)*LN(N70_DESARROLLO!BH70/N70_DESARROLLO!BG70)-1</f>
        <v>-6.9844497732516553E-2</v>
      </c>
      <c r="BJ155" s="3">
        <f>-(N70_DESARROLLO!BI70/0.014285714)*LN(N70_DESARROLLO!BI70/N70_DESARROLLO!BH70)-1</f>
        <v>-8.1202515976632528E-2</v>
      </c>
      <c r="BK155" s="3">
        <f>-(N70_DESARROLLO!BJ70/0.014285714)*LN(N70_DESARROLLO!BJ70/N70_DESARROLLO!BI70)-1</f>
        <v>-9.6981852359959375E-2</v>
      </c>
      <c r="BL155" s="3">
        <f>-(N70_DESARROLLO!BK70/0.014285714)*LN(N70_DESARROLLO!BK70/N70_DESARROLLO!BJ70)-1</f>
        <v>-0.12039948342481521</v>
      </c>
      <c r="BM155" s="3">
        <f>-(N70_DESARROLLO!BL70/0.014285714)*LN(N70_DESARROLLO!BL70/N70_DESARROLLO!BK70)-1</f>
        <v>-0.15881939162335768</v>
      </c>
      <c r="BN155" s="3">
        <f>-(N70_DESARROLLO!BM70/0.014285714)*LN(N70_DESARROLLO!BM70/N70_DESARROLLO!BL70)-1</f>
        <v>-0.23376154902624224</v>
      </c>
      <c r="BO155" s="3">
        <f>-(N70_DESARROLLO!BN70/0.014285714)*LN(N70_DESARROLLO!BN70/N70_DESARROLLO!BM70)-1</f>
        <v>-0.45069384467982065</v>
      </c>
      <c r="BP155" s="3">
        <v>-1</v>
      </c>
      <c r="BQ155" s="3">
        <f>-(N70_DESARROLLO!BP70/0.014285714)*LN(N70_DESARROLLO!BP70/N70_DESARROLLO!BO70)-1</f>
        <v>0.64791846596052816</v>
      </c>
      <c r="BR155" s="3">
        <f>-(N70_DESARROLLO!BQ70/0.014285714)*LN(N70_DESARROLLO!BQ70/N70_DESARROLLO!BP70)-1</f>
        <v>0.27706408495626578</v>
      </c>
      <c r="BS155" s="3">
        <f>-(N70_DESARROLLO!BR70/0.014285714)*LN(N70_DESARROLLO!BR70/N70_DESARROLLO!BQ70)-1</f>
        <v>0.17765285172729772</v>
      </c>
      <c r="BT155" s="3">
        <f>-(N70_DESARROLLO!BS70/0.014285714)*LN(N70_DESARROLLO!BS70/N70_DESARROLLO!BR70)-1</f>
        <v>0.13091494988237207</v>
      </c>
      <c r="BU155" s="3">
        <f>-(N70_DESARROLLO!BT70/0.014285714)*LN(N70_DESARROLLO!BT70/N70_DESARROLLO!BS70)-1</f>
        <v>0.10368884711561388</v>
      </c>
      <c r="BV155" s="3">
        <f>-(N70_DESARROLLO!BU70/0.014285714)*LN(N70_DESARROLLO!BU70/N70_DESARROLLO!BT70)-1</f>
        <v>8.5851572027606959E-2</v>
      </c>
      <c r="BW155" s="3">
        <f>-(N70_DESARROLLO!BV70/0.014285714)*LN(N70_DESARROLLO!BV70/N70_DESARROLLO!BU70)-1</f>
        <v>7.3256348770181612E-2</v>
      </c>
      <c r="BX155" s="3">
        <f>-(N70_DESARROLLO!BW70/0.014285714)*LN(N70_DESARROLLO!BW70/N70_DESARROLLO!BV70)-1</f>
        <v>6.388673638678144E-2</v>
      </c>
      <c r="BY155" s="3">
        <f>-(N70_DESARROLLO!BX70/0.014285714)*LN(N70_DESARROLLO!BX70/N70_DESARROLLO!BW70)-1</f>
        <v>146.590038450517</v>
      </c>
      <c r="CD155">
        <v>61</v>
      </c>
      <c r="CE155" s="1">
        <v>0</v>
      </c>
      <c r="CF155" s="1">
        <f>(1+(N70_DESARROLLO!F70/0.014285714)*LN(N70_DESARROLLO!G70/N70_DESARROLLO!F70))</f>
        <v>-8.356695522438562E-3</v>
      </c>
      <c r="CG155" s="1">
        <f>(1+(N70_DESARROLLO!G70/0.014285714)*LN(N70_DESARROLLO!H70/N70_DESARROLLO!G70))</f>
        <v>-8.4987398394875679E-3</v>
      </c>
      <c r="CH155" s="1">
        <f>(1+(N70_DESARROLLO!H70/0.014285714)*LN(N70_DESARROLLO!I70/N70_DESARROLLO!H70))</f>
        <v>-8.6456965915144846E-3</v>
      </c>
      <c r="CI155" s="1">
        <f>(1+(N70_DESARROLLO!I70/0.014285714)*LN(N70_DESARROLLO!J70/N70_DESARROLLO!I70))</f>
        <v>-8.797825103259882E-3</v>
      </c>
      <c r="CJ155" s="1">
        <f>(1+(N70_DESARROLLO!J70/0.014285714)*LN(N70_DESARROLLO!K70/N70_DESARROLLO!J70))</f>
        <v>-8.955403279466756E-3</v>
      </c>
      <c r="CK155" s="1">
        <f>(1+(N70_DESARROLLO!K70/0.014285714)*LN(N70_DESARROLLO!L70/N70_DESARROLLO!K70))</f>
        <v>-9.1187292994459046E-3</v>
      </c>
      <c r="CL155" s="1">
        <f>(1+(N70_DESARROLLO!L70/0.014285714)*LN(N70_DESARROLLO!M70/N70_DESARROLLO!L70))</f>
        <v>-9.2881235002018059E-3</v>
      </c>
      <c r="CM155" s="1">
        <f>(1+(N70_DESARROLLO!M70/0.014285714)*LN(N70_DESARROLLO!N70/N70_DESARROLLO!M70))</f>
        <v>-9.4639304737647034E-3</v>
      </c>
      <c r="CN155" s="1">
        <f>(1+(N70_DESARROLLO!N70/0.014285714)*LN(N70_DESARROLLO!O70/N70_DESARROLLO!N70))</f>
        <v>-9.646521407026043E-3</v>
      </c>
      <c r="CO155" s="1">
        <f>(1+(N70_DESARROLLO!O70/0.014285714)*LN(N70_DESARROLLO!P70/N70_DESARROLLO!O70))</f>
        <v>-9.8362966981002664E-3</v>
      </c>
      <c r="CP155" s="1">
        <f>(1+(N70_DESARROLLO!P70/0.014285714)*LN(N70_DESARROLLO!Q70/N70_DESARROLLO!P70))</f>
        <v>-1.0033688887491454E-2</v>
      </c>
      <c r="CQ155" s="1">
        <f>(1+(N70_DESARROLLO!Q70/0.014285714)*LN(N70_DESARROLLO!R70/N70_DESARROLLO!Q70))</f>
        <v>-1.0239165949541773E-2</v>
      </c>
      <c r="CR155" s="1">
        <f>(1+(N70_DESARROLLO!R70/0.014285714)*LN(N70_DESARROLLO!S70/N70_DESARROLLO!R70))</f>
        <v>-1.0453234996897542E-2</v>
      </c>
      <c r="CS155" s="1">
        <f>(1+(N70_DESARROLLO!S70/0.014285714)*LN(N70_DESARROLLO!T70/N70_DESARROLLO!S70))</f>
        <v>-1.0676446459559452E-2</v>
      </c>
      <c r="CT155" s="1">
        <f>(1+(N70_DESARROLLO!T70/0.014285714)*LN(N70_DESARROLLO!U70/N70_DESARROLLO!T70))</f>
        <v>-1.0909398811066673E-2</v>
      </c>
      <c r="CU155" s="1">
        <f>(1+(N70_DESARROLLO!U70/0.014285714)*LN(N70_DESARROLLO!V70/N70_DESARROLLO!U70))</f>
        <v>-1.1152743927365538E-2</v>
      </c>
      <c r="CV155" s="1">
        <f>(1+(N70_DESARROLLO!V70/0.014285714)*LN(N70_DESARROLLO!W70/N70_DESARROLLO!V70))</f>
        <v>-1.140719317939376E-2</v>
      </c>
      <c r="CW155" s="1">
        <f>(1+(N70_DESARROLLO!W70/0.014285714)*LN(N70_DESARROLLO!X70/N70_DESARROLLO!W70))</f>
        <v>-1.1673524379095301E-2</v>
      </c>
      <c r="CX155" s="1">
        <f>(1+(N70_DESARROLLO!X70/0.014285714)*LN(N70_DESARROLLO!Y70/N70_DESARROLLO!X70))</f>
        <v>-1.1952589722085794E-2</v>
      </c>
      <c r="CY155" s="1">
        <f>(1+(N70_DESARROLLO!Y70/0.014285714)*LN(N70_DESARROLLO!Z70/N70_DESARROLLO!Y70))</f>
        <v>-1.2245324897515175E-2</v>
      </c>
      <c r="CZ155" s="1">
        <f>(1+(N70_DESARROLLO!Z70/0.014285714)*LN(N70_DESARROLLO!AA70/N70_DESARROLLO!Z70))</f>
        <v>-1.2552759570459315E-2</v>
      </c>
      <c r="DA155" s="1">
        <f>(1+(N70_DESARROLLO!AA70/0.014285714)*LN(N70_DESARROLLO!AB70/N70_DESARROLLO!AA70))</f>
        <v>-1.2876029484353957E-2</v>
      </c>
      <c r="DB155" s="1">
        <f>(1+(N70_DESARROLLO!AB70/0.014285714)*LN(N70_DESARROLLO!AC70/N70_DESARROLLO!AB70))</f>
        <v>-1.3216390483200113E-2</v>
      </c>
      <c r="DC155" s="1">
        <f>(1+(N70_DESARROLLO!AC70/0.014285714)*LN(N70_DESARROLLO!AD70/N70_DESARROLLO!AC70))</f>
        <v>-1.3575234818481441E-2</v>
      </c>
      <c r="DD155" s="1">
        <f>(1+(N70_DESARROLLO!AD70/0.014285714)*LN(N70_DESARROLLO!AE70/N70_DESARROLLO!AD70))</f>
        <v>-1.3954110187349711E-2</v>
      </c>
      <c r="DE155" s="1">
        <f>(1+(N70_DESARROLLO!AE70/0.014285714)*LN(N70_DESARROLLO!AF70/N70_DESARROLLO!AE70))</f>
        <v>-1.4354742051078784E-2</v>
      </c>
      <c r="DF155" s="1">
        <f>(1+(N70_DESARROLLO!AF70/0.014285714)*LN(N70_DESARROLLO!AG70/N70_DESARROLLO!AF70))</f>
        <v>-1.4779059912697567E-2</v>
      </c>
      <c r="DG155" s="1">
        <f>(1+(N70_DESARROLLO!AG70/0.014285714)*LN(N70_DESARROLLO!AH70/N70_DESARROLLO!AG70))</f>
        <v>-1.52292283981037E-2</v>
      </c>
      <c r="DH155" s="1">
        <f>(1+(N70_DESARROLLO!AH70/0.014285714)*LN(N70_DESARROLLO!AI70/N70_DESARROLLO!AH70))</f>
        <v>-1.5707684197547644E-2</v>
      </c>
      <c r="DI155" s="1">
        <f>(1+(N70_DESARROLLO!AI70/0.014285714)*LN(N70_DESARROLLO!AJ70/N70_DESARROLLO!AI70))</f>
        <v>-1.6217180198318859E-2</v>
      </c>
      <c r="DJ155" s="1">
        <f>(1+(N70_DESARROLLO!AJ70/0.014285714)*LN(N70_DESARROLLO!AK70/N70_DESARROLLO!AJ70))</f>
        <v>-1.6760838496767905E-2</v>
      </c>
      <c r="DK155" s="1">
        <f>(1+(N70_DESARROLLO!AK70/0.014285714)*LN(N70_DESARROLLO!AL70/N70_DESARROLLO!AK70))</f>
        <v>-1.7342214446339321E-2</v>
      </c>
      <c r="DL155" s="1">
        <f>(1+(N70_DESARROLLO!AL70/0.014285714)*LN(N70_DESARROLLO!AM70/N70_DESARROLLO!AL70))</f>
        <v>-1.7965374518565724E-2</v>
      </c>
      <c r="DM155" s="1">
        <f>(1+(N70_DESARROLLO!AM70/0.014285714)*LN(N70_DESARROLLO!AN70/N70_DESARROLLO!AM70))</f>
        <v>-1.8634991582300087E-2</v>
      </c>
      <c r="DN155" s="1">
        <f>(1+(N70_DESARROLLO!AN70/0.014285714)*LN(N70_DESARROLLO!AO70/N70_DESARROLLO!AN70))</f>
        <v>-1.9356462323724788E-2</v>
      </c>
      <c r="DO155" s="1">
        <f>(1+(N70_DESARROLLO!AO70/0.014285714)*LN(N70_DESARROLLO!AP70/N70_DESARROLLO!AO70))</f>
        <v>-2.0136053052046243E-2</v>
      </c>
      <c r="DP155" s="1">
        <f>(1+(N70_DESARROLLO!AP70/0.014285714)*LN(N70_DESARROLLO!AQ70/N70_DESARROLLO!AP70))</f>
        <v>-2.0981082233542336E-2</v>
      </c>
      <c r="DQ155" s="1">
        <f>(1+(N70_DESARROLLO!AQ70/0.014285714)*LN(N70_DESARROLLO!AR70/N70_DESARROLLO!AQ70))</f>
        <v>-2.1900151021861713E-2</v>
      </c>
      <c r="DR155" s="1">
        <f>(1+(N70_DESARROLLO!AR70/0.014285714)*LN(N70_DESARROLLO!AS70/N70_DESARROLLO!AR70))</f>
        <v>-2.2903437185113118E-2</v>
      </c>
      <c r="DS155" s="1">
        <f>(1+(N70_DESARROLLO!AS70/0.014285714)*LN(N70_DESARROLLO!AT70/N70_DESARROLLO!AS70))</f>
        <v>-2.4003073749032877E-2</v>
      </c>
      <c r="DT155" s="1">
        <f>(1+(N70_DESARROLLO!AT70/0.014285714)*LN(N70_DESARROLLO!AU70/N70_DESARROLLO!AT70))</f>
        <v>-2.5213642284834581E-2</v>
      </c>
      <c r="DU155" s="1">
        <f>(1+(N70_DESARROLLO!AU70/0.014285714)*LN(N70_DESARROLLO!AV70/N70_DESARROLLO!AU70))</f>
        <v>-2.6552823496781341E-2</v>
      </c>
      <c r="DV155" s="1">
        <f>(1+(N70_DESARROLLO!AV70/0.014285714)*LN(N70_DESARROLLO!AW70/N70_DESARROLLO!AV70))</f>
        <v>-2.8042266924840575E-2</v>
      </c>
      <c r="DW155" s="1">
        <f>(1+(N70_DESARROLLO!AW70/0.014285714)*LN(N70_DESARROLLO!AX70/N70_DESARROLLO!AW70))</f>
        <v>-2.9708770995515721E-2</v>
      </c>
      <c r="DX155" s="1">
        <f>(1+(N70_DESARROLLO!AX70/0.014285714)*LN(N70_DESARROLLO!AY70/N70_DESARROLLO!AX70))</f>
        <v>-3.1585910823724417E-2</v>
      </c>
      <c r="DY155" s="1">
        <f>(1+(N70_DESARROLLO!AY70/0.014285714)*LN(N70_DESARROLLO!AZ70/N70_DESARROLLO!AY70))</f>
        <v>-3.3716325403750913E-2</v>
      </c>
      <c r="DZ155" s="1">
        <f>(1+(N70_DESARROLLO!AZ70/0.014285714)*LN(N70_DESARROLLO!BA70/N70_DESARROLLO!AZ70))</f>
        <v>-3.6154998464197341E-2</v>
      </c>
      <c r="EA155" s="1">
        <f>(1+(N70_DESARROLLO!BA70/0.014285714)*LN(N70_DESARROLLO!BB70/N70_DESARROLLO!BA70))</f>
        <v>-3.8974076117219258E-2</v>
      </c>
      <c r="EB155" s="1">
        <f>(1+(N70_DESARROLLO!BB70/0.014285714)*LN(N70_DESARROLLO!BC70/N70_DESARROLLO!BB70))</f>
        <v>-4.2270132583537734E-2</v>
      </c>
      <c r="EC155" s="1">
        <f>(1+(N70_DESARROLLO!BC70/0.014285714)*LN(N70_DESARROLLO!BD70/N70_DESARROLLO!BC70))</f>
        <v>-4.6175470289370413E-2</v>
      </c>
      <c r="ED155" s="1">
        <f>(1+(N70_DESARROLLO!BD70/0.014285714)*LN(N70_DESARROLLO!BE70/N70_DESARROLLO!BD70))</f>
        <v>-5.0876335865839728E-2</v>
      </c>
      <c r="EE155" s="1">
        <f>(1+(N70_DESARROLLO!BE70/0.014285714)*LN(N70_DESARROLLO!BF70/N70_DESARROLLO!BE70))</f>
        <v>-5.6643554680007924E-2</v>
      </c>
      <c r="EF155" s="1">
        <f>(1+(N70_DESARROLLO!BF70/0.014285714)*LN(N70_DESARROLLO!BG70/N70_DESARROLLO!BF70))</f>
        <v>-6.3886736386782106E-2</v>
      </c>
      <c r="EG155" s="1">
        <f>(1+(N70_DESARROLLO!BG70/0.014285714)*LN(N70_DESARROLLO!BH70/N70_DESARROLLO!BG70))</f>
        <v>-7.325634877017273E-2</v>
      </c>
      <c r="EH155" s="1">
        <f>(1+(N70_DESARROLLO!BH70/0.014285714)*LN(N70_DESARROLLO!BI70/N70_DESARROLLO!BH70))</f>
        <v>-8.5851572027616507E-2</v>
      </c>
      <c r="EI155" s="1">
        <f>(1+(N70_DESARROLLO!BI70/0.014285714)*LN(N70_DESARROLLO!BJ70/N70_DESARROLLO!BI70))</f>
        <v>-0.10368884711560433</v>
      </c>
      <c r="EJ155" s="1">
        <f>(1+(N70_DESARROLLO!BJ70/0.014285714)*LN(N70_DESARROLLO!BK70/N70_DESARROLLO!BJ70))</f>
        <v>-0.13091494988238139</v>
      </c>
      <c r="EK155" s="1">
        <f>(1+(N70_DESARROLLO!BK70/0.014285714)*LN(N70_DESARROLLO!BL70/N70_DESARROLLO!BK70))</f>
        <v>-0.17765285172729728</v>
      </c>
      <c r="EL155" s="1">
        <f>(1+(N70_DESARROLLO!BL70/0.014285714)*LN(N70_DESARROLLO!BM70/N70_DESARROLLO!BL70))</f>
        <v>-0.27706408495626422</v>
      </c>
      <c r="EM155" s="1">
        <f>(1+(N70_DESARROLLO!BM70/0.014285714)*LN(N70_DESARROLLO!BN70/N70_DESARROLLO!BM70))</f>
        <v>-0.64791846596052105</v>
      </c>
      <c r="EN155" s="1">
        <v>1</v>
      </c>
      <c r="EO155" s="1">
        <f>(1+(N70_DESARROLLO!BO70/0.014285714)*LN(N70_DESARROLLO!BP70/N70_DESARROLLO!BO70))</f>
        <v>0.45069384467982399</v>
      </c>
      <c r="EP155" s="1">
        <f>(1+(N70_DESARROLLO!BP70/0.014285714)*LN(N70_DESARROLLO!BQ70/N70_DESARROLLO!BP70))</f>
        <v>0.23376154902624291</v>
      </c>
      <c r="EQ155" s="1">
        <f>(1+(N70_DESARROLLO!BQ70/0.014285714)*LN(N70_DESARROLLO!BR70/N70_DESARROLLO!BQ70))</f>
        <v>0.15881939162335801</v>
      </c>
      <c r="ER155" s="1">
        <f>(1+(N70_DESARROLLO!BR70/0.014285714)*LN(N70_DESARROLLO!BS70/N70_DESARROLLO!BR70))</f>
        <v>0.12039948342482121</v>
      </c>
      <c r="ES155" s="1">
        <f>(1+(N70_DESARROLLO!BS70/0.014285714)*LN(N70_DESARROLLO!BT70/N70_DESARROLLO!BS70))</f>
        <v>9.6981852359953269E-2</v>
      </c>
      <c r="ET155" s="1">
        <f>(1+(N70_DESARROLLO!BT70/0.014285714)*LN(N70_DESARROLLO!BU70/N70_DESARROLLO!BT70))</f>
        <v>8.1202515976639744E-2</v>
      </c>
      <c r="EU155" s="1">
        <f>(1+(N70_DESARROLLO!BU70/0.014285714)*LN(N70_DESARROLLO!BV70/N70_DESARROLLO!BU70))</f>
        <v>6.9844497732510002E-2</v>
      </c>
      <c r="EV155" s="1">
        <f>(1+(N70_DESARROLLO!BV70/0.014285714)*LN(N70_DESARROLLO!BW70/N70_DESARROLLO!BV70))</f>
        <v>6.1276409070486593E-2</v>
      </c>
      <c r="EW155" s="1">
        <f>(1+(N70_DESARROLLO!BW70/0.014285714)*LN(N70_DESARROLLO!BX70/N70_DESARROLLO!BW70))</f>
        <v>-16.921647526134194</v>
      </c>
    </row>
    <row r="156" spans="7:153" x14ac:dyDescent="0.25">
      <c r="G156" s="3">
        <v>62</v>
      </c>
      <c r="H156" s="3">
        <f>-(N70_DESARROLLO!G71/0.014285714)*LN(N70_DESARROLLO!G71/N70_DESARROLLO!F71)-1</f>
        <v>-8.1744887350685413E-3</v>
      </c>
      <c r="I156" s="3">
        <f>-(N70_DESARROLLO!H71/0.014285714)*LN(N70_DESARROLLO!H71/N70_DESARROLLO!G71)-1</f>
        <v>-8.3103572961074068E-3</v>
      </c>
      <c r="J156" s="3">
        <f>-(N70_DESARROLLO!I71/0.014285714)*LN(N70_DESARROLLO!I71/N70_DESARROLLO!H71)-1</f>
        <v>-8.4508188132838002E-3</v>
      </c>
      <c r="K156" s="3">
        <f>-(N70_DESARROLLO!J71/0.014285714)*LN(N70_DESARROLLO!J71/N70_DESARROLLO!I71)-1</f>
        <v>-8.5961101878212487E-3</v>
      </c>
      <c r="L156" s="3">
        <f>-(N70_DESARROLLO!K71/0.014285714)*LN(N70_DESARROLLO!K71/N70_DESARROLLO!J71)-1</f>
        <v>-8.7464848985490118E-3</v>
      </c>
      <c r="M156" s="3">
        <f>-(N70_DESARROLLO!L71/0.014285714)*LN(N70_DESARROLLO!L71/N70_DESARROLLO!K71)-1</f>
        <v>-8.9022144776856882E-3</v>
      </c>
      <c r="N156" s="3">
        <f>-(N70_DESARROLLO!M71/0.014285714)*LN(N70_DESARROLLO!M71/N70_DESARROLLO!L71)-1</f>
        <v>-9.0635901473971048E-3</v>
      </c>
      <c r="O156" s="3">
        <f>-(N70_DESARROLLO!N71/0.014285714)*LN(N70_DESARROLLO!N71/N70_DESARROLLO!M71)-1</f>
        <v>-9.2309246374047138E-3</v>
      </c>
      <c r="P156" s="3">
        <f>-(N70_DESARROLLO!O71/0.014285714)*LN(N70_DESARROLLO!O71/N70_DESARROLLO!N71)-1</f>
        <v>-9.4045542079997935E-3</v>
      </c>
      <c r="Q156" s="3">
        <f>-(N70_DESARROLLO!P71/0.014285714)*LN(N70_DESARROLLO!P71/N70_DESARROLLO!O71)-1</f>
        <v>-9.5848409054887229E-3</v>
      </c>
      <c r="R156" s="3">
        <f>-(N70_DESARROLLO!Q71/0.014285714)*LN(N70_DESARROLLO!Q71/N70_DESARROLLO!P71)-1</f>
        <v>-9.7721750824341092E-3</v>
      </c>
      <c r="S156" s="3">
        <f>-(N70_DESARROLLO!R71/0.014285714)*LN(N70_DESARROLLO!R71/N70_DESARROLLO!Q71)-1</f>
        <v>-9.9669782191917911E-3</v>
      </c>
      <c r="T156" s="3">
        <f>-(N70_DESARROLLO!S71/0.014285714)*LN(N70_DESARROLLO!S71/N70_DESARROLLO!R71)-1</f>
        <v>-1.0169706089854125E-2</v>
      </c>
      <c r="U156" s="3">
        <f>-(N70_DESARROLLO!T71/0.014285714)*LN(N70_DESARROLLO!T71/N70_DESARROLLO!S71)-1</f>
        <v>-1.0380852322626088E-2</v>
      </c>
      <c r="V156" s="3">
        <f>-(N70_DESARROLLO!U71/0.014285714)*LN(N70_DESARROLLO!U71/N70_DESARROLLO!T71)-1</f>
        <v>-1.0600952413268083E-2</v>
      </c>
      <c r="W156" s="3">
        <f>-(N70_DESARROLLO!V71/0.014285714)*LN(N70_DESARROLLO!V71/N70_DESARROLLO!U71)-1</f>
        <v>-1.0830588260149487E-2</v>
      </c>
      <c r="X156" s="3">
        <f>-(N70_DESARROLLO!W71/0.014285714)*LN(N70_DESARROLLO!W71/N70_DESARROLLO!V71)-1</f>
        <v>-1.1070393301797377E-2</v>
      </c>
      <c r="Y156" s="3">
        <f>-(N70_DESARROLLO!X71/0.014285714)*LN(N70_DESARROLLO!X71/N70_DESARROLLO!W71)-1</f>
        <v>-1.1321058352732338E-2</v>
      </c>
      <c r="Z156" s="3">
        <f>-(N70_DESARROLLO!Y71/0.014285714)*LN(N70_DESARROLLO!Y71/N70_DESARROLLO!X71)-1</f>
        <v>-1.1583338250309216E-2</v>
      </c>
      <c r="AA156" s="3">
        <f>-(N70_DESARROLLO!Z71/0.014285714)*LN(N70_DESARROLLO!Z71/N70_DESARROLLO!Y71)-1</f>
        <v>-1.1858059447836244E-2</v>
      </c>
      <c r="AB156" s="3">
        <f>-(N70_DESARROLLO!AA71/0.014285714)*LN(N70_DESARROLLO!AA71/N70_DESARROLLO!Z71)-1</f>
        <v>-1.2146128714473514E-2</v>
      </c>
      <c r="AC156" s="3">
        <f>-(N70_DESARROLLO!AB71/0.014285714)*LN(N70_DESARROLLO!AB71/N70_DESARROLLO!AA71)-1</f>
        <v>-1.2448543134993217E-2</v>
      </c>
      <c r="AD156" s="3">
        <f>-(N70_DESARROLLO!AC71/0.014285714)*LN(N70_DESARROLLO!AC71/N70_DESARROLLO!AB71)-1</f>
        <v>-1.2766401641831959E-2</v>
      </c>
      <c r="AE156" s="3">
        <f>-(N70_DESARROLLO!AD71/0.014285714)*LN(N70_DESARROLLO!AD71/N70_DESARROLLO!AC71)-1</f>
        <v>-1.3100918360510971E-2</v>
      </c>
      <c r="AF156" s="3">
        <f>-(N70_DESARROLLO!AE71/0.014285714)*LN(N70_DESARROLLO!AE71/N70_DESARROLLO!AD71)-1</f>
        <v>-1.3453438110011762E-2</v>
      </c>
      <c r="AG156" s="3">
        <f>-(N70_DESARROLLO!AF71/0.014285714)*LN(N70_DESARROLLO!AF71/N70_DESARROLLO!AE71)-1</f>
        <v>-1.3825454475325571E-2</v>
      </c>
      <c r="AH156" s="3">
        <f>-(N70_DESARROLLO!AG71/0.014285714)*LN(N70_DESARROLLO!AG71/N70_DESARROLLO!AF71)-1</f>
        <v>-1.4218630964444534E-2</v>
      </c>
      <c r="AI156" s="3">
        <f>-(N70_DESARROLLO!AH71/0.014285714)*LN(N70_DESARROLLO!AH71/N70_DESARROLLO!AG71)-1</f>
        <v>-1.4634825881869595E-2</v>
      </c>
      <c r="AJ156" s="3">
        <f>-(N70_DESARROLLO!AI71/0.014285714)*LN(N70_DESARROLLO!AI71/N70_DESARROLLO!AH71)-1</f>
        <v>-1.5076121703332279E-2</v>
      </c>
      <c r="AK156" s="3">
        <f>-(N70_DESARROLLO!AJ71/0.014285714)*LN(N70_DESARROLLO!AJ71/N70_DESARROLLO!AI71)-1</f>
        <v>-1.5544859931607813E-2</v>
      </c>
      <c r="AL156" s="3">
        <f>-(N70_DESARROLLO!AK71/0.014285714)*LN(N70_DESARROLLO!AK71/N70_DESARROLLO!AJ71)-1</f>
        <v>-1.6043682665119796E-2</v>
      </c>
      <c r="AM156" s="3">
        <f>-(N70_DESARROLLO!AL71/0.014285714)*LN(N70_DESARROLLO!AL71/N70_DESARROLLO!AK71)-1</f>
        <v>-1.6575582437552416E-2</v>
      </c>
      <c r="AN156" s="3">
        <f>-(N70_DESARROLLO!AM71/0.014285714)*LN(N70_DESARROLLO!AM71/N70_DESARROLLO!AL71)-1</f>
        <v>-1.7143962314553618E-2</v>
      </c>
      <c r="AO156" s="3">
        <f>-(N70_DESARROLLO!AN71/0.014285714)*LN(N70_DESARROLLO!AN71/N70_DESARROLLO!AM71)-1</f>
        <v>-1.7752708797875383E-2</v>
      </c>
      <c r="AP156" s="3">
        <f>-(N70_DESARROLLO!AO71/0.014285714)*LN(N70_DESARROLLO!AO71/N70_DESARROLLO!AN71)-1</f>
        <v>-1.8406280838874522E-2</v>
      </c>
      <c r="AQ156" s="3">
        <f>-(N70_DESARROLLO!AP71/0.014285714)*LN(N70_DESARROLLO!AP71/N70_DESARROLLO!AO71)-1</f>
        <v>-1.910981927339972E-2</v>
      </c>
      <c r="AR156" s="3">
        <f>-(N70_DESARROLLO!AQ71/0.014285714)*LN(N70_DESARROLLO!AQ71/N70_DESARROLLO!AP71)-1</f>
        <v>-1.9869282361751228E-2</v>
      </c>
      <c r="AS156" s="3">
        <f>-(N70_DESARROLLO!AR71/0.014285714)*LN(N70_DESARROLLO!AR71/N70_DESARROLLO!AQ71)-1</f>
        <v>-2.0691615000488106E-2</v>
      </c>
      <c r="AT156" s="3">
        <f>-(N70_DESARROLLO!AS71/0.014285714)*LN(N70_DESARROLLO!AS71/N70_DESARROLLO!AR71)-1</f>
        <v>-2.1584961787571522E-2</v>
      </c>
      <c r="AU156" s="3">
        <f>-(N70_DESARROLLO!AT71/0.014285714)*LN(N70_DESARROLLO!AT71/N70_DESARROLLO!AS71)-1</f>
        <v>-2.2558937800899459E-2</v>
      </c>
      <c r="AV156" s="3">
        <f>-(N70_DESARROLLO!AU71/0.014285714)*LN(N70_DESARROLLO!AU71/N70_DESARROLLO!AT71)-1</f>
        <v>-2.3624976192775815E-2</v>
      </c>
      <c r="AW156" s="3">
        <f>-(N70_DESARROLLO!AV71/0.014285714)*LN(N70_DESARROLLO!AV71/N70_DESARROLLO!AU71)-1</f>
        <v>-2.4796779290042426E-2</v>
      </c>
      <c r="AX156" s="3">
        <f>-(N70_DESARROLLO!AW71/0.014285714)*LN(N70_DESARROLLO!AW71/N70_DESARROLLO!AV71)-1</f>
        <v>-2.6090911041514842E-2</v>
      </c>
      <c r="AY156" s="3">
        <f>-(N70_DESARROLLO!AX71/0.014285714)*LN(N70_DESARROLLO!AX71/N70_DESARROLLO!AW71)-1</f>
        <v>-2.7527585341359129E-2</v>
      </c>
      <c r="AZ156" s="3">
        <f>-(N70_DESARROLLO!AY71/0.014285714)*LN(N70_DESARROLLO!AY71/N70_DESARROLLO!AX71)-1</f>
        <v>-2.9131730204236206E-2</v>
      </c>
      <c r="BA156" s="3">
        <f>-(N70_DESARROLLO!AZ71/0.014285714)*LN(N70_DESARROLLO!AZ71/N70_DESARROLLO!AY71)-1</f>
        <v>-3.0934447408007437E-2</v>
      </c>
      <c r="BB156" s="3">
        <f>-(N70_DESARROLLO!BA71/0.014285714)*LN(N70_DESARROLLO!BA71/N70_DESARROLLO!AZ71)-1</f>
        <v>-3.2975050428757924E-2</v>
      </c>
      <c r="BC156" s="3">
        <f>-(N70_DESARROLLO!BB71/0.014285714)*LN(N70_DESARROLLO!BB71/N70_DESARROLLO!BA71)-1</f>
        <v>-3.5303966947118792E-2</v>
      </c>
      <c r="BD156" s="3">
        <f>-(N70_DESARROLLO!BC71/0.014285714)*LN(N70_DESARROLLO!BC71/N70_DESARROLLO!BB71)-1</f>
        <v>-3.7986966558138158E-2</v>
      </c>
      <c r="BE156" s="3">
        <f>-(N70_DESARROLLO!BD71/0.014285714)*LN(N70_DESARROLLO!BD71/N70_DESARROLLO!BC71)-1</f>
        <v>-4.1111478023138859E-2</v>
      </c>
      <c r="BF156" s="3">
        <f>-(N70_DESARROLLO!BE71/0.014285714)*LN(N70_DESARROLLO!BE71/N70_DESARROLLO!BD71)-1</f>
        <v>-4.4796309735798956E-2</v>
      </c>
      <c r="BG156" s="3">
        <f>-(N70_DESARROLLO!BF71/0.014285714)*LN(N70_DESARROLLO!BF71/N70_DESARROLLO!BE71)-1</f>
        <v>-4.9207124692804083E-2</v>
      </c>
      <c r="BH156" s="3">
        <f>-(N70_DESARROLLO!BG71/0.014285714)*LN(N70_DESARROLLO!BG71/N70_DESARROLLO!BF71)-1</f>
        <v>-5.4582082654737407E-2</v>
      </c>
      <c r="BI156" s="3">
        <f>-(N70_DESARROLLO!BH71/0.014285714)*LN(N70_DESARROLLO!BH71/N70_DESARROLLO!BG71)-1</f>
        <v>-6.1276409070485927E-2</v>
      </c>
      <c r="BJ156" s="3">
        <f>-(N70_DESARROLLO!BI71/0.014285714)*LN(N70_DESARROLLO!BI71/N70_DESARROLLO!BH71)-1</f>
        <v>-6.9844497732509336E-2</v>
      </c>
      <c r="BK156" s="3">
        <f>-(N70_DESARROLLO!BJ71/0.014285714)*LN(N70_DESARROLLO!BJ71/N70_DESARROLLO!BI71)-1</f>
        <v>-8.1202515976639078E-2</v>
      </c>
      <c r="BL156" s="3">
        <f>-(N70_DESARROLLO!BK71/0.014285714)*LN(N70_DESARROLLO!BK71/N70_DESARROLLO!BJ71)-1</f>
        <v>-9.6981852359953602E-2</v>
      </c>
      <c r="BM156" s="3">
        <f>-(N70_DESARROLLO!BL71/0.014285714)*LN(N70_DESARROLLO!BL71/N70_DESARROLLO!BK71)-1</f>
        <v>-0.12039948342482121</v>
      </c>
      <c r="BN156" s="3">
        <f>-(N70_DESARROLLO!BM71/0.014285714)*LN(N70_DESARROLLO!BM71/N70_DESARROLLO!BL71)-1</f>
        <v>-0.15881939162335246</v>
      </c>
      <c r="BO156" s="3">
        <f>-(N70_DESARROLLO!BN71/0.014285714)*LN(N70_DESARROLLO!BN71/N70_DESARROLLO!BM71)-1</f>
        <v>-0.23376154902624657</v>
      </c>
      <c r="BP156" s="3">
        <f>-(N70_DESARROLLO!BO71/0.014285714)*LN(N70_DESARROLLO!BO71/N70_DESARROLLO!BN71)-1</f>
        <v>-0.45069384467982143</v>
      </c>
      <c r="BQ156" s="3">
        <v>-1</v>
      </c>
      <c r="BR156" s="3">
        <f>-(N70_DESARROLLO!BQ71/0.014285714)*LN(N70_DESARROLLO!BQ71/N70_DESARROLLO!BP71)-1</f>
        <v>0.64791846596054437</v>
      </c>
      <c r="BS156" s="3">
        <f>-(N70_DESARROLLO!BR71/0.014285714)*LN(N70_DESARROLLO!BR71/N70_DESARROLLO!BQ71)-1</f>
        <v>0.2770640849562529</v>
      </c>
      <c r="BT156" s="3">
        <f>-(N70_DESARROLLO!BS71/0.014285714)*LN(N70_DESARROLLO!BS71/N70_DESARROLLO!BR71)-1</f>
        <v>0.17765285172729772</v>
      </c>
      <c r="BU156" s="3">
        <f>-(N70_DESARROLLO!BT71/0.014285714)*LN(N70_DESARROLLO!BT71/N70_DESARROLLO!BS71)-1</f>
        <v>0.13091494988238206</v>
      </c>
      <c r="BV156" s="3">
        <f>-(N70_DESARROLLO!BU71/0.014285714)*LN(N70_DESARROLLO!BU71/N70_DESARROLLO!BT71)-1</f>
        <v>0.10368884711560411</v>
      </c>
      <c r="BW156" s="3">
        <f>-(N70_DESARROLLO!BV71/0.014285714)*LN(N70_DESARROLLO!BV71/N70_DESARROLLO!BU71)-1</f>
        <v>8.5851572027616951E-2</v>
      </c>
      <c r="BX156" s="3">
        <f>-(N70_DESARROLLO!BW71/0.014285714)*LN(N70_DESARROLLO!BW71/N70_DESARROLLO!BV71)-1</f>
        <v>7.3256348770172952E-2</v>
      </c>
      <c r="BY156" s="3">
        <f>-(N70_DESARROLLO!BX71/0.014285714)*LN(N70_DESARROLLO!BX71/N70_DESARROLLO!BW71)-1</f>
        <v>155.35145863252581</v>
      </c>
      <c r="CD156" s="1">
        <v>62</v>
      </c>
      <c r="CE156" s="1">
        <v>0</v>
      </c>
      <c r="CF156" s="1">
        <f>(1+(N70_DESARROLLO!F71/0.014285714)*LN(N70_DESARROLLO!G71/N70_DESARROLLO!F71))</f>
        <v>-8.2193213684840227E-3</v>
      </c>
      <c r="CG156" s="1">
        <f>(1+(N70_DESARROLLO!G71/0.014285714)*LN(N70_DESARROLLO!H71/N70_DESARROLLO!G71))</f>
        <v>-8.3566955224454453E-3</v>
      </c>
      <c r="CH156" s="1">
        <f>(1+(N70_DESARROLLO!H71/0.014285714)*LN(N70_DESARROLLO!I71/N70_DESARROLLO!H71))</f>
        <v>-8.4987398394804625E-3</v>
      </c>
      <c r="CI156" s="1">
        <f>(1+(N70_DESARROLLO!I71/0.014285714)*LN(N70_DESARROLLO!J71/N70_DESARROLLO!I71))</f>
        <v>-8.6456965915209238E-3</v>
      </c>
      <c r="CJ156" s="1">
        <f>(1+(N70_DESARROLLO!J71/0.014285714)*LN(N70_DESARROLLO!K71/N70_DESARROLLO!J71))</f>
        <v>-8.7978251032465593E-3</v>
      </c>
      <c r="CK156" s="1">
        <f>(1+(N70_DESARROLLO!K71/0.014285714)*LN(N70_DESARROLLO!L71/N70_DESARROLLO!K71))</f>
        <v>-8.9554032794731953E-3</v>
      </c>
      <c r="CL156" s="1">
        <f>(1+(N70_DESARROLLO!L71/0.014285714)*LN(N70_DESARROLLO!M71/N70_DESARROLLO!L71))</f>
        <v>-9.1187292994394653E-3</v>
      </c>
      <c r="CM156" s="1">
        <f>(1+(N70_DESARROLLO!M71/0.014285714)*LN(N70_DESARROLLO!N71/N70_DESARROLLO!M71))</f>
        <v>-9.2881235002140183E-3</v>
      </c>
      <c r="CN156" s="1">
        <f>(1+(N70_DESARROLLO!N71/0.014285714)*LN(N70_DESARROLLO!O71/N70_DESARROLLO!N71))</f>
        <v>-9.463930473752491E-3</v>
      </c>
      <c r="CO156" s="1">
        <f>(1+(N70_DESARROLLO!O71/0.014285714)*LN(N70_DESARROLLO!P71/N70_DESARROLLO!O71))</f>
        <v>-9.646521407026043E-3</v>
      </c>
      <c r="CP156" s="1">
        <f>(1+(N70_DESARROLLO!P71/0.014285714)*LN(N70_DESARROLLO!Q71/N70_DESARROLLO!P71))</f>
        <v>-9.8362966981118127E-3</v>
      </c>
      <c r="CQ156" s="1">
        <f>(1+(N70_DESARROLLO!Q71/0.014285714)*LN(N70_DESARROLLO!R71/N70_DESARROLLO!Q71))</f>
        <v>-1.0033688887491232E-2</v>
      </c>
      <c r="CR156" s="1">
        <f>(1+(N70_DESARROLLO!R71/0.014285714)*LN(N70_DESARROLLO!S71/N70_DESARROLLO!R71))</f>
        <v>-1.0239165949530449E-2</v>
      </c>
      <c r="CS156" s="1">
        <f>(1+(N70_DESARROLLO!S71/0.014285714)*LN(N70_DESARROLLO!T71/N70_DESARROLLO!S71))</f>
        <v>-1.0453234996897542E-2</v>
      </c>
      <c r="CT156" s="1">
        <f>(1+(N70_DESARROLLO!T71/0.014285714)*LN(N70_DESARROLLO!U71/N70_DESARROLLO!T71))</f>
        <v>-1.0676446459564781E-2</v>
      </c>
      <c r="CU156" s="1">
        <f>(1+(N70_DESARROLLO!U71/0.014285714)*LN(N70_DESARROLLO!V71/N70_DESARROLLO!U71))</f>
        <v>-1.0909398811056015E-2</v>
      </c>
      <c r="CV156" s="1">
        <f>(1+(N70_DESARROLLO!V71/0.014285714)*LN(N70_DESARROLLO!W71/N70_DESARROLLO!V71))</f>
        <v>-1.1152743927375752E-2</v>
      </c>
      <c r="CW156" s="1">
        <f>(1+(N70_DESARROLLO!W71/0.014285714)*LN(N70_DESARROLLO!X71/N70_DESARROLLO!W71))</f>
        <v>-1.1407193179388653E-2</v>
      </c>
      <c r="CX156" s="1">
        <f>(1+(N70_DESARROLLO!X71/0.014285714)*LN(N70_DESARROLLO!Y71/N70_DESARROLLO!X71))</f>
        <v>-1.1673524379095301E-2</v>
      </c>
      <c r="CY156" s="1">
        <f>(1+(N70_DESARROLLO!Y71/0.014285714)*LN(N70_DESARROLLO!Z71/N70_DESARROLLO!Y71))</f>
        <v>-1.1952589722095563E-2</v>
      </c>
      <c r="CZ156" s="1">
        <f>(1+(N70_DESARROLLO!Z71/0.014285714)*LN(N70_DESARROLLO!AA71/N70_DESARROLLO!Z71))</f>
        <v>-1.2245324897514953E-2</v>
      </c>
      <c r="DA156" s="1">
        <f>(1+(N70_DESARROLLO!AA71/0.014285714)*LN(N70_DESARROLLO!AB71/N70_DESARROLLO!AA71))</f>
        <v>-1.2552759570449767E-2</v>
      </c>
      <c r="DB156" s="1">
        <f>(1+(N70_DESARROLLO!AB71/0.014285714)*LN(N70_DESARROLLO!AC71/N70_DESARROLLO!AB71))</f>
        <v>-1.2876029484353957E-2</v>
      </c>
      <c r="DC156" s="1">
        <f>(1+(N70_DESARROLLO!AC71/0.014285714)*LN(N70_DESARROLLO!AD71/N70_DESARROLLO!AC71))</f>
        <v>-1.3216390483208995E-2</v>
      </c>
      <c r="DD156" s="1">
        <f>(1+(N70_DESARROLLO!AD71/0.014285714)*LN(N70_DESARROLLO!AE71/N70_DESARROLLO!AD71))</f>
        <v>-1.3575234818481219E-2</v>
      </c>
      <c r="DE156" s="1">
        <f>(1+(N70_DESARROLLO!AE71/0.014285714)*LN(N70_DESARROLLO!AF71/N70_DESARROLLO!AE71))</f>
        <v>-1.3954110187341273E-2</v>
      </c>
      <c r="DF156" s="1">
        <f>(1+(N70_DESARROLLO!AF71/0.014285714)*LN(N70_DESARROLLO!AG71/N70_DESARROLLO!AF71))</f>
        <v>-1.4354742051078784E-2</v>
      </c>
      <c r="DG156" s="1">
        <f>(1+(N70_DESARROLLO!AG71/0.014285714)*LN(N70_DESARROLLO!AH71/N70_DESARROLLO!AG71))</f>
        <v>-1.4779059912701564E-2</v>
      </c>
      <c r="DH156" s="1">
        <f>(1+(N70_DESARROLLO!AH71/0.014285714)*LN(N70_DESARROLLO!AI71/N70_DESARROLLO!AH71))</f>
        <v>-1.5229228398103478E-2</v>
      </c>
      <c r="DI156" s="1">
        <f>(1+(N70_DESARROLLO!AI71/0.014285714)*LN(N70_DESARROLLO!AJ71/N70_DESARROLLO!AI71))</f>
        <v>-1.5707684197547644E-2</v>
      </c>
      <c r="DJ156" s="1">
        <f>(1+(N70_DESARROLLO!AJ71/0.014285714)*LN(N70_DESARROLLO!AK71/N70_DESARROLLO!AJ71))</f>
        <v>-1.6217180198318859E-2</v>
      </c>
      <c r="DK156" s="1">
        <f>(1+(N70_DESARROLLO!AK71/0.014285714)*LN(N70_DESARROLLO!AL71/N70_DESARROLLO!AK71))</f>
        <v>-1.6760838496767905E-2</v>
      </c>
      <c r="DL156" s="1">
        <f>(1+(N70_DESARROLLO!AL71/0.014285714)*LN(N70_DESARROLLO!AM71/N70_DESARROLLO!AL71))</f>
        <v>-1.7342214446339321E-2</v>
      </c>
      <c r="DM156" s="1">
        <f>(1+(N70_DESARROLLO!AM71/0.014285714)*LN(N70_DESARROLLO!AN71/N70_DESARROLLO!AM71))</f>
        <v>-1.7965374518565502E-2</v>
      </c>
      <c r="DN156" s="1">
        <f>(1+(N70_DESARROLLO!AN71/0.014285714)*LN(N70_DESARROLLO!AO71/N70_DESARROLLO!AN71))</f>
        <v>-1.8634991582299865E-2</v>
      </c>
      <c r="DO156" s="1">
        <f>(1+(N70_DESARROLLO!AO71/0.014285714)*LN(N70_DESARROLLO!AP71/N70_DESARROLLO!AO71))</f>
        <v>-1.9356462323721679E-2</v>
      </c>
      <c r="DP156" s="1">
        <f>(1+(N70_DESARROLLO!AP71/0.014285714)*LN(N70_DESARROLLO!AQ71/N70_DESARROLLO!AP71))</f>
        <v>-2.0136053052055125E-2</v>
      </c>
      <c r="DQ156" s="1">
        <f>(1+(N70_DESARROLLO!AQ71/0.014285714)*LN(N70_DESARROLLO!AR71/N70_DESARROLLO!AQ71))</f>
        <v>-2.0981082233533677E-2</v>
      </c>
      <c r="DR156" s="1">
        <f>(1+(N70_DESARROLLO!AR71/0.014285714)*LN(N70_DESARROLLO!AS71/N70_DESARROLLO!AR71))</f>
        <v>-2.1900151021869707E-2</v>
      </c>
      <c r="DS156" s="1">
        <f>(1+(N70_DESARROLLO!AS71/0.014285714)*LN(N70_DESARROLLO!AT71/N70_DESARROLLO!AS71))</f>
        <v>-2.2903437185105124E-2</v>
      </c>
      <c r="DT156" s="1">
        <f>(1+(N70_DESARROLLO!AT71/0.014285714)*LN(N70_DESARROLLO!AU71/N70_DESARROLLO!AT71))</f>
        <v>-2.4003073749040205E-2</v>
      </c>
      <c r="DU156" s="1">
        <f>(1+(N70_DESARROLLO!AU71/0.014285714)*LN(N70_DESARROLLO!AV71/N70_DESARROLLO!AU71))</f>
        <v>-2.5213642284827031E-2</v>
      </c>
      <c r="DV156" s="1">
        <f>(1+(N70_DESARROLLO!AV71/0.014285714)*LN(N70_DESARROLLO!AW71/N70_DESARROLLO!AV71))</f>
        <v>-2.6552823496781341E-2</v>
      </c>
      <c r="DW156" s="1">
        <f>(1+(N70_DESARROLLO!AW71/0.014285714)*LN(N70_DESARROLLO!AX71/N70_DESARROLLO!AW71))</f>
        <v>-2.8042266924849235E-2</v>
      </c>
      <c r="DX156" s="1">
        <f>(1+(N70_DESARROLLO!AX71/0.014285714)*LN(N70_DESARROLLO!AY71/N70_DESARROLLO!AX71))</f>
        <v>-2.9708770995507061E-2</v>
      </c>
      <c r="DY156" s="1">
        <f>(1+(N70_DESARROLLO!AY71/0.014285714)*LN(N70_DESARROLLO!AZ71/N70_DESARROLLO!AY71))</f>
        <v>-3.1585910823734187E-2</v>
      </c>
      <c r="DZ156" s="1">
        <f>(1+(N70_DESARROLLO!AZ71/0.014285714)*LN(N70_DESARROLLO!BA71/N70_DESARROLLO!AZ71))</f>
        <v>-3.3716325403741365E-2</v>
      </c>
      <c r="EA156" s="1">
        <f>(1+(N70_DESARROLLO!BA71/0.014285714)*LN(N70_DESARROLLO!BB71/N70_DESARROLLO!BA71))</f>
        <v>-3.6154998464206001E-2</v>
      </c>
      <c r="EB156" s="1">
        <f>(1+(N70_DESARROLLO!BB71/0.014285714)*LN(N70_DESARROLLO!BC71/N70_DESARROLLO!BB71))</f>
        <v>-3.8974076117210377E-2</v>
      </c>
      <c r="EC156" s="1">
        <f>(1+(N70_DESARROLLO!BC71/0.014285714)*LN(N70_DESARROLLO!BD71/N70_DESARROLLO!BC71))</f>
        <v>-4.2270132583545061E-2</v>
      </c>
      <c r="ED156" s="1">
        <f>(1+(N70_DESARROLLO!BD71/0.014285714)*LN(N70_DESARROLLO!BE71/N70_DESARROLLO!BD71))</f>
        <v>-4.6175470289362641E-2</v>
      </c>
      <c r="EE156" s="1">
        <f>(1+(N70_DESARROLLO!BE71/0.014285714)*LN(N70_DESARROLLO!BF71/N70_DESARROLLO!BE71))</f>
        <v>-5.087633586584861E-2</v>
      </c>
      <c r="EF156" s="1">
        <f>(1+(N70_DESARROLLO!BF71/0.014285714)*LN(N70_DESARROLLO!BG71/N70_DESARROLLO!BF71))</f>
        <v>-5.664355467999882E-2</v>
      </c>
      <c r="EG156" s="1">
        <f>(1+(N70_DESARROLLO!BG71/0.014285714)*LN(N70_DESARROLLO!BH71/N70_DESARROLLO!BG71))</f>
        <v>-6.3886736386782106E-2</v>
      </c>
      <c r="EH156" s="1">
        <f>(1+(N70_DESARROLLO!BH71/0.014285714)*LN(N70_DESARROLLO!BI71/N70_DESARROLLO!BH71))</f>
        <v>-7.3256348770182278E-2</v>
      </c>
      <c r="EI156" s="1">
        <f>(1+(N70_DESARROLLO!BI71/0.014285714)*LN(N70_DESARROLLO!BJ71/N70_DESARROLLO!BI71))</f>
        <v>-8.5851572027607403E-2</v>
      </c>
      <c r="EJ156" s="1">
        <f>(1+(N70_DESARROLLO!BJ71/0.014285714)*LN(N70_DESARROLLO!BK71/N70_DESARROLLO!BJ71))</f>
        <v>-0.10368884711561321</v>
      </c>
      <c r="EK156" s="1">
        <f>(1+(N70_DESARROLLO!BK71/0.014285714)*LN(N70_DESARROLLO!BL71/N70_DESARROLLO!BK71))</f>
        <v>-0.13091494988237162</v>
      </c>
      <c r="EL156" s="1">
        <f>(1+(N70_DESARROLLO!BL71/0.014285714)*LN(N70_DESARROLLO!BM71/N70_DESARROLLO!BL71))</f>
        <v>-0.17765285172730816</v>
      </c>
      <c r="EM156" s="1">
        <f>(1+(N70_DESARROLLO!BM71/0.014285714)*LN(N70_DESARROLLO!BN71/N70_DESARROLLO!BM71))</f>
        <v>-0.27706408495625312</v>
      </c>
      <c r="EN156" s="1">
        <f>(1+(N70_DESARROLLO!BN71/0.014285714)*LN(N70_DESARROLLO!BO71/N70_DESARROLLO!BN71))</f>
        <v>-0.64791846596054437</v>
      </c>
      <c r="EO156" s="1">
        <v>1</v>
      </c>
      <c r="EP156" s="1">
        <f>(1+(N70_DESARROLLO!BP71/0.014285714)*LN(N70_DESARROLLO!BQ71/N70_DESARROLLO!BP71))</f>
        <v>0.45069384467982143</v>
      </c>
      <c r="EQ156" s="1">
        <f>(1+(N70_DESARROLLO!BQ71/0.014285714)*LN(N70_DESARROLLO!BR71/N70_DESARROLLO!BQ71))</f>
        <v>0.2337615490262468</v>
      </c>
      <c r="ER156" s="1">
        <f>(1+(N70_DESARROLLO!BR71/0.014285714)*LN(N70_DESARROLLO!BS71/N70_DESARROLLO!BR71))</f>
        <v>0.15881939162335801</v>
      </c>
      <c r="ES156" s="1">
        <f>(1+(N70_DESARROLLO!BS71/0.014285714)*LN(N70_DESARROLLO!BT71/N70_DESARROLLO!BS71))</f>
        <v>0.12039948342481499</v>
      </c>
      <c r="ET156" s="1">
        <f>(1+(N70_DESARROLLO!BT71/0.014285714)*LN(N70_DESARROLLO!BU71/N70_DESARROLLO!BT71))</f>
        <v>9.6981852359959819E-2</v>
      </c>
      <c r="EU156" s="1">
        <f>(1+(N70_DESARROLLO!BU71/0.014285714)*LN(N70_DESARROLLO!BV71/N70_DESARROLLO!BU71))</f>
        <v>8.1202515976632528E-2</v>
      </c>
      <c r="EV156" s="1">
        <f>(1+(N70_DESARROLLO!BV71/0.014285714)*LN(N70_DESARROLLO!BW71/N70_DESARROLLO!BV71))</f>
        <v>6.9844497732516331E-2</v>
      </c>
      <c r="EW156" s="1">
        <f>(1+(N70_DESARROLLO!BW71/0.014285714)*LN(N70_DESARROLLO!BX71/N70_DESARROLLO!BW71))</f>
        <v>-15.751941996342044</v>
      </c>
    </row>
    <row r="157" spans="7:153" x14ac:dyDescent="0.25">
      <c r="G157" s="3">
        <v>63</v>
      </c>
      <c r="H157" s="3">
        <f>-(N70_DESARROLLO!G72/0.014285714)*LN(N70_DESARROLLO!G72/N70_DESARROLLO!F72)-1</f>
        <v>-8.0429914730227869E-3</v>
      </c>
      <c r="I157" s="3">
        <f>-(N70_DESARROLLO!H72/0.014285714)*LN(N70_DESARROLLO!H72/N70_DESARROLLO!G72)-1</f>
        <v>-8.174488735061658E-3</v>
      </c>
      <c r="J157" s="3">
        <f>-(N70_DESARROLLO!I72/0.014285714)*LN(N70_DESARROLLO!I72/N70_DESARROLLO!H72)-1</f>
        <v>-8.3103572961141792E-3</v>
      </c>
      <c r="K157" s="3">
        <f>-(N70_DESARROLLO!J72/0.014285714)*LN(N70_DESARROLLO!J72/N70_DESARROLLO!I72)-1</f>
        <v>-8.4508188132772499E-3</v>
      </c>
      <c r="L157" s="3">
        <f>-(N70_DESARROLLO!K72/0.014285714)*LN(N70_DESARROLLO!K72/N70_DESARROLLO!J72)-1</f>
        <v>-8.596110187827688E-3</v>
      </c>
      <c r="M157" s="3">
        <f>-(N70_DESARROLLO!L72/0.014285714)*LN(N70_DESARROLLO!L72/N70_DESARROLLO!K72)-1</f>
        <v>-8.7464848985361332E-3</v>
      </c>
      <c r="N157" s="3">
        <f>-(N70_DESARROLLO!M72/0.014285714)*LN(N70_DESARROLLO!M72/N70_DESARROLLO!L72)-1</f>
        <v>-8.9022144776920165E-3</v>
      </c>
      <c r="O157" s="3">
        <f>-(N70_DESARROLLO!N72/0.014285714)*LN(N70_DESARROLLO!N72/N70_DESARROLLO!M72)-1</f>
        <v>-9.0635901473909986E-3</v>
      </c>
      <c r="P157" s="3">
        <f>-(N70_DESARROLLO!O72/0.014285714)*LN(N70_DESARROLLO!O72/N70_DESARROLLO!N72)-1</f>
        <v>-9.2309246374168152E-3</v>
      </c>
      <c r="Q157" s="3">
        <f>-(N70_DESARROLLO!P72/0.014285714)*LN(N70_DESARROLLO!P72/N70_DESARROLLO!O72)-1</f>
        <v>-9.4045542079997935E-3</v>
      </c>
      <c r="R157" s="3">
        <f>-(N70_DESARROLLO!Q72/0.014285714)*LN(N70_DESARROLLO!Q72/N70_DESARROLLO!P72)-1</f>
        <v>-9.5848409054832828E-3</v>
      </c>
      <c r="S157" s="3">
        <f>-(N70_DESARROLLO!R72/0.014285714)*LN(N70_DESARROLLO!R72/N70_DESARROLLO!Q72)-1</f>
        <v>-9.7721750824342202E-3</v>
      </c>
      <c r="T157" s="3">
        <f>-(N70_DESARROLLO!S72/0.014285714)*LN(N70_DESARROLLO!S72/N70_DESARROLLO!R72)-1</f>
        <v>-9.9669782192028933E-3</v>
      </c>
      <c r="U157" s="3">
        <f>-(N70_DESARROLLO!T72/0.014285714)*LN(N70_DESARROLLO!T72/N70_DESARROLLO!S72)-1</f>
        <v>-1.0169706089854125E-2</v>
      </c>
      <c r="V157" s="3">
        <f>-(N70_DESARROLLO!U72/0.014285714)*LN(N70_DESARROLLO!U72/N70_DESARROLLO!T72)-1</f>
        <v>-1.0380852322620981E-2</v>
      </c>
      <c r="W157" s="3">
        <f>-(N70_DESARROLLO!V72/0.014285714)*LN(N70_DESARROLLO!V72/N70_DESARROLLO!U72)-1</f>
        <v>-1.0600952413273412E-2</v>
      </c>
      <c r="X157" s="3">
        <f>-(N70_DESARROLLO!W72/0.014285714)*LN(N70_DESARROLLO!W72/N70_DESARROLLO!V72)-1</f>
        <v>-1.0830588260139384E-2</v>
      </c>
      <c r="Y157" s="3">
        <f>-(N70_DESARROLLO!X72/0.014285714)*LN(N70_DESARROLLO!X72/N70_DESARROLLO!W72)-1</f>
        <v>-1.1070393301807369E-2</v>
      </c>
      <c r="Z157" s="3">
        <f>-(N70_DESARROLLO!Y72/0.014285714)*LN(N70_DESARROLLO!Y72/N70_DESARROLLO!X72)-1</f>
        <v>-1.1321058352732338E-2</v>
      </c>
      <c r="AA157" s="3">
        <f>-(N70_DESARROLLO!Z72/0.014285714)*LN(N70_DESARROLLO!Z72/N70_DESARROLLO!Y72)-1</f>
        <v>-1.1583338250304442E-2</v>
      </c>
      <c r="AB157" s="3">
        <f>-(N70_DESARROLLO!AA72/0.014285714)*LN(N70_DESARROLLO!AA72/N70_DESARROLLO!Z72)-1</f>
        <v>-1.1858059447836355E-2</v>
      </c>
      <c r="AC157" s="3">
        <f>-(N70_DESARROLLO!AB72/0.014285714)*LN(N70_DESARROLLO!AB72/N70_DESARROLLO!AA72)-1</f>
        <v>-1.2146128714478177E-2</v>
      </c>
      <c r="AD157" s="3">
        <f>-(N70_DESARROLLO!AC72/0.014285714)*LN(N70_DESARROLLO!AC72/N70_DESARROLLO!AB72)-1</f>
        <v>-1.2448543134993217E-2</v>
      </c>
      <c r="AE157" s="3">
        <f>-(N70_DESARROLLO!AD72/0.014285714)*LN(N70_DESARROLLO!AD72/N70_DESARROLLO!AC72)-1</f>
        <v>-1.2766401641823411E-2</v>
      </c>
      <c r="AF157" s="3">
        <f>-(N70_DESARROLLO!AE72/0.014285714)*LN(N70_DESARROLLO!AE72/N70_DESARROLLO!AD72)-1</f>
        <v>-1.3100918360511193E-2</v>
      </c>
      <c r="AG157" s="3">
        <f>-(N70_DESARROLLO!AF72/0.014285714)*LN(N70_DESARROLLO!AF72/N70_DESARROLLO!AE72)-1</f>
        <v>-1.345343811001587E-2</v>
      </c>
      <c r="AH157" s="3">
        <f>-(N70_DESARROLLO!AG72/0.014285714)*LN(N70_DESARROLLO!AG72/N70_DESARROLLO!AF72)-1</f>
        <v>-1.3825454475325571E-2</v>
      </c>
      <c r="AI157" s="3">
        <f>-(N70_DESARROLLO!AH72/0.014285714)*LN(N70_DESARROLLO!AH72/N70_DESARROLLO!AG72)-1</f>
        <v>-1.4218630964440648E-2</v>
      </c>
      <c r="AJ157" s="3">
        <f>-(N70_DESARROLLO!AI72/0.014285714)*LN(N70_DESARROLLO!AI72/N70_DESARROLLO!AH72)-1</f>
        <v>-1.4634825881869595E-2</v>
      </c>
      <c r="AK157" s="3">
        <f>-(N70_DESARROLLO!AJ72/0.014285714)*LN(N70_DESARROLLO!AJ72/N70_DESARROLLO!AI72)-1</f>
        <v>-1.5076121703332501E-2</v>
      </c>
      <c r="AL157" s="3">
        <f>-(N70_DESARROLLO!AK72/0.014285714)*LN(N70_DESARROLLO!AK72/N70_DESARROLLO!AJ72)-1</f>
        <v>-1.5544859931607924E-2</v>
      </c>
      <c r="AM157" s="3">
        <f>-(N70_DESARROLLO!AL72/0.014285714)*LN(N70_DESARROLLO!AL72/N70_DESARROLLO!AK72)-1</f>
        <v>-1.6043682665120018E-2</v>
      </c>
      <c r="AN157" s="3">
        <f>-(N70_DESARROLLO!AM72/0.014285714)*LN(N70_DESARROLLO!AM72/N70_DESARROLLO!AL72)-1</f>
        <v>-1.6575582437552527E-2</v>
      </c>
      <c r="AO157" s="3">
        <f>-(N70_DESARROLLO!AN72/0.014285714)*LN(N70_DESARROLLO!AN72/N70_DESARROLLO!AM72)-1</f>
        <v>-1.7143962314553729E-2</v>
      </c>
      <c r="AP157" s="3">
        <f>-(N70_DESARROLLO!AO72/0.014285714)*LN(N70_DESARROLLO!AO72/N70_DESARROLLO!AN72)-1</f>
        <v>-1.7752708797875494E-2</v>
      </c>
      <c r="AQ157" s="3">
        <f>-(N70_DESARROLLO!AP72/0.014285714)*LN(N70_DESARROLLO!AP72/N70_DESARROLLO!AO72)-1</f>
        <v>-1.8406280838877631E-2</v>
      </c>
      <c r="AR157" s="3">
        <f>-(N70_DESARROLLO!AQ72/0.014285714)*LN(N70_DESARROLLO!AQ72/N70_DESARROLLO!AP72)-1</f>
        <v>-1.9109819273391393E-2</v>
      </c>
      <c r="AS157" s="3">
        <f>-(N70_DESARROLLO!AR72/0.014285714)*LN(N70_DESARROLLO!AR72/N70_DESARROLLO!AQ72)-1</f>
        <v>-1.9869282361759777E-2</v>
      </c>
      <c r="AT157" s="3">
        <f>-(N70_DESARROLLO!AS72/0.014285714)*LN(N70_DESARROLLO!AS72/N70_DESARROLLO!AR72)-1</f>
        <v>-2.0691615000480224E-2</v>
      </c>
      <c r="AU157" s="3">
        <f>-(N70_DESARROLLO!AT72/0.014285714)*LN(N70_DESARROLLO!AT72/N70_DESARROLLO!AS72)-1</f>
        <v>-2.1584961787579404E-2</v>
      </c>
      <c r="AV157" s="3">
        <f>-(N70_DESARROLLO!AU72/0.014285714)*LN(N70_DESARROLLO!AU72/N70_DESARROLLO!AT72)-1</f>
        <v>-2.2558937800892354E-2</v>
      </c>
      <c r="AW157" s="3">
        <f>-(N70_DESARROLLO!AV72/0.014285714)*LN(N70_DESARROLLO!AV72/N70_DESARROLLO!AU72)-1</f>
        <v>-2.362497619278292E-2</v>
      </c>
      <c r="AX157" s="3">
        <f>-(N70_DESARROLLO!AW72/0.014285714)*LN(N70_DESARROLLO!AW72/N70_DESARROLLO!AV72)-1</f>
        <v>-2.4796779290042426E-2</v>
      </c>
      <c r="AY157" s="3">
        <f>-(N70_DESARROLLO!AX72/0.014285714)*LN(N70_DESARROLLO!AX72/N70_DESARROLLO!AW72)-1</f>
        <v>-2.6090911041506626E-2</v>
      </c>
      <c r="AZ157" s="3">
        <f>-(N70_DESARROLLO!AY72/0.014285714)*LN(N70_DESARROLLO!AY72/N70_DESARROLLO!AX72)-1</f>
        <v>-2.7527585341367344E-2</v>
      </c>
      <c r="BA157" s="3">
        <f>-(N70_DESARROLLO!AZ72/0.014285714)*LN(N70_DESARROLLO!AZ72/N70_DESARROLLO!AY72)-1</f>
        <v>-2.9131730204228767E-2</v>
      </c>
      <c r="BB157" s="3">
        <f>-(N70_DESARROLLO!BA72/0.014285714)*LN(N70_DESARROLLO!BA72/N70_DESARROLLO!AZ72)-1</f>
        <v>-3.0934447408014765E-2</v>
      </c>
      <c r="BC157" s="3">
        <f>-(N70_DESARROLLO!BB72/0.014285714)*LN(N70_DESARROLLO!BB72/N70_DESARROLLO!BA72)-1</f>
        <v>-3.2975050428749819E-2</v>
      </c>
      <c r="BD157" s="3">
        <f>-(N70_DESARROLLO!BC72/0.014285714)*LN(N70_DESARROLLO!BC72/N70_DESARROLLO!BB72)-1</f>
        <v>-3.5303966947125343E-2</v>
      </c>
      <c r="BE157" s="3">
        <f>-(N70_DESARROLLO!BD72/0.014285714)*LN(N70_DESARROLLO!BD72/N70_DESARROLLO!BC72)-1</f>
        <v>-3.7986966558131163E-2</v>
      </c>
      <c r="BF157" s="3">
        <f>-(N70_DESARROLLO!BE72/0.014285714)*LN(N70_DESARROLLO!BE72/N70_DESARROLLO!BD72)-1</f>
        <v>-4.1111478023145742E-2</v>
      </c>
      <c r="BG157" s="3">
        <f>-(N70_DESARROLLO!BF72/0.014285714)*LN(N70_DESARROLLO!BF72/N70_DESARROLLO!BE72)-1</f>
        <v>-4.4796309735792073E-2</v>
      </c>
      <c r="BH157" s="3">
        <f>-(N70_DESARROLLO!BG72/0.014285714)*LN(N70_DESARROLLO!BG72/N70_DESARROLLO!BF72)-1</f>
        <v>-4.9207124692811077E-2</v>
      </c>
      <c r="BI157" s="3">
        <f>-(N70_DESARROLLO!BH72/0.014285714)*LN(N70_DESARROLLO!BH72/N70_DESARROLLO!BG72)-1</f>
        <v>-5.4582082654737407E-2</v>
      </c>
      <c r="BJ157" s="3">
        <f>-(N70_DESARROLLO!BI72/0.014285714)*LN(N70_DESARROLLO!BI72/N70_DESARROLLO!BH72)-1</f>
        <v>-6.1276409070479487E-2</v>
      </c>
      <c r="BK157" s="3">
        <f>-(N70_DESARROLLO!BJ72/0.014285714)*LN(N70_DESARROLLO!BJ72/N70_DESARROLLO!BI72)-1</f>
        <v>-6.9844497732515998E-2</v>
      </c>
      <c r="BL157" s="3">
        <f>-(N70_DESARROLLO!BK72/0.014285714)*LN(N70_DESARROLLO!BK72/N70_DESARROLLO!BJ72)-1</f>
        <v>-8.1202515976632528E-2</v>
      </c>
      <c r="BM157" s="3">
        <f>-(N70_DESARROLLO!BL72/0.014285714)*LN(N70_DESARROLLO!BL72/N70_DESARROLLO!BK72)-1</f>
        <v>-9.6981852359959708E-2</v>
      </c>
      <c r="BN157" s="3">
        <f>-(N70_DESARROLLO!BM72/0.014285714)*LN(N70_DESARROLLO!BM72/N70_DESARROLLO!BL72)-1</f>
        <v>-0.1203994834248151</v>
      </c>
      <c r="BO157" s="3">
        <f>-(N70_DESARROLLO!BN72/0.014285714)*LN(N70_DESARROLLO!BN72/N70_DESARROLLO!BM72)-1</f>
        <v>-0.15881939162335823</v>
      </c>
      <c r="BP157" s="3">
        <f>-(N70_DESARROLLO!BO72/0.014285714)*LN(N70_DESARROLLO!BO72/N70_DESARROLLO!BN72)-1</f>
        <v>-0.23376154902624291</v>
      </c>
      <c r="BQ157" s="3">
        <f>-(N70_DESARROLLO!BP72/0.014285714)*LN(N70_DESARROLLO!BP72/N70_DESARROLLO!BO72)-1</f>
        <v>-0.45069384467982399</v>
      </c>
      <c r="BR157" s="3">
        <v>-1</v>
      </c>
      <c r="BS157" s="3">
        <f>-(N70_DESARROLLO!BR72/0.014285714)*LN(N70_DESARROLLO!BR72/N70_DESARROLLO!BQ72)-1</f>
        <v>0.64791846596052105</v>
      </c>
      <c r="BT157" s="3">
        <f>-(N70_DESARROLLO!BS72/0.014285714)*LN(N70_DESARROLLO!BS72/N70_DESARROLLO!BR72)-1</f>
        <v>0.2770640849562529</v>
      </c>
      <c r="BU157" s="3">
        <f>-(N70_DESARROLLO!BT72/0.014285714)*LN(N70_DESARROLLO!BT72/N70_DESARROLLO!BS72)-1</f>
        <v>0.17765285172730816</v>
      </c>
      <c r="BV157" s="3">
        <f>-(N70_DESARROLLO!BU72/0.014285714)*LN(N70_DESARROLLO!BU72/N70_DESARROLLO!BT72)-1</f>
        <v>0.13091494988237184</v>
      </c>
      <c r="BW157" s="3">
        <f>-(N70_DESARROLLO!BV72/0.014285714)*LN(N70_DESARROLLO!BV72/N70_DESARROLLO!BU72)-1</f>
        <v>0.10368884711561366</v>
      </c>
      <c r="BX157" s="3">
        <f>-(N70_DESARROLLO!BW72/0.014285714)*LN(N70_DESARROLLO!BW72/N70_DESARROLLO!BV72)-1</f>
        <v>8.5851572027607181E-2</v>
      </c>
      <c r="BY157" s="3">
        <f>-(N70_DESARROLLO!BX72/0.014285714)*LN(N70_DESARROLLO!BX72/N70_DESARROLLO!BW72)-1</f>
        <v>165.36851788771409</v>
      </c>
      <c r="CD157">
        <v>63</v>
      </c>
      <c r="CE157" s="1">
        <v>0</v>
      </c>
      <c r="CF157" s="1">
        <f>(1+(N70_DESARROLLO!F72/0.014285714)*LN(N70_DESARROLLO!G72/N70_DESARROLLO!F72))</f>
        <v>-8.0863907794483936E-3</v>
      </c>
      <c r="CG157" s="1">
        <f>(1+(N70_DESARROLLO!G72/0.014285714)*LN(N70_DESARROLLO!H72/N70_DESARROLLO!G72))</f>
        <v>-8.2193213684909061E-3</v>
      </c>
      <c r="CH157" s="1">
        <f>(1+(N70_DESARROLLO!H72/0.014285714)*LN(N70_DESARROLLO!I72/N70_DESARROLLO!H72))</f>
        <v>-8.356695522438562E-3</v>
      </c>
      <c r="CI157" s="1">
        <f>(1+(N70_DESARROLLO!I72/0.014285714)*LN(N70_DESARROLLO!J72/N70_DESARROLLO!I72))</f>
        <v>-8.4987398394873459E-3</v>
      </c>
      <c r="CJ157" s="1">
        <f>(1+(N70_DESARROLLO!J72/0.014285714)*LN(N70_DESARROLLO!K72/N70_DESARROLLO!J72))</f>
        <v>-8.6456965915144846E-3</v>
      </c>
      <c r="CK157" s="1">
        <f>(1+(N70_DESARROLLO!K72/0.014285714)*LN(N70_DESARROLLO!L72/N70_DESARROLLO!K72))</f>
        <v>-8.797825103259882E-3</v>
      </c>
      <c r="CL157" s="1">
        <f>(1+(N70_DESARROLLO!L72/0.014285714)*LN(N70_DESARROLLO!M72/N70_DESARROLLO!L72))</f>
        <v>-8.9554032794665339E-3</v>
      </c>
      <c r="CM157" s="1">
        <f>(1+(N70_DESARROLLO!M72/0.014285714)*LN(N70_DESARROLLO!N72/N70_DESARROLLO!M72))</f>
        <v>-9.1187292994459046E-3</v>
      </c>
      <c r="CN157" s="1">
        <f>(1+(N70_DESARROLLO!N72/0.014285714)*LN(N70_DESARROLLO!O72/N70_DESARROLLO!N72))</f>
        <v>-9.2881235002015838E-3</v>
      </c>
      <c r="CO157" s="1">
        <f>(1+(N70_DESARROLLO!O72/0.014285714)*LN(N70_DESARROLLO!P72/N70_DESARROLLO!O72))</f>
        <v>-9.463930473752491E-3</v>
      </c>
      <c r="CP157" s="1">
        <f>(1+(N70_DESARROLLO!P72/0.014285714)*LN(N70_DESARROLLO!Q72/N70_DESARROLLO!P72))</f>
        <v>-9.6465214070318162E-3</v>
      </c>
      <c r="CQ157" s="1">
        <f>(1+(N70_DESARROLLO!Q72/0.014285714)*LN(N70_DESARROLLO!R72/N70_DESARROLLO!Q72))</f>
        <v>-9.8362966981115907E-3</v>
      </c>
      <c r="CR157" s="1">
        <f>(1+(N70_DESARROLLO!R72/0.014285714)*LN(N70_DESARROLLO!S72/N70_DESARROLLO!R72))</f>
        <v>-1.0033688887479686E-2</v>
      </c>
      <c r="CS157" s="1">
        <f>(1+(N70_DESARROLLO!S72/0.014285714)*LN(N70_DESARROLLO!T72/N70_DESARROLLO!S72))</f>
        <v>-1.0239165949530449E-2</v>
      </c>
      <c r="CT157" s="1">
        <f>(1+(N70_DESARROLLO!T72/0.014285714)*LN(N70_DESARROLLO!U72/N70_DESARROLLO!T72))</f>
        <v>-1.0453234996902872E-2</v>
      </c>
      <c r="CU157" s="1">
        <f>(1+(N70_DESARROLLO!U72/0.014285714)*LN(N70_DESARROLLO!V72/N70_DESARROLLO!U72))</f>
        <v>-1.067644645955923E-2</v>
      </c>
      <c r="CV157" s="1">
        <f>(1+(N70_DESARROLLO!V72/0.014285714)*LN(N70_DESARROLLO!W72/N70_DESARROLLO!V72))</f>
        <v>-1.0909398811066451E-2</v>
      </c>
      <c r="CW157" s="1">
        <f>(1+(N70_DESARROLLO!W72/0.014285714)*LN(N70_DESARROLLO!X72/N70_DESARROLLO!W72))</f>
        <v>-1.1152743927365316E-2</v>
      </c>
      <c r="CX157" s="1">
        <f>(1+(N70_DESARROLLO!X72/0.014285714)*LN(N70_DESARROLLO!Y72/N70_DESARROLLO!X72))</f>
        <v>-1.1407193179388653E-2</v>
      </c>
      <c r="CY157" s="1">
        <f>(1+(N70_DESARROLLO!Y72/0.014285714)*LN(N70_DESARROLLO!Z72/N70_DESARROLLO!Y72))</f>
        <v>-1.1673524379100408E-2</v>
      </c>
      <c r="CZ157" s="1">
        <f>(1+(N70_DESARROLLO!Z72/0.014285714)*LN(N70_DESARROLLO!AA72/N70_DESARROLLO!Z72))</f>
        <v>-1.1952589722095341E-2</v>
      </c>
      <c r="DA157" s="1">
        <f>(1+(N70_DESARROLLO!AA72/0.014285714)*LN(N70_DESARROLLO!AB72/N70_DESARROLLO!AA72))</f>
        <v>-1.2245324897510068E-2</v>
      </c>
      <c r="DB157" s="1">
        <f>(1+(N70_DESARROLLO!AB72/0.014285714)*LN(N70_DESARROLLO!AC72/N70_DESARROLLO!AB72))</f>
        <v>-1.2552759570449767E-2</v>
      </c>
      <c r="DC157" s="1">
        <f>(1+(N70_DESARROLLO!AC72/0.014285714)*LN(N70_DESARROLLO!AD72/N70_DESARROLLO!AC72))</f>
        <v>-1.2876029484363061E-2</v>
      </c>
      <c r="DD157" s="1">
        <f>(1+(N70_DESARROLLO!AD72/0.014285714)*LN(N70_DESARROLLO!AE72/N70_DESARROLLO!AD72))</f>
        <v>-1.3216390483208773E-2</v>
      </c>
      <c r="DE157" s="1">
        <f>(1+(N70_DESARROLLO!AE72/0.014285714)*LN(N70_DESARROLLO!AF72/N70_DESARROLLO!AE72))</f>
        <v>-1.3575234818476556E-2</v>
      </c>
      <c r="DF157" s="1">
        <f>(1+(N70_DESARROLLO!AF72/0.014285714)*LN(N70_DESARROLLO!AG72/N70_DESARROLLO!AF72))</f>
        <v>-1.3954110187341273E-2</v>
      </c>
      <c r="DG157" s="1">
        <f>(1+(N70_DESARROLLO!AG72/0.014285714)*LN(N70_DESARROLLO!AH72/N70_DESARROLLO!AG72))</f>
        <v>-1.4354742051083003E-2</v>
      </c>
      <c r="DH157" s="1">
        <f>(1+(N70_DESARROLLO!AH72/0.014285714)*LN(N70_DESARROLLO!AI72/N70_DESARROLLO!AH72))</f>
        <v>-1.4779059912701564E-2</v>
      </c>
      <c r="DI157" s="1">
        <f>(1+(N70_DESARROLLO!AI72/0.014285714)*LN(N70_DESARROLLO!AJ72/N70_DESARROLLO!AI72))</f>
        <v>-1.5229228398103478E-2</v>
      </c>
      <c r="DJ157" s="1">
        <f>(1+(N70_DESARROLLO!AJ72/0.014285714)*LN(N70_DESARROLLO!AK72/N70_DESARROLLO!AJ72))</f>
        <v>-1.5707684197547422E-2</v>
      </c>
      <c r="DK157" s="1">
        <f>(1+(N70_DESARROLLO!AK72/0.014285714)*LN(N70_DESARROLLO!AL72/N70_DESARROLLO!AK72))</f>
        <v>-1.6217180198318637E-2</v>
      </c>
      <c r="DL157" s="1">
        <f>(1+(N70_DESARROLLO!AL72/0.014285714)*LN(N70_DESARROLLO!AM72/N70_DESARROLLO!AL72))</f>
        <v>-1.6760838496767683E-2</v>
      </c>
      <c r="DM157" s="1">
        <f>(1+(N70_DESARROLLO!AM72/0.014285714)*LN(N70_DESARROLLO!AN72/N70_DESARROLLO!AM72))</f>
        <v>-1.7342214446339099E-2</v>
      </c>
      <c r="DN157" s="1">
        <f>(1+(N70_DESARROLLO!AN72/0.014285714)*LN(N70_DESARROLLO!AO72/N70_DESARROLLO!AN72))</f>
        <v>-1.7965374518565502E-2</v>
      </c>
      <c r="DO157" s="1">
        <f>(1+(N70_DESARROLLO!AO72/0.014285714)*LN(N70_DESARROLLO!AP72/N70_DESARROLLO!AO72))</f>
        <v>-1.8634991582296534E-2</v>
      </c>
      <c r="DP157" s="1">
        <f>(1+(N70_DESARROLLO!AP72/0.014285714)*LN(N70_DESARROLLO!AQ72/N70_DESARROLLO!AP72))</f>
        <v>-1.9356462323730783E-2</v>
      </c>
      <c r="DQ157" s="1">
        <f>(1+(N70_DESARROLLO!AQ72/0.014285714)*LN(N70_DESARROLLO!AR72/N70_DESARROLLO!AQ72))</f>
        <v>-2.0136053052045799E-2</v>
      </c>
      <c r="DR157" s="1">
        <f>(1+(N70_DESARROLLO!AR72/0.014285714)*LN(N70_DESARROLLO!AS72/N70_DESARROLLO!AR72))</f>
        <v>-2.0981082233542114E-2</v>
      </c>
      <c r="DS157" s="1">
        <f>(1+(N70_DESARROLLO!AS72/0.014285714)*LN(N70_DESARROLLO!AT72/N70_DESARROLLO!AS72))</f>
        <v>-2.1900151021861269E-2</v>
      </c>
      <c r="DT157" s="1">
        <f>(1+(N70_DESARROLLO!AT72/0.014285714)*LN(N70_DESARROLLO!AU72/N70_DESARROLLO!AT72))</f>
        <v>-2.2903437185112896E-2</v>
      </c>
      <c r="DU157" s="1">
        <f>(1+(N70_DESARROLLO!AU72/0.014285714)*LN(N70_DESARROLLO!AV72/N70_DESARROLLO!AU72))</f>
        <v>-2.4003073749032433E-2</v>
      </c>
      <c r="DV157" s="1">
        <f>(1+(N70_DESARROLLO!AV72/0.014285714)*LN(N70_DESARROLLO!AW72/N70_DESARROLLO!AV72))</f>
        <v>-2.5213642284827031E-2</v>
      </c>
      <c r="DW157" s="1">
        <f>(1+(N70_DESARROLLO!AW72/0.014285714)*LN(N70_DESARROLLO!AX72/N70_DESARROLLO!AW72))</f>
        <v>-2.6552823496790445E-2</v>
      </c>
      <c r="DX157" s="1">
        <f>(1+(N70_DESARROLLO!AX72/0.014285714)*LN(N70_DESARROLLO!AY72/N70_DESARROLLO!AX72))</f>
        <v>-2.8042266924840131E-2</v>
      </c>
      <c r="DY157" s="1">
        <f>(1+(N70_DESARROLLO!AY72/0.014285714)*LN(N70_DESARROLLO!AZ72/N70_DESARROLLO!AY72))</f>
        <v>-2.9708770995515277E-2</v>
      </c>
      <c r="DZ157" s="1">
        <f>(1+(N70_DESARROLLO!AZ72/0.014285714)*LN(N70_DESARROLLO!BA72/N70_DESARROLLO!AZ72))</f>
        <v>-3.1585910823725971E-2</v>
      </c>
      <c r="EA157" s="1">
        <f>(1+(N70_DESARROLLO!BA72/0.014285714)*LN(N70_DESARROLLO!BB72/N70_DESARROLLO!BA72))</f>
        <v>-3.3716325403750469E-2</v>
      </c>
      <c r="EB157" s="1">
        <f>(1+(N70_DESARROLLO!BB72/0.014285714)*LN(N70_DESARROLLO!BC72/N70_DESARROLLO!BB72))</f>
        <v>-3.6154998464198451E-2</v>
      </c>
      <c r="EC157" s="1">
        <f>(1+(N70_DESARROLLO!BC72/0.014285714)*LN(N70_DESARROLLO!BD72/N70_DESARROLLO!BC72))</f>
        <v>-3.8974076117218814E-2</v>
      </c>
      <c r="ED157" s="1">
        <f>(1+(N70_DESARROLLO!BD72/0.014285714)*LN(N70_DESARROLLO!BE72/N70_DESARROLLO!BD72))</f>
        <v>-4.2270132583536846E-2</v>
      </c>
      <c r="EE157" s="1">
        <f>(1+(N70_DESARROLLO!BE72/0.014285714)*LN(N70_DESARROLLO!BF72/N70_DESARROLLO!BE72))</f>
        <v>-4.6175470289371079E-2</v>
      </c>
      <c r="EF157" s="1">
        <f>(1+(N70_DESARROLLO!BF72/0.014285714)*LN(N70_DESARROLLO!BG72/N70_DESARROLLO!BF72))</f>
        <v>-5.087633586583995E-2</v>
      </c>
      <c r="EG157" s="1">
        <f>(1+(N70_DESARROLLO!BG72/0.014285714)*LN(N70_DESARROLLO!BH72/N70_DESARROLLO!BG72))</f>
        <v>-5.664355467999882E-2</v>
      </c>
      <c r="EH157" s="1">
        <f>(1+(N70_DESARROLLO!BH72/0.014285714)*LN(N70_DESARROLLO!BI72/N70_DESARROLLO!BH72))</f>
        <v>-6.3886736386790544E-2</v>
      </c>
      <c r="EI157" s="1">
        <f>(1+(N70_DESARROLLO!BI72/0.014285714)*LN(N70_DESARROLLO!BJ72/N70_DESARROLLO!BI72))</f>
        <v>-7.3256348770173396E-2</v>
      </c>
      <c r="EJ157" s="1">
        <f>(1+(N70_DESARROLLO!BJ72/0.014285714)*LN(N70_DESARROLLO!BK72/N70_DESARROLLO!BJ72))</f>
        <v>-8.5851572027616951E-2</v>
      </c>
      <c r="EK157" s="1">
        <f>(1+(N70_DESARROLLO!BK72/0.014285714)*LN(N70_DESARROLLO!BL72/N70_DESARROLLO!BK72))</f>
        <v>-0.10368884711560411</v>
      </c>
      <c r="EL157" s="1">
        <f>(1+(N70_DESARROLLO!BL72/0.014285714)*LN(N70_DESARROLLO!BM72/N70_DESARROLLO!BL72))</f>
        <v>-0.13091494988238184</v>
      </c>
      <c r="EM157" s="1">
        <f>(1+(N70_DESARROLLO!BM72/0.014285714)*LN(N70_DESARROLLO!BN72/N70_DESARROLLO!BM72))</f>
        <v>-0.17765285172729728</v>
      </c>
      <c r="EN157" s="1">
        <f>(1+(N70_DESARROLLO!BN72/0.014285714)*LN(N70_DESARROLLO!BO72/N70_DESARROLLO!BN72))</f>
        <v>-0.27706408495626578</v>
      </c>
      <c r="EO157" s="1">
        <f>(1+(N70_DESARROLLO!BO72/0.014285714)*LN(N70_DESARROLLO!BP72/N70_DESARROLLO!BO72))</f>
        <v>-0.64791846596052816</v>
      </c>
      <c r="EP157" s="1">
        <v>1</v>
      </c>
      <c r="EQ157" s="1">
        <f>(1+(N70_DESARROLLO!BQ72/0.014285714)*LN(N70_DESARROLLO!BR72/N70_DESARROLLO!BQ72))</f>
        <v>0.45069384467982065</v>
      </c>
      <c r="ER157" s="1">
        <f>(1+(N70_DESARROLLO!BR72/0.014285714)*LN(N70_DESARROLLO!BS72/N70_DESARROLLO!BR72))</f>
        <v>0.2337615490262468</v>
      </c>
      <c r="ES157" s="1">
        <f>(1+(N70_DESARROLLO!BS72/0.014285714)*LN(N70_DESARROLLO!BT72/N70_DESARROLLO!BS72))</f>
        <v>0.15881939162335246</v>
      </c>
      <c r="ET157" s="1">
        <f>(1+(N70_DESARROLLO!BT72/0.014285714)*LN(N70_DESARROLLO!BU72/N70_DESARROLLO!BT72))</f>
        <v>0.12039948342482099</v>
      </c>
      <c r="EU157" s="1">
        <f>(1+(N70_DESARROLLO!BU72/0.014285714)*LN(N70_DESARROLLO!BV72/N70_DESARROLLO!BU72))</f>
        <v>9.6981852359953269E-2</v>
      </c>
      <c r="EV157" s="1">
        <f>(1+(N70_DESARROLLO!BV72/0.014285714)*LN(N70_DESARROLLO!BW72/N70_DESARROLLO!BV72))</f>
        <v>8.1202515976639411E-2</v>
      </c>
      <c r="EW157" s="1">
        <f>(1+(N70_DESARROLLO!BW72/0.014285714)*LN(N70_DESARROLLO!BX72/N70_DESARROLLO!BW72))</f>
        <v>-14.448505232430595</v>
      </c>
    </row>
    <row r="158" spans="7:153" x14ac:dyDescent="0.25">
      <c r="G158" s="3">
        <v>64</v>
      </c>
      <c r="H158" s="3">
        <f>-(N70_DESARROLLO!G73/0.014285714)*LN(N70_DESARROLLO!G73/N70_DESARROLLO!F73)-1</f>
        <v>-7.9156578901804497E-3</v>
      </c>
      <c r="I158" s="3">
        <f>-(N70_DESARROLLO!H73/0.014285714)*LN(N70_DESARROLLO!H73/N70_DESARROLLO!G73)-1</f>
        <v>-8.0429914730157925E-3</v>
      </c>
      <c r="J158" s="3">
        <f>-(N70_DESARROLLO!I73/0.014285714)*LN(N70_DESARROLLO!I73/N70_DESARROLLO!H73)-1</f>
        <v>-8.1744887350685413E-3</v>
      </c>
      <c r="K158" s="3">
        <f>-(N70_DESARROLLO!J73/0.014285714)*LN(N70_DESARROLLO!J73/N70_DESARROLLO!I73)-1</f>
        <v>-8.3103572961074068E-3</v>
      </c>
      <c r="L158" s="3">
        <f>-(N70_DESARROLLO!K73/0.014285714)*LN(N70_DESARROLLO!K73/N70_DESARROLLO!J73)-1</f>
        <v>-8.4508188132838002E-3</v>
      </c>
      <c r="M158" s="3">
        <f>-(N70_DESARROLLO!L73/0.014285714)*LN(N70_DESARROLLO!L73/N70_DESARROLLO!K73)-1</f>
        <v>-8.5961101878212487E-3</v>
      </c>
      <c r="N158" s="3">
        <f>-(N70_DESARROLLO!M73/0.014285714)*LN(N70_DESARROLLO!M73/N70_DESARROLLO!L73)-1</f>
        <v>-8.7464848985490118E-3</v>
      </c>
      <c r="O158" s="3">
        <f>-(N70_DESARROLLO!N73/0.014285714)*LN(N70_DESARROLLO!N73/N70_DESARROLLO!M73)-1</f>
        <v>-8.9022144776856882E-3</v>
      </c>
      <c r="P158" s="3">
        <f>-(N70_DESARROLLO!O73/0.014285714)*LN(N70_DESARROLLO!O73/N70_DESARROLLO!N73)-1</f>
        <v>-9.0635901473971048E-3</v>
      </c>
      <c r="Q158" s="3">
        <f>-(N70_DESARROLLO!P73/0.014285714)*LN(N70_DESARROLLO!P73/N70_DESARROLLO!O73)-1</f>
        <v>-9.2309246374047138E-3</v>
      </c>
      <c r="R158" s="3">
        <f>-(N70_DESARROLLO!Q73/0.014285714)*LN(N70_DESARROLLO!Q73/N70_DESARROLLO!P73)-1</f>
        <v>-9.4045542079997935E-3</v>
      </c>
      <c r="S158" s="3">
        <f>-(N70_DESARROLLO!R73/0.014285714)*LN(N70_DESARROLLO!R73/N70_DESARROLLO!Q73)-1</f>
        <v>-9.5848409054887229E-3</v>
      </c>
      <c r="T158" s="3">
        <f>-(N70_DESARROLLO!S73/0.014285714)*LN(N70_DESARROLLO!S73/N70_DESARROLLO!R73)-1</f>
        <v>-9.7721750824341092E-3</v>
      </c>
      <c r="U158" s="3">
        <f>-(N70_DESARROLLO!T73/0.014285714)*LN(N70_DESARROLLO!T73/N70_DESARROLLO!S73)-1</f>
        <v>-9.9669782192027823E-3</v>
      </c>
      <c r="V158" s="3">
        <f>-(N70_DESARROLLO!U73/0.014285714)*LN(N70_DESARROLLO!U73/N70_DESARROLLO!T73)-1</f>
        <v>-1.0169706089843134E-2</v>
      </c>
      <c r="W158" s="3">
        <f>-(N70_DESARROLLO!V73/0.014285714)*LN(N70_DESARROLLO!V73/N70_DESARROLLO!U73)-1</f>
        <v>-1.0380852322626088E-2</v>
      </c>
      <c r="X158" s="3">
        <f>-(N70_DESARROLLO!W73/0.014285714)*LN(N70_DESARROLLO!W73/N70_DESARROLLO!V73)-1</f>
        <v>-1.0600952413268083E-2</v>
      </c>
      <c r="Y158" s="3">
        <f>-(N70_DESARROLLO!X73/0.014285714)*LN(N70_DESARROLLO!X73/N70_DESARROLLO!W73)-1</f>
        <v>-1.0830588260149487E-2</v>
      </c>
      <c r="Z158" s="3">
        <f>-(N70_DESARROLLO!Y73/0.014285714)*LN(N70_DESARROLLO!Y73/N70_DESARROLLO!X73)-1</f>
        <v>-1.1070393301797377E-2</v>
      </c>
      <c r="AA158" s="3">
        <f>-(N70_DESARROLLO!Z73/0.014285714)*LN(N70_DESARROLLO!Z73/N70_DESARROLLO!Y73)-1</f>
        <v>-1.1321058352732338E-2</v>
      </c>
      <c r="AB158" s="3">
        <f>-(N70_DESARROLLO!AA73/0.014285714)*LN(N70_DESARROLLO!AA73/N70_DESARROLLO!Z73)-1</f>
        <v>-1.1583338250309216E-2</v>
      </c>
      <c r="AC158" s="3">
        <f>-(N70_DESARROLLO!AB73/0.014285714)*LN(N70_DESARROLLO!AB73/N70_DESARROLLO!AA73)-1</f>
        <v>-1.1858059447836244E-2</v>
      </c>
      <c r="AD158" s="3">
        <f>-(N70_DESARROLLO!AC73/0.014285714)*LN(N70_DESARROLLO!AC73/N70_DESARROLLO!AB73)-1</f>
        <v>-1.2146128714473514E-2</v>
      </c>
      <c r="AE158" s="3">
        <f>-(N70_DESARROLLO!AD73/0.014285714)*LN(N70_DESARROLLO!AD73/N70_DESARROLLO!AC73)-1</f>
        <v>-1.2448543134993217E-2</v>
      </c>
      <c r="AF158" s="3">
        <f>-(N70_DESARROLLO!AE73/0.014285714)*LN(N70_DESARROLLO!AE73/N70_DESARROLLO!AD73)-1</f>
        <v>-1.2766401641831959E-2</v>
      </c>
      <c r="AG158" s="3">
        <f>-(N70_DESARROLLO!AF73/0.014285714)*LN(N70_DESARROLLO!AF73/N70_DESARROLLO!AE73)-1</f>
        <v>-1.3100918360510971E-2</v>
      </c>
      <c r="AH158" s="3">
        <f>-(N70_DESARROLLO!AG73/0.014285714)*LN(N70_DESARROLLO!AG73/N70_DESARROLLO!AF73)-1</f>
        <v>-1.3453438110015759E-2</v>
      </c>
      <c r="AI158" s="3">
        <f>-(N70_DESARROLLO!AH73/0.014285714)*LN(N70_DESARROLLO!AH73/N70_DESARROLLO!AG73)-1</f>
        <v>-1.3825454475317467E-2</v>
      </c>
      <c r="AJ158" s="3">
        <f>-(N70_DESARROLLO!AI73/0.014285714)*LN(N70_DESARROLLO!AI73/N70_DESARROLLO!AH73)-1</f>
        <v>-1.4218630964444534E-2</v>
      </c>
      <c r="AK158" s="3">
        <f>-(N70_DESARROLLO!AJ73/0.014285714)*LN(N70_DESARROLLO!AJ73/N70_DESARROLLO!AI73)-1</f>
        <v>-1.4634825881869595E-2</v>
      </c>
      <c r="AL158" s="3">
        <f>-(N70_DESARROLLO!AK73/0.014285714)*LN(N70_DESARROLLO!AK73/N70_DESARROLLO!AJ73)-1</f>
        <v>-1.5076121703332279E-2</v>
      </c>
      <c r="AM158" s="3">
        <f>-(N70_DESARROLLO!AL73/0.014285714)*LN(N70_DESARROLLO!AL73/N70_DESARROLLO!AK73)-1</f>
        <v>-1.5544859931607813E-2</v>
      </c>
      <c r="AN158" s="3">
        <f>-(N70_DESARROLLO!AM73/0.014285714)*LN(N70_DESARROLLO!AM73/N70_DESARROLLO!AL73)-1</f>
        <v>-1.6043682665119796E-2</v>
      </c>
      <c r="AO158" s="3">
        <f>-(N70_DESARROLLO!AN73/0.014285714)*LN(N70_DESARROLLO!AN73/N70_DESARROLLO!AM73)-1</f>
        <v>-1.6575582437552416E-2</v>
      </c>
      <c r="AP158" s="3">
        <f>-(N70_DESARROLLO!AO73/0.014285714)*LN(N70_DESARROLLO!AO73/N70_DESARROLLO!AN73)-1</f>
        <v>-1.7143962314553618E-2</v>
      </c>
      <c r="AQ158" s="3">
        <f>-(N70_DESARROLLO!AP73/0.014285714)*LN(N70_DESARROLLO!AP73/N70_DESARROLLO!AO73)-1</f>
        <v>-1.7752708797878491E-2</v>
      </c>
      <c r="AR158" s="3">
        <f>-(N70_DESARROLLO!AQ73/0.014285714)*LN(N70_DESARROLLO!AQ73/N70_DESARROLLO!AP73)-1</f>
        <v>-1.8406280838871414E-2</v>
      </c>
      <c r="AS158" s="3">
        <f>-(N70_DESARROLLO!AR73/0.014285714)*LN(N70_DESARROLLO!AR73/N70_DESARROLLO!AQ73)-1</f>
        <v>-1.910981927339972E-2</v>
      </c>
      <c r="AT158" s="3">
        <f>-(N70_DESARROLLO!AS73/0.014285714)*LN(N70_DESARROLLO!AS73/N70_DESARROLLO!AR73)-1</f>
        <v>-1.9869282361751228E-2</v>
      </c>
      <c r="AU158" s="3">
        <f>-(N70_DESARROLLO!AT73/0.014285714)*LN(N70_DESARROLLO!AT73/N70_DESARROLLO!AS73)-1</f>
        <v>-2.0691615000488106E-2</v>
      </c>
      <c r="AV158" s="3">
        <f>-(N70_DESARROLLO!AU73/0.014285714)*LN(N70_DESARROLLO!AU73/N70_DESARROLLO!AT73)-1</f>
        <v>-2.1584961787571522E-2</v>
      </c>
      <c r="AW158" s="3">
        <f>-(N70_DESARROLLO!AV73/0.014285714)*LN(N70_DESARROLLO!AV73/N70_DESARROLLO!AU73)-1</f>
        <v>-2.2558937800899459E-2</v>
      </c>
      <c r="AX158" s="3">
        <f>-(N70_DESARROLLO!AW73/0.014285714)*LN(N70_DESARROLLO!AW73/N70_DESARROLLO!AV73)-1</f>
        <v>-2.3624976192782587E-2</v>
      </c>
      <c r="AY158" s="3">
        <f>-(N70_DESARROLLO!AX73/0.014285714)*LN(N70_DESARROLLO!AX73/N70_DESARROLLO!AW73)-1</f>
        <v>-2.4796779290035542E-2</v>
      </c>
      <c r="AZ158" s="3">
        <f>-(N70_DESARROLLO!AY73/0.014285714)*LN(N70_DESARROLLO!AY73/N70_DESARROLLO!AX73)-1</f>
        <v>-2.6090911041514842E-2</v>
      </c>
      <c r="BA158" s="3">
        <f>-(N70_DESARROLLO!AZ73/0.014285714)*LN(N70_DESARROLLO!AZ73/N70_DESARROLLO!AY73)-1</f>
        <v>-2.7527585341359129E-2</v>
      </c>
      <c r="BB158" s="3">
        <f>-(N70_DESARROLLO!BA73/0.014285714)*LN(N70_DESARROLLO!BA73/N70_DESARROLLO!AZ73)-1</f>
        <v>-2.9131730204236206E-2</v>
      </c>
      <c r="BC158" s="3">
        <f>-(N70_DESARROLLO!BB73/0.014285714)*LN(N70_DESARROLLO!BB73/N70_DESARROLLO!BA73)-1</f>
        <v>-3.0934447408007437E-2</v>
      </c>
      <c r="BD158" s="3">
        <f>-(N70_DESARROLLO!BC73/0.014285714)*LN(N70_DESARROLLO!BC73/N70_DESARROLLO!BB73)-1</f>
        <v>-3.2975050428757924E-2</v>
      </c>
      <c r="BE158" s="3">
        <f>-(N70_DESARROLLO!BD73/0.014285714)*LN(N70_DESARROLLO!BD73/N70_DESARROLLO!BC73)-1</f>
        <v>-3.5303966947118792E-2</v>
      </c>
      <c r="BF158" s="3">
        <f>-(N70_DESARROLLO!BE73/0.014285714)*LN(N70_DESARROLLO!BE73/N70_DESARROLLO!BD73)-1</f>
        <v>-3.7986966558138158E-2</v>
      </c>
      <c r="BG158" s="3">
        <f>-(N70_DESARROLLO!BF73/0.014285714)*LN(N70_DESARROLLO!BF73/N70_DESARROLLO!BE73)-1</f>
        <v>-4.1111478023138859E-2</v>
      </c>
      <c r="BH158" s="3">
        <f>-(N70_DESARROLLO!BG73/0.014285714)*LN(N70_DESARROLLO!BG73/N70_DESARROLLO!BF73)-1</f>
        <v>-4.4796309735798956E-2</v>
      </c>
      <c r="BI158" s="3">
        <f>-(N70_DESARROLLO!BH73/0.014285714)*LN(N70_DESARROLLO!BH73/N70_DESARROLLO!BG73)-1</f>
        <v>-4.920712469281141E-2</v>
      </c>
      <c r="BJ158" s="3">
        <f>-(N70_DESARROLLO!BI73/0.014285714)*LN(N70_DESARROLLO!BI73/N70_DESARROLLO!BH73)-1</f>
        <v>-5.458208265473008E-2</v>
      </c>
      <c r="BK158" s="3">
        <f>-(N70_DESARROLLO!BJ73/0.014285714)*LN(N70_DESARROLLO!BJ73/N70_DESARROLLO!BI73)-1</f>
        <v>-6.1276409070485927E-2</v>
      </c>
      <c r="BL158" s="3">
        <f>-(N70_DESARROLLO!BK73/0.014285714)*LN(N70_DESARROLLO!BK73/N70_DESARROLLO!BJ73)-1</f>
        <v>-6.9844497732509336E-2</v>
      </c>
      <c r="BM158" s="3">
        <f>-(N70_DESARROLLO!BL73/0.014285714)*LN(N70_DESARROLLO!BL73/N70_DESARROLLO!BK73)-1</f>
        <v>-8.1202515976639078E-2</v>
      </c>
      <c r="BN158" s="3">
        <f>-(N70_DESARROLLO!BM73/0.014285714)*LN(N70_DESARROLLO!BM73/N70_DESARROLLO!BL73)-1</f>
        <v>-9.6981852359953602E-2</v>
      </c>
      <c r="BO158" s="3">
        <f>-(N70_DESARROLLO!BN73/0.014285714)*LN(N70_DESARROLLO!BN73/N70_DESARROLLO!BM73)-1</f>
        <v>-0.12039948342482121</v>
      </c>
      <c r="BP158" s="3">
        <f>-(N70_DESARROLLO!BO73/0.014285714)*LN(N70_DESARROLLO!BO73/N70_DESARROLLO!BN73)-1</f>
        <v>-0.15881939162335246</v>
      </c>
      <c r="BQ158" s="3">
        <f>-(N70_DESARROLLO!BP73/0.014285714)*LN(N70_DESARROLLO!BP73/N70_DESARROLLO!BO73)-1</f>
        <v>-0.23376154902624657</v>
      </c>
      <c r="BR158" s="3">
        <f>-(N70_DESARROLLO!BQ73/0.014285714)*LN(N70_DESARROLLO!BQ73/N70_DESARROLLO!BP73)-1</f>
        <v>-0.45069384467982143</v>
      </c>
      <c r="BS158" s="3">
        <v>-1</v>
      </c>
      <c r="BT158" s="3">
        <f>-(N70_DESARROLLO!BS73/0.014285714)*LN(N70_DESARROLLO!BS73/N70_DESARROLLO!BR73)-1</f>
        <v>0.64791846596052816</v>
      </c>
      <c r="BU158" s="3">
        <f>-(N70_DESARROLLO!BT73/0.014285714)*LN(N70_DESARROLLO!BT73/N70_DESARROLLO!BS73)-1</f>
        <v>0.27706408495626578</v>
      </c>
      <c r="BV158" s="3">
        <f>-(N70_DESARROLLO!BU73/0.014285714)*LN(N70_DESARROLLO!BU73/N70_DESARROLLO!BT73)-1</f>
        <v>0.17765285172729772</v>
      </c>
      <c r="BW158" s="3">
        <f>-(N70_DESARROLLO!BV73/0.014285714)*LN(N70_DESARROLLO!BV73/N70_DESARROLLO!BU73)-1</f>
        <v>0.13091494988238206</v>
      </c>
      <c r="BX158" s="3">
        <f>-(N70_DESARROLLO!BW73/0.014285714)*LN(N70_DESARROLLO!BW73/N70_DESARROLLO!BV73)-1</f>
        <v>0.10368884711560411</v>
      </c>
      <c r="BY158" s="3">
        <f>-(N70_DESARROLLO!BX73/0.014285714)*LN(N70_DESARROLLO!BX73/N70_DESARROLLO!BW73)-1</f>
        <v>177.0623040480115</v>
      </c>
      <c r="CD158" s="1">
        <v>64</v>
      </c>
      <c r="CE158" s="1">
        <v>0</v>
      </c>
      <c r="CF158" s="1">
        <f>(1+(N70_DESARROLLO!F73/0.014285714)*LN(N70_DESARROLLO!G73/N70_DESARROLLO!F73))</f>
        <v>-7.9576915835766204E-3</v>
      </c>
      <c r="CG158" s="1">
        <f>(1+(N70_DESARROLLO!G73/0.014285714)*LN(N70_DESARROLLO!H73/N70_DESARROLLO!G73))</f>
        <v>-8.086390779455721E-3</v>
      </c>
      <c r="CH158" s="1">
        <f>(1+(N70_DESARROLLO!H73/0.014285714)*LN(N70_DESARROLLO!I73/N70_DESARROLLO!H73))</f>
        <v>-8.2193213684840227E-3</v>
      </c>
      <c r="CI158" s="1">
        <f>(1+(N70_DESARROLLO!I73/0.014285714)*LN(N70_DESARROLLO!J73/N70_DESARROLLO!I73))</f>
        <v>-8.3566955224454453E-3</v>
      </c>
      <c r="CJ158" s="1">
        <f>(1+(N70_DESARROLLO!J73/0.014285714)*LN(N70_DESARROLLO!K73/N70_DESARROLLO!J73))</f>
        <v>-8.4987398394804625E-3</v>
      </c>
      <c r="CK158" s="1">
        <f>(1+(N70_DESARROLLO!K73/0.014285714)*LN(N70_DESARROLLO!L73/N70_DESARROLLO!K73))</f>
        <v>-8.6456965915209238E-3</v>
      </c>
      <c r="CL158" s="1">
        <f>(1+(N70_DESARROLLO!L73/0.014285714)*LN(N70_DESARROLLO!M73/N70_DESARROLLO!L73))</f>
        <v>-8.7978251032465593E-3</v>
      </c>
      <c r="CM158" s="1">
        <f>(1+(N70_DESARROLLO!M73/0.014285714)*LN(N70_DESARROLLO!N73/N70_DESARROLLO!M73))</f>
        <v>-8.9554032794731953E-3</v>
      </c>
      <c r="CN158" s="1">
        <f>(1+(N70_DESARROLLO!N73/0.014285714)*LN(N70_DESARROLLO!O73/N70_DESARROLLO!N73))</f>
        <v>-9.1187292994394653E-3</v>
      </c>
      <c r="CO158" s="1">
        <f>(1+(N70_DESARROLLO!O73/0.014285714)*LN(N70_DESARROLLO!P73/N70_DESARROLLO!O73))</f>
        <v>-9.2881235002140183E-3</v>
      </c>
      <c r="CP158" s="1">
        <f>(1+(N70_DESARROLLO!P73/0.014285714)*LN(N70_DESARROLLO!Q73/N70_DESARROLLO!P73))</f>
        <v>-9.463930473752491E-3</v>
      </c>
      <c r="CQ158" s="1">
        <f>(1+(N70_DESARROLLO!Q73/0.014285714)*LN(N70_DESARROLLO!R73/N70_DESARROLLO!Q73))</f>
        <v>-9.646521407026043E-3</v>
      </c>
      <c r="CR158" s="1">
        <f>(1+(N70_DESARROLLO!R73/0.014285714)*LN(N70_DESARROLLO!S73/N70_DESARROLLO!R73))</f>
        <v>-9.8362966981118127E-3</v>
      </c>
      <c r="CS158" s="1">
        <f>(1+(N70_DESARROLLO!S73/0.014285714)*LN(N70_DESARROLLO!T73/N70_DESARROLLO!S73))</f>
        <v>-1.0033688887479908E-2</v>
      </c>
      <c r="CT158" s="1">
        <f>(1+(N70_DESARROLLO!T73/0.014285714)*LN(N70_DESARROLLO!U73/N70_DESARROLLO!T73))</f>
        <v>-1.0239165949541773E-2</v>
      </c>
      <c r="CU158" s="1">
        <f>(1+(N70_DESARROLLO!U73/0.014285714)*LN(N70_DESARROLLO!V73/N70_DESARROLLO!U73))</f>
        <v>-1.0453234996897542E-2</v>
      </c>
      <c r="CV158" s="1">
        <f>(1+(N70_DESARROLLO!V73/0.014285714)*LN(N70_DESARROLLO!W73/N70_DESARROLLO!V73))</f>
        <v>-1.0676446459564781E-2</v>
      </c>
      <c r="CW158" s="1">
        <f>(1+(N70_DESARROLLO!W73/0.014285714)*LN(N70_DESARROLLO!X73/N70_DESARROLLO!W73))</f>
        <v>-1.0909398811056015E-2</v>
      </c>
      <c r="CX158" s="1">
        <f>(1+(N70_DESARROLLO!X73/0.014285714)*LN(N70_DESARROLLO!Y73/N70_DESARROLLO!X73))</f>
        <v>-1.1152743927375752E-2</v>
      </c>
      <c r="CY158" s="1">
        <f>(1+(N70_DESARROLLO!Y73/0.014285714)*LN(N70_DESARROLLO!Z73/N70_DESARROLLO!Y73))</f>
        <v>-1.1407193179388653E-2</v>
      </c>
      <c r="CZ158" s="1">
        <f>(1+(N70_DESARROLLO!Z73/0.014285714)*LN(N70_DESARROLLO!AA73/N70_DESARROLLO!Z73))</f>
        <v>-1.1673524379095301E-2</v>
      </c>
      <c r="DA158" s="1">
        <f>(1+(N70_DESARROLLO!AA73/0.014285714)*LN(N70_DESARROLLO!AB73/N70_DESARROLLO!AA73))</f>
        <v>-1.1952589722095563E-2</v>
      </c>
      <c r="DB158" s="1">
        <f>(1+(N70_DESARROLLO!AB73/0.014285714)*LN(N70_DESARROLLO!AC73/N70_DESARROLLO!AB73))</f>
        <v>-1.2245324897514953E-2</v>
      </c>
      <c r="DC158" s="1">
        <f>(1+(N70_DESARROLLO!AC73/0.014285714)*LN(N70_DESARROLLO!AD73/N70_DESARROLLO!AC73))</f>
        <v>-1.2552759570449767E-2</v>
      </c>
      <c r="DD158" s="1">
        <f>(1+(N70_DESARROLLO!AD73/0.014285714)*LN(N70_DESARROLLO!AE73/N70_DESARROLLO!AD73))</f>
        <v>-1.2876029484353957E-2</v>
      </c>
      <c r="DE158" s="1">
        <f>(1+(N70_DESARROLLO!AE73/0.014285714)*LN(N70_DESARROLLO!AF73/N70_DESARROLLO!AE73))</f>
        <v>-1.3216390483208995E-2</v>
      </c>
      <c r="DF158" s="1">
        <f>(1+(N70_DESARROLLO!AF73/0.014285714)*LN(N70_DESARROLLO!AG73/N70_DESARROLLO!AF73))</f>
        <v>-1.3575234818476778E-2</v>
      </c>
      <c r="DG158" s="1">
        <f>(1+(N70_DESARROLLO!AG73/0.014285714)*LN(N70_DESARROLLO!AH73/N70_DESARROLLO!AG73))</f>
        <v>-1.3954110187349711E-2</v>
      </c>
      <c r="DH158" s="1">
        <f>(1+(N70_DESARROLLO!AH73/0.014285714)*LN(N70_DESARROLLO!AI73/N70_DESARROLLO!AH73))</f>
        <v>-1.4354742051078784E-2</v>
      </c>
      <c r="DI158" s="1">
        <f>(1+(N70_DESARROLLO!AI73/0.014285714)*LN(N70_DESARROLLO!AJ73/N70_DESARROLLO!AI73))</f>
        <v>-1.4779059912701564E-2</v>
      </c>
      <c r="DJ158" s="1">
        <f>(1+(N70_DESARROLLO!AJ73/0.014285714)*LN(N70_DESARROLLO!AK73/N70_DESARROLLO!AJ73))</f>
        <v>-1.5229228398103478E-2</v>
      </c>
      <c r="DK158" s="1">
        <f>(1+(N70_DESARROLLO!AK73/0.014285714)*LN(N70_DESARROLLO!AL73/N70_DESARROLLO!AK73))</f>
        <v>-1.5707684197547644E-2</v>
      </c>
      <c r="DL158" s="1">
        <f>(1+(N70_DESARROLLO!AL73/0.014285714)*LN(N70_DESARROLLO!AM73/N70_DESARROLLO!AL73))</f>
        <v>-1.6217180198318859E-2</v>
      </c>
      <c r="DM158" s="1">
        <f>(1+(N70_DESARROLLO!AM73/0.014285714)*LN(N70_DESARROLLO!AN73/N70_DESARROLLO!AM73))</f>
        <v>-1.6760838496767905E-2</v>
      </c>
      <c r="DN158" s="1">
        <f>(1+(N70_DESARROLLO!AN73/0.014285714)*LN(N70_DESARROLLO!AO73/N70_DESARROLLO!AN73))</f>
        <v>-1.7342214446339321E-2</v>
      </c>
      <c r="DO158" s="1">
        <f>(1+(N70_DESARROLLO!AO73/0.014285714)*LN(N70_DESARROLLO!AP73/N70_DESARROLLO!AO73))</f>
        <v>-1.7965374518562172E-2</v>
      </c>
      <c r="DP158" s="1">
        <f>(1+(N70_DESARROLLO!AP73/0.014285714)*LN(N70_DESARROLLO!AQ73/N70_DESARROLLO!AP73))</f>
        <v>-1.8634991582303417E-2</v>
      </c>
      <c r="DQ158" s="1">
        <f>(1+(N70_DESARROLLO!AQ73/0.014285714)*LN(N70_DESARROLLO!AR73/N70_DESARROLLO!AQ73))</f>
        <v>-1.9356462323721679E-2</v>
      </c>
      <c r="DR158" s="1">
        <f>(1+(N70_DESARROLLO!AR73/0.014285714)*LN(N70_DESARROLLO!AS73/N70_DESARROLLO!AR73))</f>
        <v>-2.0136053052055125E-2</v>
      </c>
      <c r="DS158" s="1">
        <f>(1+(N70_DESARROLLO!AS73/0.014285714)*LN(N70_DESARROLLO!AT73/N70_DESARROLLO!AS73))</f>
        <v>-2.0981082233533677E-2</v>
      </c>
      <c r="DT158" s="1">
        <f>(1+(N70_DESARROLLO!AT73/0.014285714)*LN(N70_DESARROLLO!AU73/N70_DESARROLLO!AT73))</f>
        <v>-2.1900151021869707E-2</v>
      </c>
      <c r="DU158" s="1">
        <f>(1+(N70_DESARROLLO!AU73/0.014285714)*LN(N70_DESARROLLO!AV73/N70_DESARROLLO!AU73))</f>
        <v>-2.2903437185105124E-2</v>
      </c>
      <c r="DV158" s="1">
        <f>(1+(N70_DESARROLLO!AV73/0.014285714)*LN(N70_DESARROLLO!AW73/N70_DESARROLLO!AV73))</f>
        <v>-2.4003073749032877E-2</v>
      </c>
      <c r="DW158" s="1">
        <f>(1+(N70_DESARROLLO!AW73/0.014285714)*LN(N70_DESARROLLO!AX73/N70_DESARROLLO!AW73))</f>
        <v>-2.5213642284834581E-2</v>
      </c>
      <c r="DX158" s="1">
        <f>(1+(N70_DESARROLLO!AX73/0.014285714)*LN(N70_DESARROLLO!AY73/N70_DESARROLLO!AX73))</f>
        <v>-2.6552823496781341E-2</v>
      </c>
      <c r="DY158" s="1">
        <f>(1+(N70_DESARROLLO!AY73/0.014285714)*LN(N70_DESARROLLO!AZ73/N70_DESARROLLO!AY73))</f>
        <v>-2.8042266924849235E-2</v>
      </c>
      <c r="DZ158" s="1">
        <f>(1+(N70_DESARROLLO!AZ73/0.014285714)*LN(N70_DESARROLLO!BA73/N70_DESARROLLO!AZ73))</f>
        <v>-2.9708770995507061E-2</v>
      </c>
      <c r="EA158" s="1">
        <f>(1+(N70_DESARROLLO!BA73/0.014285714)*LN(N70_DESARROLLO!BB73/N70_DESARROLLO!BA73))</f>
        <v>-3.1585910823734187E-2</v>
      </c>
      <c r="EB158" s="1">
        <f>(1+(N70_DESARROLLO!BB73/0.014285714)*LN(N70_DESARROLLO!BC73/N70_DESARROLLO!BB73))</f>
        <v>-3.3716325403741365E-2</v>
      </c>
      <c r="EC158" s="1">
        <f>(1+(N70_DESARROLLO!BC73/0.014285714)*LN(N70_DESARROLLO!BD73/N70_DESARROLLO!BC73))</f>
        <v>-3.6154998464206001E-2</v>
      </c>
      <c r="ED158" s="1">
        <f>(1+(N70_DESARROLLO!BD73/0.014285714)*LN(N70_DESARROLLO!BE73/N70_DESARROLLO!BD73))</f>
        <v>-3.8974076117210377E-2</v>
      </c>
      <c r="EE158" s="1">
        <f>(1+(N70_DESARROLLO!BE73/0.014285714)*LN(N70_DESARROLLO!BF73/N70_DESARROLLO!BE73))</f>
        <v>-4.2270132583545061E-2</v>
      </c>
      <c r="EF158" s="1">
        <f>(1+(N70_DESARROLLO!BF73/0.014285714)*LN(N70_DESARROLLO!BG73/N70_DESARROLLO!BF73))</f>
        <v>-4.6175470289362641E-2</v>
      </c>
      <c r="EG158" s="1">
        <f>(1+(N70_DESARROLLO!BG73/0.014285714)*LN(N70_DESARROLLO!BH73/N70_DESARROLLO!BG73))</f>
        <v>-5.0876335865839728E-2</v>
      </c>
      <c r="EH158" s="1">
        <f>(1+(N70_DESARROLLO!BH73/0.014285714)*LN(N70_DESARROLLO!BI73/N70_DESARROLLO!BH73))</f>
        <v>-5.6643554680007924E-2</v>
      </c>
      <c r="EI158" s="1">
        <f>(1+(N70_DESARROLLO!BI73/0.014285714)*LN(N70_DESARROLLO!BJ73/N70_DESARROLLO!BI73))</f>
        <v>-6.3886736386782106E-2</v>
      </c>
      <c r="EJ158" s="1">
        <f>(1+(N70_DESARROLLO!BJ73/0.014285714)*LN(N70_DESARROLLO!BK73/N70_DESARROLLO!BJ73))</f>
        <v>-7.3256348770182278E-2</v>
      </c>
      <c r="EK158" s="1">
        <f>(1+(N70_DESARROLLO!BK73/0.014285714)*LN(N70_DESARROLLO!BL73/N70_DESARROLLO!BK73))</f>
        <v>-8.5851572027607403E-2</v>
      </c>
      <c r="EL158" s="1">
        <f>(1+(N70_DESARROLLO!BL73/0.014285714)*LN(N70_DESARROLLO!BM73/N70_DESARROLLO!BL73))</f>
        <v>-0.10368884711561321</v>
      </c>
      <c r="EM158" s="1">
        <f>(1+(N70_DESARROLLO!BM73/0.014285714)*LN(N70_DESARROLLO!BN73/N70_DESARROLLO!BM73))</f>
        <v>-0.13091494988237162</v>
      </c>
      <c r="EN158" s="1">
        <f>(1+(N70_DESARROLLO!BN73/0.014285714)*LN(N70_DESARROLLO!BO73/N70_DESARROLLO!BN73))</f>
        <v>-0.17765285172730816</v>
      </c>
      <c r="EO158" s="1">
        <f>(1+(N70_DESARROLLO!BO73/0.014285714)*LN(N70_DESARROLLO!BP73/N70_DESARROLLO!BO73))</f>
        <v>-0.27706408495625312</v>
      </c>
      <c r="EP158" s="1">
        <f>(1+(N70_DESARROLLO!BP73/0.014285714)*LN(N70_DESARROLLO!BQ73/N70_DESARROLLO!BP73))</f>
        <v>-0.64791846596054437</v>
      </c>
      <c r="EQ158" s="1">
        <v>1</v>
      </c>
      <c r="ER158" s="1">
        <f>(1+(N70_DESARROLLO!BR73/0.014285714)*LN(N70_DESARROLLO!BS73/N70_DESARROLLO!BR73))</f>
        <v>0.45069384467982399</v>
      </c>
      <c r="ES158" s="1">
        <f>(1+(N70_DESARROLLO!BS73/0.014285714)*LN(N70_DESARROLLO!BT73/N70_DESARROLLO!BS73))</f>
        <v>0.23376154902624291</v>
      </c>
      <c r="ET158" s="1">
        <f>(1+(N70_DESARROLLO!BT73/0.014285714)*LN(N70_DESARROLLO!BU73/N70_DESARROLLO!BT73))</f>
        <v>0.15881939162335801</v>
      </c>
      <c r="EU158" s="1">
        <f>(1+(N70_DESARROLLO!BU73/0.014285714)*LN(N70_DESARROLLO!BV73/N70_DESARROLLO!BU73))</f>
        <v>0.12039948342481499</v>
      </c>
      <c r="EV158" s="1">
        <f>(1+(N70_DESARROLLO!BV73/0.014285714)*LN(N70_DESARROLLO!BW73/N70_DESARROLLO!BV73))</f>
        <v>9.6981852359959819E-2</v>
      </c>
      <c r="EW158" s="1">
        <f>(1+(N70_DESARROLLO!BW73/0.014285714)*LN(N70_DESARROLLO!BX73/N70_DESARROLLO!BW73))</f>
        <v>-12.990609603772322</v>
      </c>
    </row>
    <row r="159" spans="7:153" x14ac:dyDescent="0.25">
      <c r="G159" s="3">
        <v>65</v>
      </c>
      <c r="H159" s="3">
        <f>-(N70_DESARROLLO!G74/0.014285714)*LN(N70_DESARROLLO!G74/N70_DESARROLLO!F74)-1</f>
        <v>-7.7922933102178016E-3</v>
      </c>
      <c r="I159" s="3">
        <f>-(N70_DESARROLLO!H74/0.014285714)*LN(N70_DESARROLLO!H74/N70_DESARROLLO!G74)-1</f>
        <v>-7.9156578901735664E-3</v>
      </c>
      <c r="J159" s="3">
        <f>-(N70_DESARROLLO!I74/0.014285714)*LN(N70_DESARROLLO!I74/N70_DESARROLLO!H74)-1</f>
        <v>-8.0429914730227869E-3</v>
      </c>
      <c r="K159" s="3">
        <f>-(N70_DESARROLLO!J74/0.014285714)*LN(N70_DESARROLLO!J74/N70_DESARROLLO!I74)-1</f>
        <v>-8.174488735061658E-3</v>
      </c>
      <c r="L159" s="3">
        <f>-(N70_DESARROLLO!K74/0.014285714)*LN(N70_DESARROLLO!K74/N70_DESARROLLO!J74)-1</f>
        <v>-8.3103572961141792E-3</v>
      </c>
      <c r="M159" s="3">
        <f>-(N70_DESARROLLO!L74/0.014285714)*LN(N70_DESARROLLO!L74/N70_DESARROLLO!K74)-1</f>
        <v>-8.4508188132772499E-3</v>
      </c>
      <c r="N159" s="3">
        <f>-(N70_DESARROLLO!M74/0.014285714)*LN(N70_DESARROLLO!M74/N70_DESARROLLO!L74)-1</f>
        <v>-8.596110187827688E-3</v>
      </c>
      <c r="O159" s="3">
        <f>-(N70_DESARROLLO!N74/0.014285714)*LN(N70_DESARROLLO!N74/N70_DESARROLLO!M74)-1</f>
        <v>-8.7464848985361332E-3</v>
      </c>
      <c r="P159" s="3">
        <f>-(N70_DESARROLLO!O74/0.014285714)*LN(N70_DESARROLLO!O74/N70_DESARROLLO!N74)-1</f>
        <v>-8.9022144776920165E-3</v>
      </c>
      <c r="Q159" s="3">
        <f>-(N70_DESARROLLO!P74/0.014285714)*LN(N70_DESARROLLO!P74/N70_DESARROLLO!O74)-1</f>
        <v>-9.0635901473909986E-3</v>
      </c>
      <c r="R159" s="3">
        <f>-(N70_DESARROLLO!Q74/0.014285714)*LN(N70_DESARROLLO!Q74/N70_DESARROLLO!P74)-1</f>
        <v>-9.2309246374168152E-3</v>
      </c>
      <c r="S159" s="3">
        <f>-(N70_DESARROLLO!R74/0.014285714)*LN(N70_DESARROLLO!R74/N70_DESARROLLO!Q74)-1</f>
        <v>-9.4045542079997935E-3</v>
      </c>
      <c r="T159" s="3">
        <f>-(N70_DESARROLLO!S74/0.014285714)*LN(N70_DESARROLLO!S74/N70_DESARROLLO!R74)-1</f>
        <v>-9.5848409054832828E-3</v>
      </c>
      <c r="U159" s="3">
        <f>-(N70_DESARROLLO!T74/0.014285714)*LN(N70_DESARROLLO!T74/N70_DESARROLLO!S74)-1</f>
        <v>-9.7721750824455444E-3</v>
      </c>
      <c r="V159" s="3">
        <f>-(N70_DESARROLLO!U74/0.014285714)*LN(N70_DESARROLLO!U74/N70_DESARROLLO!T74)-1</f>
        <v>-9.9669782191917911E-3</v>
      </c>
      <c r="W159" s="3">
        <f>-(N70_DESARROLLO!V74/0.014285714)*LN(N70_DESARROLLO!V74/N70_DESARROLLO!U74)-1</f>
        <v>-1.0169706089854125E-2</v>
      </c>
      <c r="X159" s="3">
        <f>-(N70_DESARROLLO!W74/0.014285714)*LN(N70_DESARROLLO!W74/N70_DESARROLLO!V74)-1</f>
        <v>-1.0380852322620981E-2</v>
      </c>
      <c r="Y159" s="3">
        <f>-(N70_DESARROLLO!X74/0.014285714)*LN(N70_DESARROLLO!X74/N70_DESARROLLO!W74)-1</f>
        <v>-1.0600952413273412E-2</v>
      </c>
      <c r="Z159" s="3">
        <f>-(N70_DESARROLLO!Y74/0.014285714)*LN(N70_DESARROLLO!Y74/N70_DESARROLLO!X74)-1</f>
        <v>-1.0830588260139384E-2</v>
      </c>
      <c r="AA159" s="3">
        <f>-(N70_DESARROLLO!Z74/0.014285714)*LN(N70_DESARROLLO!Z74/N70_DESARROLLO!Y74)-1</f>
        <v>-1.1070393301807369E-2</v>
      </c>
      <c r="AB159" s="3">
        <f>-(N70_DESARROLLO!AA74/0.014285714)*LN(N70_DESARROLLO!AA74/N70_DESARROLLO!Z74)-1</f>
        <v>-1.1321058352732338E-2</v>
      </c>
      <c r="AC159" s="3">
        <f>-(N70_DESARROLLO!AB74/0.014285714)*LN(N70_DESARROLLO!AB74/N70_DESARROLLO!AA74)-1</f>
        <v>-1.1583338250304442E-2</v>
      </c>
      <c r="AD159" s="3">
        <f>-(N70_DESARROLLO!AC74/0.014285714)*LN(N70_DESARROLLO!AC74/N70_DESARROLLO!AB74)-1</f>
        <v>-1.1858059447836355E-2</v>
      </c>
      <c r="AE159" s="3">
        <f>-(N70_DESARROLLO!AD74/0.014285714)*LN(N70_DESARROLLO!AD74/N70_DESARROLLO!AC74)-1</f>
        <v>-1.2146128714478177E-2</v>
      </c>
      <c r="AF159" s="3">
        <f>-(N70_DESARROLLO!AE74/0.014285714)*LN(N70_DESARROLLO!AE74/N70_DESARROLLO!AD74)-1</f>
        <v>-1.2448543134993217E-2</v>
      </c>
      <c r="AG159" s="3">
        <f>-(N70_DESARROLLO!AF74/0.014285714)*LN(N70_DESARROLLO!AF74/N70_DESARROLLO!AE74)-1</f>
        <v>-1.2766401641823411E-2</v>
      </c>
      <c r="AH159" s="3">
        <f>-(N70_DESARROLLO!AG74/0.014285714)*LN(N70_DESARROLLO!AG74/N70_DESARROLLO!AF74)-1</f>
        <v>-1.3100918360519631E-2</v>
      </c>
      <c r="AI159" s="3">
        <f>-(N70_DESARROLLO!AH74/0.014285714)*LN(N70_DESARROLLO!AH74/N70_DESARROLLO!AG74)-1</f>
        <v>-1.3453438110011762E-2</v>
      </c>
      <c r="AJ159" s="3">
        <f>-(N70_DESARROLLO!AI74/0.014285714)*LN(N70_DESARROLLO!AI74/N70_DESARROLLO!AH74)-1</f>
        <v>-1.3825454475325571E-2</v>
      </c>
      <c r="AK159" s="3">
        <f>-(N70_DESARROLLO!AJ74/0.014285714)*LN(N70_DESARROLLO!AJ74/N70_DESARROLLO!AI74)-1</f>
        <v>-1.4218630964440648E-2</v>
      </c>
      <c r="AL159" s="3">
        <f>-(N70_DESARROLLO!AK74/0.014285714)*LN(N70_DESARROLLO!AK74/N70_DESARROLLO!AJ74)-1</f>
        <v>-1.4634825881869595E-2</v>
      </c>
      <c r="AM159" s="3">
        <f>-(N70_DESARROLLO!AL74/0.014285714)*LN(N70_DESARROLLO!AL74/N70_DESARROLLO!AK74)-1</f>
        <v>-1.5076121703332501E-2</v>
      </c>
      <c r="AN159" s="3">
        <f>-(N70_DESARROLLO!AM74/0.014285714)*LN(N70_DESARROLLO!AM74/N70_DESARROLLO!AL74)-1</f>
        <v>-1.5544859931607924E-2</v>
      </c>
      <c r="AO159" s="3">
        <f>-(N70_DESARROLLO!AN74/0.014285714)*LN(N70_DESARROLLO!AN74/N70_DESARROLLO!AM74)-1</f>
        <v>-1.6043682665120018E-2</v>
      </c>
      <c r="AP159" s="3">
        <f>-(N70_DESARROLLO!AO74/0.014285714)*LN(N70_DESARROLLO!AO74/N70_DESARROLLO!AN74)-1</f>
        <v>-1.6575582437552527E-2</v>
      </c>
      <c r="AQ159" s="3">
        <f>-(N70_DESARROLLO!AP74/0.014285714)*LN(N70_DESARROLLO!AP74/N70_DESARROLLO!AO74)-1</f>
        <v>-1.7143962314556949E-2</v>
      </c>
      <c r="AR159" s="3">
        <f>-(N70_DESARROLLO!AQ74/0.014285714)*LN(N70_DESARROLLO!AQ74/N70_DESARROLLO!AP74)-1</f>
        <v>-1.7752708797872385E-2</v>
      </c>
      <c r="AS159" s="3">
        <f>-(N70_DESARROLLO!AR74/0.014285714)*LN(N70_DESARROLLO!AR74/N70_DESARROLLO!AQ74)-1</f>
        <v>-1.8406280838877631E-2</v>
      </c>
      <c r="AT159" s="3">
        <f>-(N70_DESARROLLO!AS74/0.014285714)*LN(N70_DESARROLLO!AS74/N70_DESARROLLO!AR74)-1</f>
        <v>-1.9109819273391393E-2</v>
      </c>
      <c r="AU159" s="3">
        <f>-(N70_DESARROLLO!AT74/0.014285714)*LN(N70_DESARROLLO!AT74/N70_DESARROLLO!AS74)-1</f>
        <v>-1.9869282361759777E-2</v>
      </c>
      <c r="AV159" s="3">
        <f>-(N70_DESARROLLO!AU74/0.014285714)*LN(N70_DESARROLLO!AU74/N70_DESARROLLO!AT74)-1</f>
        <v>-2.0691615000480224E-2</v>
      </c>
      <c r="AW159" s="3">
        <f>-(N70_DESARROLLO!AV74/0.014285714)*LN(N70_DESARROLLO!AV74/N70_DESARROLLO!AU74)-1</f>
        <v>-2.1584961787579404E-2</v>
      </c>
      <c r="AX159" s="3">
        <f>-(N70_DESARROLLO!AW74/0.014285714)*LN(N70_DESARROLLO!AW74/N70_DESARROLLO!AV74)-1</f>
        <v>-2.2558937800899459E-2</v>
      </c>
      <c r="AY159" s="3">
        <f>-(N70_DESARROLLO!AX74/0.014285714)*LN(N70_DESARROLLO!AX74/N70_DESARROLLO!AW74)-1</f>
        <v>-2.3624976192775815E-2</v>
      </c>
      <c r="AZ159" s="3">
        <f>-(N70_DESARROLLO!AY74/0.014285714)*LN(N70_DESARROLLO!AY74/N70_DESARROLLO!AX74)-1</f>
        <v>-2.4796779290042426E-2</v>
      </c>
      <c r="BA159" s="3">
        <f>-(N70_DESARROLLO!AZ74/0.014285714)*LN(N70_DESARROLLO!AZ74/N70_DESARROLLO!AY74)-1</f>
        <v>-2.6090911041506626E-2</v>
      </c>
      <c r="BB159" s="3">
        <f>-(N70_DESARROLLO!BA74/0.014285714)*LN(N70_DESARROLLO!BA74/N70_DESARROLLO!AZ74)-1</f>
        <v>-2.7527585341367344E-2</v>
      </c>
      <c r="BC159" s="3">
        <f>-(N70_DESARROLLO!BB74/0.014285714)*LN(N70_DESARROLLO!BB74/N70_DESARROLLO!BA74)-1</f>
        <v>-2.9131730204228767E-2</v>
      </c>
      <c r="BD159" s="3">
        <f>-(N70_DESARROLLO!BC74/0.014285714)*LN(N70_DESARROLLO!BC74/N70_DESARROLLO!BB74)-1</f>
        <v>-3.0934447408014765E-2</v>
      </c>
      <c r="BE159" s="3">
        <f>-(N70_DESARROLLO!BD74/0.014285714)*LN(N70_DESARROLLO!BD74/N70_DESARROLLO!BC74)-1</f>
        <v>-3.2975050428749819E-2</v>
      </c>
      <c r="BF159" s="3">
        <f>-(N70_DESARROLLO!BE74/0.014285714)*LN(N70_DESARROLLO!BE74/N70_DESARROLLO!BD74)-1</f>
        <v>-3.5303966947125343E-2</v>
      </c>
      <c r="BG159" s="3">
        <f>-(N70_DESARROLLO!BF74/0.014285714)*LN(N70_DESARROLLO!BF74/N70_DESARROLLO!BE74)-1</f>
        <v>-3.7986966558131163E-2</v>
      </c>
      <c r="BH159" s="3">
        <f>-(N70_DESARROLLO!BG74/0.014285714)*LN(N70_DESARROLLO!BG74/N70_DESARROLLO!BF74)-1</f>
        <v>-4.1111478023145742E-2</v>
      </c>
      <c r="BI159" s="3">
        <f>-(N70_DESARROLLO!BH74/0.014285714)*LN(N70_DESARROLLO!BH74/N70_DESARROLLO!BG74)-1</f>
        <v>-4.4796309735798956E-2</v>
      </c>
      <c r="BJ159" s="3">
        <f>-(N70_DESARROLLO!BI74/0.014285714)*LN(N70_DESARROLLO!BI74/N70_DESARROLLO!BH74)-1</f>
        <v>-4.9207124692804083E-2</v>
      </c>
      <c r="BK159" s="3">
        <f>-(N70_DESARROLLO!BJ74/0.014285714)*LN(N70_DESARROLLO!BJ74/N70_DESARROLLO!BI74)-1</f>
        <v>-5.4582082654737407E-2</v>
      </c>
      <c r="BL159" s="3">
        <f>-(N70_DESARROLLO!BK74/0.014285714)*LN(N70_DESARROLLO!BK74/N70_DESARROLLO!BJ74)-1</f>
        <v>-6.1276409070479487E-2</v>
      </c>
      <c r="BM159" s="3">
        <f>-(N70_DESARROLLO!BL74/0.014285714)*LN(N70_DESARROLLO!BL74/N70_DESARROLLO!BK74)-1</f>
        <v>-6.9844497732515998E-2</v>
      </c>
      <c r="BN159" s="3">
        <f>-(N70_DESARROLLO!BM74/0.014285714)*LN(N70_DESARROLLO!BM74/N70_DESARROLLO!BL74)-1</f>
        <v>-8.1202515976632528E-2</v>
      </c>
      <c r="BO159" s="3">
        <f>-(N70_DESARROLLO!BN74/0.014285714)*LN(N70_DESARROLLO!BN74/N70_DESARROLLO!BM74)-1</f>
        <v>-9.6981852359959708E-2</v>
      </c>
      <c r="BP159" s="3">
        <f>-(N70_DESARROLLO!BO74/0.014285714)*LN(N70_DESARROLLO!BO74/N70_DESARROLLO!BN74)-1</f>
        <v>-0.1203994834248151</v>
      </c>
      <c r="BQ159" s="3">
        <f>-(N70_DESARROLLO!BP74/0.014285714)*LN(N70_DESARROLLO!BP74/N70_DESARROLLO!BO74)-1</f>
        <v>-0.15881939162335823</v>
      </c>
      <c r="BR159" s="3">
        <f>-(N70_DESARROLLO!BQ74/0.014285714)*LN(N70_DESARROLLO!BQ74/N70_DESARROLLO!BP74)-1</f>
        <v>-0.23376154902624291</v>
      </c>
      <c r="BS159" s="3">
        <f>-(N70_DESARROLLO!BR74/0.014285714)*LN(N70_DESARROLLO!BR74/N70_DESARROLLO!BQ74)-1</f>
        <v>-0.45069384467982399</v>
      </c>
      <c r="BT159" s="3">
        <v>-1</v>
      </c>
      <c r="BU159" s="3">
        <f>-(N70_DESARROLLO!BT74/0.014285714)*LN(N70_DESARROLLO!BT74/N70_DESARROLLO!BS74)-1</f>
        <v>0.64791846596054437</v>
      </c>
      <c r="BV159" s="3">
        <f>-(N70_DESARROLLO!BU74/0.014285714)*LN(N70_DESARROLLO!BU74/N70_DESARROLLO!BT74)-1</f>
        <v>0.2770640849562529</v>
      </c>
      <c r="BW159" s="3">
        <f>-(N70_DESARROLLO!BV74/0.014285714)*LN(N70_DESARROLLO!BV74/N70_DESARROLLO!BU74)-1</f>
        <v>0.17765285172730816</v>
      </c>
      <c r="BX159" s="3">
        <f>-(N70_DESARROLLO!BW74/0.014285714)*LN(N70_DESARROLLO!BW74/N70_DESARROLLO!BV74)-1</f>
        <v>0.13091494988237184</v>
      </c>
      <c r="BY159" s="3">
        <f>-(N70_DESARROLLO!BX74/0.014285714)*LN(N70_DESARROLLO!BX74/N70_DESARROLLO!BW74)-1</f>
        <v>191.10925301130104</v>
      </c>
      <c r="CD159">
        <v>65</v>
      </c>
      <c r="CE159" s="1">
        <v>0</v>
      </c>
      <c r="CF159" s="1">
        <f>(1+(N70_DESARROLLO!F74/0.014285714)*LN(N70_DESARROLLO!G74/N70_DESARROLLO!F74))</f>
        <v>-7.8330249053693013E-3</v>
      </c>
      <c r="CG159" s="1">
        <f>(1+(N70_DESARROLLO!G74/0.014285714)*LN(N70_DESARROLLO!H74/N70_DESARROLLO!G74))</f>
        <v>-7.9576915835837259E-3</v>
      </c>
      <c r="CH159" s="1">
        <f>(1+(N70_DESARROLLO!H74/0.014285714)*LN(N70_DESARROLLO!I74/N70_DESARROLLO!H74))</f>
        <v>-8.0863907794483936E-3</v>
      </c>
      <c r="CI159" s="1">
        <f>(1+(N70_DESARROLLO!I74/0.014285714)*LN(N70_DESARROLLO!J74/N70_DESARROLLO!I74))</f>
        <v>-8.2193213684909061E-3</v>
      </c>
      <c r="CJ159" s="1">
        <f>(1+(N70_DESARROLLO!J74/0.014285714)*LN(N70_DESARROLLO!K74/N70_DESARROLLO!J74))</f>
        <v>-8.356695522438562E-3</v>
      </c>
      <c r="CK159" s="1">
        <f>(1+(N70_DESARROLLO!K74/0.014285714)*LN(N70_DESARROLLO!L74/N70_DESARROLLO!K74))</f>
        <v>-8.4987398394873459E-3</v>
      </c>
      <c r="CL159" s="1">
        <f>(1+(N70_DESARROLLO!L74/0.014285714)*LN(N70_DESARROLLO!M74/N70_DESARROLLO!L74))</f>
        <v>-8.6456965915144846E-3</v>
      </c>
      <c r="CM159" s="1">
        <f>(1+(N70_DESARROLLO!M74/0.014285714)*LN(N70_DESARROLLO!N74/N70_DESARROLLO!M74))</f>
        <v>-8.797825103259882E-3</v>
      </c>
      <c r="CN159" s="1">
        <f>(1+(N70_DESARROLLO!N74/0.014285714)*LN(N70_DESARROLLO!O74/N70_DESARROLLO!N74))</f>
        <v>-8.9554032794665339E-3</v>
      </c>
      <c r="CO159" s="1">
        <f>(1+(N70_DESARROLLO!O74/0.014285714)*LN(N70_DESARROLLO!P74/N70_DESARROLLO!O74))</f>
        <v>-9.1187292994459046E-3</v>
      </c>
      <c r="CP159" s="1">
        <f>(1+(N70_DESARROLLO!P74/0.014285714)*LN(N70_DESARROLLO!Q74/N70_DESARROLLO!P74))</f>
        <v>-9.2881235002015838E-3</v>
      </c>
      <c r="CQ159" s="1">
        <f>(1+(N70_DESARROLLO!Q74/0.014285714)*LN(N70_DESARROLLO!R74/N70_DESARROLLO!Q74))</f>
        <v>-9.463930473752491E-3</v>
      </c>
      <c r="CR159" s="1">
        <f>(1+(N70_DESARROLLO!R74/0.014285714)*LN(N70_DESARROLLO!S74/N70_DESARROLLO!R74))</f>
        <v>-9.6465214070318162E-3</v>
      </c>
      <c r="CS159" s="1">
        <f>(1+(N70_DESARROLLO!S74/0.014285714)*LN(N70_DESARROLLO!T74/N70_DESARROLLO!S74))</f>
        <v>-9.8362966981000444E-3</v>
      </c>
      <c r="CT159" s="1">
        <f>(1+(N70_DESARROLLO!T74/0.014285714)*LN(N70_DESARROLLO!U74/N70_DESARROLLO!T74))</f>
        <v>-1.0033688887491232E-2</v>
      </c>
      <c r="CU159" s="1">
        <f>(1+(N70_DESARROLLO!U74/0.014285714)*LN(N70_DESARROLLO!V74/N70_DESARROLLO!U74))</f>
        <v>-1.0239165949530449E-2</v>
      </c>
      <c r="CV159" s="1">
        <f>(1+(N70_DESARROLLO!V74/0.014285714)*LN(N70_DESARROLLO!W74/N70_DESARROLLO!V74))</f>
        <v>-1.0453234996902872E-2</v>
      </c>
      <c r="CW159" s="1">
        <f>(1+(N70_DESARROLLO!W74/0.014285714)*LN(N70_DESARROLLO!X74/N70_DESARROLLO!W74))</f>
        <v>-1.067644645955923E-2</v>
      </c>
      <c r="CX159" s="1">
        <f>(1+(N70_DESARROLLO!X74/0.014285714)*LN(N70_DESARROLLO!Y74/N70_DESARROLLO!X74))</f>
        <v>-1.0909398811066451E-2</v>
      </c>
      <c r="CY159" s="1">
        <f>(1+(N70_DESARROLLO!Y74/0.014285714)*LN(N70_DESARROLLO!Z74/N70_DESARROLLO!Y74))</f>
        <v>-1.1152743927365316E-2</v>
      </c>
      <c r="CZ159" s="1">
        <f>(1+(N70_DESARROLLO!Z74/0.014285714)*LN(N70_DESARROLLO!AA74/N70_DESARROLLO!Z74))</f>
        <v>-1.1407193179388653E-2</v>
      </c>
      <c r="DA159" s="1">
        <f>(1+(N70_DESARROLLO!AA74/0.014285714)*LN(N70_DESARROLLO!AB74/N70_DESARROLLO!AA74))</f>
        <v>-1.1673524379100408E-2</v>
      </c>
      <c r="DB159" s="1">
        <f>(1+(N70_DESARROLLO!AB74/0.014285714)*LN(N70_DESARROLLO!AC74/N70_DESARROLLO!AB74))</f>
        <v>-1.1952589722095341E-2</v>
      </c>
      <c r="DC159" s="1">
        <f>(1+(N70_DESARROLLO!AC74/0.014285714)*LN(N70_DESARROLLO!AD74/N70_DESARROLLO!AC74))</f>
        <v>-1.2245324897510068E-2</v>
      </c>
      <c r="DD159" s="1">
        <f>(1+(N70_DESARROLLO!AD74/0.014285714)*LN(N70_DESARROLLO!AE74/N70_DESARROLLO!AD74))</f>
        <v>-1.2552759570449767E-2</v>
      </c>
      <c r="DE159" s="1">
        <f>(1+(N70_DESARROLLO!AE74/0.014285714)*LN(N70_DESARROLLO!AF74/N70_DESARROLLO!AE74))</f>
        <v>-1.2876029484363061E-2</v>
      </c>
      <c r="DF159" s="1">
        <f>(1+(N70_DESARROLLO!AF74/0.014285714)*LN(N70_DESARROLLO!AG74/N70_DESARROLLO!AF74))</f>
        <v>-1.3216390483199891E-2</v>
      </c>
      <c r="DG159" s="1">
        <f>(1+(N70_DESARROLLO!AG74/0.014285714)*LN(N70_DESARROLLO!AH74/N70_DESARROLLO!AG74))</f>
        <v>-1.3575234818481219E-2</v>
      </c>
      <c r="DH159" s="1">
        <f>(1+(N70_DESARROLLO!AH74/0.014285714)*LN(N70_DESARROLLO!AI74/N70_DESARROLLO!AH74))</f>
        <v>-1.3954110187341273E-2</v>
      </c>
      <c r="DI159" s="1">
        <f>(1+(N70_DESARROLLO!AI74/0.014285714)*LN(N70_DESARROLLO!AJ74/N70_DESARROLLO!AI74))</f>
        <v>-1.4354742051083003E-2</v>
      </c>
      <c r="DJ159" s="1">
        <f>(1+(N70_DESARROLLO!AJ74/0.014285714)*LN(N70_DESARROLLO!AK74/N70_DESARROLLO!AJ74))</f>
        <v>-1.4779059912701564E-2</v>
      </c>
      <c r="DK159" s="1">
        <f>(1+(N70_DESARROLLO!AK74/0.014285714)*LN(N70_DESARROLLO!AL74/N70_DESARROLLO!AK74))</f>
        <v>-1.5229228398103478E-2</v>
      </c>
      <c r="DL159" s="1">
        <f>(1+(N70_DESARROLLO!AL74/0.014285714)*LN(N70_DESARROLLO!AM74/N70_DESARROLLO!AL74))</f>
        <v>-1.5707684197547422E-2</v>
      </c>
      <c r="DM159" s="1">
        <f>(1+(N70_DESARROLLO!AM74/0.014285714)*LN(N70_DESARROLLO!AN74/N70_DESARROLLO!AM74))</f>
        <v>-1.6217180198318637E-2</v>
      </c>
      <c r="DN159" s="1">
        <f>(1+(N70_DESARROLLO!AN74/0.014285714)*LN(N70_DESARROLLO!AO74/N70_DESARROLLO!AN74))</f>
        <v>-1.6760838496767683E-2</v>
      </c>
      <c r="DO159" s="1">
        <f>(1+(N70_DESARROLLO!AO74/0.014285714)*LN(N70_DESARROLLO!AP74/N70_DESARROLLO!AO74))</f>
        <v>-1.7342214446335769E-2</v>
      </c>
      <c r="DP159" s="1">
        <f>(1+(N70_DESARROLLO!AP74/0.014285714)*LN(N70_DESARROLLO!AQ74/N70_DESARROLLO!AP74))</f>
        <v>-1.7965374518568833E-2</v>
      </c>
      <c r="DQ159" s="1">
        <f>(1+(N70_DESARROLLO!AQ74/0.014285714)*LN(N70_DESARROLLO!AR74/N70_DESARROLLO!AQ74))</f>
        <v>-1.8634991582296534E-2</v>
      </c>
      <c r="DR159" s="1">
        <f>(1+(N70_DESARROLLO!AR74/0.014285714)*LN(N70_DESARROLLO!AS74/N70_DESARROLLO!AR74))</f>
        <v>-1.9356462323730783E-2</v>
      </c>
      <c r="DS159" s="1">
        <f>(1+(N70_DESARROLLO!AS74/0.014285714)*LN(N70_DESARROLLO!AT74/N70_DESARROLLO!AS74))</f>
        <v>-2.0136053052045799E-2</v>
      </c>
      <c r="DT159" s="1">
        <f>(1+(N70_DESARROLLO!AT74/0.014285714)*LN(N70_DESARROLLO!AU74/N70_DESARROLLO!AT74))</f>
        <v>-2.0981082233542114E-2</v>
      </c>
      <c r="DU159" s="1">
        <f>(1+(N70_DESARROLLO!AU74/0.014285714)*LN(N70_DESARROLLO!AV74/N70_DESARROLLO!AU74))</f>
        <v>-2.1900151021861269E-2</v>
      </c>
      <c r="DV159" s="1">
        <f>(1+(N70_DESARROLLO!AV74/0.014285714)*LN(N70_DESARROLLO!AW74/N70_DESARROLLO!AV74))</f>
        <v>-2.2903437185105124E-2</v>
      </c>
      <c r="DW159" s="1">
        <f>(1+(N70_DESARROLLO!AW74/0.014285714)*LN(N70_DESARROLLO!AX74/N70_DESARROLLO!AW74))</f>
        <v>-2.4003073749040205E-2</v>
      </c>
      <c r="DX159" s="1">
        <f>(1+(N70_DESARROLLO!AX74/0.014285714)*LN(N70_DESARROLLO!AY74/N70_DESARROLLO!AX74))</f>
        <v>-2.5213642284827031E-2</v>
      </c>
      <c r="DY159" s="1">
        <f>(1+(N70_DESARROLLO!AY74/0.014285714)*LN(N70_DESARROLLO!AZ74/N70_DESARROLLO!AY74))</f>
        <v>-2.6552823496790445E-2</v>
      </c>
      <c r="DZ159" s="1">
        <f>(1+(N70_DESARROLLO!AZ74/0.014285714)*LN(N70_DESARROLLO!BA74/N70_DESARROLLO!AZ74))</f>
        <v>-2.8042266924840131E-2</v>
      </c>
      <c r="EA159" s="1">
        <f>(1+(N70_DESARROLLO!BA74/0.014285714)*LN(N70_DESARROLLO!BB74/N70_DESARROLLO!BA74))</f>
        <v>-2.9708770995515277E-2</v>
      </c>
      <c r="EB159" s="1">
        <f>(1+(N70_DESARROLLO!BB74/0.014285714)*LN(N70_DESARROLLO!BC74/N70_DESARROLLO!BB74))</f>
        <v>-3.1585910823725971E-2</v>
      </c>
      <c r="EC159" s="1">
        <f>(1+(N70_DESARROLLO!BC74/0.014285714)*LN(N70_DESARROLLO!BD74/N70_DESARROLLO!BC74))</f>
        <v>-3.3716325403750469E-2</v>
      </c>
      <c r="ED159" s="1">
        <f>(1+(N70_DESARROLLO!BD74/0.014285714)*LN(N70_DESARROLLO!BE74/N70_DESARROLLO!BD74))</f>
        <v>-3.6154998464198451E-2</v>
      </c>
      <c r="EE159" s="1">
        <f>(1+(N70_DESARROLLO!BE74/0.014285714)*LN(N70_DESARROLLO!BF74/N70_DESARROLLO!BE74))</f>
        <v>-3.8974076117218814E-2</v>
      </c>
      <c r="EF159" s="1">
        <f>(1+(N70_DESARROLLO!BF74/0.014285714)*LN(N70_DESARROLLO!BG74/N70_DESARROLLO!BF74))</f>
        <v>-4.2270132583536846E-2</v>
      </c>
      <c r="EG159" s="1">
        <f>(1+(N70_DESARROLLO!BG74/0.014285714)*LN(N70_DESARROLLO!BH74/N70_DESARROLLO!BG74))</f>
        <v>-4.6175470289362641E-2</v>
      </c>
      <c r="EH159" s="1">
        <f>(1+(N70_DESARROLLO!BH74/0.014285714)*LN(N70_DESARROLLO!BI74/N70_DESARROLLO!BH74))</f>
        <v>-5.087633586584861E-2</v>
      </c>
      <c r="EI159" s="1">
        <f>(1+(N70_DESARROLLO!BI74/0.014285714)*LN(N70_DESARROLLO!BJ74/N70_DESARROLLO!BI74))</f>
        <v>-5.664355467999882E-2</v>
      </c>
      <c r="EJ159" s="1">
        <f>(1+(N70_DESARROLLO!BJ74/0.014285714)*LN(N70_DESARROLLO!BK74/N70_DESARROLLO!BJ74))</f>
        <v>-6.3886736386790544E-2</v>
      </c>
      <c r="EK159" s="1">
        <f>(1+(N70_DESARROLLO!BK74/0.014285714)*LN(N70_DESARROLLO!BL74/N70_DESARROLLO!BK74))</f>
        <v>-7.3256348770173396E-2</v>
      </c>
      <c r="EL159" s="1">
        <f>(1+(N70_DESARROLLO!BL74/0.014285714)*LN(N70_DESARROLLO!BM74/N70_DESARROLLO!BL74))</f>
        <v>-8.5851572027616951E-2</v>
      </c>
      <c r="EM159" s="1">
        <f>(1+(N70_DESARROLLO!BM74/0.014285714)*LN(N70_DESARROLLO!BN74/N70_DESARROLLO!BM74))</f>
        <v>-0.10368884711560411</v>
      </c>
      <c r="EN159" s="1">
        <f>(1+(N70_DESARROLLO!BN74/0.014285714)*LN(N70_DESARROLLO!BO74/N70_DESARROLLO!BN74))</f>
        <v>-0.13091494988238184</v>
      </c>
      <c r="EO159" s="1">
        <f>(1+(N70_DESARROLLO!BO74/0.014285714)*LN(N70_DESARROLLO!BP74/N70_DESARROLLO!BO74))</f>
        <v>-0.17765285172729728</v>
      </c>
      <c r="EP159" s="1">
        <f>(1+(N70_DESARROLLO!BP74/0.014285714)*LN(N70_DESARROLLO!BQ74/N70_DESARROLLO!BP74))</f>
        <v>-0.27706408495626578</v>
      </c>
      <c r="EQ159" s="1">
        <f>(1+(N70_DESARROLLO!BQ74/0.014285714)*LN(N70_DESARROLLO!BR74/N70_DESARROLLO!BQ74))</f>
        <v>-0.64791846596052816</v>
      </c>
      <c r="ER159" s="1">
        <v>1</v>
      </c>
      <c r="ES159" s="1">
        <f>(1+(N70_DESARROLLO!BS74/0.014285714)*LN(N70_DESARROLLO!BT74/N70_DESARROLLO!BS74))</f>
        <v>0.45069384467982143</v>
      </c>
      <c r="ET159" s="1">
        <f>(1+(N70_DESARROLLO!BT74/0.014285714)*LN(N70_DESARROLLO!BU74/N70_DESARROLLO!BT74))</f>
        <v>0.2337615490262468</v>
      </c>
      <c r="EU159" s="1">
        <f>(1+(N70_DESARROLLO!BU74/0.014285714)*LN(N70_DESARROLLO!BV74/N70_DESARROLLO!BU74))</f>
        <v>0.15881939162335246</v>
      </c>
      <c r="EV159" s="1">
        <f>(1+(N70_DESARROLLO!BV74/0.014285714)*LN(N70_DESARROLLO!BW74/N70_DESARROLLO!BV74))</f>
        <v>0.12039948342482099</v>
      </c>
      <c r="EW159" s="1">
        <f>(1+(N70_DESARROLLO!BW74/0.014285714)*LN(N70_DESARROLLO!BX74/N70_DESARROLLO!BW74))</f>
        <v>-11.349880550726493</v>
      </c>
    </row>
    <row r="160" spans="7:153" x14ac:dyDescent="0.25">
      <c r="G160" s="3">
        <v>66</v>
      </c>
      <c r="H160" s="3">
        <f>-(N70_DESARROLLO!G75/0.014285714)*LN(N70_DESARROLLO!G75/N70_DESARROLLO!F75)-1</f>
        <v>-7.6727150070365902E-3</v>
      </c>
      <c r="I160" s="3">
        <f>-(N70_DESARROLLO!H75/0.014285714)*LN(N70_DESARROLLO!H75/N70_DESARROLLO!G75)-1</f>
        <v>-7.7922933102105851E-3</v>
      </c>
      <c r="J160" s="3">
        <f>-(N70_DESARROLLO!I75/0.014285714)*LN(N70_DESARROLLO!I75/N70_DESARROLLO!H75)-1</f>
        <v>-7.9156578901804497E-3</v>
      </c>
      <c r="K160" s="3">
        <f>-(N70_DESARROLLO!J75/0.014285714)*LN(N70_DESARROLLO!J75/N70_DESARROLLO!I75)-1</f>
        <v>-8.0429914730157925E-3</v>
      </c>
      <c r="L160" s="3">
        <f>-(N70_DESARROLLO!K75/0.014285714)*LN(N70_DESARROLLO!K75/N70_DESARROLLO!J75)-1</f>
        <v>-8.1744887350685413E-3</v>
      </c>
      <c r="M160" s="3">
        <f>-(N70_DESARROLLO!L75/0.014285714)*LN(N70_DESARROLLO!L75/N70_DESARROLLO!K75)-1</f>
        <v>-8.3103572961074068E-3</v>
      </c>
      <c r="N160" s="3">
        <f>-(N70_DESARROLLO!M75/0.014285714)*LN(N70_DESARROLLO!M75/N70_DESARROLLO!L75)-1</f>
        <v>-8.4508188132838002E-3</v>
      </c>
      <c r="O160" s="3">
        <f>-(N70_DESARROLLO!N75/0.014285714)*LN(N70_DESARROLLO!N75/N70_DESARROLLO!M75)-1</f>
        <v>-8.5961101878212487E-3</v>
      </c>
      <c r="P160" s="3">
        <f>-(N70_DESARROLLO!O75/0.014285714)*LN(N70_DESARROLLO!O75/N70_DESARROLLO!N75)-1</f>
        <v>-8.7464848985490118E-3</v>
      </c>
      <c r="Q160" s="3">
        <f>-(N70_DESARROLLO!P75/0.014285714)*LN(N70_DESARROLLO!P75/N70_DESARROLLO!O75)-1</f>
        <v>-8.9022144776919054E-3</v>
      </c>
      <c r="R160" s="3">
        <f>-(N70_DESARROLLO!Q75/0.014285714)*LN(N70_DESARROLLO!Q75/N70_DESARROLLO!P75)-1</f>
        <v>-9.0635901473908875E-3</v>
      </c>
      <c r="S160" s="3">
        <f>-(N70_DESARROLLO!R75/0.014285714)*LN(N70_DESARROLLO!R75/N70_DESARROLLO!Q75)-1</f>
        <v>-9.2309246374047138E-3</v>
      </c>
      <c r="T160" s="3">
        <f>-(N70_DESARROLLO!S75/0.014285714)*LN(N70_DESARROLLO!S75/N70_DESARROLLO!R75)-1</f>
        <v>-9.4045542079997935E-3</v>
      </c>
      <c r="U160" s="3">
        <f>-(N70_DESARROLLO!T75/0.014285714)*LN(N70_DESARROLLO!T75/N70_DESARROLLO!S75)-1</f>
        <v>-9.5848409054887229E-3</v>
      </c>
      <c r="V160" s="3">
        <f>-(N70_DESARROLLO!U75/0.014285714)*LN(N70_DESARROLLO!U75/N70_DESARROLLO!T75)-1</f>
        <v>-9.7721750824341092E-3</v>
      </c>
      <c r="W160" s="3">
        <f>-(N70_DESARROLLO!V75/0.014285714)*LN(N70_DESARROLLO!V75/N70_DESARROLLO!U75)-1</f>
        <v>-9.9669782192027823E-3</v>
      </c>
      <c r="X160" s="3">
        <f>-(N70_DESARROLLO!W75/0.014285714)*LN(N70_DESARROLLO!W75/N70_DESARROLLO!V75)-1</f>
        <v>-1.0169706089843134E-2</v>
      </c>
      <c r="Y160" s="3">
        <f>-(N70_DESARROLLO!X75/0.014285714)*LN(N70_DESARROLLO!X75/N70_DESARROLLO!W75)-1</f>
        <v>-1.0380852322626088E-2</v>
      </c>
      <c r="Z160" s="3">
        <f>-(N70_DESARROLLO!Y75/0.014285714)*LN(N70_DESARROLLO!Y75/N70_DESARROLLO!X75)-1</f>
        <v>-1.0600952413273301E-2</v>
      </c>
      <c r="AA160" s="3">
        <f>-(N70_DESARROLLO!Z75/0.014285714)*LN(N70_DESARROLLO!Z75/N70_DESARROLLO!Y75)-1</f>
        <v>-1.0830588260139273E-2</v>
      </c>
      <c r="AB160" s="3">
        <f>-(N70_DESARROLLO!AA75/0.014285714)*LN(N70_DESARROLLO!AA75/N70_DESARROLLO!Z75)-1</f>
        <v>-1.1070393301797377E-2</v>
      </c>
      <c r="AC160" s="3">
        <f>-(N70_DESARROLLO!AB75/0.014285714)*LN(N70_DESARROLLO!AB75/N70_DESARROLLO!AA75)-1</f>
        <v>-1.1321058352732338E-2</v>
      </c>
      <c r="AD160" s="3">
        <f>-(N70_DESARROLLO!AC75/0.014285714)*LN(N70_DESARROLLO!AC75/N70_DESARROLLO!AB75)-1</f>
        <v>-1.1583338250309216E-2</v>
      </c>
      <c r="AE160" s="3">
        <f>-(N70_DESARROLLO!AD75/0.014285714)*LN(N70_DESARROLLO!AD75/N70_DESARROLLO!AC75)-1</f>
        <v>-1.1858059447836244E-2</v>
      </c>
      <c r="AF160" s="3">
        <f>-(N70_DESARROLLO!AE75/0.014285714)*LN(N70_DESARROLLO!AE75/N70_DESARROLLO!AD75)-1</f>
        <v>-1.2146128714473514E-2</v>
      </c>
      <c r="AG160" s="3">
        <f>-(N70_DESARROLLO!AF75/0.014285714)*LN(N70_DESARROLLO!AF75/N70_DESARROLLO!AE75)-1</f>
        <v>-1.2448543134993217E-2</v>
      </c>
      <c r="AH160" s="3">
        <f>-(N70_DESARROLLO!AG75/0.014285714)*LN(N70_DESARROLLO!AG75/N70_DESARROLLO!AF75)-1</f>
        <v>-1.2766401641831959E-2</v>
      </c>
      <c r="AI160" s="3">
        <f>-(N70_DESARROLLO!AH75/0.014285714)*LN(N70_DESARROLLO!AH75/N70_DESARROLLO!AG75)-1</f>
        <v>-1.3100918360519409E-2</v>
      </c>
      <c r="AJ160" s="3">
        <f>-(N70_DESARROLLO!AI75/0.014285714)*LN(N70_DESARROLLO!AI75/N70_DESARROLLO!AH75)-1</f>
        <v>-1.345343811001154E-2</v>
      </c>
      <c r="AK160" s="3">
        <f>-(N70_DESARROLLO!AJ75/0.014285714)*LN(N70_DESARROLLO!AJ75/N70_DESARROLLO!AI75)-1</f>
        <v>-1.3825454475317467E-2</v>
      </c>
      <c r="AL160" s="3">
        <f>-(N70_DESARROLLO!AK75/0.014285714)*LN(N70_DESARROLLO!AK75/N70_DESARROLLO!AJ75)-1</f>
        <v>-1.4218630964444534E-2</v>
      </c>
      <c r="AM160" s="3">
        <f>-(N70_DESARROLLO!AL75/0.014285714)*LN(N70_DESARROLLO!AL75/N70_DESARROLLO!AK75)-1</f>
        <v>-1.4634825881869595E-2</v>
      </c>
      <c r="AN160" s="3">
        <f>-(N70_DESARROLLO!AM75/0.014285714)*LN(N70_DESARROLLO!AM75/N70_DESARROLLO!AL75)-1</f>
        <v>-1.5076121703332279E-2</v>
      </c>
      <c r="AO160" s="3">
        <f>-(N70_DESARROLLO!AN75/0.014285714)*LN(N70_DESARROLLO!AN75/N70_DESARROLLO!AM75)-1</f>
        <v>-1.5544859931607813E-2</v>
      </c>
      <c r="AP160" s="3">
        <f>-(N70_DESARROLLO!AO75/0.014285714)*LN(N70_DESARROLLO!AO75/N70_DESARROLLO!AN75)-1</f>
        <v>-1.6043682665119796E-2</v>
      </c>
      <c r="AQ160" s="3">
        <f>-(N70_DESARROLLO!AP75/0.014285714)*LN(N70_DESARROLLO!AP75/N70_DESARROLLO!AO75)-1</f>
        <v>-1.6575582437555747E-2</v>
      </c>
      <c r="AR160" s="3">
        <f>-(N70_DESARROLLO!AQ75/0.014285714)*LN(N70_DESARROLLO!AQ75/N70_DESARROLLO!AP75)-1</f>
        <v>-1.7143962314550287E-2</v>
      </c>
      <c r="AS160" s="3">
        <f>-(N70_DESARROLLO!AR75/0.014285714)*LN(N70_DESARROLLO!AR75/N70_DESARROLLO!AQ75)-1</f>
        <v>-1.7752708797878491E-2</v>
      </c>
      <c r="AT160" s="3">
        <f>-(N70_DESARROLLO!AS75/0.014285714)*LN(N70_DESARROLLO!AS75/N70_DESARROLLO!AR75)-1</f>
        <v>-1.8406280838871414E-2</v>
      </c>
      <c r="AU160" s="3">
        <f>-(N70_DESARROLLO!AT75/0.014285714)*LN(N70_DESARROLLO!AT75/N70_DESARROLLO!AS75)-1</f>
        <v>-1.910981927339972E-2</v>
      </c>
      <c r="AV160" s="3">
        <f>-(N70_DESARROLLO!AU75/0.014285714)*LN(N70_DESARROLLO!AU75/N70_DESARROLLO!AT75)-1</f>
        <v>-1.9869282361751228E-2</v>
      </c>
      <c r="AW160" s="3">
        <f>-(N70_DESARROLLO!AV75/0.014285714)*LN(N70_DESARROLLO!AV75/N70_DESARROLLO!AU75)-1</f>
        <v>-2.0691615000488106E-2</v>
      </c>
      <c r="AX160" s="3">
        <f>-(N70_DESARROLLO!AW75/0.014285714)*LN(N70_DESARROLLO!AW75/N70_DESARROLLO!AV75)-1</f>
        <v>-2.1584961787579071E-2</v>
      </c>
      <c r="AY160" s="3">
        <f>-(N70_DESARROLLO!AX75/0.014285714)*LN(N70_DESARROLLO!AX75/N70_DESARROLLO!AW75)-1</f>
        <v>-2.255893780089202E-2</v>
      </c>
      <c r="AZ160" s="3">
        <f>-(N70_DESARROLLO!AY75/0.014285714)*LN(N70_DESARROLLO!AY75/N70_DESARROLLO!AX75)-1</f>
        <v>-2.3624976192782587E-2</v>
      </c>
      <c r="BA160" s="3">
        <f>-(N70_DESARROLLO!AZ75/0.014285714)*LN(N70_DESARROLLO!AZ75/N70_DESARROLLO!AY75)-1</f>
        <v>-2.4796779290035542E-2</v>
      </c>
      <c r="BB160" s="3">
        <f>-(N70_DESARROLLO!BA75/0.014285714)*LN(N70_DESARROLLO!BA75/N70_DESARROLLO!AZ75)-1</f>
        <v>-2.6090911041514842E-2</v>
      </c>
      <c r="BC160" s="3">
        <f>-(N70_DESARROLLO!BB75/0.014285714)*LN(N70_DESARROLLO!BB75/N70_DESARROLLO!BA75)-1</f>
        <v>-2.7527585341359129E-2</v>
      </c>
      <c r="BD160" s="3">
        <f>-(N70_DESARROLLO!BC75/0.014285714)*LN(N70_DESARROLLO!BC75/N70_DESARROLLO!BB75)-1</f>
        <v>-2.9131730204236206E-2</v>
      </c>
      <c r="BE160" s="3">
        <f>-(N70_DESARROLLO!BD75/0.014285714)*LN(N70_DESARROLLO!BD75/N70_DESARROLLO!BC75)-1</f>
        <v>-3.0934447408007437E-2</v>
      </c>
      <c r="BF160" s="3">
        <f>-(N70_DESARROLLO!BE75/0.014285714)*LN(N70_DESARROLLO!BE75/N70_DESARROLLO!BD75)-1</f>
        <v>-3.2975050428757924E-2</v>
      </c>
      <c r="BG160" s="3">
        <f>-(N70_DESARROLLO!BF75/0.014285714)*LN(N70_DESARROLLO!BF75/N70_DESARROLLO!BE75)-1</f>
        <v>-3.5303966947118792E-2</v>
      </c>
      <c r="BH160" s="3">
        <f>-(N70_DESARROLLO!BG75/0.014285714)*LN(N70_DESARROLLO!BG75/N70_DESARROLLO!BF75)-1</f>
        <v>-3.7986966558138158E-2</v>
      </c>
      <c r="BI160" s="3">
        <f>-(N70_DESARROLLO!BH75/0.014285714)*LN(N70_DESARROLLO!BH75/N70_DESARROLLO!BG75)-1</f>
        <v>-4.1111478023145187E-2</v>
      </c>
      <c r="BJ160" s="3">
        <f>-(N70_DESARROLLO!BI75/0.014285714)*LN(N70_DESARROLLO!BI75/N70_DESARROLLO!BH75)-1</f>
        <v>-4.4796309735792517E-2</v>
      </c>
      <c r="BK160" s="3">
        <f>-(N70_DESARROLLO!BJ75/0.014285714)*LN(N70_DESARROLLO!BJ75/N70_DESARROLLO!BI75)-1</f>
        <v>-4.920712469281141E-2</v>
      </c>
      <c r="BL160" s="3">
        <f>-(N70_DESARROLLO!BK75/0.014285714)*LN(N70_DESARROLLO!BK75/N70_DESARROLLO!BJ75)-1</f>
        <v>-5.458208265473008E-2</v>
      </c>
      <c r="BM160" s="3">
        <f>-(N70_DESARROLLO!BL75/0.014285714)*LN(N70_DESARROLLO!BL75/N70_DESARROLLO!BK75)-1</f>
        <v>-6.1276409070485927E-2</v>
      </c>
      <c r="BN160" s="3">
        <f>-(N70_DESARROLLO!BM75/0.014285714)*LN(N70_DESARROLLO!BM75/N70_DESARROLLO!BL75)-1</f>
        <v>-6.9844497732509336E-2</v>
      </c>
      <c r="BO160" s="3">
        <f>-(N70_DESARROLLO!BN75/0.014285714)*LN(N70_DESARROLLO!BN75/N70_DESARROLLO!BM75)-1</f>
        <v>-8.1202515976639078E-2</v>
      </c>
      <c r="BP160" s="3">
        <f>-(N70_DESARROLLO!BO75/0.014285714)*LN(N70_DESARROLLO!BO75/N70_DESARROLLO!BN75)-1</f>
        <v>-9.6981852359953602E-2</v>
      </c>
      <c r="BQ160" s="3">
        <f>-(N70_DESARROLLO!BP75/0.014285714)*LN(N70_DESARROLLO!BP75/N70_DESARROLLO!BO75)-1</f>
        <v>-0.12039948342482121</v>
      </c>
      <c r="BR160" s="3">
        <f>-(N70_DESARROLLO!BQ75/0.014285714)*LN(N70_DESARROLLO!BQ75/N70_DESARROLLO!BP75)-1</f>
        <v>-0.15881939162335246</v>
      </c>
      <c r="BS160" s="3">
        <f>-(N70_DESARROLLO!BR75/0.014285714)*LN(N70_DESARROLLO!BR75/N70_DESARROLLO!BQ75)-1</f>
        <v>-0.23376154902624657</v>
      </c>
      <c r="BT160" s="3">
        <f>-(N70_DESARROLLO!BS75/0.014285714)*LN(N70_DESARROLLO!BS75/N70_DESARROLLO!BR75)-1</f>
        <v>-0.45069384467982065</v>
      </c>
      <c r="BU160" s="3">
        <v>-1</v>
      </c>
      <c r="BV160" s="3">
        <f>-(N70_DESARROLLO!BU75/0.014285714)*LN(N70_DESARROLLO!BU75/N70_DESARROLLO!BT75)-1</f>
        <v>0.64791846596052816</v>
      </c>
      <c r="BW160" s="3">
        <f>-(N70_DESARROLLO!BV75/0.014285714)*LN(N70_DESARROLLO!BV75/N70_DESARROLLO!BU75)-1</f>
        <v>0.27706408495626578</v>
      </c>
      <c r="BX160" s="3">
        <f>-(N70_DESARROLLO!BW75/0.014285714)*LN(N70_DESARROLLO!BW75/N70_DESARROLLO!BV75)-1</f>
        <v>0.17765285172729772</v>
      </c>
      <c r="BY160" s="3">
        <f>-(N70_DESARROLLO!BX75/0.014285714)*LN(N70_DESARROLLO!BX75/N70_DESARROLLO!BW75)-1</f>
        <v>208.70126334280476</v>
      </c>
      <c r="CD160" s="1">
        <v>66</v>
      </c>
      <c r="CE160" s="1">
        <v>0</v>
      </c>
      <c r="CF160" s="1">
        <f>(1+(N70_DESARROLLO!F75/0.014285714)*LN(N70_DESARROLLO!G75/N70_DESARROLLO!F75))</f>
        <v>-7.7122041401411767E-3</v>
      </c>
      <c r="CG160" s="1">
        <f>(1+(N70_DESARROLLO!G75/0.014285714)*LN(N70_DESARROLLO!H75/N70_DESARROLLO!G75))</f>
        <v>-7.8330249053766288E-3</v>
      </c>
      <c r="CH160" s="1">
        <f>(1+(N70_DESARROLLO!H75/0.014285714)*LN(N70_DESARROLLO!I75/N70_DESARROLLO!H75))</f>
        <v>-7.9576915835766204E-3</v>
      </c>
      <c r="CI160" s="1">
        <f>(1+(N70_DESARROLLO!I75/0.014285714)*LN(N70_DESARROLLO!J75/N70_DESARROLLO!I75))</f>
        <v>-8.086390779455721E-3</v>
      </c>
      <c r="CJ160" s="1">
        <f>(1+(N70_DESARROLLO!J75/0.014285714)*LN(N70_DESARROLLO!K75/N70_DESARROLLO!J75))</f>
        <v>-8.2193213684840227E-3</v>
      </c>
      <c r="CK160" s="1">
        <f>(1+(N70_DESARROLLO!K75/0.014285714)*LN(N70_DESARROLLO!L75/N70_DESARROLLO!K75))</f>
        <v>-8.3566955224454453E-3</v>
      </c>
      <c r="CL160" s="1">
        <f>(1+(N70_DESARROLLO!L75/0.014285714)*LN(N70_DESARROLLO!M75/N70_DESARROLLO!L75))</f>
        <v>-8.4987398394804625E-3</v>
      </c>
      <c r="CM160" s="1">
        <f>(1+(N70_DESARROLLO!M75/0.014285714)*LN(N70_DESARROLLO!N75/N70_DESARROLLO!M75))</f>
        <v>-8.6456965915209238E-3</v>
      </c>
      <c r="CN160" s="1">
        <f>(1+(N70_DESARROLLO!N75/0.014285714)*LN(N70_DESARROLLO!O75/N70_DESARROLLO!N75))</f>
        <v>-8.7978251032465593E-3</v>
      </c>
      <c r="CO160" s="1">
        <f>(1+(N70_DESARROLLO!O75/0.014285714)*LN(N70_DESARROLLO!P75/N70_DESARROLLO!O75))</f>
        <v>-8.955403279466756E-3</v>
      </c>
      <c r="CP160" s="1">
        <f>(1+(N70_DESARROLLO!P75/0.014285714)*LN(N70_DESARROLLO!Q75/N70_DESARROLLO!P75))</f>
        <v>-9.1187292994459046E-3</v>
      </c>
      <c r="CQ160" s="1">
        <f>(1+(N70_DESARROLLO!Q75/0.014285714)*LN(N70_DESARROLLO!R75/N70_DESARROLLO!Q75))</f>
        <v>-9.2881235002140183E-3</v>
      </c>
      <c r="CR160" s="1">
        <f>(1+(N70_DESARROLLO!R75/0.014285714)*LN(N70_DESARROLLO!S75/N70_DESARROLLO!R75))</f>
        <v>-9.463930473752491E-3</v>
      </c>
      <c r="CS160" s="1">
        <f>(1+(N70_DESARROLLO!S75/0.014285714)*LN(N70_DESARROLLO!T75/N70_DESARROLLO!S75))</f>
        <v>-9.646521407026043E-3</v>
      </c>
      <c r="CT160" s="1">
        <f>(1+(N70_DESARROLLO!T75/0.014285714)*LN(N70_DESARROLLO!U75/N70_DESARROLLO!T75))</f>
        <v>-9.8362966981118127E-3</v>
      </c>
      <c r="CU160" s="1">
        <f>(1+(N70_DESARROLLO!U75/0.014285714)*LN(N70_DESARROLLO!V75/N70_DESARROLLO!U75))</f>
        <v>-1.0033688887479908E-2</v>
      </c>
      <c r="CV160" s="1">
        <f>(1+(N70_DESARROLLO!V75/0.014285714)*LN(N70_DESARROLLO!W75/N70_DESARROLLO!V75))</f>
        <v>-1.0239165949541773E-2</v>
      </c>
      <c r="CW160" s="1">
        <f>(1+(N70_DESARROLLO!W75/0.014285714)*LN(N70_DESARROLLO!X75/N70_DESARROLLO!W75))</f>
        <v>-1.0453234996897542E-2</v>
      </c>
      <c r="CX160" s="1">
        <f>(1+(N70_DESARROLLO!X75/0.014285714)*LN(N70_DESARROLLO!Y75/N70_DESARROLLO!X75))</f>
        <v>-1.0676446459559452E-2</v>
      </c>
      <c r="CY160" s="1">
        <f>(1+(N70_DESARROLLO!Y75/0.014285714)*LN(N70_DESARROLLO!Z75/N70_DESARROLLO!Y75))</f>
        <v>-1.0909398811066673E-2</v>
      </c>
      <c r="CZ160" s="1">
        <f>(1+(N70_DESARROLLO!Z75/0.014285714)*LN(N70_DESARROLLO!AA75/N70_DESARROLLO!Z75))</f>
        <v>-1.1152743927375752E-2</v>
      </c>
      <c r="DA160" s="1">
        <f>(1+(N70_DESARROLLO!AA75/0.014285714)*LN(N70_DESARROLLO!AB75/N70_DESARROLLO!AA75))</f>
        <v>-1.1407193179388653E-2</v>
      </c>
      <c r="DB160" s="1">
        <f>(1+(N70_DESARROLLO!AB75/0.014285714)*LN(N70_DESARROLLO!AC75/N70_DESARROLLO!AB75))</f>
        <v>-1.1673524379095301E-2</v>
      </c>
      <c r="DC160" s="1">
        <f>(1+(N70_DESARROLLO!AC75/0.014285714)*LN(N70_DESARROLLO!AD75/N70_DESARROLLO!AC75))</f>
        <v>-1.1952589722095563E-2</v>
      </c>
      <c r="DD160" s="1">
        <f>(1+(N70_DESARROLLO!AD75/0.014285714)*LN(N70_DESARROLLO!AE75/N70_DESARROLLO!AD75))</f>
        <v>-1.2245324897514953E-2</v>
      </c>
      <c r="DE160" s="1">
        <f>(1+(N70_DESARROLLO!AE75/0.014285714)*LN(N70_DESARROLLO!AF75/N70_DESARROLLO!AE75))</f>
        <v>-1.2552759570449767E-2</v>
      </c>
      <c r="DF160" s="1">
        <f>(1+(N70_DESARROLLO!AF75/0.014285714)*LN(N70_DESARROLLO!AG75/N70_DESARROLLO!AF75))</f>
        <v>-1.2876029484353957E-2</v>
      </c>
      <c r="DG160" s="1">
        <f>(1+(N70_DESARROLLO!AG75/0.014285714)*LN(N70_DESARROLLO!AH75/N70_DESARROLLO!AG75))</f>
        <v>-1.3216390483200113E-2</v>
      </c>
      <c r="DH160" s="1">
        <f>(1+(N70_DESARROLLO!AH75/0.014285714)*LN(N70_DESARROLLO!AI75/N70_DESARROLLO!AH75))</f>
        <v>-1.3575234818481441E-2</v>
      </c>
      <c r="DI160" s="1">
        <f>(1+(N70_DESARROLLO!AI75/0.014285714)*LN(N70_DESARROLLO!AJ75/N70_DESARROLLO!AI75))</f>
        <v>-1.3954110187349711E-2</v>
      </c>
      <c r="DJ160" s="1">
        <f>(1+(N70_DESARROLLO!AJ75/0.014285714)*LN(N70_DESARROLLO!AK75/N70_DESARROLLO!AJ75))</f>
        <v>-1.4354742051078784E-2</v>
      </c>
      <c r="DK160" s="1">
        <f>(1+(N70_DESARROLLO!AK75/0.014285714)*LN(N70_DESARROLLO!AL75/N70_DESARROLLO!AK75))</f>
        <v>-1.4779059912701564E-2</v>
      </c>
      <c r="DL160" s="1">
        <f>(1+(N70_DESARROLLO!AL75/0.014285714)*LN(N70_DESARROLLO!AM75/N70_DESARROLLO!AL75))</f>
        <v>-1.5229228398103478E-2</v>
      </c>
      <c r="DM160" s="1">
        <f>(1+(N70_DESARROLLO!AM75/0.014285714)*LN(N70_DESARROLLO!AN75/N70_DESARROLLO!AM75))</f>
        <v>-1.5707684197547644E-2</v>
      </c>
      <c r="DN160" s="1">
        <f>(1+(N70_DESARROLLO!AN75/0.014285714)*LN(N70_DESARROLLO!AO75/N70_DESARROLLO!AN75))</f>
        <v>-1.6217180198318859E-2</v>
      </c>
      <c r="DO160" s="1">
        <f>(1+(N70_DESARROLLO!AO75/0.014285714)*LN(N70_DESARROLLO!AP75/N70_DESARROLLO!AO75))</f>
        <v>-1.6760838496764352E-2</v>
      </c>
      <c r="DP160" s="1">
        <f>(1+(N70_DESARROLLO!AP75/0.014285714)*LN(N70_DESARROLLO!AQ75/N70_DESARROLLO!AP75))</f>
        <v>-1.7342214446342874E-2</v>
      </c>
      <c r="DQ160" s="1">
        <f>(1+(N70_DESARROLLO!AQ75/0.014285714)*LN(N70_DESARROLLO!AR75/N70_DESARROLLO!AQ75))</f>
        <v>-1.7965374518562172E-2</v>
      </c>
      <c r="DR160" s="1">
        <f>(1+(N70_DESARROLLO!AR75/0.014285714)*LN(N70_DESARROLLO!AS75/N70_DESARROLLO!AR75))</f>
        <v>-1.8634991582303417E-2</v>
      </c>
      <c r="DS160" s="1">
        <f>(1+(N70_DESARROLLO!AS75/0.014285714)*LN(N70_DESARROLLO!AT75/N70_DESARROLLO!AS75))</f>
        <v>-1.9356462323721679E-2</v>
      </c>
      <c r="DT160" s="1">
        <f>(1+(N70_DESARROLLO!AT75/0.014285714)*LN(N70_DESARROLLO!AU75/N70_DESARROLLO!AT75))</f>
        <v>-2.0136053052055125E-2</v>
      </c>
      <c r="DU160" s="1">
        <f>(1+(N70_DESARROLLO!AU75/0.014285714)*LN(N70_DESARROLLO!AV75/N70_DESARROLLO!AU75))</f>
        <v>-2.0981082233533677E-2</v>
      </c>
      <c r="DV160" s="1">
        <f>(1+(N70_DESARROLLO!AV75/0.014285714)*LN(N70_DESARROLLO!AW75/N70_DESARROLLO!AV75))</f>
        <v>-2.1900151021861713E-2</v>
      </c>
      <c r="DW160" s="1">
        <f>(1+(N70_DESARROLLO!AW75/0.014285714)*LN(N70_DESARROLLO!AX75/N70_DESARROLLO!AW75))</f>
        <v>-2.2903437185113118E-2</v>
      </c>
      <c r="DX160" s="1">
        <f>(1+(N70_DESARROLLO!AX75/0.014285714)*LN(N70_DESARROLLO!AY75/N70_DESARROLLO!AX75))</f>
        <v>-2.4003073749032877E-2</v>
      </c>
      <c r="DY160" s="1">
        <f>(1+(N70_DESARROLLO!AY75/0.014285714)*LN(N70_DESARROLLO!AZ75/N70_DESARROLLO!AY75))</f>
        <v>-2.5213642284834581E-2</v>
      </c>
      <c r="DZ160" s="1">
        <f>(1+(N70_DESARROLLO!AZ75/0.014285714)*LN(N70_DESARROLLO!BA75/N70_DESARROLLO!AZ75))</f>
        <v>-2.6552823496781341E-2</v>
      </c>
      <c r="EA160" s="1">
        <f>(1+(N70_DESARROLLO!BA75/0.014285714)*LN(N70_DESARROLLO!BB75/N70_DESARROLLO!BA75))</f>
        <v>-2.8042266924849235E-2</v>
      </c>
      <c r="EB160" s="1">
        <f>(1+(N70_DESARROLLO!BB75/0.014285714)*LN(N70_DESARROLLO!BC75/N70_DESARROLLO!BB75))</f>
        <v>-2.9708770995507061E-2</v>
      </c>
      <c r="EC160" s="1">
        <f>(1+(N70_DESARROLLO!BC75/0.014285714)*LN(N70_DESARROLLO!BD75/N70_DESARROLLO!BC75))</f>
        <v>-3.1585910823734187E-2</v>
      </c>
      <c r="ED160" s="1">
        <f>(1+(N70_DESARROLLO!BD75/0.014285714)*LN(N70_DESARROLLO!BE75/N70_DESARROLLO!BD75))</f>
        <v>-3.3716325403741365E-2</v>
      </c>
      <c r="EE160" s="1">
        <f>(1+(N70_DESARROLLO!BE75/0.014285714)*LN(N70_DESARROLLO!BF75/N70_DESARROLLO!BE75))</f>
        <v>-3.6154998464206001E-2</v>
      </c>
      <c r="EF160" s="1">
        <f>(1+(N70_DESARROLLO!BF75/0.014285714)*LN(N70_DESARROLLO!BG75/N70_DESARROLLO!BF75))</f>
        <v>-3.8974076117210377E-2</v>
      </c>
      <c r="EG160" s="1">
        <f>(1+(N70_DESARROLLO!BG75/0.014285714)*LN(N70_DESARROLLO!BH75/N70_DESARROLLO!BG75))</f>
        <v>-4.2270132583537734E-2</v>
      </c>
      <c r="EH160" s="1">
        <f>(1+(N70_DESARROLLO!BH75/0.014285714)*LN(N70_DESARROLLO!BI75/N70_DESARROLLO!BH75))</f>
        <v>-4.6175470289370413E-2</v>
      </c>
      <c r="EI160" s="1">
        <f>(1+(N70_DESARROLLO!BI75/0.014285714)*LN(N70_DESARROLLO!BJ75/N70_DESARROLLO!BI75))</f>
        <v>-5.0876335865839728E-2</v>
      </c>
      <c r="EJ160" s="1">
        <f>(1+(N70_DESARROLLO!BJ75/0.014285714)*LN(N70_DESARROLLO!BK75/N70_DESARROLLO!BJ75))</f>
        <v>-5.6643554680007924E-2</v>
      </c>
      <c r="EK160" s="1">
        <f>(1+(N70_DESARROLLO!BK75/0.014285714)*LN(N70_DESARROLLO!BL75/N70_DESARROLLO!BK75))</f>
        <v>-6.3886736386782106E-2</v>
      </c>
      <c r="EL160" s="1">
        <f>(1+(N70_DESARROLLO!BL75/0.014285714)*LN(N70_DESARROLLO!BM75/N70_DESARROLLO!BL75))</f>
        <v>-7.3256348770182278E-2</v>
      </c>
      <c r="EM160" s="1">
        <f>(1+(N70_DESARROLLO!BM75/0.014285714)*LN(N70_DESARROLLO!BN75/N70_DESARROLLO!BM75))</f>
        <v>-8.5851572027607403E-2</v>
      </c>
      <c r="EN160" s="1">
        <f>(1+(N70_DESARROLLO!BN75/0.014285714)*LN(N70_DESARROLLO!BO75/N70_DESARROLLO!BN75))</f>
        <v>-0.10368884711561321</v>
      </c>
      <c r="EO160" s="1">
        <f>(1+(N70_DESARROLLO!BO75/0.014285714)*LN(N70_DESARROLLO!BP75/N70_DESARROLLO!BO75))</f>
        <v>-0.13091494988237162</v>
      </c>
      <c r="EP160" s="1">
        <f>(1+(N70_DESARROLLO!BP75/0.014285714)*LN(N70_DESARROLLO!BQ75/N70_DESARROLLO!BP75))</f>
        <v>-0.17765285172730816</v>
      </c>
      <c r="EQ160" s="1">
        <f>(1+(N70_DESARROLLO!BQ75/0.014285714)*LN(N70_DESARROLLO!BR75/N70_DESARROLLO!BQ75))</f>
        <v>-0.27706408495625312</v>
      </c>
      <c r="ER160" s="1">
        <f>(1+(N70_DESARROLLO!BR75/0.014285714)*LN(N70_DESARROLLO!BS75/N70_DESARROLLO!BR75))</f>
        <v>-0.64791846596052105</v>
      </c>
      <c r="ES160" s="1">
        <v>1</v>
      </c>
      <c r="ET160" s="1">
        <f>(1+(N70_DESARROLLO!BT75/0.014285714)*LN(N70_DESARROLLO!BU75/N70_DESARROLLO!BT75))</f>
        <v>0.45069384467982399</v>
      </c>
      <c r="EU160" s="1">
        <f>(1+(N70_DESARROLLO!BU75/0.014285714)*LN(N70_DESARROLLO!BV75/N70_DESARROLLO!BU75))</f>
        <v>0.23376154902624291</v>
      </c>
      <c r="EV160" s="1">
        <f>(1+(N70_DESARROLLO!BV75/0.014285714)*LN(N70_DESARROLLO!BW75/N70_DESARROLLO!BV75))</f>
        <v>0.15881939162335801</v>
      </c>
      <c r="EW160" s="1">
        <f>(1+(N70_DESARROLLO!BW75/0.014285714)*LN(N70_DESARROLLO!BX75/N70_DESARROLLO!BW75))</f>
        <v>-9.4850631671402237</v>
      </c>
    </row>
    <row r="161" spans="7:153" x14ac:dyDescent="0.25">
      <c r="G161" s="3">
        <v>67</v>
      </c>
      <c r="H161" s="3">
        <f>-(N70_DESARROLLO!G76/0.014285714)*LN(N70_DESARROLLO!G76/N70_DESARROLLO!F76)-1</f>
        <v>-7.5567513016895349E-3</v>
      </c>
      <c r="I161" s="3">
        <f>-(N70_DESARROLLO!H76/0.014285714)*LN(N70_DESARROLLO!H76/N70_DESARROLLO!G76)-1</f>
        <v>-7.6727150070293737E-3</v>
      </c>
      <c r="J161" s="3">
        <f>-(N70_DESARROLLO!I76/0.014285714)*LN(N70_DESARROLLO!I76/N70_DESARROLLO!H76)-1</f>
        <v>-7.7922933102178016E-3</v>
      </c>
      <c r="K161" s="3">
        <f>-(N70_DESARROLLO!J76/0.014285714)*LN(N70_DESARROLLO!J76/N70_DESARROLLO!I76)-1</f>
        <v>-7.9156578901735664E-3</v>
      </c>
      <c r="L161" s="3">
        <f>-(N70_DESARROLLO!K76/0.014285714)*LN(N70_DESARROLLO!K76/N70_DESARROLLO!J76)-1</f>
        <v>-8.0429914730227869E-3</v>
      </c>
      <c r="M161" s="3">
        <f>-(N70_DESARROLLO!L76/0.014285714)*LN(N70_DESARROLLO!L76/N70_DESARROLLO!K76)-1</f>
        <v>-8.174488735061658E-3</v>
      </c>
      <c r="N161" s="3">
        <f>-(N70_DESARROLLO!M76/0.014285714)*LN(N70_DESARROLLO!M76/N70_DESARROLLO!L76)-1</f>
        <v>-8.3103572961141792E-3</v>
      </c>
      <c r="O161" s="3">
        <f>-(N70_DESARROLLO!N76/0.014285714)*LN(N70_DESARROLLO!N76/N70_DESARROLLO!M76)-1</f>
        <v>-8.4508188132772499E-3</v>
      </c>
      <c r="P161" s="3">
        <f>-(N70_DESARROLLO!O76/0.014285714)*LN(N70_DESARROLLO!O76/N70_DESARROLLO!N76)-1</f>
        <v>-8.596110187827688E-3</v>
      </c>
      <c r="Q161" s="3">
        <f>-(N70_DESARROLLO!P76/0.014285714)*LN(N70_DESARROLLO!P76/N70_DESARROLLO!O76)-1</f>
        <v>-8.7464848985490118E-3</v>
      </c>
      <c r="R161" s="3">
        <f>-(N70_DESARROLLO!Q76/0.014285714)*LN(N70_DESARROLLO!Q76/N70_DESARROLLO!P76)-1</f>
        <v>-8.9022144776856882E-3</v>
      </c>
      <c r="S161" s="3">
        <f>-(N70_DESARROLLO!R76/0.014285714)*LN(N70_DESARROLLO!R76/N70_DESARROLLO!Q76)-1</f>
        <v>-9.0635901473909986E-3</v>
      </c>
      <c r="T161" s="3">
        <f>-(N70_DESARROLLO!S76/0.014285714)*LN(N70_DESARROLLO!S76/N70_DESARROLLO!R76)-1</f>
        <v>-9.2309246374168152E-3</v>
      </c>
      <c r="U161" s="3">
        <f>-(N70_DESARROLLO!T76/0.014285714)*LN(N70_DESARROLLO!T76/N70_DESARROLLO!S76)-1</f>
        <v>-9.4045542079997935E-3</v>
      </c>
      <c r="V161" s="3">
        <f>-(N70_DESARROLLO!U76/0.014285714)*LN(N70_DESARROLLO!U76/N70_DESARROLLO!T76)-1</f>
        <v>-9.5848409054832828E-3</v>
      </c>
      <c r="W161" s="3">
        <f>-(N70_DESARROLLO!V76/0.014285714)*LN(N70_DESARROLLO!V76/N70_DESARROLLO!U76)-1</f>
        <v>-9.7721750824455444E-3</v>
      </c>
      <c r="X161" s="3">
        <f>-(N70_DESARROLLO!W76/0.014285714)*LN(N70_DESARROLLO!W76/N70_DESARROLLO!V76)-1</f>
        <v>-9.9669782191917911E-3</v>
      </c>
      <c r="Y161" s="3">
        <f>-(N70_DESARROLLO!X76/0.014285714)*LN(N70_DESARROLLO!X76/N70_DESARROLLO!W76)-1</f>
        <v>-1.0169706089854125E-2</v>
      </c>
      <c r="Z161" s="3">
        <f>-(N70_DESARROLLO!Y76/0.014285714)*LN(N70_DESARROLLO!Y76/N70_DESARROLLO!X76)-1</f>
        <v>-1.0380852322626088E-2</v>
      </c>
      <c r="AA161" s="3">
        <f>-(N70_DESARROLLO!Z76/0.014285714)*LN(N70_DESARROLLO!Z76/N70_DESARROLLO!Y76)-1</f>
        <v>-1.0600952413268083E-2</v>
      </c>
      <c r="AB161" s="3">
        <f>-(N70_DESARROLLO!AA76/0.014285714)*LN(N70_DESARROLLO!AA76/N70_DESARROLLO!Z76)-1</f>
        <v>-1.0830588260139384E-2</v>
      </c>
      <c r="AC161" s="3">
        <f>-(N70_DESARROLLO!AB76/0.014285714)*LN(N70_DESARROLLO!AB76/N70_DESARROLLO!AA76)-1</f>
        <v>-1.1070393301807369E-2</v>
      </c>
      <c r="AD161" s="3">
        <f>-(N70_DESARROLLO!AC76/0.014285714)*LN(N70_DESARROLLO!AC76/N70_DESARROLLO!AB76)-1</f>
        <v>-1.1321058352732338E-2</v>
      </c>
      <c r="AE161" s="3">
        <f>-(N70_DESARROLLO!AD76/0.014285714)*LN(N70_DESARROLLO!AD76/N70_DESARROLLO!AC76)-1</f>
        <v>-1.1583338250304442E-2</v>
      </c>
      <c r="AF161" s="3">
        <f>-(N70_DESARROLLO!AE76/0.014285714)*LN(N70_DESARROLLO!AE76/N70_DESARROLLO!AD76)-1</f>
        <v>-1.1858059447836355E-2</v>
      </c>
      <c r="AG161" s="3">
        <f>-(N70_DESARROLLO!AF76/0.014285714)*LN(N70_DESARROLLO!AF76/N70_DESARROLLO!AE76)-1</f>
        <v>-1.2146128714478177E-2</v>
      </c>
      <c r="AH161" s="3">
        <f>-(N70_DESARROLLO!AG76/0.014285714)*LN(N70_DESARROLLO!AG76/N70_DESARROLLO!AF76)-1</f>
        <v>-1.2448543134993217E-2</v>
      </c>
      <c r="AI161" s="3">
        <f>-(N70_DESARROLLO!AH76/0.014285714)*LN(N70_DESARROLLO!AH76/N70_DESARROLLO!AG76)-1</f>
        <v>-1.2766401641831959E-2</v>
      </c>
      <c r="AJ161" s="3">
        <f>-(N70_DESARROLLO!AI76/0.014285714)*LN(N70_DESARROLLO!AI76/N70_DESARROLLO!AH76)-1</f>
        <v>-1.3100918360510971E-2</v>
      </c>
      <c r="AK161" s="3">
        <f>-(N70_DESARROLLO!AJ76/0.014285714)*LN(N70_DESARROLLO!AJ76/N70_DESARROLLO!AI76)-1</f>
        <v>-1.3453438110011762E-2</v>
      </c>
      <c r="AL161" s="3">
        <f>-(N70_DESARROLLO!AK76/0.014285714)*LN(N70_DESARROLLO!AK76/N70_DESARROLLO!AJ76)-1</f>
        <v>-1.3825454475325571E-2</v>
      </c>
      <c r="AM161" s="3">
        <f>-(N70_DESARROLLO!AL76/0.014285714)*LN(N70_DESARROLLO!AL76/N70_DESARROLLO!AK76)-1</f>
        <v>-1.4218630964440648E-2</v>
      </c>
      <c r="AN161" s="3">
        <f>-(N70_DESARROLLO!AM76/0.014285714)*LN(N70_DESARROLLO!AM76/N70_DESARROLLO!AL76)-1</f>
        <v>-1.4634825881869595E-2</v>
      </c>
      <c r="AO161" s="3">
        <f>-(N70_DESARROLLO!AN76/0.014285714)*LN(N70_DESARROLLO!AN76/N70_DESARROLLO!AM76)-1</f>
        <v>-1.5076121703332501E-2</v>
      </c>
      <c r="AP161" s="3">
        <f>-(N70_DESARROLLO!AO76/0.014285714)*LN(N70_DESARROLLO!AO76/N70_DESARROLLO!AN76)-1</f>
        <v>-1.5544859931607924E-2</v>
      </c>
      <c r="AQ161" s="3">
        <f>-(N70_DESARROLLO!AP76/0.014285714)*LN(N70_DESARROLLO!AP76/N70_DESARROLLO!AO76)-1</f>
        <v>-1.6043682665123127E-2</v>
      </c>
      <c r="AR161" s="3">
        <f>-(N70_DESARROLLO!AQ76/0.014285714)*LN(N70_DESARROLLO!AQ76/N70_DESARROLLO!AP76)-1</f>
        <v>-1.6575582437549308E-2</v>
      </c>
      <c r="AS161" s="3">
        <f>-(N70_DESARROLLO!AR76/0.014285714)*LN(N70_DESARROLLO!AR76/N70_DESARROLLO!AQ76)-1</f>
        <v>-1.7143962314556949E-2</v>
      </c>
      <c r="AT161" s="3">
        <f>-(N70_DESARROLLO!AS76/0.014285714)*LN(N70_DESARROLLO!AS76/N70_DESARROLLO!AR76)-1</f>
        <v>-1.7752708797872385E-2</v>
      </c>
      <c r="AU161" s="3">
        <f>-(N70_DESARROLLO!AT76/0.014285714)*LN(N70_DESARROLLO!AT76/N70_DESARROLLO!AS76)-1</f>
        <v>-1.8406280838877631E-2</v>
      </c>
      <c r="AV161" s="3">
        <f>-(N70_DESARROLLO!AU76/0.014285714)*LN(N70_DESARROLLO!AU76/N70_DESARROLLO!AT76)-1</f>
        <v>-1.9109819273391393E-2</v>
      </c>
      <c r="AW161" s="3">
        <f>-(N70_DESARROLLO!AV76/0.014285714)*LN(N70_DESARROLLO!AV76/N70_DESARROLLO!AU76)-1</f>
        <v>-1.9869282361759777E-2</v>
      </c>
      <c r="AX161" s="3">
        <f>-(N70_DESARROLLO!AW76/0.014285714)*LN(N70_DESARROLLO!AW76/N70_DESARROLLO!AV76)-1</f>
        <v>-2.0691615000488106E-2</v>
      </c>
      <c r="AY161" s="3">
        <f>-(N70_DESARROLLO!AX76/0.014285714)*LN(N70_DESARROLLO!AX76/N70_DESARROLLO!AW76)-1</f>
        <v>-2.1584961787571522E-2</v>
      </c>
      <c r="AZ161" s="3">
        <f>-(N70_DESARROLLO!AY76/0.014285714)*LN(N70_DESARROLLO!AY76/N70_DESARROLLO!AX76)-1</f>
        <v>-2.2558937800899459E-2</v>
      </c>
      <c r="BA161" s="3">
        <f>-(N70_DESARROLLO!AZ76/0.014285714)*LN(N70_DESARROLLO!AZ76/N70_DESARROLLO!AY76)-1</f>
        <v>-2.3624976192775815E-2</v>
      </c>
      <c r="BB161" s="3">
        <f>-(N70_DESARROLLO!BA76/0.014285714)*LN(N70_DESARROLLO!BA76/N70_DESARROLLO!AZ76)-1</f>
        <v>-2.4796779290042426E-2</v>
      </c>
      <c r="BC161" s="3">
        <f>-(N70_DESARROLLO!BB76/0.014285714)*LN(N70_DESARROLLO!BB76/N70_DESARROLLO!BA76)-1</f>
        <v>-2.6090911041506626E-2</v>
      </c>
      <c r="BD161" s="3">
        <f>-(N70_DESARROLLO!BC76/0.014285714)*LN(N70_DESARROLLO!BC76/N70_DESARROLLO!BB76)-1</f>
        <v>-2.7527585341367344E-2</v>
      </c>
      <c r="BE161" s="3">
        <f>-(N70_DESARROLLO!BD76/0.014285714)*LN(N70_DESARROLLO!BD76/N70_DESARROLLO!BC76)-1</f>
        <v>-2.9131730204228767E-2</v>
      </c>
      <c r="BF161" s="3">
        <f>-(N70_DESARROLLO!BE76/0.014285714)*LN(N70_DESARROLLO!BE76/N70_DESARROLLO!BD76)-1</f>
        <v>-3.0934447408014765E-2</v>
      </c>
      <c r="BG161" s="3">
        <f>-(N70_DESARROLLO!BF76/0.014285714)*LN(N70_DESARROLLO!BF76/N70_DESARROLLO!BE76)-1</f>
        <v>-3.2975050428749819E-2</v>
      </c>
      <c r="BH161" s="3">
        <f>-(N70_DESARROLLO!BG76/0.014285714)*LN(N70_DESARROLLO!BG76/N70_DESARROLLO!BF76)-1</f>
        <v>-3.5303966947125343E-2</v>
      </c>
      <c r="BI161" s="3">
        <f>-(N70_DESARROLLO!BH76/0.014285714)*LN(N70_DESARROLLO!BH76/N70_DESARROLLO!BG76)-1</f>
        <v>-3.7986966558138158E-2</v>
      </c>
      <c r="BJ161" s="3">
        <f>-(N70_DESARROLLO!BI76/0.014285714)*LN(N70_DESARROLLO!BI76/N70_DESARROLLO!BH76)-1</f>
        <v>-4.1111478023138859E-2</v>
      </c>
      <c r="BK161" s="3">
        <f>-(N70_DESARROLLO!BJ76/0.014285714)*LN(N70_DESARROLLO!BJ76/N70_DESARROLLO!BI76)-1</f>
        <v>-4.4796309735798956E-2</v>
      </c>
      <c r="BL161" s="3">
        <f>-(N70_DESARROLLO!BK76/0.014285714)*LN(N70_DESARROLLO!BK76/N70_DESARROLLO!BJ76)-1</f>
        <v>-4.9207124692804083E-2</v>
      </c>
      <c r="BM161" s="3">
        <f>-(N70_DESARROLLO!BL76/0.014285714)*LN(N70_DESARROLLO!BL76/N70_DESARROLLO!BK76)-1</f>
        <v>-5.4582082654737407E-2</v>
      </c>
      <c r="BN161" s="3">
        <f>-(N70_DESARROLLO!BM76/0.014285714)*LN(N70_DESARROLLO!BM76/N70_DESARROLLO!BL76)-1</f>
        <v>-6.1276409070479487E-2</v>
      </c>
      <c r="BO161" s="3">
        <f>-(N70_DESARROLLO!BN76/0.014285714)*LN(N70_DESARROLLO!BN76/N70_DESARROLLO!BM76)-1</f>
        <v>-6.9844497732515998E-2</v>
      </c>
      <c r="BP161" s="3">
        <f>-(N70_DESARROLLO!BO76/0.014285714)*LN(N70_DESARROLLO!BO76/N70_DESARROLLO!BN76)-1</f>
        <v>-8.1202515976632528E-2</v>
      </c>
      <c r="BQ161" s="3">
        <f>-(N70_DESARROLLO!BP76/0.014285714)*LN(N70_DESARROLLO!BP76/N70_DESARROLLO!BO76)-1</f>
        <v>-9.6981852359959708E-2</v>
      </c>
      <c r="BR161" s="3">
        <f>-(N70_DESARROLLO!BQ76/0.014285714)*LN(N70_DESARROLLO!BQ76/N70_DESARROLLO!BP76)-1</f>
        <v>-0.1203994834248151</v>
      </c>
      <c r="BS161" s="3">
        <f>-(N70_DESARROLLO!BR76/0.014285714)*LN(N70_DESARROLLO!BR76/N70_DESARROLLO!BQ76)-1</f>
        <v>-0.15881939162335823</v>
      </c>
      <c r="BT161" s="3">
        <f>-(N70_DESARROLLO!BS76/0.014285714)*LN(N70_DESARROLLO!BS76/N70_DESARROLLO!BR76)-1</f>
        <v>-0.23376154902624657</v>
      </c>
      <c r="BU161" s="3">
        <f>-(N70_DESARROLLO!BT76/0.014285714)*LN(N70_DESARROLLO!BT76/N70_DESARROLLO!BS76)-1</f>
        <v>-0.45069384467982143</v>
      </c>
      <c r="BV161" s="3">
        <v>-1</v>
      </c>
      <c r="BW161" s="3">
        <f>-(N70_DESARROLLO!BV76/0.014285714)*LN(N70_DESARROLLO!BV76/N70_DESARROLLO!BU76)-1</f>
        <v>0.64791846596054437</v>
      </c>
      <c r="BX161" s="3">
        <f>-(N70_DESARROLLO!BW76/0.014285714)*LN(N70_DESARROLLO!BW76/N70_DESARROLLO!BV76)-1</f>
        <v>0.2770640849562529</v>
      </c>
      <c r="BY161" s="3">
        <f>-(N70_DESARROLLO!BX76/0.014285714)*LN(N70_DESARROLLO!BX76/N70_DESARROLLO!BW76)-1</f>
        <v>232.25432037735072</v>
      </c>
      <c r="CD161">
        <v>67</v>
      </c>
      <c r="CE161" s="1">
        <v>0</v>
      </c>
      <c r="CF161" s="1">
        <f>(1+(N70_DESARROLLO!F76/0.014285714)*LN(N70_DESARROLLO!G76/N70_DESARROLLO!F76))</f>
        <v>-7.5950540219487106E-3</v>
      </c>
      <c r="CG161" s="1">
        <f>(1+(N70_DESARROLLO!G76/0.014285714)*LN(N70_DESARROLLO!H76/N70_DESARROLLO!G76))</f>
        <v>-7.7122041401485042E-3</v>
      </c>
      <c r="CH161" s="1">
        <f>(1+(N70_DESARROLLO!H76/0.014285714)*LN(N70_DESARROLLO!I76/N70_DESARROLLO!H76))</f>
        <v>-7.8330249053693013E-3</v>
      </c>
      <c r="CI161" s="1">
        <f>(1+(N70_DESARROLLO!I76/0.014285714)*LN(N70_DESARROLLO!J76/N70_DESARROLLO!I76))</f>
        <v>-7.9576915835837259E-3</v>
      </c>
      <c r="CJ161" s="1">
        <f>(1+(N70_DESARROLLO!J76/0.014285714)*LN(N70_DESARROLLO!K76/N70_DESARROLLO!J76))</f>
        <v>-8.0863907794483936E-3</v>
      </c>
      <c r="CK161" s="1">
        <f>(1+(N70_DESARROLLO!K76/0.014285714)*LN(N70_DESARROLLO!L76/N70_DESARROLLO!K76))</f>
        <v>-8.2193213684909061E-3</v>
      </c>
      <c r="CL161" s="1">
        <f>(1+(N70_DESARROLLO!L76/0.014285714)*LN(N70_DESARROLLO!M76/N70_DESARROLLO!L76))</f>
        <v>-8.356695522438562E-3</v>
      </c>
      <c r="CM161" s="1">
        <f>(1+(N70_DESARROLLO!M76/0.014285714)*LN(N70_DESARROLLO!N76/N70_DESARROLLO!M76))</f>
        <v>-8.4987398394873459E-3</v>
      </c>
      <c r="CN161" s="1">
        <f>(1+(N70_DESARROLLO!N76/0.014285714)*LN(N70_DESARROLLO!O76/N70_DESARROLLO!N76))</f>
        <v>-8.6456965915144846E-3</v>
      </c>
      <c r="CO161" s="1">
        <f>(1+(N70_DESARROLLO!O76/0.014285714)*LN(N70_DESARROLLO!P76/N70_DESARROLLO!O76))</f>
        <v>-8.7978251032465593E-3</v>
      </c>
      <c r="CP161" s="1">
        <f>(1+(N70_DESARROLLO!P76/0.014285714)*LN(N70_DESARROLLO!Q76/N70_DESARROLLO!P76))</f>
        <v>-8.9554032794731953E-3</v>
      </c>
      <c r="CQ161" s="1">
        <f>(1+(N70_DESARROLLO!Q76/0.014285714)*LN(N70_DESARROLLO!R76/N70_DESARROLLO!Q76))</f>
        <v>-9.1187292994459046E-3</v>
      </c>
      <c r="CR161" s="1">
        <f>(1+(N70_DESARROLLO!R76/0.014285714)*LN(N70_DESARROLLO!S76/N70_DESARROLLO!R76))</f>
        <v>-9.2881235002015838E-3</v>
      </c>
      <c r="CS161" s="1">
        <f>(1+(N70_DESARROLLO!S76/0.014285714)*LN(N70_DESARROLLO!T76/N70_DESARROLLO!S76))</f>
        <v>-9.463930473752491E-3</v>
      </c>
      <c r="CT161" s="1">
        <f>(1+(N70_DESARROLLO!T76/0.014285714)*LN(N70_DESARROLLO!U76/N70_DESARROLLO!T76))</f>
        <v>-9.6465214070318162E-3</v>
      </c>
      <c r="CU161" s="1">
        <f>(1+(N70_DESARROLLO!U76/0.014285714)*LN(N70_DESARROLLO!V76/N70_DESARROLLO!U76))</f>
        <v>-9.8362966981000444E-3</v>
      </c>
      <c r="CV161" s="1">
        <f>(1+(N70_DESARROLLO!V76/0.014285714)*LN(N70_DESARROLLO!W76/N70_DESARROLLO!V76))</f>
        <v>-1.0033688887491232E-2</v>
      </c>
      <c r="CW161" s="1">
        <f>(1+(N70_DESARROLLO!W76/0.014285714)*LN(N70_DESARROLLO!X76/N70_DESARROLLO!W76))</f>
        <v>-1.0239165949530449E-2</v>
      </c>
      <c r="CX161" s="1">
        <f>(1+(N70_DESARROLLO!X76/0.014285714)*LN(N70_DESARROLLO!Y76/N70_DESARROLLO!X76))</f>
        <v>-1.0453234996897542E-2</v>
      </c>
      <c r="CY161" s="1">
        <f>(1+(N70_DESARROLLO!Y76/0.014285714)*LN(N70_DESARROLLO!Z76/N70_DESARROLLO!Y76))</f>
        <v>-1.0676446459564781E-2</v>
      </c>
      <c r="CZ161" s="1">
        <f>(1+(N70_DESARROLLO!Z76/0.014285714)*LN(N70_DESARROLLO!AA76/N70_DESARROLLO!Z76))</f>
        <v>-1.0909398811066451E-2</v>
      </c>
      <c r="DA161" s="1">
        <f>(1+(N70_DESARROLLO!AA76/0.014285714)*LN(N70_DESARROLLO!AB76/N70_DESARROLLO!AA76))</f>
        <v>-1.1152743927365316E-2</v>
      </c>
      <c r="DB161" s="1">
        <f>(1+(N70_DESARROLLO!AB76/0.014285714)*LN(N70_DESARROLLO!AC76/N70_DESARROLLO!AB76))</f>
        <v>-1.1407193179388653E-2</v>
      </c>
      <c r="DC161" s="1">
        <f>(1+(N70_DESARROLLO!AC76/0.014285714)*LN(N70_DESARROLLO!AD76/N70_DESARROLLO!AC76))</f>
        <v>-1.1673524379100408E-2</v>
      </c>
      <c r="DD161" s="1">
        <f>(1+(N70_DESARROLLO!AD76/0.014285714)*LN(N70_DESARROLLO!AE76/N70_DESARROLLO!AD76))</f>
        <v>-1.1952589722095341E-2</v>
      </c>
      <c r="DE161" s="1">
        <f>(1+(N70_DESARROLLO!AE76/0.014285714)*LN(N70_DESARROLLO!AF76/N70_DESARROLLO!AE76))</f>
        <v>-1.2245324897510068E-2</v>
      </c>
      <c r="DF161" s="1">
        <f>(1+(N70_DESARROLLO!AF76/0.014285714)*LN(N70_DESARROLLO!AG76/N70_DESARROLLO!AF76))</f>
        <v>-1.2552759570449767E-2</v>
      </c>
      <c r="DG161" s="1">
        <f>(1+(N70_DESARROLLO!AG76/0.014285714)*LN(N70_DESARROLLO!AH76/N70_DESARROLLO!AG76))</f>
        <v>-1.2876029484353957E-2</v>
      </c>
      <c r="DH161" s="1">
        <f>(1+(N70_DESARROLLO!AH76/0.014285714)*LN(N70_DESARROLLO!AI76/N70_DESARROLLO!AH76))</f>
        <v>-1.3216390483208995E-2</v>
      </c>
      <c r="DI161" s="1">
        <f>(1+(N70_DESARROLLO!AI76/0.014285714)*LN(N70_DESARROLLO!AJ76/N70_DESARROLLO!AI76))</f>
        <v>-1.3575234818481219E-2</v>
      </c>
      <c r="DJ161" s="1">
        <f>(1+(N70_DESARROLLO!AJ76/0.014285714)*LN(N70_DESARROLLO!AK76/N70_DESARROLLO!AJ76))</f>
        <v>-1.3954110187341273E-2</v>
      </c>
      <c r="DK161" s="1">
        <f>(1+(N70_DESARROLLO!AK76/0.014285714)*LN(N70_DESARROLLO!AL76/N70_DESARROLLO!AK76))</f>
        <v>-1.4354742051083003E-2</v>
      </c>
      <c r="DL161" s="1">
        <f>(1+(N70_DESARROLLO!AL76/0.014285714)*LN(N70_DESARROLLO!AM76/N70_DESARROLLO!AL76))</f>
        <v>-1.4779059912701564E-2</v>
      </c>
      <c r="DM161" s="1">
        <f>(1+(N70_DESARROLLO!AM76/0.014285714)*LN(N70_DESARROLLO!AN76/N70_DESARROLLO!AM76))</f>
        <v>-1.5229228398103478E-2</v>
      </c>
      <c r="DN161" s="1">
        <f>(1+(N70_DESARROLLO!AN76/0.014285714)*LN(N70_DESARROLLO!AO76/N70_DESARROLLO!AN76))</f>
        <v>-1.5707684197547422E-2</v>
      </c>
      <c r="DO161" s="1">
        <f>(1+(N70_DESARROLLO!AO76/0.014285714)*LN(N70_DESARROLLO!AP76/N70_DESARROLLO!AO76))</f>
        <v>-1.6217180198315306E-2</v>
      </c>
      <c r="DP161" s="1">
        <f>(1+(N70_DESARROLLO!AP76/0.014285714)*LN(N70_DESARROLLO!AQ76/N70_DESARROLLO!AP76))</f>
        <v>-1.6760838496771235E-2</v>
      </c>
      <c r="DQ161" s="1">
        <f>(1+(N70_DESARROLLO!AQ76/0.014285714)*LN(N70_DESARROLLO!AR76/N70_DESARROLLO!AQ76))</f>
        <v>-1.7342214446335769E-2</v>
      </c>
      <c r="DR161" s="1">
        <f>(1+(N70_DESARROLLO!AR76/0.014285714)*LN(N70_DESARROLLO!AS76/N70_DESARROLLO!AR76))</f>
        <v>-1.7965374518568833E-2</v>
      </c>
      <c r="DS161" s="1">
        <f>(1+(N70_DESARROLLO!AS76/0.014285714)*LN(N70_DESARROLLO!AT76/N70_DESARROLLO!AS76))</f>
        <v>-1.8634991582296534E-2</v>
      </c>
      <c r="DT161" s="1">
        <f>(1+(N70_DESARROLLO!AT76/0.014285714)*LN(N70_DESARROLLO!AU76/N70_DESARROLLO!AT76))</f>
        <v>-1.9356462323730783E-2</v>
      </c>
      <c r="DU161" s="1">
        <f>(1+(N70_DESARROLLO!AU76/0.014285714)*LN(N70_DESARROLLO!AV76/N70_DESARROLLO!AU76))</f>
        <v>-2.0136053052045799E-2</v>
      </c>
      <c r="DV161" s="1">
        <f>(1+(N70_DESARROLLO!AV76/0.014285714)*LN(N70_DESARROLLO!AW76/N70_DESARROLLO!AV76))</f>
        <v>-2.0981082233533677E-2</v>
      </c>
      <c r="DW161" s="1">
        <f>(1+(N70_DESARROLLO!AW76/0.014285714)*LN(N70_DESARROLLO!AX76/N70_DESARROLLO!AW76))</f>
        <v>-2.1900151021869707E-2</v>
      </c>
      <c r="DX161" s="1">
        <f>(1+(N70_DESARROLLO!AX76/0.014285714)*LN(N70_DESARROLLO!AY76/N70_DESARROLLO!AX76))</f>
        <v>-2.2903437185105124E-2</v>
      </c>
      <c r="DY161" s="1">
        <f>(1+(N70_DESARROLLO!AY76/0.014285714)*LN(N70_DESARROLLO!AZ76/N70_DESARROLLO!AY76))</f>
        <v>-2.4003073749040205E-2</v>
      </c>
      <c r="DZ161" s="1">
        <f>(1+(N70_DESARROLLO!AZ76/0.014285714)*LN(N70_DESARROLLO!BA76/N70_DESARROLLO!AZ76))</f>
        <v>-2.5213642284827031E-2</v>
      </c>
      <c r="EA161" s="1">
        <f>(1+(N70_DESARROLLO!BA76/0.014285714)*LN(N70_DESARROLLO!BB76/N70_DESARROLLO!BA76))</f>
        <v>-2.6552823496790445E-2</v>
      </c>
      <c r="EB161" s="1">
        <f>(1+(N70_DESARROLLO!BB76/0.014285714)*LN(N70_DESARROLLO!BC76/N70_DESARROLLO!BB76))</f>
        <v>-2.8042266924840131E-2</v>
      </c>
      <c r="EC161" s="1">
        <f>(1+(N70_DESARROLLO!BC76/0.014285714)*LN(N70_DESARROLLO!BD76/N70_DESARROLLO!BC76))</f>
        <v>-2.9708770995515277E-2</v>
      </c>
      <c r="ED161" s="1">
        <f>(1+(N70_DESARROLLO!BD76/0.014285714)*LN(N70_DESARROLLO!BE76/N70_DESARROLLO!BD76))</f>
        <v>-3.1585910823725971E-2</v>
      </c>
      <c r="EE161" s="1">
        <f>(1+(N70_DESARROLLO!BE76/0.014285714)*LN(N70_DESARROLLO!BF76/N70_DESARROLLO!BE76))</f>
        <v>-3.3716325403750469E-2</v>
      </c>
      <c r="EF161" s="1">
        <f>(1+(N70_DESARROLLO!BF76/0.014285714)*LN(N70_DESARROLLO!BG76/N70_DESARROLLO!BF76))</f>
        <v>-3.6154998464198451E-2</v>
      </c>
      <c r="EG161" s="1">
        <f>(1+(N70_DESARROLLO!BG76/0.014285714)*LN(N70_DESARROLLO!BH76/N70_DESARROLLO!BG76))</f>
        <v>-3.8974076117210377E-2</v>
      </c>
      <c r="EH161" s="1">
        <f>(1+(N70_DESARROLLO!BH76/0.014285714)*LN(N70_DESARROLLO!BI76/N70_DESARROLLO!BH76))</f>
        <v>-4.2270132583545061E-2</v>
      </c>
      <c r="EI161" s="1">
        <f>(1+(N70_DESARROLLO!BI76/0.014285714)*LN(N70_DESARROLLO!BJ76/N70_DESARROLLO!BI76))</f>
        <v>-4.6175470289362641E-2</v>
      </c>
      <c r="EJ161" s="1">
        <f>(1+(N70_DESARROLLO!BJ76/0.014285714)*LN(N70_DESARROLLO!BK76/N70_DESARROLLO!BJ76))</f>
        <v>-5.087633586584861E-2</v>
      </c>
      <c r="EK161" s="1">
        <f>(1+(N70_DESARROLLO!BK76/0.014285714)*LN(N70_DESARROLLO!BL76/N70_DESARROLLO!BK76))</f>
        <v>-5.664355467999882E-2</v>
      </c>
      <c r="EL161" s="1">
        <f>(1+(N70_DESARROLLO!BL76/0.014285714)*LN(N70_DESARROLLO!BM76/N70_DESARROLLO!BL76))</f>
        <v>-6.3886736386790544E-2</v>
      </c>
      <c r="EM161" s="1">
        <f>(1+(N70_DESARROLLO!BM76/0.014285714)*LN(N70_DESARROLLO!BN76/N70_DESARROLLO!BM76))</f>
        <v>-7.3256348770173396E-2</v>
      </c>
      <c r="EN161" s="1">
        <f>(1+(N70_DESARROLLO!BN76/0.014285714)*LN(N70_DESARROLLO!BO76/N70_DESARROLLO!BN76))</f>
        <v>-8.5851572027616951E-2</v>
      </c>
      <c r="EO161" s="1">
        <f>(1+(N70_DESARROLLO!BO76/0.014285714)*LN(N70_DESARROLLO!BP76/N70_DESARROLLO!BO76))</f>
        <v>-0.10368884711560411</v>
      </c>
      <c r="EP161" s="1">
        <f>(1+(N70_DESARROLLO!BP76/0.014285714)*LN(N70_DESARROLLO!BQ76/N70_DESARROLLO!BP76))</f>
        <v>-0.13091494988238184</v>
      </c>
      <c r="EQ161" s="1">
        <f>(1+(N70_DESARROLLO!BQ76/0.014285714)*LN(N70_DESARROLLO!BR76/N70_DESARROLLO!BQ76))</f>
        <v>-0.17765285172729728</v>
      </c>
      <c r="ER161" s="1">
        <f>(1+(N70_DESARROLLO!BR76/0.014285714)*LN(N70_DESARROLLO!BS76/N70_DESARROLLO!BR76))</f>
        <v>-0.27706408495625312</v>
      </c>
      <c r="ES161" s="1">
        <f>(1+(N70_DESARROLLO!BS76/0.014285714)*LN(N70_DESARROLLO!BT76/N70_DESARROLLO!BS76))</f>
        <v>-0.64791846596054437</v>
      </c>
      <c r="ET161" s="1">
        <v>1</v>
      </c>
      <c r="EU161" s="1">
        <f>(1+(N70_DESARROLLO!BU76/0.014285714)*LN(N70_DESARROLLO!BV76/N70_DESARROLLO!BU76))</f>
        <v>0.45069384467982143</v>
      </c>
      <c r="EV161" s="1">
        <f>(1+(N70_DESARROLLO!BV76/0.014285714)*LN(N70_DESARROLLO!BW76/N70_DESARROLLO!BV76))</f>
        <v>0.2337615490262468</v>
      </c>
      <c r="EW161" s="1">
        <f>(1+(N70_DESARROLLO!BW76/0.014285714)*LN(N70_DESARROLLO!BX76/N70_DESARROLLO!BW76))</f>
        <v>-7.3305114420482358</v>
      </c>
    </row>
    <row r="162" spans="7:153" x14ac:dyDescent="0.25">
      <c r="G162" s="3">
        <v>68</v>
      </c>
      <c r="H162" s="3">
        <f>-(N70_DESARROLLO!G77/0.014285714)*LN(N70_DESARROLLO!G77/N70_DESARROLLO!F77)-1</f>
        <v>-7.4442407399578636E-3</v>
      </c>
      <c r="I162" s="3">
        <f>-(N70_DESARROLLO!H77/0.014285714)*LN(N70_DESARROLLO!H77/N70_DESARROLLO!G77)-1</f>
        <v>-7.5567513016823185E-3</v>
      </c>
      <c r="J162" s="3">
        <f>-(N70_DESARROLLO!I77/0.014285714)*LN(N70_DESARROLLO!I77/N70_DESARROLLO!H77)-1</f>
        <v>-7.6727150070365902E-3</v>
      </c>
      <c r="K162" s="3">
        <f>-(N70_DESARROLLO!J77/0.014285714)*LN(N70_DESARROLLO!J77/N70_DESARROLLO!I77)-1</f>
        <v>-7.7922933102106962E-3</v>
      </c>
      <c r="L162" s="3">
        <f>-(N70_DESARROLLO!K77/0.014285714)*LN(N70_DESARROLLO!K77/N70_DESARROLLO!J77)-1</f>
        <v>-7.9156578901805608E-3</v>
      </c>
      <c r="M162" s="3">
        <f>-(N70_DESARROLLO!L77/0.014285714)*LN(N70_DESARROLLO!L77/N70_DESARROLLO!K77)-1</f>
        <v>-8.0429914730159036E-3</v>
      </c>
      <c r="N162" s="3">
        <f>-(N70_DESARROLLO!M77/0.014285714)*LN(N70_DESARROLLO!M77/N70_DESARROLLO!L77)-1</f>
        <v>-8.1744887350686524E-3</v>
      </c>
      <c r="O162" s="3">
        <f>-(N70_DESARROLLO!N77/0.014285714)*LN(N70_DESARROLLO!N77/N70_DESARROLLO!M77)-1</f>
        <v>-8.3103572961075178E-3</v>
      </c>
      <c r="P162" s="3">
        <f>-(N70_DESARROLLO!O77/0.014285714)*LN(N70_DESARROLLO!O77/N70_DESARROLLO!N77)-1</f>
        <v>-8.4508188132839113E-3</v>
      </c>
      <c r="Q162" s="3">
        <f>-(N70_DESARROLLO!P77/0.014285714)*LN(N70_DESARROLLO!P77/N70_DESARROLLO!O77)-1</f>
        <v>-8.596110187827688E-3</v>
      </c>
      <c r="R162" s="3">
        <f>-(N70_DESARROLLO!Q77/0.014285714)*LN(N70_DESARROLLO!Q77/N70_DESARROLLO!P77)-1</f>
        <v>-8.7464848985361332E-3</v>
      </c>
      <c r="S162" s="3">
        <f>-(N70_DESARROLLO!R77/0.014285714)*LN(N70_DESARROLLO!R77/N70_DESARROLLO!Q77)-1</f>
        <v>-8.9022144776857992E-3</v>
      </c>
      <c r="T162" s="3">
        <f>-(N70_DESARROLLO!S77/0.014285714)*LN(N70_DESARROLLO!S77/N70_DESARROLLO!R77)-1</f>
        <v>-9.0635901473972158E-3</v>
      </c>
      <c r="U162" s="3">
        <f>-(N70_DESARROLLO!T77/0.014285714)*LN(N70_DESARROLLO!T77/N70_DESARROLLO!S77)-1</f>
        <v>-9.2309246374168152E-3</v>
      </c>
      <c r="V162" s="3">
        <f>-(N70_DESARROLLO!U77/0.014285714)*LN(N70_DESARROLLO!U77/N70_DESARROLLO!T77)-1</f>
        <v>-9.4045542079881361E-3</v>
      </c>
      <c r="W162" s="3">
        <f>-(N70_DESARROLLO!V77/0.014285714)*LN(N70_DESARROLLO!V77/N70_DESARROLLO!U77)-1</f>
        <v>-9.584840905488945E-3</v>
      </c>
      <c r="X162" s="3">
        <f>-(N70_DESARROLLO!W77/0.014285714)*LN(N70_DESARROLLO!W77/N70_DESARROLLO!V77)-1</f>
        <v>-9.7721750824342202E-3</v>
      </c>
      <c r="Y162" s="3">
        <f>-(N70_DESARROLLO!X77/0.014285714)*LN(N70_DESARROLLO!X77/N70_DESARROLLO!W77)-1</f>
        <v>-9.9669782192028933E-3</v>
      </c>
      <c r="Z162" s="3">
        <f>-(N70_DESARROLLO!Y77/0.014285714)*LN(N70_DESARROLLO!Y77/N70_DESARROLLO!X77)-1</f>
        <v>-1.0169706089854125E-2</v>
      </c>
      <c r="AA162" s="3">
        <f>-(N70_DESARROLLO!Z77/0.014285714)*LN(N70_DESARROLLO!Z77/N70_DESARROLLO!Y77)-1</f>
        <v>-1.0380852322620981E-2</v>
      </c>
      <c r="AB162" s="3">
        <f>-(N70_DESARROLLO!AA77/0.014285714)*LN(N70_DESARROLLO!AA77/N70_DESARROLLO!Z77)-1</f>
        <v>-1.0600952413268305E-2</v>
      </c>
      <c r="AC162" s="3">
        <f>-(N70_DESARROLLO!AB77/0.014285714)*LN(N70_DESARROLLO!AB77/N70_DESARROLLO!AA77)-1</f>
        <v>-1.0830588260144602E-2</v>
      </c>
      <c r="AD162" s="3">
        <f>-(N70_DESARROLLO!AC77/0.014285714)*LN(N70_DESARROLLO!AC77/N70_DESARROLLO!AB77)-1</f>
        <v>-1.1070393301807369E-2</v>
      </c>
      <c r="AE162" s="3">
        <f>-(N70_DESARROLLO!AD77/0.014285714)*LN(N70_DESARROLLO!AD77/N70_DESARROLLO!AC77)-1</f>
        <v>-1.1321058352727786E-2</v>
      </c>
      <c r="AF162" s="3">
        <f>-(N70_DESARROLLO!AE77/0.014285714)*LN(N70_DESARROLLO!AE77/N70_DESARROLLO!AD77)-1</f>
        <v>-1.1583338250304664E-2</v>
      </c>
      <c r="AG162" s="3">
        <f>-(N70_DESARROLLO!AF77/0.014285714)*LN(N70_DESARROLLO!AF77/N70_DESARROLLO!AE77)-1</f>
        <v>-1.1858059447845681E-2</v>
      </c>
      <c r="AH162" s="3">
        <f>-(N70_DESARROLLO!AG77/0.014285714)*LN(N70_DESARROLLO!AG77/N70_DESARROLLO!AF77)-1</f>
        <v>-1.2146128714478177E-2</v>
      </c>
      <c r="AI162" s="3">
        <f>-(N70_DESARROLLO!AH77/0.014285714)*LN(N70_DESARROLLO!AH77/N70_DESARROLLO!AG77)-1</f>
        <v>-1.2448543134993217E-2</v>
      </c>
      <c r="AJ162" s="3">
        <f>-(N70_DESARROLLO!AI77/0.014285714)*LN(N70_DESARROLLO!AI77/N70_DESARROLLO!AH77)-1</f>
        <v>-1.2766401641823411E-2</v>
      </c>
      <c r="AK162" s="3">
        <f>-(N70_DESARROLLO!AJ77/0.014285714)*LN(N70_DESARROLLO!AJ77/N70_DESARROLLO!AI77)-1</f>
        <v>-1.3100918360511193E-2</v>
      </c>
      <c r="AL162" s="3">
        <f>-(N70_DESARROLLO!AK77/0.014285714)*LN(N70_DESARROLLO!AK77/N70_DESARROLLO!AJ77)-1</f>
        <v>-1.345343811001587E-2</v>
      </c>
      <c r="AM162" s="3">
        <f>-(N70_DESARROLLO!AL77/0.014285714)*LN(N70_DESARROLLO!AL77/N70_DESARROLLO!AK77)-1</f>
        <v>-1.3825454475325571E-2</v>
      </c>
      <c r="AN162" s="3">
        <f>-(N70_DESARROLLO!AM77/0.014285714)*LN(N70_DESARROLLO!AM77/N70_DESARROLLO!AL77)-1</f>
        <v>-1.4218630964436874E-2</v>
      </c>
      <c r="AO162" s="3">
        <f>-(N70_DESARROLLO!AN77/0.014285714)*LN(N70_DESARROLLO!AN77/N70_DESARROLLO!AM77)-1</f>
        <v>-1.4634825881869817E-2</v>
      </c>
      <c r="AP162" s="3">
        <f>-(N70_DESARROLLO!AO77/0.014285714)*LN(N70_DESARROLLO!AO77/N70_DESARROLLO!AN77)-1</f>
        <v>-1.5076121703332723E-2</v>
      </c>
      <c r="AQ162" s="3">
        <f>-(N70_DESARROLLO!AP77/0.014285714)*LN(N70_DESARROLLO!AP77/N70_DESARROLLO!AO77)-1</f>
        <v>-1.5544859931611588E-2</v>
      </c>
      <c r="AR162" s="3">
        <f>-(N70_DESARROLLO!AQ77/0.014285714)*LN(N70_DESARROLLO!AQ77/N70_DESARROLLO!AP77)-1</f>
        <v>-1.6043682665116576E-2</v>
      </c>
      <c r="AS162" s="3">
        <f>-(N70_DESARROLLO!AR77/0.014285714)*LN(N70_DESARROLLO!AR77/N70_DESARROLLO!AQ77)-1</f>
        <v>-1.657558243755608E-2</v>
      </c>
      <c r="AT162" s="3">
        <f>-(N70_DESARROLLO!AS77/0.014285714)*LN(N70_DESARROLLO!AS77/N70_DESARROLLO!AR77)-1</f>
        <v>-1.7143962314550509E-2</v>
      </c>
      <c r="AU162" s="3">
        <f>-(N70_DESARROLLO!AT77/0.014285714)*LN(N70_DESARROLLO!AT77/N70_DESARROLLO!AS77)-1</f>
        <v>-1.7752708797878713E-2</v>
      </c>
      <c r="AV162" s="3">
        <f>-(N70_DESARROLLO!AU77/0.014285714)*LN(N70_DESARROLLO!AU77/N70_DESARROLLO!AT77)-1</f>
        <v>-1.8406280838871747E-2</v>
      </c>
      <c r="AW162" s="3">
        <f>-(N70_DESARROLLO!AV77/0.014285714)*LN(N70_DESARROLLO!AV77/N70_DESARROLLO!AU77)-1</f>
        <v>-1.9109819273400053E-2</v>
      </c>
      <c r="AX162" s="3">
        <f>-(N70_DESARROLLO!AW77/0.014285714)*LN(N70_DESARROLLO!AW77/N70_DESARROLLO!AV77)-1</f>
        <v>-1.9869282361759777E-2</v>
      </c>
      <c r="AY162" s="3">
        <f>-(N70_DESARROLLO!AX77/0.014285714)*LN(N70_DESARROLLO!AX77/N70_DESARROLLO!AW77)-1</f>
        <v>-2.0691615000480224E-2</v>
      </c>
      <c r="AZ162" s="3">
        <f>-(N70_DESARROLLO!AY77/0.014285714)*LN(N70_DESARROLLO!AY77/N70_DESARROLLO!AX77)-1</f>
        <v>-2.1584961787579404E-2</v>
      </c>
      <c r="BA162" s="3">
        <f>-(N70_DESARROLLO!AZ77/0.014285714)*LN(N70_DESARROLLO!AZ77/N70_DESARROLLO!AY77)-1</f>
        <v>-2.2558937800892354E-2</v>
      </c>
      <c r="BB162" s="3">
        <f>-(N70_DESARROLLO!BA77/0.014285714)*LN(N70_DESARROLLO!BA77/N70_DESARROLLO!AZ77)-1</f>
        <v>-2.362497619278292E-2</v>
      </c>
      <c r="BC162" s="3">
        <f>-(N70_DESARROLLO!BB77/0.014285714)*LN(N70_DESARROLLO!BB77/N70_DESARROLLO!BA77)-1</f>
        <v>-2.4796779290033655E-2</v>
      </c>
      <c r="BD162" s="3">
        <f>-(N70_DESARROLLO!BC77/0.014285714)*LN(N70_DESARROLLO!BC77/N70_DESARROLLO!BB77)-1</f>
        <v>-2.6090911041515175E-2</v>
      </c>
      <c r="BE162" s="3">
        <f>-(N70_DESARROLLO!BD77/0.014285714)*LN(N70_DESARROLLO!BD77/N70_DESARROLLO!BC77)-1</f>
        <v>-2.7527585341359573E-2</v>
      </c>
      <c r="BF162" s="3">
        <f>-(N70_DESARROLLO!BE77/0.014285714)*LN(N70_DESARROLLO!BE77/N70_DESARROLLO!BD77)-1</f>
        <v>-2.9131730204236539E-2</v>
      </c>
      <c r="BG162" s="3">
        <f>-(N70_DESARROLLO!BF77/0.014285714)*LN(N70_DESARROLLO!BF77/N70_DESARROLLO!BE77)-1</f>
        <v>-3.0934447408007992E-2</v>
      </c>
      <c r="BH162" s="3">
        <f>-(N70_DESARROLLO!BG77/0.014285714)*LN(N70_DESARROLLO!BG77/N70_DESARROLLO!BF77)-1</f>
        <v>-3.2975050428756925E-2</v>
      </c>
      <c r="BI162" s="3">
        <f>-(N70_DESARROLLO!BH77/0.014285714)*LN(N70_DESARROLLO!BH77/N70_DESARROLLO!BG77)-1</f>
        <v>-3.5303966947125343E-2</v>
      </c>
      <c r="BJ162" s="3">
        <f>-(N70_DESARROLLO!BI77/0.014285714)*LN(N70_DESARROLLO!BI77/N70_DESARROLLO!BH77)-1</f>
        <v>-3.7986966558131163E-2</v>
      </c>
      <c r="BK162" s="3">
        <f>-(N70_DESARROLLO!BJ77/0.014285714)*LN(N70_DESARROLLO!BJ77/N70_DESARROLLO!BI77)-1</f>
        <v>-4.1111478023145742E-2</v>
      </c>
      <c r="BL162" s="3">
        <f>-(N70_DESARROLLO!BK77/0.014285714)*LN(N70_DESARROLLO!BK77/N70_DESARROLLO!BJ77)-1</f>
        <v>-4.4796309735792073E-2</v>
      </c>
      <c r="BM162" s="3">
        <f>-(N70_DESARROLLO!BL77/0.014285714)*LN(N70_DESARROLLO!BL77/N70_DESARROLLO!BK77)-1</f>
        <v>-4.9207124692811077E-2</v>
      </c>
      <c r="BN162" s="3">
        <f>-(N70_DESARROLLO!BM77/0.014285714)*LN(N70_DESARROLLO!BM77/N70_DESARROLLO!BL77)-1</f>
        <v>-5.4582082654730968E-2</v>
      </c>
      <c r="BO162" s="3">
        <f>-(N70_DESARROLLO!BN77/0.014285714)*LN(N70_DESARROLLO!BN77/N70_DESARROLLO!BM77)-1</f>
        <v>-6.1276409070486149E-2</v>
      </c>
      <c r="BP162" s="3">
        <f>-(N70_DESARROLLO!BO77/0.014285714)*LN(N70_DESARROLLO!BO77/N70_DESARROLLO!BN77)-1</f>
        <v>-6.9844497732509558E-2</v>
      </c>
      <c r="BQ162" s="3">
        <f>-(N70_DESARROLLO!BP77/0.014285714)*LN(N70_DESARROLLO!BP77/N70_DESARROLLO!BO77)-1</f>
        <v>-8.1202515976638967E-2</v>
      </c>
      <c r="BR162" s="3">
        <f>-(N70_DESARROLLO!BQ77/0.014285714)*LN(N70_DESARROLLO!BQ77/N70_DESARROLLO!BP77)-1</f>
        <v>-9.6981852359953269E-2</v>
      </c>
      <c r="BS162" s="3">
        <f>-(N70_DESARROLLO!BR77/0.014285714)*LN(N70_DESARROLLO!BR77/N70_DESARROLLO!BQ77)-1</f>
        <v>-0.12039948342482121</v>
      </c>
      <c r="BT162" s="3">
        <f>-(N70_DESARROLLO!BS77/0.014285714)*LN(N70_DESARROLLO!BS77/N70_DESARROLLO!BR77)-1</f>
        <v>-0.15881939162335823</v>
      </c>
      <c r="BU162" s="3">
        <f>-(N70_DESARROLLO!BT77/0.014285714)*LN(N70_DESARROLLO!BT77/N70_DESARROLLO!BS77)-1</f>
        <v>-0.23376154902624291</v>
      </c>
      <c r="BV162" s="3">
        <f>-(N70_DESARROLLO!BU77/0.014285714)*LN(N70_DESARROLLO!BU77/N70_DESARROLLO!BT77)-1</f>
        <v>-0.45069384467982399</v>
      </c>
      <c r="BW162" s="3">
        <v>-1</v>
      </c>
      <c r="BX162" s="3">
        <f>-(N70_DESARROLLO!BW77/0.014285714)*LN(N70_DESARROLLO!BW77/N70_DESARROLLO!BV77)-1</f>
        <v>0.64791846596052105</v>
      </c>
      <c r="BY162" s="3">
        <f>-(N70_DESARROLLO!BX77/0.014285714)*LN(N70_DESARROLLO!BX77/N70_DESARROLLO!BW77)-1</f>
        <v>268.01211475612581</v>
      </c>
      <c r="CD162" s="1">
        <v>68</v>
      </c>
      <c r="CE162" s="1">
        <v>0</v>
      </c>
      <c r="CF162" s="1">
        <f>(1+(N70_DESARROLLO!F77/0.014285714)*LN(N70_DESARROLLO!G77/N70_DESARROLLO!F77))</f>
        <v>-7.4814097752304853E-3</v>
      </c>
      <c r="CG162" s="1">
        <f>(1+(N70_DESARROLLO!G77/0.014285714)*LN(N70_DESARROLLO!H77/N70_DESARROLLO!G77))</f>
        <v>-7.5950540219562601E-3</v>
      </c>
      <c r="CH162" s="1">
        <f>(1+(N70_DESARROLLO!H77/0.014285714)*LN(N70_DESARROLLO!I77/N70_DESARROLLO!H77))</f>
        <v>-7.7122041401409547E-3</v>
      </c>
      <c r="CI162" s="1">
        <f>(1+(N70_DESARROLLO!I77/0.014285714)*LN(N70_DESARROLLO!J77/N70_DESARROLLO!I77))</f>
        <v>-7.8330249053766288E-3</v>
      </c>
      <c r="CJ162" s="1">
        <f>(1+(N70_DESARROLLO!J77/0.014285714)*LN(N70_DESARROLLO!K77/N70_DESARROLLO!J77))</f>
        <v>-7.9576915835763984E-3</v>
      </c>
      <c r="CK162" s="1">
        <f>(1+(N70_DESARROLLO!K77/0.014285714)*LN(N70_DESARROLLO!L77/N70_DESARROLLO!K77))</f>
        <v>-8.086390779455499E-3</v>
      </c>
      <c r="CL162" s="1">
        <f>(1+(N70_DESARROLLO!L77/0.014285714)*LN(N70_DESARROLLO!M77/N70_DESARROLLO!L77))</f>
        <v>-8.2193213684838007E-3</v>
      </c>
      <c r="CM162" s="1">
        <f>(1+(N70_DESARROLLO!M77/0.014285714)*LN(N70_DESARROLLO!N77/N70_DESARROLLO!M77))</f>
        <v>-8.3566955224454453E-3</v>
      </c>
      <c r="CN162" s="1">
        <f>(1+(N70_DESARROLLO!N77/0.014285714)*LN(N70_DESARROLLO!O77/N70_DESARROLLO!N77))</f>
        <v>-8.4987398394802405E-3</v>
      </c>
      <c r="CO162" s="1">
        <f>(1+(N70_DESARROLLO!O77/0.014285714)*LN(N70_DESARROLLO!P77/N70_DESARROLLO!O77))</f>
        <v>-8.6456965915144846E-3</v>
      </c>
      <c r="CP162" s="1">
        <f>(1+(N70_DESARROLLO!P77/0.014285714)*LN(N70_DESARROLLO!Q77/N70_DESARROLLO!P77))</f>
        <v>-8.797825103259882E-3</v>
      </c>
      <c r="CQ162" s="1">
        <f>(1+(N70_DESARROLLO!Q77/0.014285714)*LN(N70_DESARROLLO!R77/N70_DESARROLLO!Q77))</f>
        <v>-8.9554032794729732E-3</v>
      </c>
      <c r="CR162" s="1">
        <f>(1+(N70_DESARROLLO!R77/0.014285714)*LN(N70_DESARROLLO!S77/N70_DESARROLLO!R77))</f>
        <v>-9.1187292994394653E-3</v>
      </c>
      <c r="CS162" s="1">
        <f>(1+(N70_DESARROLLO!S77/0.014285714)*LN(N70_DESARROLLO!T77/N70_DESARROLLO!S77))</f>
        <v>-9.2881235002015838E-3</v>
      </c>
      <c r="CT162" s="1">
        <f>(1+(N70_DESARROLLO!T77/0.014285714)*LN(N70_DESARROLLO!U77/N70_DESARROLLO!T77))</f>
        <v>-9.4639304737644814E-3</v>
      </c>
      <c r="CU162" s="1">
        <f>(1+(N70_DESARROLLO!U77/0.014285714)*LN(N70_DESARROLLO!V77/N70_DESARROLLO!U77))</f>
        <v>-9.6465214070258209E-3</v>
      </c>
      <c r="CV162" s="1">
        <f>(1+(N70_DESARROLLO!V77/0.014285714)*LN(N70_DESARROLLO!W77/N70_DESARROLLO!V77))</f>
        <v>-9.8362966981115907E-3</v>
      </c>
      <c r="CW162" s="1">
        <f>(1+(N70_DESARROLLO!W77/0.014285714)*LN(N70_DESARROLLO!X77/N70_DESARROLLO!W77))</f>
        <v>-1.0033688887479686E-2</v>
      </c>
      <c r="CX162" s="1">
        <f>(1+(N70_DESARROLLO!X77/0.014285714)*LN(N70_DESARROLLO!Y77/N70_DESARROLLO!X77))</f>
        <v>-1.0239165949530449E-2</v>
      </c>
      <c r="CY162" s="1">
        <f>(1+(N70_DESARROLLO!Y77/0.014285714)*LN(N70_DESARROLLO!Z77/N70_DESARROLLO!Y77))</f>
        <v>-1.0453234996902872E-2</v>
      </c>
      <c r="CZ162" s="1">
        <f>(1+(N70_DESARROLLO!Z77/0.014285714)*LN(N70_DESARROLLO!AA77/N70_DESARROLLO!Z77))</f>
        <v>-1.0676446459564781E-2</v>
      </c>
      <c r="DA162" s="1">
        <f>(1+(N70_DESARROLLO!AA77/0.014285714)*LN(N70_DESARROLLO!AB77/N70_DESARROLLO!AA77))</f>
        <v>-1.0909398811061122E-2</v>
      </c>
      <c r="DB162" s="1">
        <f>(1+(N70_DESARROLLO!AB77/0.014285714)*LN(N70_DESARROLLO!AC77/N70_DESARROLLO!AB77))</f>
        <v>-1.1152743927365316E-2</v>
      </c>
      <c r="DC162" s="1">
        <f>(1+(N70_DESARROLLO!AC77/0.014285714)*LN(N70_DESARROLLO!AD77/N70_DESARROLLO!AC77))</f>
        <v>-1.1407193179393538E-2</v>
      </c>
      <c r="DD162" s="1">
        <f>(1+(N70_DESARROLLO!AD77/0.014285714)*LN(N70_DESARROLLO!AE77/N70_DESARROLLO!AD77))</f>
        <v>-1.1673524379099964E-2</v>
      </c>
      <c r="DE162" s="1">
        <f>(1+(N70_DESARROLLO!AE77/0.014285714)*LN(N70_DESARROLLO!AF77/N70_DESARROLLO!AE77))</f>
        <v>-1.1952589722085571E-2</v>
      </c>
      <c r="DF162" s="1">
        <f>(1+(N70_DESARROLLO!AF77/0.014285714)*LN(N70_DESARROLLO!AG77/N70_DESARROLLO!AF77))</f>
        <v>-1.2245324897510068E-2</v>
      </c>
      <c r="DG162" s="1">
        <f>(1+(N70_DESARROLLO!AG77/0.014285714)*LN(N70_DESARROLLO!AH77/N70_DESARROLLO!AG77))</f>
        <v>-1.2552759570449767E-2</v>
      </c>
      <c r="DH162" s="1">
        <f>(1+(N70_DESARROLLO!AH77/0.014285714)*LN(N70_DESARROLLO!AI77/N70_DESARROLLO!AH77))</f>
        <v>-1.2876029484363061E-2</v>
      </c>
      <c r="DI162" s="1">
        <f>(1+(N70_DESARROLLO!AI77/0.014285714)*LN(N70_DESARROLLO!AJ77/N70_DESARROLLO!AI77))</f>
        <v>-1.3216390483208773E-2</v>
      </c>
      <c r="DJ162" s="1">
        <f>(1+(N70_DESARROLLO!AJ77/0.014285714)*LN(N70_DESARROLLO!AK77/N70_DESARROLLO!AJ77))</f>
        <v>-1.3575234818476556E-2</v>
      </c>
      <c r="DK162" s="1">
        <f>(1+(N70_DESARROLLO!AK77/0.014285714)*LN(N70_DESARROLLO!AL77/N70_DESARROLLO!AK77))</f>
        <v>-1.3954110187341273E-2</v>
      </c>
      <c r="DL162" s="1">
        <f>(1+(N70_DESARROLLO!AL77/0.014285714)*LN(N70_DESARROLLO!AM77/N70_DESARROLLO!AL77))</f>
        <v>-1.4354742051086999E-2</v>
      </c>
      <c r="DM162" s="1">
        <f>(1+(N70_DESARROLLO!AM77/0.014285714)*LN(N70_DESARROLLO!AN77/N70_DESARROLLO!AM77))</f>
        <v>-1.4779059912701342E-2</v>
      </c>
      <c r="DN162" s="1">
        <f>(1+(N70_DESARROLLO!AN77/0.014285714)*LN(N70_DESARROLLO!AO77/N70_DESARROLLO!AN77))</f>
        <v>-1.5229228398103256E-2</v>
      </c>
      <c r="DO162" s="1">
        <f>(1+(N70_DESARROLLO!AO77/0.014285714)*LN(N70_DESARROLLO!AP77/N70_DESARROLLO!AO77))</f>
        <v>-1.5707684197543426E-2</v>
      </c>
      <c r="DP162" s="1">
        <f>(1+(N70_DESARROLLO!AP77/0.014285714)*LN(N70_DESARROLLO!AQ77/N70_DESARROLLO!AP77))</f>
        <v>-1.6217180198322412E-2</v>
      </c>
      <c r="DQ162" s="1">
        <f>(1+(N70_DESARROLLO!AQ77/0.014285714)*LN(N70_DESARROLLO!AR77/N70_DESARROLLO!AQ77))</f>
        <v>-1.6760838496763908E-2</v>
      </c>
      <c r="DR162" s="1">
        <f>(1+(N70_DESARROLLO!AR77/0.014285714)*LN(N70_DESARROLLO!AS77/N70_DESARROLLO!AR77))</f>
        <v>-1.7342214446342652E-2</v>
      </c>
      <c r="DS162" s="1">
        <f>(1+(N70_DESARROLLO!AS77/0.014285714)*LN(N70_DESARROLLO!AT77/N70_DESARROLLO!AS77))</f>
        <v>-1.796537451856195E-2</v>
      </c>
      <c r="DT162" s="1">
        <f>(1+(N70_DESARROLLO!AT77/0.014285714)*LN(N70_DESARROLLO!AU77/N70_DESARROLLO!AT77))</f>
        <v>-1.8634991582302973E-2</v>
      </c>
      <c r="DU162" s="1">
        <f>(1+(N70_DESARROLLO!AU77/0.014285714)*LN(N70_DESARROLLO!AV77/N70_DESARROLLO!AU77))</f>
        <v>-1.9356462323721235E-2</v>
      </c>
      <c r="DV162" s="1">
        <f>(1+(N70_DESARROLLO!AV77/0.014285714)*LN(N70_DESARROLLO!AW77/N70_DESARROLLO!AV77))</f>
        <v>-2.0136053052045799E-2</v>
      </c>
      <c r="DW162" s="1">
        <f>(1+(N70_DESARROLLO!AW77/0.014285714)*LN(N70_DESARROLLO!AX77/N70_DESARROLLO!AW77))</f>
        <v>-2.0981082233542114E-2</v>
      </c>
      <c r="DX162" s="1">
        <f>(1+(N70_DESARROLLO!AX77/0.014285714)*LN(N70_DESARROLLO!AY77/N70_DESARROLLO!AX77))</f>
        <v>-2.1900151021861269E-2</v>
      </c>
      <c r="DY162" s="1">
        <f>(1+(N70_DESARROLLO!AY77/0.014285714)*LN(N70_DESARROLLO!AZ77/N70_DESARROLLO!AY77))</f>
        <v>-2.2903437185112896E-2</v>
      </c>
      <c r="DZ162" s="1">
        <f>(1+(N70_DESARROLLO!AZ77/0.014285714)*LN(N70_DESARROLLO!BA77/N70_DESARROLLO!AZ77))</f>
        <v>-2.4003073749032433E-2</v>
      </c>
      <c r="EA162" s="1">
        <f>(1+(N70_DESARROLLO!BA77/0.014285714)*LN(N70_DESARROLLO!BB77/N70_DESARROLLO!BA77))</f>
        <v>-2.5213642284836801E-2</v>
      </c>
      <c r="EB162" s="1">
        <f>(1+(N70_DESARROLLO!BB77/0.014285714)*LN(N70_DESARROLLO!BC77/N70_DESARROLLO!BB77))</f>
        <v>-2.6552823496780897E-2</v>
      </c>
      <c r="EC162" s="1">
        <f>(1+(N70_DESARROLLO!BC77/0.014285714)*LN(N70_DESARROLLO!BD77/N70_DESARROLLO!BC77))</f>
        <v>-2.8042266924848791E-2</v>
      </c>
      <c r="ED162" s="1">
        <f>(1+(N70_DESARROLLO!BD77/0.014285714)*LN(N70_DESARROLLO!BE77/N70_DESARROLLO!BD77))</f>
        <v>-2.9708770995506617E-2</v>
      </c>
      <c r="EE162" s="1">
        <f>(1+(N70_DESARROLLO!BE77/0.014285714)*LN(N70_DESARROLLO!BF77/N70_DESARROLLO!BE77))</f>
        <v>-3.1585910823733743E-2</v>
      </c>
      <c r="EF162" s="1">
        <f>(1+(N70_DESARROLLO!BF77/0.014285714)*LN(N70_DESARROLLO!BG77/N70_DESARROLLO!BF77))</f>
        <v>-3.3716325403742475E-2</v>
      </c>
      <c r="EG162" s="1">
        <f>(1+(N70_DESARROLLO!BG77/0.014285714)*LN(N70_DESARROLLO!BH77/N70_DESARROLLO!BG77))</f>
        <v>-3.6154998464198451E-2</v>
      </c>
      <c r="EH162" s="1">
        <f>(1+(N70_DESARROLLO!BH77/0.014285714)*LN(N70_DESARROLLO!BI77/N70_DESARROLLO!BH77))</f>
        <v>-3.8974076117218814E-2</v>
      </c>
      <c r="EI162" s="1">
        <f>(1+(N70_DESARROLLO!BI77/0.014285714)*LN(N70_DESARROLLO!BJ77/N70_DESARROLLO!BI77))</f>
        <v>-4.2270132583536846E-2</v>
      </c>
      <c r="EJ162" s="1">
        <f>(1+(N70_DESARROLLO!BJ77/0.014285714)*LN(N70_DESARROLLO!BK77/N70_DESARROLLO!BJ77))</f>
        <v>-4.6175470289371079E-2</v>
      </c>
      <c r="EK162" s="1">
        <f>(1+(N70_DESARROLLO!BK77/0.014285714)*LN(N70_DESARROLLO!BL77/N70_DESARROLLO!BK77))</f>
        <v>-5.087633586583995E-2</v>
      </c>
      <c r="EL162" s="1">
        <f>(1+(N70_DESARROLLO!BL77/0.014285714)*LN(N70_DESARROLLO!BM77/N70_DESARROLLO!BL77))</f>
        <v>-5.6643554680007036E-2</v>
      </c>
      <c r="EM162" s="1">
        <f>(1+(N70_DESARROLLO!BM77/0.014285714)*LN(N70_DESARROLLO!BN77/N70_DESARROLLO!BM77))</f>
        <v>-6.3886736386781884E-2</v>
      </c>
      <c r="EN162" s="1">
        <f>(1+(N70_DESARROLLO!BN77/0.014285714)*LN(N70_DESARROLLO!BO77/N70_DESARROLLO!BN77))</f>
        <v>-7.3256348770182056E-2</v>
      </c>
      <c r="EO162" s="1">
        <f>(1+(N70_DESARROLLO!BO77/0.014285714)*LN(N70_DESARROLLO!BP77/N70_DESARROLLO!BO77))</f>
        <v>-8.5851572027607848E-2</v>
      </c>
      <c r="EP162" s="1">
        <f>(1+(N70_DESARROLLO!BP77/0.014285714)*LN(N70_DESARROLLO!BQ77/N70_DESARROLLO!BP77))</f>
        <v>-0.10368884711561388</v>
      </c>
      <c r="EQ162" s="1">
        <f>(1+(N70_DESARROLLO!BQ77/0.014285714)*LN(N70_DESARROLLO!BR77/N70_DESARROLLO!BQ77))</f>
        <v>-0.13091494988237207</v>
      </c>
      <c r="ER162" s="1">
        <f>(1+(N70_DESARROLLO!BR77/0.014285714)*LN(N70_DESARROLLO!BS77/N70_DESARROLLO!BR77))</f>
        <v>-0.17765285172729728</v>
      </c>
      <c r="ES162" s="1">
        <f>(1+(N70_DESARROLLO!BS77/0.014285714)*LN(N70_DESARROLLO!BT77/N70_DESARROLLO!BS77))</f>
        <v>-0.27706408495626578</v>
      </c>
      <c r="ET162" s="1">
        <f>(1+(N70_DESARROLLO!BT77/0.014285714)*LN(N70_DESARROLLO!BU77/N70_DESARROLLO!BT77))</f>
        <v>-0.64791846596052816</v>
      </c>
      <c r="EU162" s="1">
        <v>1</v>
      </c>
      <c r="EV162" s="1">
        <f>(1+(N70_DESARROLLO!BV77/0.014285714)*LN(N70_DESARROLLO!BW77/N70_DESARROLLO!BV77))</f>
        <v>0.45069384467982065</v>
      </c>
      <c r="EW162" s="1">
        <f>(1+(N70_DESARROLLO!BW77/0.014285714)*LN(N70_DESARROLLO!BX77/N70_DESARROLLO!BW77))</f>
        <v>-4.7645453162027058</v>
      </c>
    </row>
    <row r="163" spans="7:153" x14ac:dyDescent="0.25">
      <c r="G163" s="3">
        <v>69</v>
      </c>
      <c r="H163" s="3">
        <f>-(N70_DESARROLLO!G78/0.014285714)*LN(N70_DESARROLLO!G78/N70_DESARROLLO!F78)-1</f>
        <v>-7.3350313422577695E-3</v>
      </c>
      <c r="I163" s="3">
        <f>-(N70_DESARROLLO!H78/0.014285714)*LN(N70_DESARROLLO!H78/N70_DESARROLLO!G78)-1</f>
        <v>-7.4442407399503141E-3</v>
      </c>
      <c r="J163" s="3">
        <f>-(N70_DESARROLLO!I78/0.014285714)*LN(N70_DESARROLLO!I78/N70_DESARROLLO!H78)-1</f>
        <v>-7.5567513016895349E-3</v>
      </c>
      <c r="K163" s="3">
        <f>-(N70_DESARROLLO!J78/0.014285714)*LN(N70_DESARROLLO!J78/N70_DESARROLLO!I78)-1</f>
        <v>-7.6727150070293737E-3</v>
      </c>
      <c r="L163" s="3">
        <f>-(N70_DESARROLLO!K78/0.014285714)*LN(N70_DESARROLLO!K78/N70_DESARROLLO!J78)-1</f>
        <v>-7.7922933102178016E-3</v>
      </c>
      <c r="M163" s="3">
        <f>-(N70_DESARROLLO!L78/0.014285714)*LN(N70_DESARROLLO!L78/N70_DESARROLLO!K78)-1</f>
        <v>-7.9156578901735664E-3</v>
      </c>
      <c r="N163" s="3">
        <f>-(N70_DESARROLLO!M78/0.014285714)*LN(N70_DESARROLLO!M78/N70_DESARROLLO!L78)-1</f>
        <v>-8.0429914730227869E-3</v>
      </c>
      <c r="O163" s="3">
        <f>-(N70_DESARROLLO!N78/0.014285714)*LN(N70_DESARROLLO!N78/N70_DESARROLLO!M78)-1</f>
        <v>-8.174488735061658E-3</v>
      </c>
      <c r="P163" s="3">
        <f>-(N70_DESARROLLO!O78/0.014285714)*LN(N70_DESARROLLO!O78/N70_DESARROLLO!N78)-1</f>
        <v>-8.3103572961141792E-3</v>
      </c>
      <c r="Q163" s="3">
        <f>-(N70_DESARROLLO!P78/0.014285714)*LN(N70_DESARROLLO!P78/N70_DESARROLLO!O78)-1</f>
        <v>-8.4508188132772499E-3</v>
      </c>
      <c r="R163" s="3">
        <f>-(N70_DESARROLLO!Q78/0.014285714)*LN(N70_DESARROLLO!Q78/N70_DESARROLLO!P78)-1</f>
        <v>-8.596110187827688E-3</v>
      </c>
      <c r="S163" s="3">
        <f>-(N70_DESARROLLO!R78/0.014285714)*LN(N70_DESARROLLO!R78/N70_DESARROLLO!Q78)-1</f>
        <v>-8.7464848985490118E-3</v>
      </c>
      <c r="T163" s="3">
        <f>-(N70_DESARROLLO!S78/0.014285714)*LN(N70_DESARROLLO!S78/N70_DESARROLLO!R78)-1</f>
        <v>-8.9022144776856882E-3</v>
      </c>
      <c r="U163" s="3">
        <f>-(N70_DESARROLLO!T78/0.014285714)*LN(N70_DESARROLLO!T78/N70_DESARROLLO!S78)-1</f>
        <v>-9.0635901473971048E-3</v>
      </c>
      <c r="V163" s="3">
        <f>-(N70_DESARROLLO!U78/0.014285714)*LN(N70_DESARROLLO!U78/N70_DESARROLLO!T78)-1</f>
        <v>-9.2309246374047138E-3</v>
      </c>
      <c r="W163" s="3">
        <f>-(N70_DESARROLLO!V78/0.014285714)*LN(N70_DESARROLLO!V78/N70_DESARROLLO!U78)-1</f>
        <v>-9.4045542079997935E-3</v>
      </c>
      <c r="X163" s="3">
        <f>-(N70_DESARROLLO!W78/0.014285714)*LN(N70_DESARROLLO!W78/N70_DESARROLLO!V78)-1</f>
        <v>-9.5848409054832828E-3</v>
      </c>
      <c r="Y163" s="3">
        <f>-(N70_DESARROLLO!X78/0.014285714)*LN(N70_DESARROLLO!X78/N70_DESARROLLO!W78)-1</f>
        <v>-9.7721750824455444E-3</v>
      </c>
      <c r="Z163" s="3">
        <f>-(N70_DESARROLLO!Y78/0.014285714)*LN(N70_DESARROLLO!Y78/N70_DESARROLLO!X78)-1</f>
        <v>-9.9669782191917911E-3</v>
      </c>
      <c r="AA163" s="3">
        <f>-(N70_DESARROLLO!Z78/0.014285714)*LN(N70_DESARROLLO!Z78/N70_DESARROLLO!Y78)-1</f>
        <v>-1.0169706089854125E-2</v>
      </c>
      <c r="AB163" s="3">
        <f>-(N70_DESARROLLO!AA78/0.014285714)*LN(N70_DESARROLLO!AA78/N70_DESARROLLO!Z78)-1</f>
        <v>-1.0380852322626088E-2</v>
      </c>
      <c r="AC163" s="3">
        <f>-(N70_DESARROLLO!AB78/0.014285714)*LN(N70_DESARROLLO!AB78/N70_DESARROLLO!AA78)-1</f>
        <v>-1.0600952413268083E-2</v>
      </c>
      <c r="AD163" s="3">
        <f>-(N70_DESARROLLO!AC78/0.014285714)*LN(N70_DESARROLLO!AC78/N70_DESARROLLO!AB78)-1</f>
        <v>-1.0830588260139384E-2</v>
      </c>
      <c r="AE163" s="3">
        <f>-(N70_DESARROLLO!AD78/0.014285714)*LN(N70_DESARROLLO!AD78/N70_DESARROLLO!AC78)-1</f>
        <v>-1.1070393301807369E-2</v>
      </c>
      <c r="AF163" s="3">
        <f>-(N70_DESARROLLO!AE78/0.014285714)*LN(N70_DESARROLLO!AE78/N70_DESARROLLO!AD78)-1</f>
        <v>-1.1321058352732338E-2</v>
      </c>
      <c r="AG163" s="3">
        <f>-(N70_DESARROLLO!AF78/0.014285714)*LN(N70_DESARROLLO!AF78/N70_DESARROLLO!AE78)-1</f>
        <v>-1.1583338250304442E-2</v>
      </c>
      <c r="AH163" s="3">
        <f>-(N70_DESARROLLO!AG78/0.014285714)*LN(N70_DESARROLLO!AG78/N70_DESARROLLO!AF78)-1</f>
        <v>-1.185805944784557E-2</v>
      </c>
      <c r="AI163" s="3">
        <f>-(N70_DESARROLLO!AH78/0.014285714)*LN(N70_DESARROLLO!AH78/N70_DESARROLLO!AG78)-1</f>
        <v>-1.2146128714473514E-2</v>
      </c>
      <c r="AJ163" s="3">
        <f>-(N70_DESARROLLO!AI78/0.014285714)*LN(N70_DESARROLLO!AI78/N70_DESARROLLO!AH78)-1</f>
        <v>-1.2448543134993217E-2</v>
      </c>
      <c r="AK163" s="3">
        <f>-(N70_DESARROLLO!AJ78/0.014285714)*LN(N70_DESARROLLO!AJ78/N70_DESARROLLO!AI78)-1</f>
        <v>-1.2766401641831959E-2</v>
      </c>
      <c r="AL163" s="3">
        <f>-(N70_DESARROLLO!AK78/0.014285714)*LN(N70_DESARROLLO!AK78/N70_DESARROLLO!AJ78)-1</f>
        <v>-1.3100918360510971E-2</v>
      </c>
      <c r="AM163" s="3">
        <f>-(N70_DESARROLLO!AL78/0.014285714)*LN(N70_DESARROLLO!AL78/N70_DESARROLLO!AK78)-1</f>
        <v>-1.3453438110011762E-2</v>
      </c>
      <c r="AN163" s="3">
        <f>-(N70_DESARROLLO!AM78/0.014285714)*LN(N70_DESARROLLO!AM78/N70_DESARROLLO!AL78)-1</f>
        <v>-1.3825454475325571E-2</v>
      </c>
      <c r="AO163" s="3">
        <f>-(N70_DESARROLLO!AN78/0.014285714)*LN(N70_DESARROLLO!AN78/N70_DESARROLLO!AM78)-1</f>
        <v>-1.4218630964440648E-2</v>
      </c>
      <c r="AP163" s="3">
        <f>-(N70_DESARROLLO!AO78/0.014285714)*LN(N70_DESARROLLO!AO78/N70_DESARROLLO!AN78)-1</f>
        <v>-1.4634825881869595E-2</v>
      </c>
      <c r="AQ163" s="3">
        <f>-(N70_DESARROLLO!AP78/0.014285714)*LN(N70_DESARROLLO!AP78/N70_DESARROLLO!AO78)-1</f>
        <v>-1.5076121703336054E-2</v>
      </c>
      <c r="AR163" s="3">
        <f>-(N70_DESARROLLO!AQ78/0.014285714)*LN(N70_DESARROLLO!AQ78/N70_DESARROLLO!AP78)-1</f>
        <v>-1.5544859931604371E-2</v>
      </c>
      <c r="AS163" s="3">
        <f>-(N70_DESARROLLO!AR78/0.014285714)*LN(N70_DESARROLLO!AR78/N70_DESARROLLO!AQ78)-1</f>
        <v>-1.6043682665123127E-2</v>
      </c>
      <c r="AT163" s="3">
        <f>-(N70_DESARROLLO!AS78/0.014285714)*LN(N70_DESARROLLO!AS78/N70_DESARROLLO!AR78)-1</f>
        <v>-1.6575582437549308E-2</v>
      </c>
      <c r="AU163" s="3">
        <f>-(N70_DESARROLLO!AT78/0.014285714)*LN(N70_DESARROLLO!AT78/N70_DESARROLLO!AS78)-1</f>
        <v>-1.7143962314556949E-2</v>
      </c>
      <c r="AV163" s="3">
        <f>-(N70_DESARROLLO!AU78/0.014285714)*LN(N70_DESARROLLO!AU78/N70_DESARROLLO!AT78)-1</f>
        <v>-1.7752708797872385E-2</v>
      </c>
      <c r="AW163" s="3">
        <f>-(N70_DESARROLLO!AV78/0.014285714)*LN(N70_DESARROLLO!AV78/N70_DESARROLLO!AU78)-1</f>
        <v>-1.8406280838877631E-2</v>
      </c>
      <c r="AX163" s="3">
        <f>-(N70_DESARROLLO!AW78/0.014285714)*LN(N70_DESARROLLO!AW78/N70_DESARROLLO!AV78)-1</f>
        <v>-1.910981927339972E-2</v>
      </c>
      <c r="AY163" s="3">
        <f>-(N70_DESARROLLO!AX78/0.014285714)*LN(N70_DESARROLLO!AX78/N70_DESARROLLO!AW78)-1</f>
        <v>-1.9869282361751228E-2</v>
      </c>
      <c r="AZ163" s="3">
        <f>-(N70_DESARROLLO!AY78/0.014285714)*LN(N70_DESARROLLO!AY78/N70_DESARROLLO!AX78)-1</f>
        <v>-2.0691615000488106E-2</v>
      </c>
      <c r="BA163" s="3">
        <f>-(N70_DESARROLLO!AZ78/0.014285714)*LN(N70_DESARROLLO!AZ78/N70_DESARROLLO!AY78)-1</f>
        <v>-2.1584961787571522E-2</v>
      </c>
      <c r="BB163" s="3">
        <f>-(N70_DESARROLLO!BA78/0.014285714)*LN(N70_DESARROLLO!BA78/N70_DESARROLLO!AZ78)-1</f>
        <v>-2.2558937800899459E-2</v>
      </c>
      <c r="BC163" s="3">
        <f>-(N70_DESARROLLO!BB78/0.014285714)*LN(N70_DESARROLLO!BB78/N70_DESARROLLO!BA78)-1</f>
        <v>-2.3624976192775815E-2</v>
      </c>
      <c r="BD163" s="3">
        <f>-(N70_DESARROLLO!BC78/0.014285714)*LN(N70_DESARROLLO!BC78/N70_DESARROLLO!BB78)-1</f>
        <v>-2.4796779290042426E-2</v>
      </c>
      <c r="BE163" s="3">
        <f>-(N70_DESARROLLO!BD78/0.014285714)*LN(N70_DESARROLLO!BD78/N70_DESARROLLO!BC78)-1</f>
        <v>-2.6090911041506626E-2</v>
      </c>
      <c r="BF163" s="3">
        <f>-(N70_DESARROLLO!BE78/0.014285714)*LN(N70_DESARROLLO!BE78/N70_DESARROLLO!BD78)-1</f>
        <v>-2.7527585341367344E-2</v>
      </c>
      <c r="BG163" s="3">
        <f>-(N70_DESARROLLO!BF78/0.014285714)*LN(N70_DESARROLLO!BF78/N70_DESARROLLO!BE78)-1</f>
        <v>-2.9131730204228767E-2</v>
      </c>
      <c r="BH163" s="3">
        <f>-(N70_DESARROLLO!BG78/0.014285714)*LN(N70_DESARROLLO!BG78/N70_DESARROLLO!BF78)-1</f>
        <v>-3.0934447408014765E-2</v>
      </c>
      <c r="BI163" s="3">
        <f>-(N70_DESARROLLO!BH78/0.014285714)*LN(N70_DESARROLLO!BH78/N70_DESARROLLO!BG78)-1</f>
        <v>-3.2975050428757924E-2</v>
      </c>
      <c r="BJ163" s="3">
        <f>-(N70_DESARROLLO!BI78/0.014285714)*LN(N70_DESARROLLO!BI78/N70_DESARROLLO!BH78)-1</f>
        <v>-3.5303966947118792E-2</v>
      </c>
      <c r="BK163" s="3">
        <f>-(N70_DESARROLLO!BJ78/0.014285714)*LN(N70_DESARROLLO!BJ78/N70_DESARROLLO!BI78)-1</f>
        <v>-3.7986966558138158E-2</v>
      </c>
      <c r="BL163" s="3">
        <f>-(N70_DESARROLLO!BK78/0.014285714)*LN(N70_DESARROLLO!BK78/N70_DESARROLLO!BJ78)-1</f>
        <v>-4.1111478023138859E-2</v>
      </c>
      <c r="BM163" s="3">
        <f>-(N70_DESARROLLO!BL78/0.014285714)*LN(N70_DESARROLLO!BL78/N70_DESARROLLO!BK78)-1</f>
        <v>-4.4796309735798956E-2</v>
      </c>
      <c r="BN163" s="3">
        <f>-(N70_DESARROLLO!BM78/0.014285714)*LN(N70_DESARROLLO!BM78/N70_DESARROLLO!BL78)-1</f>
        <v>-4.9207124692804083E-2</v>
      </c>
      <c r="BO163" s="3">
        <f>-(N70_DESARROLLO!BN78/0.014285714)*LN(N70_DESARROLLO!BN78/N70_DESARROLLO!BM78)-1</f>
        <v>-5.4582082654737407E-2</v>
      </c>
      <c r="BP163" s="3">
        <f>-(N70_DESARROLLO!BO78/0.014285714)*LN(N70_DESARROLLO!BO78/N70_DESARROLLO!BN78)-1</f>
        <v>-6.1276409070479487E-2</v>
      </c>
      <c r="BQ163" s="3">
        <f>-(N70_DESARROLLO!BP78/0.014285714)*LN(N70_DESARROLLO!BP78/N70_DESARROLLO!BO78)-1</f>
        <v>-6.9844497732515998E-2</v>
      </c>
      <c r="BR163" s="3">
        <f>-(N70_DESARROLLO!BQ78/0.014285714)*LN(N70_DESARROLLO!BQ78/N70_DESARROLLO!BP78)-1</f>
        <v>-8.1202515976632528E-2</v>
      </c>
      <c r="BS163" s="3">
        <f>-(N70_DESARROLLO!BR78/0.014285714)*LN(N70_DESARROLLO!BR78/N70_DESARROLLO!BQ78)-1</f>
        <v>-9.6981852359959708E-2</v>
      </c>
      <c r="BT163" s="3">
        <f>-(N70_DESARROLLO!BS78/0.014285714)*LN(N70_DESARROLLO!BS78/N70_DESARROLLO!BR78)-1</f>
        <v>-0.12039948342482121</v>
      </c>
      <c r="BU163" s="3">
        <f>-(N70_DESARROLLO!BT78/0.014285714)*LN(N70_DESARROLLO!BT78/N70_DESARROLLO!BS78)-1</f>
        <v>-0.15881939162335246</v>
      </c>
      <c r="BV163" s="3">
        <f>-(N70_DESARROLLO!BU78/0.014285714)*LN(N70_DESARROLLO!BU78/N70_DESARROLLO!BT78)-1</f>
        <v>-0.23376154902624657</v>
      </c>
      <c r="BW163" s="3">
        <f>-(N70_DESARROLLO!BV78/0.014285714)*LN(N70_DESARROLLO!BV78/N70_DESARROLLO!BU78)-1</f>
        <v>-0.45069384467982143</v>
      </c>
      <c r="BX163" s="3">
        <v>-1</v>
      </c>
      <c r="BY163" s="3">
        <f>-(N70_DESARROLLO!BX78/0.014285714)*LN(N70_DESARROLLO!BX78/N70_DESARROLLO!BW78)-1</f>
        <v>344.91497650095113</v>
      </c>
      <c r="CD163">
        <v>69</v>
      </c>
      <c r="CE163" s="1">
        <v>0</v>
      </c>
      <c r="CF163" s="1">
        <f>(1+(N70_DESARROLLO!F78/0.014285714)*LN(N70_DESARROLLO!G78/N70_DESARROLLO!F78))</f>
        <v>-7.371116341560402E-3</v>
      </c>
      <c r="CG163" s="1">
        <f>(1+(N70_DESARROLLO!G78/0.014285714)*LN(N70_DESARROLLO!H78/N70_DESARROLLO!G78))</f>
        <v>-7.4814097752384789E-3</v>
      </c>
      <c r="CH163" s="1">
        <f>(1+(N70_DESARROLLO!H78/0.014285714)*LN(N70_DESARROLLO!I78/N70_DESARROLLO!H78))</f>
        <v>-7.5950540219487106E-3</v>
      </c>
      <c r="CI163" s="1">
        <f>(1+(N70_DESARROLLO!I78/0.014285714)*LN(N70_DESARROLLO!J78/N70_DESARROLLO!I78))</f>
        <v>-7.7122041401485042E-3</v>
      </c>
      <c r="CJ163" s="1">
        <f>(1+(N70_DESARROLLO!J78/0.014285714)*LN(N70_DESARROLLO!K78/N70_DESARROLLO!J78))</f>
        <v>-7.8330249053693013E-3</v>
      </c>
      <c r="CK163" s="1">
        <f>(1+(N70_DESARROLLO!K78/0.014285714)*LN(N70_DESARROLLO!L78/N70_DESARROLLO!K78))</f>
        <v>-7.9576915835837259E-3</v>
      </c>
      <c r="CL163" s="1">
        <f>(1+(N70_DESARROLLO!L78/0.014285714)*LN(N70_DESARROLLO!M78/N70_DESARROLLO!L78))</f>
        <v>-8.0863907794483936E-3</v>
      </c>
      <c r="CM163" s="1">
        <f>(1+(N70_DESARROLLO!M78/0.014285714)*LN(N70_DESARROLLO!N78/N70_DESARROLLO!M78))</f>
        <v>-8.2193213684909061E-3</v>
      </c>
      <c r="CN163" s="1">
        <f>(1+(N70_DESARROLLO!N78/0.014285714)*LN(N70_DESARROLLO!O78/N70_DESARROLLO!N78))</f>
        <v>-8.356695522438562E-3</v>
      </c>
      <c r="CO163" s="1">
        <f>(1+(N70_DESARROLLO!O78/0.014285714)*LN(N70_DESARROLLO!P78/N70_DESARROLLO!O78))</f>
        <v>-8.4987398394873459E-3</v>
      </c>
      <c r="CP163" s="1">
        <f>(1+(N70_DESARROLLO!P78/0.014285714)*LN(N70_DESARROLLO!Q78/N70_DESARROLLO!P78))</f>
        <v>-8.6456965915144846E-3</v>
      </c>
      <c r="CQ163" s="1">
        <f>(1+(N70_DESARROLLO!Q78/0.014285714)*LN(N70_DESARROLLO!R78/N70_DESARROLLO!Q78))</f>
        <v>-8.7978251032465593E-3</v>
      </c>
      <c r="CR163" s="1">
        <f>(1+(N70_DESARROLLO!R78/0.014285714)*LN(N70_DESARROLLO!S78/N70_DESARROLLO!R78))</f>
        <v>-8.9554032794731953E-3</v>
      </c>
      <c r="CS163" s="1">
        <f>(1+(N70_DESARROLLO!S78/0.014285714)*LN(N70_DESARROLLO!T78/N70_DESARROLLO!S78))</f>
        <v>-9.1187292994394653E-3</v>
      </c>
      <c r="CT163" s="1">
        <f>(1+(N70_DESARROLLO!T78/0.014285714)*LN(N70_DESARROLLO!U78/N70_DESARROLLO!T78))</f>
        <v>-9.2881235002140183E-3</v>
      </c>
      <c r="CU163" s="1">
        <f>(1+(N70_DESARROLLO!U78/0.014285714)*LN(N70_DESARROLLO!V78/N70_DESARROLLO!U78))</f>
        <v>-9.463930473752491E-3</v>
      </c>
      <c r="CV163" s="1">
        <f>(1+(N70_DESARROLLO!V78/0.014285714)*LN(N70_DESARROLLO!W78/N70_DESARROLLO!V78))</f>
        <v>-9.6465214070318162E-3</v>
      </c>
      <c r="CW163" s="1">
        <f>(1+(N70_DESARROLLO!W78/0.014285714)*LN(N70_DESARROLLO!X78/N70_DESARROLLO!W78))</f>
        <v>-9.8362966981000444E-3</v>
      </c>
      <c r="CX163" s="1">
        <f>(1+(N70_DESARROLLO!X78/0.014285714)*LN(N70_DESARROLLO!Y78/N70_DESARROLLO!X78))</f>
        <v>-1.0033688887491232E-2</v>
      </c>
      <c r="CY163" s="1">
        <f>(1+(N70_DESARROLLO!Y78/0.014285714)*LN(N70_DESARROLLO!Z78/N70_DESARROLLO!Y78))</f>
        <v>-1.0239165949530449E-2</v>
      </c>
      <c r="CZ163" s="1">
        <f>(1+(N70_DESARROLLO!Z78/0.014285714)*LN(N70_DESARROLLO!AA78/N70_DESARROLLO!Z78))</f>
        <v>-1.0453234996897542E-2</v>
      </c>
      <c r="DA163" s="1">
        <f>(1+(N70_DESARROLLO!AA78/0.014285714)*LN(N70_DESARROLLO!AB78/N70_DESARROLLO!AA78))</f>
        <v>-1.0676446459564781E-2</v>
      </c>
      <c r="DB163" s="1">
        <f>(1+(N70_DESARROLLO!AB78/0.014285714)*LN(N70_DESARROLLO!AC78/N70_DESARROLLO!AB78))</f>
        <v>-1.0909398811066451E-2</v>
      </c>
      <c r="DC163" s="1">
        <f>(1+(N70_DESARROLLO!AC78/0.014285714)*LN(N70_DESARROLLO!AD78/N70_DESARROLLO!AC78))</f>
        <v>-1.1152743927365316E-2</v>
      </c>
      <c r="DD163" s="1">
        <f>(1+(N70_DESARROLLO!AD78/0.014285714)*LN(N70_DESARROLLO!AE78/N70_DESARROLLO!AD78))</f>
        <v>-1.1407193179388653E-2</v>
      </c>
      <c r="DE163" s="1">
        <f>(1+(N70_DESARROLLO!AE78/0.014285714)*LN(N70_DESARROLLO!AF78/N70_DESARROLLO!AE78))</f>
        <v>-1.1673524379100408E-2</v>
      </c>
      <c r="DF163" s="1">
        <f>(1+(N70_DESARROLLO!AF78/0.014285714)*LN(N70_DESARROLLO!AG78/N70_DESARROLLO!AF78))</f>
        <v>-1.1952589722085794E-2</v>
      </c>
      <c r="DG163" s="1">
        <f>(1+(N70_DESARROLLO!AG78/0.014285714)*LN(N70_DESARROLLO!AH78/N70_DESARROLLO!AG78))</f>
        <v>-1.2245324897514953E-2</v>
      </c>
      <c r="DH163" s="1">
        <f>(1+(N70_DESARROLLO!AH78/0.014285714)*LN(N70_DESARROLLO!AI78/N70_DESARROLLO!AH78))</f>
        <v>-1.2552759570449767E-2</v>
      </c>
      <c r="DI163" s="1">
        <f>(1+(N70_DESARROLLO!AI78/0.014285714)*LN(N70_DESARROLLO!AJ78/N70_DESARROLLO!AI78))</f>
        <v>-1.2876029484353957E-2</v>
      </c>
      <c r="DJ163" s="1">
        <f>(1+(N70_DESARROLLO!AJ78/0.014285714)*LN(N70_DESARROLLO!AK78/N70_DESARROLLO!AJ78))</f>
        <v>-1.3216390483208995E-2</v>
      </c>
      <c r="DK163" s="1">
        <f>(1+(N70_DESARROLLO!AK78/0.014285714)*LN(N70_DESARROLLO!AL78/N70_DESARROLLO!AK78))</f>
        <v>-1.3575234818481219E-2</v>
      </c>
      <c r="DL163" s="1">
        <f>(1+(N70_DESARROLLO!AL78/0.014285714)*LN(N70_DESARROLLO!AM78/N70_DESARROLLO!AL78))</f>
        <v>-1.3954110187341273E-2</v>
      </c>
      <c r="DM163" s="1">
        <f>(1+(N70_DESARROLLO!AM78/0.014285714)*LN(N70_DESARROLLO!AN78/N70_DESARROLLO!AM78))</f>
        <v>-1.4354742051083003E-2</v>
      </c>
      <c r="DN163" s="1">
        <f>(1+(N70_DESARROLLO!AN78/0.014285714)*LN(N70_DESARROLLO!AO78/N70_DESARROLLO!AN78))</f>
        <v>-1.4779059912701564E-2</v>
      </c>
      <c r="DO163" s="1">
        <f>(1+(N70_DESARROLLO!AO78/0.014285714)*LN(N70_DESARROLLO!AP78/N70_DESARROLLO!AO78))</f>
        <v>-1.5229228398099703E-2</v>
      </c>
      <c r="DP163" s="1">
        <f>(1+(N70_DESARROLLO!AP78/0.014285714)*LN(N70_DESARROLLO!AQ78/N70_DESARROLLO!AP78))</f>
        <v>-1.5707684197551197E-2</v>
      </c>
      <c r="DQ163" s="1">
        <f>(1+(N70_DESARROLLO!AQ78/0.014285714)*LN(N70_DESARROLLO!AR78/N70_DESARROLLO!AQ78))</f>
        <v>-1.6217180198315306E-2</v>
      </c>
      <c r="DR163" s="1">
        <f>(1+(N70_DESARROLLO!AR78/0.014285714)*LN(N70_DESARROLLO!AS78/N70_DESARROLLO!AR78))</f>
        <v>-1.6760838496771235E-2</v>
      </c>
      <c r="DS163" s="1">
        <f>(1+(N70_DESARROLLO!AS78/0.014285714)*LN(N70_DESARROLLO!AT78/N70_DESARROLLO!AS78))</f>
        <v>-1.7342214446335769E-2</v>
      </c>
      <c r="DT163" s="1">
        <f>(1+(N70_DESARROLLO!AT78/0.014285714)*LN(N70_DESARROLLO!AU78/N70_DESARROLLO!AT78))</f>
        <v>-1.7965374518568833E-2</v>
      </c>
      <c r="DU163" s="1">
        <f>(1+(N70_DESARROLLO!AU78/0.014285714)*LN(N70_DESARROLLO!AV78/N70_DESARROLLO!AU78))</f>
        <v>-1.8634991582296534E-2</v>
      </c>
      <c r="DV163" s="1">
        <f>(1+(N70_DESARROLLO!AV78/0.014285714)*LN(N70_DESARROLLO!AW78/N70_DESARROLLO!AV78))</f>
        <v>-1.9356462323721679E-2</v>
      </c>
      <c r="DW163" s="1">
        <f>(1+(N70_DESARROLLO!AW78/0.014285714)*LN(N70_DESARROLLO!AX78/N70_DESARROLLO!AW78))</f>
        <v>-2.0136053052055125E-2</v>
      </c>
      <c r="DX163" s="1">
        <f>(1+(N70_DESARROLLO!AX78/0.014285714)*LN(N70_DESARROLLO!AY78/N70_DESARROLLO!AX78))</f>
        <v>-2.0981082233533677E-2</v>
      </c>
      <c r="DY163" s="1">
        <f>(1+(N70_DESARROLLO!AY78/0.014285714)*LN(N70_DESARROLLO!AZ78/N70_DESARROLLO!AY78))</f>
        <v>-2.1900151021869707E-2</v>
      </c>
      <c r="DZ163" s="1">
        <f>(1+(N70_DESARROLLO!AZ78/0.014285714)*LN(N70_DESARROLLO!BA78/N70_DESARROLLO!AZ78))</f>
        <v>-2.2903437185105124E-2</v>
      </c>
      <c r="EA163" s="1">
        <f>(1+(N70_DESARROLLO!BA78/0.014285714)*LN(N70_DESARROLLO!BB78/N70_DESARROLLO!BA78))</f>
        <v>-2.4003073749040205E-2</v>
      </c>
      <c r="EB163" s="1">
        <f>(1+(N70_DESARROLLO!BB78/0.014285714)*LN(N70_DESARROLLO!BC78/N70_DESARROLLO!BB78))</f>
        <v>-2.5213642284827031E-2</v>
      </c>
      <c r="EC163" s="1">
        <f>(1+(N70_DESARROLLO!BC78/0.014285714)*LN(N70_DESARROLLO!BD78/N70_DESARROLLO!BC78))</f>
        <v>-2.6552823496790445E-2</v>
      </c>
      <c r="ED163" s="1">
        <f>(1+(N70_DESARROLLO!BD78/0.014285714)*LN(N70_DESARROLLO!BE78/N70_DESARROLLO!BD78))</f>
        <v>-2.8042266924840131E-2</v>
      </c>
      <c r="EE163" s="1">
        <f>(1+(N70_DESARROLLO!BE78/0.014285714)*LN(N70_DESARROLLO!BF78/N70_DESARROLLO!BE78))</f>
        <v>-2.9708770995515277E-2</v>
      </c>
      <c r="EF163" s="1">
        <f>(1+(N70_DESARROLLO!BF78/0.014285714)*LN(N70_DESARROLLO!BG78/N70_DESARROLLO!BF78))</f>
        <v>-3.1585910823725971E-2</v>
      </c>
      <c r="EG163" s="1">
        <f>(1+(N70_DESARROLLO!BG78/0.014285714)*LN(N70_DESARROLLO!BH78/N70_DESARROLLO!BG78))</f>
        <v>-3.3716325403741365E-2</v>
      </c>
      <c r="EH163" s="1">
        <f>(1+(N70_DESARROLLO!BH78/0.014285714)*LN(N70_DESARROLLO!BI78/N70_DESARROLLO!BH78))</f>
        <v>-3.6154998464206001E-2</v>
      </c>
      <c r="EI163" s="1">
        <f>(1+(N70_DESARROLLO!BI78/0.014285714)*LN(N70_DESARROLLO!BJ78/N70_DESARROLLO!BI78))</f>
        <v>-3.8974076117210377E-2</v>
      </c>
      <c r="EJ163" s="1">
        <f>(1+(N70_DESARROLLO!BJ78/0.014285714)*LN(N70_DESARROLLO!BK78/N70_DESARROLLO!BJ78))</f>
        <v>-4.2270132583545061E-2</v>
      </c>
      <c r="EK163" s="1">
        <f>(1+(N70_DESARROLLO!BK78/0.014285714)*LN(N70_DESARROLLO!BL78/N70_DESARROLLO!BK78))</f>
        <v>-4.6175470289362641E-2</v>
      </c>
      <c r="EL163" s="1">
        <f>(1+(N70_DESARROLLO!BL78/0.014285714)*LN(N70_DESARROLLO!BM78/N70_DESARROLLO!BL78))</f>
        <v>-5.087633586584861E-2</v>
      </c>
      <c r="EM163" s="1">
        <f>(1+(N70_DESARROLLO!BM78/0.014285714)*LN(N70_DESARROLLO!BN78/N70_DESARROLLO!BM78))</f>
        <v>-5.664355467999882E-2</v>
      </c>
      <c r="EN163" s="1">
        <f>(1+(N70_DESARROLLO!BN78/0.014285714)*LN(N70_DESARROLLO!BO78/N70_DESARROLLO!BN78))</f>
        <v>-6.3886736386790544E-2</v>
      </c>
      <c r="EO163" s="1">
        <f>(1+(N70_DESARROLLO!BO78/0.014285714)*LN(N70_DESARROLLO!BP78/N70_DESARROLLO!BO78))</f>
        <v>-7.3256348770173396E-2</v>
      </c>
      <c r="EP163" s="1">
        <f>(1+(N70_DESARROLLO!BP78/0.014285714)*LN(N70_DESARROLLO!BQ78/N70_DESARROLLO!BP78))</f>
        <v>-8.5851572027616951E-2</v>
      </c>
      <c r="EQ163" s="1">
        <f>(1+(N70_DESARROLLO!BQ78/0.014285714)*LN(N70_DESARROLLO!BR78/N70_DESARROLLO!BQ78))</f>
        <v>-0.10368884711560411</v>
      </c>
      <c r="ER163" s="1">
        <f>(1+(N70_DESARROLLO!BR78/0.014285714)*LN(N70_DESARROLLO!BS78/N70_DESARROLLO!BR78))</f>
        <v>-0.13091494988237162</v>
      </c>
      <c r="ES163" s="1">
        <f>(1+(N70_DESARROLLO!BS78/0.014285714)*LN(N70_DESARROLLO!BT78/N70_DESARROLLO!BS78))</f>
        <v>-0.17765285172730816</v>
      </c>
      <c r="ET163" s="1">
        <f>(1+(N70_DESARROLLO!BT78/0.014285714)*LN(N70_DESARROLLO!BU78/N70_DESARROLLO!BT78))</f>
        <v>-0.27706408495625312</v>
      </c>
      <c r="EU163" s="1">
        <f>(1+(N70_DESARROLLO!BU78/0.014285714)*LN(N70_DESARROLLO!BV78/N70_DESARROLLO!BU78))</f>
        <v>-0.64791846596054437</v>
      </c>
      <c r="EV163" s="1">
        <v>1</v>
      </c>
      <c r="EW163" s="1">
        <f>(1+(N70_DESARROLLO!BW78/0.014285714)*LN(N70_DESARROLLO!BX78/N70_DESARROLLO!BW78))</f>
        <v>-1.4708212607210704</v>
      </c>
    </row>
    <row r="164" spans="7:153" x14ac:dyDescent="0.25">
      <c r="G164" s="3">
        <v>70</v>
      </c>
      <c r="H164" s="3">
        <f>-(N70_DESARROLLO!G79/0.014285714)*LN(N70_DESARROLLO!G79/N70_DESARROLLO!F79)-1</f>
        <v>-7.2289799187570392E-3</v>
      </c>
      <c r="I164" s="3">
        <f>-(N70_DESARROLLO!H79/0.014285714)*LN(N70_DESARROLLO!H79/N70_DESARROLLO!G79)-1</f>
        <v>-7.335031342250109E-3</v>
      </c>
      <c r="J164" s="3">
        <f>-(N70_DESARROLLO!I79/0.014285714)*LN(N70_DESARROLLO!I79/N70_DESARROLLO!H79)-1</f>
        <v>-7.4442407399578636E-3</v>
      </c>
      <c r="K164" s="3">
        <f>-(N70_DESARROLLO!J79/0.014285714)*LN(N70_DESARROLLO!J79/N70_DESARROLLO!I79)-1</f>
        <v>-7.5567513016820964E-3</v>
      </c>
      <c r="L164" s="3">
        <f>-(N70_DESARROLLO!K79/0.014285714)*LN(N70_DESARROLLO!K79/N70_DESARROLLO!J79)-1</f>
        <v>-7.6727150070365902E-3</v>
      </c>
      <c r="M164" s="3">
        <f>-(N70_DESARROLLO!L79/0.014285714)*LN(N70_DESARROLLO!L79/N70_DESARROLLO!K79)-1</f>
        <v>-7.7922933102105851E-3</v>
      </c>
      <c r="N164" s="3">
        <f>-(N70_DESARROLLO!M79/0.014285714)*LN(N70_DESARROLLO!M79/N70_DESARROLLO!L79)-1</f>
        <v>-7.9156578901804497E-3</v>
      </c>
      <c r="O164" s="3">
        <f>-(N70_DESARROLLO!N79/0.014285714)*LN(N70_DESARROLLO!N79/N70_DESARROLLO!M79)-1</f>
        <v>-8.0429914730157925E-3</v>
      </c>
      <c r="P164" s="3">
        <f>-(N70_DESARROLLO!O79/0.014285714)*LN(N70_DESARROLLO!O79/N70_DESARROLLO!N79)-1</f>
        <v>-8.1744887350685413E-3</v>
      </c>
      <c r="Q164" s="3">
        <f>-(N70_DESARROLLO!P79/0.014285714)*LN(N70_DESARROLLO!P79/N70_DESARROLLO!O79)-1</f>
        <v>-8.3103572961139571E-3</v>
      </c>
      <c r="R164" s="3">
        <f>-(N70_DESARROLLO!Q79/0.014285714)*LN(N70_DESARROLLO!Q79/N70_DESARROLLO!P79)-1</f>
        <v>-8.4508188132771389E-3</v>
      </c>
      <c r="S164" s="3">
        <f>-(N70_DESARROLLO!R79/0.014285714)*LN(N70_DESARROLLO!R79/N70_DESARROLLO!Q79)-1</f>
        <v>-8.5961101878212487E-3</v>
      </c>
      <c r="T164" s="3">
        <f>-(N70_DESARROLLO!S79/0.014285714)*LN(N70_DESARROLLO!S79/N70_DESARROLLO!R79)-1</f>
        <v>-8.7464848985490118E-3</v>
      </c>
      <c r="U164" s="3">
        <f>-(N70_DESARROLLO!T79/0.014285714)*LN(N70_DESARROLLO!T79/N70_DESARROLLO!S79)-1</f>
        <v>-8.9022144776919054E-3</v>
      </c>
      <c r="V164" s="3">
        <f>-(N70_DESARROLLO!U79/0.014285714)*LN(N70_DESARROLLO!U79/N70_DESARROLLO!T79)-1</f>
        <v>-9.0635901473908875E-3</v>
      </c>
      <c r="W164" s="3">
        <f>-(N70_DESARROLLO!V79/0.014285714)*LN(N70_DESARROLLO!V79/N70_DESARROLLO!U79)-1</f>
        <v>-9.2309246374167042E-3</v>
      </c>
      <c r="X164" s="3">
        <f>-(N70_DESARROLLO!W79/0.014285714)*LN(N70_DESARROLLO!W79/N70_DESARROLLO!V79)-1</f>
        <v>-9.4045542079879141E-3</v>
      </c>
      <c r="Y164" s="3">
        <f>-(N70_DESARROLLO!X79/0.014285714)*LN(N70_DESARROLLO!X79/N70_DESARROLLO!W79)-1</f>
        <v>-9.5848409054887229E-3</v>
      </c>
      <c r="Z164" s="3">
        <f>-(N70_DESARROLLO!Y79/0.014285714)*LN(N70_DESARROLLO!Y79/N70_DESARROLLO!X79)-1</f>
        <v>-9.7721750824453224E-3</v>
      </c>
      <c r="AA164" s="3">
        <f>-(N70_DESARROLLO!Z79/0.014285714)*LN(N70_DESARROLLO!Z79/N70_DESARROLLO!Y79)-1</f>
        <v>-9.966978219191569E-3</v>
      </c>
      <c r="AB164" s="3">
        <f>-(N70_DESARROLLO!AA79/0.014285714)*LN(N70_DESARROLLO!AA79/N70_DESARROLLO!Z79)-1</f>
        <v>-1.0169706089843134E-2</v>
      </c>
      <c r="AC164" s="3">
        <f>-(N70_DESARROLLO!AB79/0.014285714)*LN(N70_DESARROLLO!AB79/N70_DESARROLLO!AA79)-1</f>
        <v>-1.0380852322626088E-2</v>
      </c>
      <c r="AD164" s="3">
        <f>-(N70_DESARROLLO!AC79/0.014285714)*LN(N70_DESARROLLO!AC79/N70_DESARROLLO!AB79)-1</f>
        <v>-1.0600952413273301E-2</v>
      </c>
      <c r="AE164" s="3">
        <f>-(N70_DESARROLLO!AD79/0.014285714)*LN(N70_DESARROLLO!AD79/N70_DESARROLLO!AC79)-1</f>
        <v>-1.0830588260139273E-2</v>
      </c>
      <c r="AF164" s="3">
        <f>-(N70_DESARROLLO!AE79/0.014285714)*LN(N70_DESARROLLO!AE79/N70_DESARROLLO!AD79)-1</f>
        <v>-1.1070393301797377E-2</v>
      </c>
      <c r="AG164" s="3">
        <f>-(N70_DESARROLLO!AF79/0.014285714)*LN(N70_DESARROLLO!AF79/N70_DESARROLLO!AE79)-1</f>
        <v>-1.1321058352732338E-2</v>
      </c>
      <c r="AH164" s="3">
        <f>-(N70_DESARROLLO!AG79/0.014285714)*LN(N70_DESARROLLO!AG79/N70_DESARROLLO!AF79)-1</f>
        <v>-1.1583338250309216E-2</v>
      </c>
      <c r="AI164" s="3">
        <f>-(N70_DESARROLLO!AH79/0.014285714)*LN(N70_DESARROLLO!AH79/N70_DESARROLLO!AG79)-1</f>
        <v>-1.1858059447845348E-2</v>
      </c>
      <c r="AJ164" s="3">
        <f>-(N70_DESARROLLO!AI79/0.014285714)*LN(N70_DESARROLLO!AI79/N70_DESARROLLO!AH79)-1</f>
        <v>-1.2146128714473403E-2</v>
      </c>
      <c r="AK164" s="3">
        <f>-(N70_DESARROLLO!AJ79/0.014285714)*LN(N70_DESARROLLO!AJ79/N70_DESARROLLO!AI79)-1</f>
        <v>-1.2448543134984225E-2</v>
      </c>
      <c r="AL164" s="3">
        <f>-(N70_DESARROLLO!AK79/0.014285714)*LN(N70_DESARROLLO!AK79/N70_DESARROLLO!AJ79)-1</f>
        <v>-1.2766401641831959E-2</v>
      </c>
      <c r="AM164" s="3">
        <f>-(N70_DESARROLLO!AL79/0.014285714)*LN(N70_DESARROLLO!AL79/N70_DESARROLLO!AK79)-1</f>
        <v>-1.3100918360519409E-2</v>
      </c>
      <c r="AN164" s="3">
        <f>-(N70_DESARROLLO!AM79/0.014285714)*LN(N70_DESARROLLO!AM79/N70_DESARROLLO!AL79)-1</f>
        <v>-1.345343811001154E-2</v>
      </c>
      <c r="AO164" s="3">
        <f>-(N70_DESARROLLO!AN79/0.014285714)*LN(N70_DESARROLLO!AN79/N70_DESARROLLO!AM79)-1</f>
        <v>-1.3825454475317467E-2</v>
      </c>
      <c r="AP164" s="3">
        <f>-(N70_DESARROLLO!AO79/0.014285714)*LN(N70_DESARROLLO!AO79/N70_DESARROLLO!AN79)-1</f>
        <v>-1.4218630964444534E-2</v>
      </c>
      <c r="AQ164" s="3">
        <f>-(N70_DESARROLLO!AP79/0.014285714)*LN(N70_DESARROLLO!AP79/N70_DESARROLLO!AO79)-1</f>
        <v>-1.4634825881873259E-2</v>
      </c>
      <c r="AR164" s="3">
        <f>-(N70_DESARROLLO!AQ79/0.014285714)*LN(N70_DESARROLLO!AQ79/N70_DESARROLLO!AP79)-1</f>
        <v>-1.5076121703328615E-2</v>
      </c>
      <c r="AS164" s="3">
        <f>-(N70_DESARROLLO!AR79/0.014285714)*LN(N70_DESARROLLO!AR79/N70_DESARROLLO!AQ79)-1</f>
        <v>-1.5544859931611366E-2</v>
      </c>
      <c r="AT164" s="3">
        <f>-(N70_DESARROLLO!AS79/0.014285714)*LN(N70_DESARROLLO!AS79/N70_DESARROLLO!AR79)-1</f>
        <v>-1.6043682665116243E-2</v>
      </c>
      <c r="AU164" s="3">
        <f>-(N70_DESARROLLO!AT79/0.014285714)*LN(N70_DESARROLLO!AT79/N70_DESARROLLO!AS79)-1</f>
        <v>-1.6575582437555747E-2</v>
      </c>
      <c r="AV164" s="3">
        <f>-(N70_DESARROLLO!AU79/0.014285714)*LN(N70_DESARROLLO!AU79/N70_DESARROLLO!AT79)-1</f>
        <v>-1.7143962314550287E-2</v>
      </c>
      <c r="AW164" s="3">
        <f>-(N70_DESARROLLO!AV79/0.014285714)*LN(N70_DESARROLLO!AV79/N70_DESARROLLO!AU79)-1</f>
        <v>-1.7752708797878491E-2</v>
      </c>
      <c r="AX164" s="3">
        <f>-(N70_DESARROLLO!AW79/0.014285714)*LN(N70_DESARROLLO!AW79/N70_DESARROLLO!AV79)-1</f>
        <v>-1.8406280838877409E-2</v>
      </c>
      <c r="AY164" s="3">
        <f>-(N70_DESARROLLO!AX79/0.014285714)*LN(N70_DESARROLLO!AX79/N70_DESARROLLO!AW79)-1</f>
        <v>-1.9109819273393946E-2</v>
      </c>
      <c r="AZ164" s="3">
        <f>-(N70_DESARROLLO!AY79/0.014285714)*LN(N70_DESARROLLO!AY79/N70_DESARROLLO!AX79)-1</f>
        <v>-1.9869282361759444E-2</v>
      </c>
      <c r="BA164" s="3">
        <f>-(N70_DESARROLLO!AZ79/0.014285714)*LN(N70_DESARROLLO!AZ79/N70_DESARROLLO!AY79)-1</f>
        <v>-2.069161500047989E-2</v>
      </c>
      <c r="BB164" s="3">
        <f>-(N70_DESARROLLO!BA79/0.014285714)*LN(N70_DESARROLLO!BA79/N70_DESARROLLO!AZ79)-1</f>
        <v>-2.1584961787579071E-2</v>
      </c>
      <c r="BC164" s="3">
        <f>-(N70_DESARROLLO!BB79/0.014285714)*LN(N70_DESARROLLO!BB79/N70_DESARROLLO!BA79)-1</f>
        <v>-2.255893780089202E-2</v>
      </c>
      <c r="BD164" s="3">
        <f>-(N70_DESARROLLO!BC79/0.014285714)*LN(N70_DESARROLLO!BC79/N70_DESARROLLO!BB79)-1</f>
        <v>-2.3624976192782587E-2</v>
      </c>
      <c r="BE164" s="3">
        <f>-(N70_DESARROLLO!BD79/0.014285714)*LN(N70_DESARROLLO!BD79/N70_DESARROLLO!BC79)-1</f>
        <v>-2.4796779290035542E-2</v>
      </c>
      <c r="BF164" s="3">
        <f>-(N70_DESARROLLO!BE79/0.014285714)*LN(N70_DESARROLLO!BE79/N70_DESARROLLO!BD79)-1</f>
        <v>-2.6090911041514842E-2</v>
      </c>
      <c r="BG164" s="3">
        <f>-(N70_DESARROLLO!BF79/0.014285714)*LN(N70_DESARROLLO!BF79/N70_DESARROLLO!BE79)-1</f>
        <v>-2.7527585341359129E-2</v>
      </c>
      <c r="BH164" s="3">
        <f>-(N70_DESARROLLO!BG79/0.014285714)*LN(N70_DESARROLLO!BG79/N70_DESARROLLO!BF79)-1</f>
        <v>-2.9131730204236206E-2</v>
      </c>
      <c r="BI164" s="3">
        <f>-(N70_DESARROLLO!BH79/0.014285714)*LN(N70_DESARROLLO!BH79/N70_DESARROLLO!BG79)-1</f>
        <v>-3.0934447408016208E-2</v>
      </c>
      <c r="BJ164" s="3">
        <f>-(N70_DESARROLLO!BI79/0.014285714)*LN(N70_DESARROLLO!BI79/N70_DESARROLLO!BH79)-1</f>
        <v>-3.2975050428749264E-2</v>
      </c>
      <c r="BK164" s="3">
        <f>-(N70_DESARROLLO!BJ79/0.014285714)*LN(N70_DESARROLLO!BJ79/N70_DESARROLLO!BI79)-1</f>
        <v>-3.5303966947126342E-2</v>
      </c>
      <c r="BL164" s="3">
        <f>-(N70_DESARROLLO!BK79/0.014285714)*LN(N70_DESARROLLO!BK79/N70_DESARROLLO!BJ79)-1</f>
        <v>-3.7986966558130497E-2</v>
      </c>
      <c r="BM164" s="3">
        <f>-(N70_DESARROLLO!BL79/0.014285714)*LN(N70_DESARROLLO!BL79/N70_DESARROLLO!BK79)-1</f>
        <v>-4.1111478023145187E-2</v>
      </c>
      <c r="BN164" s="3">
        <f>-(N70_DESARROLLO!BM79/0.014285714)*LN(N70_DESARROLLO!BM79/N70_DESARROLLO!BL79)-1</f>
        <v>-4.4796309735792517E-2</v>
      </c>
      <c r="BO164" s="3">
        <f>-(N70_DESARROLLO!BN79/0.014285714)*LN(N70_DESARROLLO!BN79/N70_DESARROLLO!BM79)-1</f>
        <v>-4.920712469281141E-2</v>
      </c>
      <c r="BP164" s="3">
        <f>-(N70_DESARROLLO!BO79/0.014285714)*LN(N70_DESARROLLO!BO79/N70_DESARROLLO!BN79)-1</f>
        <v>-5.458208265473008E-2</v>
      </c>
      <c r="BQ164" s="3">
        <f>-(N70_DESARROLLO!BP79/0.014285714)*LN(N70_DESARROLLO!BP79/N70_DESARROLLO!BO79)-1</f>
        <v>-6.1276409070485927E-2</v>
      </c>
      <c r="BR164" s="3">
        <f>-(N70_DESARROLLO!BQ79/0.014285714)*LN(N70_DESARROLLO!BQ79/N70_DESARROLLO!BP79)-1</f>
        <v>-6.9844497732509336E-2</v>
      </c>
      <c r="BS164" s="3">
        <f>-(N70_DESARROLLO!BR79/0.014285714)*LN(N70_DESARROLLO!BR79/N70_DESARROLLO!BQ79)-1</f>
        <v>-8.1202515976639078E-2</v>
      </c>
      <c r="BT164" s="3">
        <f>-(N70_DESARROLLO!BS79/0.014285714)*LN(N70_DESARROLLO!BS79/N70_DESARROLLO!BR79)-1</f>
        <v>-9.6981852359959375E-2</v>
      </c>
      <c r="BU164" s="3">
        <f>-(N70_DESARROLLO!BT79/0.014285714)*LN(N70_DESARROLLO!BT79/N70_DESARROLLO!BS79)-1</f>
        <v>-0.12039948342481521</v>
      </c>
      <c r="BV164" s="3">
        <f>-(N70_DESARROLLO!BU79/0.014285714)*LN(N70_DESARROLLO!BU79/N70_DESARROLLO!BT79)-1</f>
        <v>-0.15881939162335768</v>
      </c>
      <c r="BW164" s="3">
        <f>-(N70_DESARROLLO!BV79/0.014285714)*LN(N70_DESARROLLO!BV79/N70_DESARROLLO!BU79)-1</f>
        <v>-0.23376154902624224</v>
      </c>
      <c r="BX164" s="3">
        <f>-(N70_DESARROLLO!BW79/0.014285714)*LN(N70_DESARROLLO!BW79/N70_DESARROLLO!BV79)-1</f>
        <v>-0.45069384467982065</v>
      </c>
      <c r="BY164" s="3">
        <v>-1</v>
      </c>
      <c r="CD164" s="1">
        <v>70</v>
      </c>
      <c r="CE164" s="1">
        <v>0</v>
      </c>
      <c r="CF164" s="1">
        <f>(1+(N70_DESARROLLO!F79/0.014285714)*LN(N70_DESARROLLO!G79/N70_DESARROLLO!F79))</f>
        <v>-7.2640276736699594E-3</v>
      </c>
      <c r="CG164" s="1">
        <f>(1+(N70_DESARROLLO!G79/0.014285714)*LN(N70_DESARROLLO!H79/N70_DESARROLLO!G79))</f>
        <v>-7.3711163415683956E-3</v>
      </c>
      <c r="CH164" s="1">
        <f>(1+(N70_DESARROLLO!H79/0.014285714)*LN(N70_DESARROLLO!I79/N70_DESARROLLO!H79))</f>
        <v>-7.4814097752307074E-3</v>
      </c>
      <c r="CI164" s="1">
        <f>(1+(N70_DESARROLLO!I79/0.014285714)*LN(N70_DESARROLLO!J79/N70_DESARROLLO!I79))</f>
        <v>-7.5950540219562601E-3</v>
      </c>
      <c r="CJ164" s="1">
        <f>(1+(N70_DESARROLLO!J79/0.014285714)*LN(N70_DESARROLLO!K79/N70_DESARROLLO!J79))</f>
        <v>-7.7122041401411767E-3</v>
      </c>
      <c r="CK164" s="1">
        <f>(1+(N70_DESARROLLO!K79/0.014285714)*LN(N70_DESARROLLO!L79/N70_DESARROLLO!K79))</f>
        <v>-7.8330249053766288E-3</v>
      </c>
      <c r="CL164" s="1">
        <f>(1+(N70_DESARROLLO!L79/0.014285714)*LN(N70_DESARROLLO!M79/N70_DESARROLLO!L79))</f>
        <v>-7.9576915835766204E-3</v>
      </c>
      <c r="CM164" s="1">
        <f>(1+(N70_DESARROLLO!M79/0.014285714)*LN(N70_DESARROLLO!N79/N70_DESARROLLO!M79))</f>
        <v>-8.086390779455721E-3</v>
      </c>
      <c r="CN164" s="1">
        <f>(1+(N70_DESARROLLO!N79/0.014285714)*LN(N70_DESARROLLO!O79/N70_DESARROLLO!N79))</f>
        <v>-8.2193213684840227E-3</v>
      </c>
      <c r="CO164" s="1">
        <f>(1+(N70_DESARROLLO!O79/0.014285714)*LN(N70_DESARROLLO!P79/N70_DESARROLLO!O79))</f>
        <v>-8.356695522438562E-3</v>
      </c>
      <c r="CP164" s="1">
        <f>(1+(N70_DESARROLLO!P79/0.014285714)*LN(N70_DESARROLLO!Q79/N70_DESARROLLO!P79))</f>
        <v>-8.4987398394875679E-3</v>
      </c>
      <c r="CQ164" s="1">
        <f>(1+(N70_DESARROLLO!Q79/0.014285714)*LN(N70_DESARROLLO!R79/N70_DESARROLLO!Q79))</f>
        <v>-8.6456965915209238E-3</v>
      </c>
      <c r="CR164" s="1">
        <f>(1+(N70_DESARROLLO!R79/0.014285714)*LN(N70_DESARROLLO!S79/N70_DESARROLLO!R79))</f>
        <v>-8.7978251032465593E-3</v>
      </c>
      <c r="CS164" s="1">
        <f>(1+(N70_DESARROLLO!S79/0.014285714)*LN(N70_DESARROLLO!T79/N70_DESARROLLO!S79))</f>
        <v>-8.955403279466756E-3</v>
      </c>
      <c r="CT164" s="1">
        <f>(1+(N70_DESARROLLO!T79/0.014285714)*LN(N70_DESARROLLO!U79/N70_DESARROLLO!T79))</f>
        <v>-9.1187292994459046E-3</v>
      </c>
      <c r="CU164" s="1">
        <f>(1+(N70_DESARROLLO!U79/0.014285714)*LN(N70_DESARROLLO!V79/N70_DESARROLLO!U79))</f>
        <v>-9.2881235002018059E-3</v>
      </c>
      <c r="CV164" s="1">
        <f>(1+(N70_DESARROLLO!V79/0.014285714)*LN(N70_DESARROLLO!W79/N70_DESARROLLO!V79))</f>
        <v>-9.4639304737647034E-3</v>
      </c>
      <c r="CW164" s="1">
        <f>(1+(N70_DESARROLLO!W79/0.014285714)*LN(N70_DESARROLLO!X79/N70_DESARROLLO!W79))</f>
        <v>-9.646521407026043E-3</v>
      </c>
      <c r="CX164" s="1">
        <f>(1+(N70_DESARROLLO!X79/0.014285714)*LN(N70_DESARROLLO!Y79/N70_DESARROLLO!X79))</f>
        <v>-9.8362966981002664E-3</v>
      </c>
      <c r="CY164" s="1">
        <f>(1+(N70_DESARROLLO!Y79/0.014285714)*LN(N70_DESARROLLO!Z79/N70_DESARROLLO!Y79))</f>
        <v>-1.0033688887491454E-2</v>
      </c>
      <c r="CZ164" s="1">
        <f>(1+(N70_DESARROLLO!Z79/0.014285714)*LN(N70_DESARROLLO!AA79/N70_DESARROLLO!Z79))</f>
        <v>-1.0239165949541773E-2</v>
      </c>
      <c r="DA164" s="1">
        <f>(1+(N70_DESARROLLO!AA79/0.014285714)*LN(N70_DESARROLLO!AB79/N70_DESARROLLO!AA79))</f>
        <v>-1.0453234996897542E-2</v>
      </c>
      <c r="DB164" s="1">
        <f>(1+(N70_DESARROLLO!AB79/0.014285714)*LN(N70_DESARROLLO!AC79/N70_DESARROLLO!AB79))</f>
        <v>-1.0676446459559452E-2</v>
      </c>
      <c r="DC164" s="1">
        <f>(1+(N70_DESARROLLO!AC79/0.014285714)*LN(N70_DESARROLLO!AD79/N70_DESARROLLO!AC79))</f>
        <v>-1.0909398811066673E-2</v>
      </c>
      <c r="DD164" s="1">
        <f>(1+(N70_DESARROLLO!AD79/0.014285714)*LN(N70_DESARROLLO!AE79/N70_DESARROLLO!AD79))</f>
        <v>-1.1152743927375752E-2</v>
      </c>
      <c r="DE164" s="1">
        <f>(1+(N70_DESARROLLO!AE79/0.014285714)*LN(N70_DESARROLLO!AF79/N70_DESARROLLO!AE79))</f>
        <v>-1.1407193179388653E-2</v>
      </c>
      <c r="DF164" s="1">
        <f>(1+(N70_DESARROLLO!AF79/0.014285714)*LN(N70_DESARROLLO!AG79/N70_DESARROLLO!AF79))</f>
        <v>-1.1673524379095301E-2</v>
      </c>
      <c r="DG164" s="1">
        <f>(1+(N70_DESARROLLO!AG79/0.014285714)*LN(N70_DESARROLLO!AH79/N70_DESARROLLO!AG79))</f>
        <v>-1.1952589722085794E-2</v>
      </c>
      <c r="DH164" s="1">
        <f>(1+(N70_DESARROLLO!AH79/0.014285714)*LN(N70_DESARROLLO!AI79/N70_DESARROLLO!AH79))</f>
        <v>-1.2245324897515175E-2</v>
      </c>
      <c r="DI164" s="1">
        <f>(1+(N70_DESARROLLO!AI79/0.014285714)*LN(N70_DESARROLLO!AJ79/N70_DESARROLLO!AI79))</f>
        <v>-1.2552759570459315E-2</v>
      </c>
      <c r="DJ164" s="1">
        <f>(1+(N70_DESARROLLO!AJ79/0.014285714)*LN(N70_DESARROLLO!AK79/N70_DESARROLLO!AJ79))</f>
        <v>-1.2876029484353957E-2</v>
      </c>
      <c r="DK164" s="1">
        <f>(1+(N70_DESARROLLO!AK79/0.014285714)*LN(N70_DESARROLLO!AL79/N70_DESARROLLO!AK79))</f>
        <v>-1.3216390483200113E-2</v>
      </c>
      <c r="DL164" s="1">
        <f>(1+(N70_DESARROLLO!AL79/0.014285714)*LN(N70_DESARROLLO!AM79/N70_DESARROLLO!AL79))</f>
        <v>-1.3575234818481441E-2</v>
      </c>
      <c r="DM164" s="1">
        <f>(1+(N70_DESARROLLO!AM79/0.014285714)*LN(N70_DESARROLLO!AN79/N70_DESARROLLO!AM79))</f>
        <v>-1.3954110187349711E-2</v>
      </c>
      <c r="DN164" s="1">
        <f>(1+(N70_DESARROLLO!AN79/0.014285714)*LN(N70_DESARROLLO!AO79/N70_DESARROLLO!AN79))</f>
        <v>-1.4354742051078784E-2</v>
      </c>
      <c r="DO164" s="1">
        <f>(1+(N70_DESARROLLO!AO79/0.014285714)*LN(N70_DESARROLLO!AP79/N70_DESARROLLO!AO79))</f>
        <v>-1.4779059912697567E-2</v>
      </c>
      <c r="DP164" s="1">
        <f>(1+(N70_DESARROLLO!AP79/0.014285714)*LN(N70_DESARROLLO!AQ79/N70_DESARROLLO!AP79))</f>
        <v>-1.5229228398107475E-2</v>
      </c>
      <c r="DQ164" s="1">
        <f>(1+(N70_DESARROLLO!AQ79/0.014285714)*LN(N70_DESARROLLO!AR79/N70_DESARROLLO!AQ79))</f>
        <v>-1.570768419754387E-2</v>
      </c>
      <c r="DR164" s="1">
        <f>(1+(N70_DESARROLLO!AR79/0.014285714)*LN(N70_DESARROLLO!AS79/N70_DESARROLLO!AR79))</f>
        <v>-1.6217180198322634E-2</v>
      </c>
      <c r="DS164" s="1">
        <f>(1+(N70_DESARROLLO!AS79/0.014285714)*LN(N70_DESARROLLO!AT79/N70_DESARROLLO!AS79))</f>
        <v>-1.6760838496764352E-2</v>
      </c>
      <c r="DT164" s="1">
        <f>(1+(N70_DESARROLLO!AT79/0.014285714)*LN(N70_DESARROLLO!AU79/N70_DESARROLLO!AT79))</f>
        <v>-1.7342214446342874E-2</v>
      </c>
      <c r="DU164" s="1">
        <f>(1+(N70_DESARROLLO!AU79/0.014285714)*LN(N70_DESARROLLO!AV79/N70_DESARROLLO!AU79))</f>
        <v>-1.7965374518562172E-2</v>
      </c>
      <c r="DV164" s="1">
        <f>(1+(N70_DESARROLLO!AV79/0.014285714)*LN(N70_DESARROLLO!AW79/N70_DESARROLLO!AV79))</f>
        <v>-1.8634991582296756E-2</v>
      </c>
      <c r="DW164" s="1">
        <f>(1+(N70_DESARROLLO!AW79/0.014285714)*LN(N70_DESARROLLO!AX79/N70_DESARROLLO!AW79))</f>
        <v>-1.9356462323728119E-2</v>
      </c>
      <c r="DX164" s="1">
        <f>(1+(N70_DESARROLLO!AX79/0.014285714)*LN(N70_DESARROLLO!AY79/N70_DESARROLLO!AX79))</f>
        <v>-2.0136053052046243E-2</v>
      </c>
      <c r="DY164" s="1">
        <f>(1+(N70_DESARROLLO!AY79/0.014285714)*LN(N70_DESARROLLO!AZ79/N70_DESARROLLO!AY79))</f>
        <v>-2.0981082233542336E-2</v>
      </c>
      <c r="DZ164" s="1">
        <f>(1+(N70_DESARROLLO!AZ79/0.014285714)*LN(N70_DESARROLLO!BA79/N70_DESARROLLO!AZ79))</f>
        <v>-2.1900151021861713E-2</v>
      </c>
      <c r="EA164" s="1">
        <f>(1+(N70_DESARROLLO!BA79/0.014285714)*LN(N70_DESARROLLO!BB79/N70_DESARROLLO!BA79))</f>
        <v>-2.2903437185113118E-2</v>
      </c>
      <c r="EB164" s="1">
        <f>(1+(N70_DESARROLLO!BB79/0.014285714)*LN(N70_DESARROLLO!BC79/N70_DESARROLLO!BB79))</f>
        <v>-2.4003073749032877E-2</v>
      </c>
      <c r="EC164" s="1">
        <f>(1+(N70_DESARROLLO!BC79/0.014285714)*LN(N70_DESARROLLO!BD79/N70_DESARROLLO!BC79))</f>
        <v>-2.5213642284834581E-2</v>
      </c>
      <c r="ED164" s="1">
        <f>(1+(N70_DESARROLLO!BD79/0.014285714)*LN(N70_DESARROLLO!BE79/N70_DESARROLLO!BD79))</f>
        <v>-2.6552823496781341E-2</v>
      </c>
      <c r="EE164" s="1">
        <f>(1+(N70_DESARROLLO!BE79/0.014285714)*LN(N70_DESARROLLO!BF79/N70_DESARROLLO!BE79))</f>
        <v>-2.8042266924849235E-2</v>
      </c>
      <c r="EF164" s="1">
        <f>(1+(N70_DESARROLLO!BF79/0.014285714)*LN(N70_DESARROLLO!BG79/N70_DESARROLLO!BF79))</f>
        <v>-2.9708770995507061E-2</v>
      </c>
      <c r="EG164" s="1">
        <f>(1+(N70_DESARROLLO!BG79/0.014285714)*LN(N70_DESARROLLO!BH79/N70_DESARROLLO!BG79))</f>
        <v>-3.1585910823724417E-2</v>
      </c>
      <c r="EH164" s="1">
        <f>(1+(N70_DESARROLLO!BH79/0.014285714)*LN(N70_DESARROLLO!BI79/N70_DESARROLLO!BH79))</f>
        <v>-3.3716325403750913E-2</v>
      </c>
      <c r="EI164" s="1">
        <f>(1+(N70_DESARROLLO!BI79/0.014285714)*LN(N70_DESARROLLO!BJ79/N70_DESARROLLO!BI79))</f>
        <v>-3.6154998464197341E-2</v>
      </c>
      <c r="EJ164" s="1">
        <f>(1+(N70_DESARROLLO!BJ79/0.014285714)*LN(N70_DESARROLLO!BK79/N70_DESARROLLO!BJ79))</f>
        <v>-3.8974076117219258E-2</v>
      </c>
      <c r="EK164" s="1">
        <f>(1+(N70_DESARROLLO!BK79/0.014285714)*LN(N70_DESARROLLO!BL79/N70_DESARROLLO!BK79))</f>
        <v>-4.2270132583537734E-2</v>
      </c>
      <c r="EL164" s="1">
        <f>(1+(N70_DESARROLLO!BL79/0.014285714)*LN(N70_DESARROLLO!BM79/N70_DESARROLLO!BL79))</f>
        <v>-4.6175470289370413E-2</v>
      </c>
      <c r="EM164" s="1">
        <f>(1+(N70_DESARROLLO!BM79/0.014285714)*LN(N70_DESARROLLO!BN79/N70_DESARROLLO!BM79))</f>
        <v>-5.0876335865839728E-2</v>
      </c>
      <c r="EN164" s="1">
        <f>(1+(N70_DESARROLLO!BN79/0.014285714)*LN(N70_DESARROLLO!BO79/N70_DESARROLLO!BN79))</f>
        <v>-5.6643554680007924E-2</v>
      </c>
      <c r="EO164" s="1">
        <f>(1+(N70_DESARROLLO!BO79/0.014285714)*LN(N70_DESARROLLO!BP79/N70_DESARROLLO!BO79))</f>
        <v>-6.3886736386782106E-2</v>
      </c>
      <c r="EP164" s="1">
        <f>(1+(N70_DESARROLLO!BP79/0.014285714)*LN(N70_DESARROLLO!BQ79/N70_DESARROLLO!BP79))</f>
        <v>-7.3256348770182278E-2</v>
      </c>
      <c r="EQ164" s="1">
        <f>(1+(N70_DESARROLLO!BQ79/0.014285714)*LN(N70_DESARROLLO!BR79/N70_DESARROLLO!BQ79))</f>
        <v>-8.5851572027607403E-2</v>
      </c>
      <c r="ER164" s="1">
        <f>(1+(N70_DESARROLLO!BR79/0.014285714)*LN(N70_DESARROLLO!BS79/N70_DESARROLLO!BR79))</f>
        <v>-0.10368884711560433</v>
      </c>
      <c r="ES164" s="1">
        <f>(1+(N70_DESARROLLO!BS79/0.014285714)*LN(N70_DESARROLLO!BT79/N70_DESARROLLO!BS79))</f>
        <v>-0.13091494988238139</v>
      </c>
      <c r="ET164" s="1">
        <f>(1+(N70_DESARROLLO!BT79/0.014285714)*LN(N70_DESARROLLO!BU79/N70_DESARROLLO!BT79))</f>
        <v>-0.17765285172729728</v>
      </c>
      <c r="EU164" s="1">
        <f>(1+(N70_DESARROLLO!BU79/0.014285714)*LN(N70_DESARROLLO!BV79/N70_DESARROLLO!BU79))</f>
        <v>-0.27706408495626422</v>
      </c>
      <c r="EV164" s="1">
        <f>(1+(N70_DESARROLLO!BV79/0.014285714)*LN(N70_DESARROLLO!BW79/N70_DESARROLLO!BV79))</f>
        <v>-0.64791846596052105</v>
      </c>
      <c r="EW164" s="1">
        <v>1</v>
      </c>
    </row>
    <row r="165" spans="7:153" x14ac:dyDescent="0.25"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N32</vt:lpstr>
      <vt:lpstr>N70</vt:lpstr>
      <vt:lpstr>N70_DESARROLLO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Velasco Meseguer</dc:creator>
  <cp:lastModifiedBy>Gonzalo Velasco Meseguer</cp:lastModifiedBy>
  <dcterms:created xsi:type="dcterms:W3CDTF">2019-02-24T11:33:35Z</dcterms:created>
  <dcterms:modified xsi:type="dcterms:W3CDTF">2022-02-14T07:49:14Z</dcterms:modified>
</cp:coreProperties>
</file>